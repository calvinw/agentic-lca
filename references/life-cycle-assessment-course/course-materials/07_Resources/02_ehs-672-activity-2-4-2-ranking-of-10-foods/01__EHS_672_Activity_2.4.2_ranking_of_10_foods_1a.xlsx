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ox Sync\Jolliet\Teaching\EHS 672 On-line master\Powerpoints for Lecture videos\Activity material\Other activities\"/>
    </mc:Choice>
  </mc:AlternateContent>
  <bookViews>
    <workbookView xWindow="0" yWindow="0" windowWidth="28800" windowHeight="13764" activeTab="2"/>
  </bookViews>
  <sheets>
    <sheet name="Food GBD profiles" sheetId="1" r:id="rId1"/>
    <sheet name="HENI by risk &amp; carbon footp. " sheetId="2" r:id="rId2"/>
    <sheet name="Initial ranking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3" l="1"/>
  <c r="L22" i="3"/>
  <c r="L21" i="3"/>
  <c r="L20" i="3"/>
  <c r="L19" i="3"/>
  <c r="L18" i="3"/>
  <c r="L17" i="3"/>
  <c r="L25" i="3" s="1"/>
  <c r="K16" i="3"/>
  <c r="J16" i="3"/>
  <c r="I16" i="3"/>
  <c r="H16" i="3"/>
  <c r="G16" i="3"/>
  <c r="F16" i="3"/>
  <c r="E16" i="3"/>
  <c r="D16" i="3"/>
  <c r="C16" i="3"/>
  <c r="B16" i="3"/>
  <c r="L9" i="3"/>
  <c r="L8" i="3"/>
  <c r="L7" i="3"/>
  <c r="L6" i="3"/>
  <c r="L5" i="3"/>
  <c r="L4" i="3"/>
  <c r="L3" i="3"/>
  <c r="L11" i="3" s="1"/>
  <c r="AM4" i="2" l="1"/>
  <c r="AN4" i="2"/>
  <c r="AM5" i="2"/>
  <c r="AN5" i="2"/>
  <c r="AM6" i="2"/>
  <c r="AN6" i="2"/>
  <c r="AM7" i="2"/>
  <c r="AN7" i="2"/>
  <c r="AM8" i="2"/>
  <c r="AN8" i="2"/>
  <c r="AM9" i="2"/>
  <c r="AN9" i="2"/>
  <c r="AM10" i="2"/>
  <c r="AN10" i="2"/>
  <c r="AM11" i="2"/>
  <c r="AN11" i="2"/>
  <c r="AM12" i="2"/>
  <c r="AN12" i="2"/>
  <c r="AM13" i="2"/>
  <c r="AN13" i="2"/>
  <c r="AL5" i="2"/>
  <c r="AL6" i="2"/>
  <c r="AL7" i="2"/>
  <c r="AL8" i="2"/>
  <c r="AL9" i="2"/>
  <c r="AL10" i="2"/>
  <c r="AL11" i="2"/>
  <c r="AL12" i="2"/>
  <c r="AL13" i="2"/>
  <c r="AL4" i="2"/>
  <c r="AE13" i="2"/>
  <c r="AE12" i="2"/>
  <c r="AE11" i="2"/>
  <c r="AE10" i="2"/>
  <c r="AE9" i="2"/>
  <c r="AE8" i="2"/>
  <c r="AE7" i="2"/>
  <c r="AE6" i="2"/>
  <c r="AE5" i="2"/>
  <c r="AE4" i="2"/>
  <c r="AB13" i="2"/>
  <c r="AB12" i="2"/>
  <c r="AB11" i="2"/>
  <c r="AB10" i="2"/>
  <c r="AB9" i="2"/>
  <c r="AB8" i="2"/>
  <c r="AB7" i="2"/>
  <c r="AB6" i="2"/>
  <c r="AB5" i="2"/>
  <c r="AB4" i="2"/>
  <c r="AC13" i="2"/>
  <c r="AC12" i="2"/>
  <c r="AC11" i="2"/>
  <c r="AC10" i="2"/>
  <c r="AC9" i="2"/>
  <c r="AC8" i="2"/>
  <c r="AC7" i="2"/>
  <c r="AC6" i="2"/>
  <c r="AC5" i="2"/>
  <c r="AC4" i="2"/>
  <c r="AA5" i="2"/>
  <c r="AA6" i="2"/>
  <c r="AA7" i="2"/>
  <c r="AA8" i="2"/>
  <c r="AA9" i="2"/>
  <c r="AA10" i="2"/>
  <c r="AA11" i="2"/>
  <c r="AA12" i="2"/>
  <c r="AA13" i="2"/>
  <c r="AA4" i="2"/>
  <c r="AF5" i="2" l="1"/>
  <c r="AF6" i="2"/>
  <c r="AF7" i="2"/>
  <c r="AF8" i="2"/>
  <c r="AF9" i="2"/>
  <c r="AF10" i="2"/>
  <c r="AF11" i="2"/>
  <c r="AF12" i="2"/>
  <c r="AF13" i="2"/>
  <c r="AF4" i="2"/>
  <c r="AD13" i="2"/>
  <c r="AD12" i="2"/>
  <c r="AD11" i="2"/>
  <c r="AD10" i="2"/>
  <c r="AD9" i="2"/>
  <c r="AD8" i="2"/>
  <c r="AD7" i="2"/>
  <c r="AD6" i="2"/>
  <c r="AD5" i="2"/>
  <c r="AD4" i="2"/>
  <c r="A4" i="1" l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A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A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A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A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A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A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A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A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A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</calcChain>
</file>

<file path=xl/sharedStrings.xml><?xml version="1.0" encoding="utf-8"?>
<sst xmlns="http://schemas.openxmlformats.org/spreadsheetml/2006/main" count="199" uniqueCount="123">
  <si>
    <t>Foodcode Description</t>
  </si>
  <si>
    <t>Simplified food name</t>
  </si>
  <si>
    <t>Yogurt, whole milk, fruit</t>
  </si>
  <si>
    <t>Whole Milk Yogurt (3.25% fat) with Fruit</t>
  </si>
  <si>
    <t>Pistachio nuts, salted</t>
  </si>
  <si>
    <t>Pistachios, Salted</t>
  </si>
  <si>
    <t>Pizza with pepperoni, from frozen, thick crust</t>
  </si>
  <si>
    <t>Pepperoni Pizza, Thick Crust</t>
  </si>
  <si>
    <t>Broccoli, cooked, from fresh, made with oil</t>
  </si>
  <si>
    <t>Broccoli (cooked in oil)</t>
  </si>
  <si>
    <t>Corn, yellow, cooked, from fresh, made with margarine</t>
  </si>
  <si>
    <t>Yellow Corn (cooked with margarine)</t>
  </si>
  <si>
    <t>Beef steak, broiled or baked, lean only eaten</t>
  </si>
  <si>
    <t>Beef Steak (lean)</t>
  </si>
  <si>
    <t>Pork sausage</t>
  </si>
  <si>
    <t>Pork Sausage</t>
  </si>
  <si>
    <t>Catfish, coated, fried, made with oil</t>
  </si>
  <si>
    <t>Fried Coated Catfish</t>
  </si>
  <si>
    <t>Banana, raw</t>
  </si>
  <si>
    <t>Fresh Banana</t>
  </si>
  <si>
    <t>Baked beans, vegetarian</t>
  </si>
  <si>
    <t>Baked Beans</t>
  </si>
  <si>
    <t>Foodcode</t>
  </si>
  <si>
    <t>racc</t>
  </si>
  <si>
    <t>kcal</t>
  </si>
  <si>
    <t>fiber_fvlw</t>
  </si>
  <si>
    <t>sfat</t>
  </si>
  <si>
    <t>omega3</t>
  </si>
  <si>
    <t>calc</t>
  </si>
  <si>
    <t>fiber_non_fvlw</t>
  </si>
  <si>
    <t>pfat</t>
  </si>
  <si>
    <t>whole_grain</t>
  </si>
  <si>
    <t>legumes</t>
  </si>
  <si>
    <t>fruit</t>
  </si>
  <si>
    <t>vegetable</t>
  </si>
  <si>
    <t>milk</t>
  </si>
  <si>
    <t>ssb</t>
  </si>
  <si>
    <t>sodi</t>
  </si>
  <si>
    <t>nutsd</t>
  </si>
  <si>
    <t>red_meat</t>
  </si>
  <si>
    <t>pro_meat</t>
  </si>
  <si>
    <t>transfat</t>
  </si>
  <si>
    <t>Serving size (g)</t>
  </si>
  <si>
    <t>kcal/serving</t>
  </si>
  <si>
    <t>Seafood omega-3 
(g/servng)</t>
  </si>
  <si>
    <t>SFA 
(g/serving)</t>
  </si>
  <si>
    <t>Calcium
(g/serving)</t>
  </si>
  <si>
    <t>PUFA
(g/serving)</t>
  </si>
  <si>
    <t>Fiber (f,v,w,l)
(g/serving)</t>
  </si>
  <si>
    <t>Whole grains
(g/serving)</t>
  </si>
  <si>
    <t>Fiber (other)
(g/serving)</t>
  </si>
  <si>
    <t>Legumes
(g/serving)</t>
  </si>
  <si>
    <t>Fruits
(g/serving)</t>
  </si>
  <si>
    <t>Vegetables
(g/serving)</t>
  </si>
  <si>
    <t>Milk
(g/serving)</t>
  </si>
  <si>
    <t>SSB
(g/serving)</t>
  </si>
  <si>
    <t>Sodium
(g/serving)</t>
  </si>
  <si>
    <t>Nuts and seeds
(g/serving)</t>
  </si>
  <si>
    <t>Red meat
(g/serving)</t>
  </si>
  <si>
    <t>Processed meat
(g/serving)</t>
  </si>
  <si>
    <t>TFA
(g/serving)</t>
  </si>
  <si>
    <t>Fiber (f,v,w,l)
(minutes/serving)</t>
  </si>
  <si>
    <t>SFA 
(minutes/serving)</t>
  </si>
  <si>
    <t>Seafood omega-3 
(minutes/servng)</t>
  </si>
  <si>
    <t>Calcium
(minutes/serving)</t>
  </si>
  <si>
    <t>Fiber (other)
(minutes/serving)</t>
  </si>
  <si>
    <t>PUFA
(minutes/serving)</t>
  </si>
  <si>
    <t>Whole grains
(minutes/serving)</t>
  </si>
  <si>
    <t>Legumes
(minutes/serving)</t>
  </si>
  <si>
    <t>Fruits
(minutes/serving)</t>
  </si>
  <si>
    <t>Vegetables
(minutes/serving)</t>
  </si>
  <si>
    <t>Milk
(minutes/serving)</t>
  </si>
  <si>
    <t>SSB
(minutes/serving)</t>
  </si>
  <si>
    <t>Sodium
(minutes/serving)</t>
  </si>
  <si>
    <t>Nuts and seeds
(minutes/serving)</t>
  </si>
  <si>
    <t>Red meat
(minutes/serving)</t>
  </si>
  <si>
    <t>Processed meat
(minutes/serving)</t>
  </si>
  <si>
    <t>TFA
(minutes/serving)</t>
  </si>
  <si>
    <t>Total w/o SFA
(minutes/serving)</t>
  </si>
  <si>
    <t>Carbon footprint per serving</t>
  </si>
  <si>
    <t>g/100g or kcal/100kcal</t>
  </si>
  <si>
    <t>-HENI/serving</t>
  </si>
  <si>
    <t>CO2e per serving</t>
  </si>
  <si>
    <t>-HENI/100kcal</t>
  </si>
  <si>
    <t>Ranks nutrition per serving</t>
  </si>
  <si>
    <t>Ranks nutrition per kcal</t>
  </si>
  <si>
    <t>Ranks nutrition per 100g</t>
  </si>
  <si>
    <t>-HENI/100g</t>
  </si>
  <si>
    <t>CO2eq. per 100 kcal</t>
  </si>
  <si>
    <t>CO2eq per 100g</t>
  </si>
  <si>
    <t>Ranks carbon per serving</t>
  </si>
  <si>
    <t>Ranks carbon per 100g</t>
  </si>
  <si>
    <t>Ranks carbon per kcal</t>
  </si>
  <si>
    <t>HENi per serving</t>
  </si>
  <si>
    <t>HENI per 100g</t>
  </si>
  <si>
    <t>HENI per 100 kcal</t>
  </si>
  <si>
    <t>First ranking HENI scores</t>
  </si>
  <si>
    <t xml:space="preserve">Rank the 10 following food items from most healthy (best=1) to least healthy (worst =10) </t>
  </si>
  <si>
    <t>Last and first name</t>
  </si>
  <si>
    <t>[Baked Beans]</t>
  </si>
  <si>
    <t>[Beef Steak (lean)]</t>
  </si>
  <si>
    <t>[Broccoli (cooked in oil)]</t>
  </si>
  <si>
    <t>[Fresh Banana]</t>
  </si>
  <si>
    <t>[Fried Coated Catfish]</t>
  </si>
  <si>
    <t>[Pepperoni Pizza, Thick Crust]</t>
  </si>
  <si>
    <t>[Pistachio nuts, salted]</t>
  </si>
  <si>
    <t>[Pork sausage]</t>
  </si>
  <si>
    <t>[Whole Milk Yogurt (3.25% fat) with Fruit]</t>
  </si>
  <si>
    <t>[Yellow Corn (cooked with margarine)]</t>
  </si>
  <si>
    <t>Mean deviation to HENI</t>
  </si>
  <si>
    <t>Olivier Jolliet</t>
  </si>
  <si>
    <t>Rudski, Chris</t>
  </si>
  <si>
    <t>Alexis Mikaelian</t>
  </si>
  <si>
    <t>Bano Ahmed</t>
  </si>
  <si>
    <t>Maelyn Bremer</t>
  </si>
  <si>
    <t>Adam Kollipara</t>
  </si>
  <si>
    <t>Berent, Melanie</t>
  </si>
  <si>
    <t>Official HENI ranking</t>
  </si>
  <si>
    <t>First ranking activity 4: carbon footprint</t>
  </si>
  <si>
    <t>Rank the 10 following food items from lowest carbon footprint per serving (best=1) to highest carbon footprint per serving (worst =10)</t>
  </si>
  <si>
    <t>Jolliet Olivier</t>
  </si>
  <si>
    <t>Official carbon footprint ranking</t>
  </si>
  <si>
    <t>Was the ranking reversed? It seems you have taken 10 as best, but the cale was for 10 as 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</si>
</sst>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E+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2" borderId="1" xfId="0" applyNumberFormat="1" applyFont="1" applyFill="1" applyBorder="1" applyAlignment="1" applyProtection="1">
      <alignment horizont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wrapText="1"/>
    </xf>
    <xf numFmtId="165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66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0" fillId="0" borderId="3" xfId="0" applyBorder="1"/>
    <xf numFmtId="0" fontId="0" fillId="0" borderId="0" xfId="0" applyBorder="1"/>
    <xf numFmtId="0" fontId="1" fillId="0" borderId="0" xfId="0" applyFont="1" applyBorder="1"/>
    <xf numFmtId="2" fontId="0" fillId="0" borderId="0" xfId="0" applyNumberFormat="1" applyBorder="1"/>
    <xf numFmtId="0" fontId="5" fillId="0" borderId="0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6" xfId="0" applyFont="1" applyBorder="1"/>
    <xf numFmtId="2" fontId="0" fillId="0" borderId="6" xfId="0" applyNumberFormat="1" applyBorder="1"/>
    <xf numFmtId="0" fontId="5" fillId="0" borderId="6" xfId="0" applyFont="1" applyBorder="1"/>
    <xf numFmtId="0" fontId="1" fillId="0" borderId="7" xfId="0" applyFont="1" applyBorder="1"/>
    <xf numFmtId="0" fontId="2" fillId="0" borderId="8" xfId="0" applyFont="1" applyBorder="1"/>
    <xf numFmtId="0" fontId="3" fillId="2" borderId="9" xfId="0" applyNumberFormat="1" applyFont="1" applyFill="1" applyBorder="1" applyAlignment="1" applyProtection="1">
      <alignment horizontal="center" wrapText="1"/>
    </xf>
    <xf numFmtId="0" fontId="3" fillId="2" borderId="9" xfId="0" quotePrefix="1" applyNumberFormat="1" applyFont="1" applyFill="1" applyBorder="1" applyAlignment="1" applyProtection="1">
      <alignment horizontal="center" wrapText="1"/>
    </xf>
    <xf numFmtId="0" fontId="3" fillId="2" borderId="10" xfId="0" applyNumberFormat="1" applyFont="1" applyFill="1" applyBorder="1" applyAlignment="1" applyProtection="1">
      <alignment horizontal="center" wrapText="1"/>
    </xf>
    <xf numFmtId="2" fontId="2" fillId="0" borderId="3" xfId="0" applyNumberFormat="1" applyFont="1" applyBorder="1"/>
    <xf numFmtId="2" fontId="2" fillId="0" borderId="5" xfId="0" applyNumberFormat="1" applyFont="1" applyBorder="1"/>
    <xf numFmtId="2" fontId="0" fillId="0" borderId="4" xfId="0" applyNumberFormat="1" applyBorder="1"/>
    <xf numFmtId="2" fontId="0" fillId="0" borderId="7" xfId="0" applyNumberFormat="1" applyBorder="1"/>
    <xf numFmtId="0" fontId="3" fillId="2" borderId="8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HENI (stacked bars, left axis)</a:t>
            </a:r>
            <a:r>
              <a:rPr lang="en-US" baseline="0"/>
              <a:t> and carbon footprint (circles, righ axis)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92662026218942"/>
          <c:y val="9.7183992041291384E-2"/>
          <c:w val="0.74035192475940503"/>
          <c:h val="0.4250363982372353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'HENI by risk &amp; carbon footp. '!$F$3</c:f>
              <c:strCache>
                <c:ptCount val="1"/>
                <c:pt idx="0">
                  <c:v>fiber_fvlw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'!$F$4:$F$13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6.2394999999999999E-2</c:v>
                </c:pt>
                <c:pt idx="3">
                  <c:v>0</c:v>
                </c:pt>
                <c:pt idx="4">
                  <c:v>2.2053099999999999E-2</c:v>
                </c:pt>
                <c:pt idx="5">
                  <c:v>0</c:v>
                </c:pt>
                <c:pt idx="6">
                  <c:v>0.26623619999999998</c:v>
                </c:pt>
                <c:pt idx="7">
                  <c:v>0.52386849999999996</c:v>
                </c:pt>
                <c:pt idx="8">
                  <c:v>0.35776380000000002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9E-4330-AC0E-287C40A8B686}"/>
            </c:ext>
          </c:extLst>
        </c:ser>
        <c:ser>
          <c:idx val="3"/>
          <c:order val="3"/>
          <c:tx>
            <c:strRef>
              <c:f>'HENI by risk &amp; carbon footp. '!$G$3</c:f>
              <c:strCache>
                <c:ptCount val="1"/>
                <c:pt idx="0">
                  <c:v>sfat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'!$G$4:$G$13</c:f>
              <c:numCache>
                <c:formatCode>0.00</c:formatCode>
                <c:ptCount val="10"/>
                <c:pt idx="0">
                  <c:v>-1.5619829999999999</c:v>
                </c:pt>
                <c:pt idx="1">
                  <c:v>-0.72289199999999998</c:v>
                </c:pt>
                <c:pt idx="2">
                  <c:v>-1.9350959999999999</c:v>
                </c:pt>
                <c:pt idx="3">
                  <c:v>-0.14494499999999999</c:v>
                </c:pt>
                <c:pt idx="4">
                  <c:v>-1.0095019999999999</c:v>
                </c:pt>
                <c:pt idx="5">
                  <c:v>-0.64343300000000003</c:v>
                </c:pt>
                <c:pt idx="6">
                  <c:v>-0.12603900000000001</c:v>
                </c:pt>
                <c:pt idx="7">
                  <c:v>-2.9700000000000001E-2</c:v>
                </c:pt>
                <c:pt idx="8">
                  <c:v>-5.0453999999999999E-2</c:v>
                </c:pt>
                <c:pt idx="9">
                  <c:v>-0.56255599999999994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9E-4330-AC0E-287C40A8B686}"/>
            </c:ext>
          </c:extLst>
        </c:ser>
        <c:ser>
          <c:idx val="4"/>
          <c:order val="4"/>
          <c:tx>
            <c:strRef>
              <c:f>'HENI by risk &amp; carbon footp. '!$H$3</c:f>
              <c:strCache>
                <c:ptCount val="1"/>
                <c:pt idx="0">
                  <c:v>omega3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'!$H$4:$H$13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1.9349151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9E-4330-AC0E-287C40A8B686}"/>
            </c:ext>
          </c:extLst>
        </c:ser>
        <c:ser>
          <c:idx val="5"/>
          <c:order val="5"/>
          <c:tx>
            <c:strRef>
              <c:f>'HENI by risk &amp; carbon footp. '!$I$3</c:f>
              <c:strCache>
                <c:ptCount val="1"/>
                <c:pt idx="0">
                  <c:v>calc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'!$I$4:$I$13</c:f>
              <c:numCache>
                <c:formatCode>0.00</c:formatCode>
                <c:ptCount val="10"/>
                <c:pt idx="0">
                  <c:v>1.33927E-2</c:v>
                </c:pt>
                <c:pt idx="1">
                  <c:v>3.69494E-2</c:v>
                </c:pt>
                <c:pt idx="2">
                  <c:v>0.65015979999999995</c:v>
                </c:pt>
                <c:pt idx="3">
                  <c:v>8.3470999999999997E-3</c:v>
                </c:pt>
                <c:pt idx="4">
                  <c:v>0.50074030000000003</c:v>
                </c:pt>
                <c:pt idx="5">
                  <c:v>7.2863600000000001E-2</c:v>
                </c:pt>
                <c:pt idx="6">
                  <c:v>8.9192300000000002E-2</c:v>
                </c:pt>
                <c:pt idx="7">
                  <c:v>0.1195874</c:v>
                </c:pt>
                <c:pt idx="8">
                  <c:v>1.89392E-2</c:v>
                </c:pt>
                <c:pt idx="9">
                  <c:v>8.3609000000000003E-2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9E-4330-AC0E-287C40A8B686}"/>
            </c:ext>
          </c:extLst>
        </c:ser>
        <c:ser>
          <c:idx val="6"/>
          <c:order val="6"/>
          <c:tx>
            <c:strRef>
              <c:f>'HENI by risk &amp; carbon footp. '!$J$3</c:f>
              <c:strCache>
                <c:ptCount val="1"/>
                <c:pt idx="0">
                  <c:v>fiber_non_fvlw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'!$J$4:$J$13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1.4328006</c:v>
                </c:pt>
                <c:pt idx="3">
                  <c:v>1.0280445</c:v>
                </c:pt>
                <c:pt idx="4">
                  <c:v>0</c:v>
                </c:pt>
                <c:pt idx="5">
                  <c:v>0.23461280000000001</c:v>
                </c:pt>
                <c:pt idx="6">
                  <c:v>0</c:v>
                </c:pt>
                <c:pt idx="7">
                  <c:v>2.3520000000000001E-16</c:v>
                </c:pt>
                <c:pt idx="8">
                  <c:v>0</c:v>
                </c:pt>
                <c:pt idx="9">
                  <c:v>1.5481400999999999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9E-4330-AC0E-287C40A8B686}"/>
            </c:ext>
          </c:extLst>
        </c:ser>
        <c:ser>
          <c:idx val="7"/>
          <c:order val="7"/>
          <c:tx>
            <c:strRef>
              <c:f>'HENI by risk &amp; carbon footp. '!$K$3</c:f>
              <c:strCache>
                <c:ptCount val="1"/>
                <c:pt idx="0">
                  <c:v>pfat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'!$K$4:$K$13</c:f>
              <c:numCache>
                <c:formatCode>0.00</c:formatCode>
                <c:ptCount val="10"/>
                <c:pt idx="0">
                  <c:v>0.89548000000000005</c:v>
                </c:pt>
                <c:pt idx="1">
                  <c:v>9.0084399999999995E-2</c:v>
                </c:pt>
                <c:pt idx="2">
                  <c:v>0.66189830000000005</c:v>
                </c:pt>
                <c:pt idx="3">
                  <c:v>0.35892020000000002</c:v>
                </c:pt>
                <c:pt idx="4">
                  <c:v>4.3804599999999999E-2</c:v>
                </c:pt>
                <c:pt idx="5">
                  <c:v>1.1506805</c:v>
                </c:pt>
                <c:pt idx="6">
                  <c:v>0.35775859999999998</c:v>
                </c:pt>
                <c:pt idx="7">
                  <c:v>5.0069900000000001E-2</c:v>
                </c:pt>
                <c:pt idx="8">
                  <c:v>3.25311E-2</c:v>
                </c:pt>
                <c:pt idx="9">
                  <c:v>1.3407996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9E-4330-AC0E-287C40A8B686}"/>
            </c:ext>
          </c:extLst>
        </c:ser>
        <c:ser>
          <c:idx val="8"/>
          <c:order val="8"/>
          <c:tx>
            <c:strRef>
              <c:f>'HENI by risk &amp; carbon footp. '!$L$3</c:f>
              <c:strCache>
                <c:ptCount val="1"/>
                <c:pt idx="0">
                  <c:v>whole_grain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'!$L$4:$L$13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9E-4330-AC0E-287C40A8B686}"/>
            </c:ext>
          </c:extLst>
        </c:ser>
        <c:ser>
          <c:idx val="9"/>
          <c:order val="9"/>
          <c:tx>
            <c:strRef>
              <c:f>'HENI by risk &amp; carbon footp. '!$M$3</c:f>
              <c:strCache>
                <c:ptCount val="1"/>
                <c:pt idx="0">
                  <c:v>legumes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'!$M$4:$M$13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9.4777989999999992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79E-4330-AC0E-287C40A8B686}"/>
            </c:ext>
          </c:extLst>
        </c:ser>
        <c:ser>
          <c:idx val="10"/>
          <c:order val="10"/>
          <c:tx>
            <c:strRef>
              <c:f>'HENI by risk &amp; carbon footp. '!$N$3</c:f>
              <c:strCache>
                <c:ptCount val="1"/>
                <c:pt idx="0">
                  <c:v>fruit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'!$N$4:$N$13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0.91726580000000002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13.091943000000001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9E-4330-AC0E-287C40A8B686}"/>
            </c:ext>
          </c:extLst>
        </c:ser>
        <c:ser>
          <c:idx val="11"/>
          <c:order val="11"/>
          <c:tx>
            <c:strRef>
              <c:f>'HENI by risk &amp; carbon footp. '!$O$3</c:f>
              <c:strCache>
                <c:ptCount val="1"/>
                <c:pt idx="0">
                  <c:v>vegetable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'!$O$4:$O$13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1.4445532000000001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3.5782826999999999</c:v>
                </c:pt>
                <c:pt idx="7">
                  <c:v>1.3884365000000001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79E-4330-AC0E-287C40A8B686}"/>
            </c:ext>
          </c:extLst>
        </c:ser>
        <c:ser>
          <c:idx val="12"/>
          <c:order val="12"/>
          <c:tx>
            <c:strRef>
              <c:f>'HENI by risk &amp; carbon footp. '!$P$3</c:f>
              <c:strCache>
                <c:ptCount val="1"/>
                <c:pt idx="0">
                  <c:v>milk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'!$P$4:$P$13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9E-4330-AC0E-287C40A8B686}"/>
            </c:ext>
          </c:extLst>
        </c:ser>
        <c:ser>
          <c:idx val="13"/>
          <c:order val="13"/>
          <c:tx>
            <c:strRef>
              <c:f>'HENI by risk &amp; carbon footp. '!$Q$3</c:f>
              <c:strCache>
                <c:ptCount val="1"/>
                <c:pt idx="0">
                  <c:v>ssb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'!$Q$4:$Q$13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79E-4330-AC0E-287C40A8B686}"/>
            </c:ext>
          </c:extLst>
        </c:ser>
        <c:ser>
          <c:idx val="14"/>
          <c:order val="14"/>
          <c:tx>
            <c:strRef>
              <c:f>'HENI by risk &amp; carbon footp. '!$R$3</c:f>
              <c:strCache>
                <c:ptCount val="1"/>
                <c:pt idx="0">
                  <c:v>sodi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'!$R$4:$R$13</c:f>
              <c:numCache>
                <c:formatCode>0.00</c:formatCode>
                <c:ptCount val="10"/>
                <c:pt idx="0">
                  <c:v>-3.2707079999999999</c:v>
                </c:pt>
                <c:pt idx="1">
                  <c:v>-2.4035790000000001</c:v>
                </c:pt>
                <c:pt idx="2">
                  <c:v>-6.0423819999999999</c:v>
                </c:pt>
                <c:pt idx="3">
                  <c:v>-1.541363</c:v>
                </c:pt>
                <c:pt idx="4">
                  <c:v>-0.550956</c:v>
                </c:pt>
                <c:pt idx="5">
                  <c:v>-2.1908159999999999</c:v>
                </c:pt>
                <c:pt idx="6">
                  <c:v>-1.7358260000000001</c:v>
                </c:pt>
                <c:pt idx="7">
                  <c:v>-3.2575569999999998</c:v>
                </c:pt>
                <c:pt idx="8">
                  <c:v>-1.0227999999999999E-2</c:v>
                </c:pt>
                <c:pt idx="9">
                  <c:v>-0.85370000000000001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79E-4330-AC0E-287C40A8B686}"/>
            </c:ext>
          </c:extLst>
        </c:ser>
        <c:ser>
          <c:idx val="15"/>
          <c:order val="15"/>
          <c:tx>
            <c:strRef>
              <c:f>'HENI by risk &amp; carbon footp. '!$S$3</c:f>
              <c:strCache>
                <c:ptCount val="1"/>
                <c:pt idx="0">
                  <c:v>nutsd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'!$S$4:$S$13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23.164383000000001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79E-4330-AC0E-287C40A8B686}"/>
            </c:ext>
          </c:extLst>
        </c:ser>
        <c:ser>
          <c:idx val="16"/>
          <c:order val="16"/>
          <c:tx>
            <c:strRef>
              <c:f>'HENI by risk &amp; carbon footp. '!$T$3</c:f>
              <c:strCache>
                <c:ptCount val="1"/>
                <c:pt idx="0">
                  <c:v>red_meat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'!$T$4:$T$13</c:f>
              <c:numCache>
                <c:formatCode>0.00</c:formatCode>
                <c:ptCount val="10"/>
                <c:pt idx="0">
                  <c:v>0</c:v>
                </c:pt>
                <c:pt idx="1">
                  <c:v>-4.3779310000000002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79E-4330-AC0E-287C40A8B686}"/>
            </c:ext>
          </c:extLst>
        </c:ser>
        <c:ser>
          <c:idx val="17"/>
          <c:order val="17"/>
          <c:tx>
            <c:strRef>
              <c:f>'HENI by risk &amp; carbon footp. '!$U$3</c:f>
              <c:strCache>
                <c:ptCount val="1"/>
                <c:pt idx="0">
                  <c:v>pro_meat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'!$U$4:$U$13</c:f>
              <c:numCache>
                <c:formatCode>0.00</c:formatCode>
                <c:ptCount val="10"/>
                <c:pt idx="0">
                  <c:v>-19.63552</c:v>
                </c:pt>
                <c:pt idx="1">
                  <c:v>0</c:v>
                </c:pt>
                <c:pt idx="2">
                  <c:v>-1.269193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79E-4330-AC0E-287C40A8B686}"/>
            </c:ext>
          </c:extLst>
        </c:ser>
        <c:ser>
          <c:idx val="18"/>
          <c:order val="18"/>
          <c:tx>
            <c:strRef>
              <c:f>'HENI by risk &amp; carbon footp. '!$V$3</c:f>
              <c:strCache>
                <c:ptCount val="1"/>
                <c:pt idx="0">
                  <c:v>transfat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'HENI by risk &amp; carbon footp. '!$C$4:$C$13</c:f>
              <c:strCache>
                <c:ptCount val="10"/>
                <c:pt idx="0">
                  <c:v>Pork Sausage</c:v>
                </c:pt>
                <c:pt idx="1">
                  <c:v>Beef Steak (lean)</c:v>
                </c:pt>
                <c:pt idx="2">
                  <c:v>Pepperoni Pizza, Thick Crust</c:v>
                </c:pt>
                <c:pt idx="3">
                  <c:v>Yellow Corn (cooked with margarine)</c:v>
                </c:pt>
                <c:pt idx="4">
                  <c:v>Whole Milk Yogurt (3.25% fat) with Fruit</c:v>
                </c:pt>
                <c:pt idx="5">
                  <c:v>Fried Coated Catfish</c:v>
                </c:pt>
                <c:pt idx="6">
                  <c:v>Broccoli (cooked in oil)</c:v>
                </c:pt>
                <c:pt idx="7">
                  <c:v>Baked Beans</c:v>
                </c:pt>
                <c:pt idx="8">
                  <c:v>Fresh Banana</c:v>
                </c:pt>
                <c:pt idx="9">
                  <c:v>Pistachios, Salted</c:v>
                </c:pt>
              </c:strCache>
            </c:strRef>
          </c:cat>
          <c:val>
            <c:numRef>
              <c:f>'HENI by risk &amp; carbon footp. '!$V$4:$V$13</c:f>
              <c:numCache>
                <c:formatCode>0.00</c:formatCode>
                <c:ptCount val="10"/>
                <c:pt idx="0">
                  <c:v>-0.15412600000000001</c:v>
                </c:pt>
                <c:pt idx="1">
                  <c:v>-0.34841</c:v>
                </c:pt>
                <c:pt idx="2">
                  <c:v>-0.87378800000000001</c:v>
                </c:pt>
                <c:pt idx="3">
                  <c:v>-0.20438600000000001</c:v>
                </c:pt>
                <c:pt idx="4">
                  <c:v>-0.142738</c:v>
                </c:pt>
                <c:pt idx="5">
                  <c:v>-0.180838</c:v>
                </c:pt>
                <c:pt idx="6">
                  <c:v>-1.9775999999999998E-2</c:v>
                </c:pt>
                <c:pt idx="7">
                  <c:v>0</c:v>
                </c:pt>
                <c:pt idx="8">
                  <c:v>0</c:v>
                </c:pt>
                <c:pt idx="9">
                  <c:v>-7.3740000000000003E-3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79E-4330-AC0E-287C40A8B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9296144"/>
        <c:axId val="6593023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'HENI by risk &amp; carbon footp. '!$D$3</c15:sqref>
                        </c15:formulaRef>
                      </c:ext>
                    </c:extLst>
                    <c:strCache>
                      <c:ptCount val="1"/>
                      <c:pt idx="0">
                        <c:v>racc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'HENI by risk &amp; carbon footp. '!$C$4:$C$13</c15:sqref>
                        </c15:formulaRef>
                      </c:ext>
                    </c:extLst>
                    <c:strCache>
                      <c:ptCount val="10"/>
                      <c:pt idx="0">
                        <c:v>Pork Sausage</c:v>
                      </c:pt>
                      <c:pt idx="1">
                        <c:v>Beef Steak (lean)</c:v>
                      </c:pt>
                      <c:pt idx="2">
                        <c:v>Pepperoni Pizza, Thick Crust</c:v>
                      </c:pt>
                      <c:pt idx="3">
                        <c:v>Yellow Corn (cooked with margarine)</c:v>
                      </c:pt>
                      <c:pt idx="4">
                        <c:v>Whole Milk Yogurt (3.25% fat) with Fruit</c:v>
                      </c:pt>
                      <c:pt idx="5">
                        <c:v>Fried Coated Catfish</c:v>
                      </c:pt>
                      <c:pt idx="6">
                        <c:v>Broccoli (cooked in oil)</c:v>
                      </c:pt>
                      <c:pt idx="7">
                        <c:v>Baked Beans</c:v>
                      </c:pt>
                      <c:pt idx="8">
                        <c:v>Fresh Banana</c:v>
                      </c:pt>
                      <c:pt idx="9">
                        <c:v>Pistachios, Salted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'HENI by risk &amp; carbon footp. '!$D$4:$D$13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55</c:v>
                      </c:pt>
                      <c:pt idx="1">
                        <c:v>85</c:v>
                      </c:pt>
                      <c:pt idx="2">
                        <c:v>140</c:v>
                      </c:pt>
                      <c:pt idx="3">
                        <c:v>85</c:v>
                      </c:pt>
                      <c:pt idx="4">
                        <c:v>170</c:v>
                      </c:pt>
                      <c:pt idx="5">
                        <c:v>85</c:v>
                      </c:pt>
                      <c:pt idx="6">
                        <c:v>85</c:v>
                      </c:pt>
                      <c:pt idx="7">
                        <c:v>130</c:v>
                      </c:pt>
                      <c:pt idx="8">
                        <c:v>140</c:v>
                      </c:pt>
                      <c:pt idx="9">
                        <c:v>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79E-4330-AC0E-287C40A8B68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'HENI by risk &amp; carbon footp. '!$E$3</c15:sqref>
                        </c15:formulaRef>
                      </c:ext>
                    </c:extLst>
                    <c:strCache>
                      <c:ptCount val="1"/>
                      <c:pt idx="0">
                        <c:v>kcal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'HENI by risk &amp; carbon footp. '!$C$4:$C$13</c15:sqref>
                        </c15:formulaRef>
                      </c:ext>
                    </c:extLst>
                    <c:strCache>
                      <c:ptCount val="10"/>
                      <c:pt idx="0">
                        <c:v>Pork Sausage</c:v>
                      </c:pt>
                      <c:pt idx="1">
                        <c:v>Beef Steak (lean)</c:v>
                      </c:pt>
                      <c:pt idx="2">
                        <c:v>Pepperoni Pizza, Thick Crust</c:v>
                      </c:pt>
                      <c:pt idx="3">
                        <c:v>Yellow Corn (cooked with margarine)</c:v>
                      </c:pt>
                      <c:pt idx="4">
                        <c:v>Whole Milk Yogurt (3.25% fat) with Fruit</c:v>
                      </c:pt>
                      <c:pt idx="5">
                        <c:v>Fried Coated Catfish</c:v>
                      </c:pt>
                      <c:pt idx="6">
                        <c:v>Broccoli (cooked in oil)</c:v>
                      </c:pt>
                      <c:pt idx="7">
                        <c:v>Baked Beans</c:v>
                      </c:pt>
                      <c:pt idx="8">
                        <c:v>Fresh Banana</c:v>
                      </c:pt>
                      <c:pt idx="9">
                        <c:v>Pistachios, Salted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'HENI by risk &amp; carbon footp. '!$E$4:$E$13</c15:sqref>
                        </c15:formulaRef>
                      </c:ext>
                    </c:extLst>
                    <c:numCache>
                      <c:formatCode>0</c:formatCode>
                      <c:ptCount val="10"/>
                      <c:pt idx="0">
                        <c:v>178.75</c:v>
                      </c:pt>
                      <c:pt idx="1">
                        <c:v>156.15083000000001</c:v>
                      </c:pt>
                      <c:pt idx="2">
                        <c:v>375.57965999999999</c:v>
                      </c:pt>
                      <c:pt idx="3">
                        <c:v>91.558048999999997</c:v>
                      </c:pt>
                      <c:pt idx="4">
                        <c:v>148.01903999999999</c:v>
                      </c:pt>
                      <c:pt idx="5">
                        <c:v>177.62217999999999</c:v>
                      </c:pt>
                      <c:pt idx="6">
                        <c:v>49.894368</c:v>
                      </c:pt>
                      <c:pt idx="7">
                        <c:v>122.2</c:v>
                      </c:pt>
                      <c:pt idx="8">
                        <c:v>124.6</c:v>
                      </c:pt>
                      <c:pt idx="9">
                        <c:v>172.69544999999999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79E-4330-AC0E-287C40A8B68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9"/>
          <c:order val="19"/>
          <c:tx>
            <c:v>Net HENI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'HENI by risk &amp; carbon footp. '!$X$4:$X$13</c:f>
              <c:numCache>
                <c:formatCode>0.00</c:formatCode>
                <c:ptCount val="10"/>
                <c:pt idx="0">
                  <c:v>-22.1514813</c:v>
                </c:pt>
                <c:pt idx="1">
                  <c:v>-7.0028862000000007</c:v>
                </c:pt>
                <c:pt idx="2">
                  <c:v>-3.9335560999999997</c:v>
                </c:pt>
                <c:pt idx="3">
                  <c:v>-0.35043720000000006</c:v>
                </c:pt>
                <c:pt idx="4">
                  <c:v>0.79016979999999992</c:v>
                </c:pt>
                <c:pt idx="5">
                  <c:v>1.0214179999999997</c:v>
                </c:pt>
                <c:pt idx="6">
                  <c:v>2.5358677999999997</c:v>
                </c:pt>
                <c:pt idx="7">
                  <c:v>8.3022042999999979</c:v>
                </c:pt>
                <c:pt idx="8">
                  <c:v>13.490949100000002</c:v>
                </c:pt>
                <c:pt idx="9">
                  <c:v>25.275857700000003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79E-4330-AC0E-287C40A8B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296144"/>
        <c:axId val="659302376"/>
      </c:lineChart>
      <c:lineChart>
        <c:grouping val="standard"/>
        <c:varyColors val="0"/>
        <c:ser>
          <c:idx val="20"/>
          <c:order val="20"/>
          <c:tx>
            <c:v>Carbon footprint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'HENI by risk &amp; carbon footp. '!$AI$4:$AI$13</c:f>
              <c:numCache>
                <c:formatCode>0.00</c:formatCode>
                <c:ptCount val="10"/>
                <c:pt idx="0">
                  <c:v>0.39049999999999996</c:v>
                </c:pt>
                <c:pt idx="1">
                  <c:v>3.7910000000000004</c:v>
                </c:pt>
                <c:pt idx="2">
                  <c:v>0.51800000000000013</c:v>
                </c:pt>
                <c:pt idx="3">
                  <c:v>9.5200000000000021E-2</c:v>
                </c:pt>
                <c:pt idx="4">
                  <c:v>0.36720000000000003</c:v>
                </c:pt>
                <c:pt idx="5">
                  <c:v>0.29835</c:v>
                </c:pt>
                <c:pt idx="6">
                  <c:v>0.15385000000000001</c:v>
                </c:pt>
                <c:pt idx="7">
                  <c:v>2.366E-2</c:v>
                </c:pt>
                <c:pt idx="8">
                  <c:v>2.7720000000000005E-2</c:v>
                </c:pt>
                <c:pt idx="9">
                  <c:v>0.1104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79E-4330-AC0E-287C40A8B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251072"/>
        <c:axId val="666250088"/>
      </c:lineChart>
      <c:catAx>
        <c:axId val="65929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02376"/>
        <c:crossesAt val="-30"/>
        <c:auto val="1"/>
        <c:lblAlgn val="ctr"/>
        <c:lblOffset val="100"/>
        <c:noMultiLvlLbl val="0"/>
      </c:catAx>
      <c:valAx>
        <c:axId val="659302376"/>
        <c:scaling>
          <c:orientation val="minMax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HENI [min. of healthy life gained]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296144"/>
        <c:crosses val="autoZero"/>
        <c:crossBetween val="between"/>
        <c:majorUnit val="10"/>
      </c:valAx>
      <c:valAx>
        <c:axId val="666250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Carbon footprint kg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CO2eq</a:t>
                </a:r>
                <a:r>
                  <a:rPr lang="en-US">
                    <a:solidFill>
                      <a:sysClr val="windowText" lastClr="000000"/>
                    </a:solidFill>
                  </a:rPr>
                  <a:t>/serving</a:t>
                </a:r>
              </a:p>
            </c:rich>
          </c:tx>
          <c:layout>
            <c:manualLayout>
              <c:xMode val="edge"/>
              <c:yMode val="edge"/>
              <c:x val="0.94796894306353086"/>
              <c:y val="5.807965471563388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251072"/>
        <c:crosses val="max"/>
        <c:crossBetween val="between"/>
      </c:valAx>
      <c:catAx>
        <c:axId val="666251072"/>
        <c:scaling>
          <c:orientation val="minMax"/>
        </c:scaling>
        <c:delete val="1"/>
        <c:axPos val="b"/>
        <c:majorTickMark val="out"/>
        <c:minorTickMark val="none"/>
        <c:tickLblPos val="nextTo"/>
        <c:crossAx val="666250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101049868766391E-2"/>
          <c:y val="0.81260398997336847"/>
          <c:w val="0.9057979002624672"/>
          <c:h val="0.173814227868334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-HENI and CO2e per serving</a:t>
            </a:r>
          </a:p>
        </c:rich>
      </c:tx>
      <c:layout>
        <c:manualLayout>
          <c:xMode val="edge"/>
          <c:yMode val="edge"/>
          <c:x val="0.36833100321705714"/>
          <c:y val="3.2731652958139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'HENI by risk &amp; carbon footp. '!$AI$3</c:f>
              <c:strCache>
                <c:ptCount val="1"/>
                <c:pt idx="0">
                  <c:v>CO2e per serving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'HENI by risk &amp; carbon footp. '!$AD$4:$AD$13</c:f>
              <c:numCache>
                <c:formatCode>0.00</c:formatCode>
                <c:ptCount val="10"/>
                <c:pt idx="0">
                  <c:v>22.1514813</c:v>
                </c:pt>
                <c:pt idx="1">
                  <c:v>7.0028862000000007</c:v>
                </c:pt>
                <c:pt idx="2">
                  <c:v>3.9335560999999997</c:v>
                </c:pt>
                <c:pt idx="3">
                  <c:v>0.35043720000000006</c:v>
                </c:pt>
                <c:pt idx="4">
                  <c:v>-0.79016979999999992</c:v>
                </c:pt>
                <c:pt idx="5">
                  <c:v>-1.0214179999999997</c:v>
                </c:pt>
                <c:pt idx="6">
                  <c:v>-2.5358677999999997</c:v>
                </c:pt>
                <c:pt idx="7">
                  <c:v>-8.3022042999999979</c:v>
                </c:pt>
                <c:pt idx="8">
                  <c:v>-13.490949100000002</c:v>
                </c:pt>
                <c:pt idx="9">
                  <c:v>-25.275857700000003</c:v>
                </c:pt>
              </c:numCache>
            </c:numRef>
          </c:xVal>
          <c:yVal>
            <c:numRef>
              <c:f>'HENI by risk &amp; carbon footp. '!$AI$4:$AI$13</c:f>
              <c:numCache>
                <c:formatCode>0.00</c:formatCode>
                <c:ptCount val="10"/>
                <c:pt idx="0">
                  <c:v>0.39049999999999996</c:v>
                </c:pt>
                <c:pt idx="1">
                  <c:v>3.7910000000000004</c:v>
                </c:pt>
                <c:pt idx="2">
                  <c:v>0.51800000000000013</c:v>
                </c:pt>
                <c:pt idx="3">
                  <c:v>9.5200000000000021E-2</c:v>
                </c:pt>
                <c:pt idx="4">
                  <c:v>0.36720000000000003</c:v>
                </c:pt>
                <c:pt idx="5">
                  <c:v>0.29835</c:v>
                </c:pt>
                <c:pt idx="6">
                  <c:v>0.15385000000000001</c:v>
                </c:pt>
                <c:pt idx="7">
                  <c:v>2.366E-2</c:v>
                </c:pt>
                <c:pt idx="8">
                  <c:v>2.7720000000000005E-2</c:v>
                </c:pt>
                <c:pt idx="9">
                  <c:v>0.1104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A-4C51-851A-CB3E54BAD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392776"/>
        <c:axId val="610391792"/>
      </c:scatterChart>
      <c:valAx>
        <c:axId val="61039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baseline="0">
                    <a:effectLst/>
                  </a:rPr>
                  <a:t>- HENI [min. of healthy life lost]</a:t>
                </a:r>
                <a:endParaRPr lang="en-US" sz="1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91792"/>
        <c:crosses val="autoZero"/>
        <c:crossBetween val="midCat"/>
      </c:valAx>
      <c:valAx>
        <c:axId val="61039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Carbon footprint kg</a:t>
                </a:r>
                <a:r>
                  <a:rPr lang="en-US" sz="1200" b="0" i="0" baseline="-25000">
                    <a:effectLst/>
                  </a:rPr>
                  <a:t>CO2eq</a:t>
                </a:r>
                <a:r>
                  <a:rPr lang="en-US" sz="1200" b="0" i="0" baseline="0">
                    <a:effectLst/>
                  </a:rPr>
                  <a:t>/serving</a:t>
                </a:r>
                <a:endParaRPr lang="en-US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115349640350273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92776"/>
        <c:crossesAt val="-3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-HENI and CO2e per 100kcal</a:t>
            </a:r>
          </a:p>
        </c:rich>
      </c:tx>
      <c:layout>
        <c:manualLayout>
          <c:xMode val="edge"/>
          <c:yMode val="edge"/>
          <c:x val="0.37093482870826261"/>
          <c:y val="3.6823109577906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'HENI by risk &amp; carbon footp. '!$AK$3</c:f>
              <c:strCache>
                <c:ptCount val="1"/>
                <c:pt idx="0">
                  <c:v>CO2eq. per 100 kcal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'HENI by risk &amp; carbon footp. '!$AF$4:$AF$13</c:f>
              <c:numCache>
                <c:formatCode>General</c:formatCode>
                <c:ptCount val="10"/>
                <c:pt idx="0">
                  <c:v>12.392437090909091</c:v>
                </c:pt>
                <c:pt idx="1">
                  <c:v>4.484693549179342</c:v>
                </c:pt>
                <c:pt idx="2">
                  <c:v>1.0473293734809814</c:v>
                </c:pt>
                <c:pt idx="3">
                  <c:v>0.38274865380759704</c:v>
                </c:pt>
                <c:pt idx="4">
                  <c:v>-0.53382983702637177</c:v>
                </c:pt>
                <c:pt idx="5">
                  <c:v>-0.57505093113934291</c:v>
                </c:pt>
                <c:pt idx="6">
                  <c:v>-5.0824730358344246</c:v>
                </c:pt>
                <c:pt idx="7">
                  <c:v>-6.7939478723404241</c:v>
                </c:pt>
                <c:pt idx="8">
                  <c:v>-10.827406982343501</c:v>
                </c:pt>
                <c:pt idx="9">
                  <c:v>-14.636087806598267</c:v>
                </c:pt>
              </c:numCache>
            </c:numRef>
          </c:xVal>
          <c:yVal>
            <c:numRef>
              <c:f>'HENI by risk &amp; carbon footp. '!$AK$4:$AK$13</c:f>
              <c:numCache>
                <c:formatCode>0.00</c:formatCode>
                <c:ptCount val="10"/>
                <c:pt idx="0">
                  <c:v>0.21846153846153843</c:v>
                </c:pt>
                <c:pt idx="1">
                  <c:v>2.4277808833933192</c:v>
                </c:pt>
                <c:pt idx="2">
                  <c:v>0.13792014189479807</c:v>
                </c:pt>
                <c:pt idx="3">
                  <c:v>0.10397775077098904</c:v>
                </c:pt>
                <c:pt idx="4">
                  <c:v>0.24807619344106008</c:v>
                </c:pt>
                <c:pt idx="5">
                  <c:v>0.1679688876693215</c:v>
                </c:pt>
                <c:pt idx="6">
                  <c:v>0.30835143557685712</c:v>
                </c:pt>
                <c:pt idx="7">
                  <c:v>1.9361702127659572E-2</c:v>
                </c:pt>
                <c:pt idx="8">
                  <c:v>2.224719101123596E-2</c:v>
                </c:pt>
                <c:pt idx="9">
                  <c:v>6.3927567286804599E-2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A-4C51-851A-CB3E54BAD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392776"/>
        <c:axId val="610391792"/>
      </c:scatterChart>
      <c:valAx>
        <c:axId val="61039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baseline="0">
                    <a:effectLst/>
                  </a:rPr>
                  <a:t>- HENI [min. of healthy life lost]</a:t>
                </a:r>
                <a:endParaRPr lang="en-US" sz="1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91792"/>
        <c:crosses val="autoZero"/>
        <c:crossBetween val="midCat"/>
      </c:valAx>
      <c:valAx>
        <c:axId val="61039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Carbon footprint kg</a:t>
                </a:r>
                <a:r>
                  <a:rPr lang="en-US" sz="1200" b="0" i="0" baseline="-25000">
                    <a:effectLst/>
                  </a:rPr>
                  <a:t>CO2eq</a:t>
                </a:r>
                <a:r>
                  <a:rPr lang="en-US" sz="1200" b="0" i="0" baseline="0">
                    <a:effectLst/>
                  </a:rPr>
                  <a:t>/serving</a:t>
                </a:r>
                <a:endParaRPr lang="en-US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115349640350273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92776"/>
        <c:crossesAt val="-3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182880</xdr:colOff>
      <xdr:row>13</xdr:row>
      <xdr:rowOff>131885</xdr:rowOff>
    </xdr:from>
    <xdr:to>
      <xdr:col>22</xdr:col>
      <xdr:colOff>1649436</xdr:colOff>
      <xdr:row>33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117567</xdr:colOff>
      <xdr:row>13</xdr:row>
      <xdr:rowOff>167127</xdr:rowOff>
    </xdr:from>
    <xdr:to>
      <xdr:col>28</xdr:col>
      <xdr:colOff>685801</xdr:colOff>
      <xdr:row>29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83820</xdr:colOff>
      <xdr:row>13</xdr:row>
      <xdr:rowOff>138825</xdr:rowOff>
    </xdr:from>
    <xdr:to>
      <xdr:col>38</xdr:col>
      <xdr:colOff>141512</xdr:colOff>
      <xdr:row>30</xdr:row>
      <xdr:rowOff>129541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ox%20Sync/Umich/Projects/DALY%20II/NHANES/delivery_heni_output10_2020022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bmi_hyp_pop_cnt"/>
      <sheetName val="burden_of_disease"/>
      <sheetName val="dist_dietary_effect_estimate"/>
      <sheetName val="eer"/>
      <sheetName val="foodcode_profile"/>
      <sheetName val="outcome_correspondence"/>
      <sheetName val="relative_risk"/>
      <sheetName val="risk_correspondence"/>
      <sheetName val="us_pop_cnt"/>
      <sheetName val="phy_adj_eer"/>
      <sheetName val="ui_gbdr"/>
      <sheetName val="bkr_intake_dist"/>
      <sheetName val="bkr_risks"/>
      <sheetName val="drf_risks"/>
      <sheetName val="drf_all"/>
      <sheetName val="drf"/>
      <sheetName val="heni"/>
      <sheetName val="udaly_subpop"/>
      <sheetName val="udaly_diet"/>
      <sheetName val="mult_drf_risks"/>
      <sheetName val="mult_drf_all"/>
      <sheetName val="mult_drf"/>
      <sheetName val="mult_heni"/>
      <sheetName val="mult_udaly_subpop"/>
      <sheetName val="mult_udaly_di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I1" t="str">
            <v>racc</v>
          </cell>
          <cell r="J1" t="str">
            <v>kcal</v>
          </cell>
          <cell r="L1" t="str">
            <v>fiber_fvlw</v>
          </cell>
          <cell r="M1" t="str">
            <v>sfat</v>
          </cell>
          <cell r="N1" t="str">
            <v>omega3</v>
          </cell>
          <cell r="O1" t="str">
            <v>calc</v>
          </cell>
          <cell r="P1" t="str">
            <v>fiber_non_fvlw</v>
          </cell>
          <cell r="Q1" t="str">
            <v>pfat</v>
          </cell>
          <cell r="R1" t="str">
            <v>whole_grain</v>
          </cell>
          <cell r="S1" t="str">
            <v>legumes</v>
          </cell>
          <cell r="T1" t="str">
            <v>fruit</v>
          </cell>
          <cell r="U1" t="str">
            <v>vegetable</v>
          </cell>
          <cell r="V1" t="str">
            <v>milk</v>
          </cell>
          <cell r="W1" t="str">
            <v>ssb</v>
          </cell>
          <cell r="X1" t="str">
            <v>sodi</v>
          </cell>
          <cell r="Y1" t="str">
            <v>nutsd</v>
          </cell>
          <cell r="Z1" t="str">
            <v>red_meat</v>
          </cell>
          <cell r="AA1" t="str">
            <v>pro_meat</v>
          </cell>
          <cell r="AB1" t="str">
            <v>transfat</v>
          </cell>
        </row>
        <row r="2">
          <cell r="A2">
            <v>11100000</v>
          </cell>
          <cell r="B2" t="str">
            <v>Milk, NFS</v>
          </cell>
          <cell r="I2">
            <v>244</v>
          </cell>
          <cell r="J2">
            <v>123.7812</v>
          </cell>
          <cell r="K2">
            <v>0.50729999999999997</v>
          </cell>
          <cell r="L2">
            <v>0</v>
          </cell>
          <cell r="M2">
            <v>3.0051283999999998</v>
          </cell>
          <cell r="N2">
            <v>0</v>
          </cell>
          <cell r="O2">
            <v>0</v>
          </cell>
          <cell r="P2">
            <v>0</v>
          </cell>
          <cell r="Q2">
            <v>0.24775759999999999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244</v>
          </cell>
          <cell r="W2">
            <v>0</v>
          </cell>
          <cell r="X2">
            <v>0.1086776</v>
          </cell>
          <cell r="Y2">
            <v>0</v>
          </cell>
          <cell r="Z2">
            <v>0</v>
          </cell>
          <cell r="AA2">
            <v>0</v>
          </cell>
          <cell r="AB2">
            <v>0.2069232</v>
          </cell>
        </row>
        <row r="3">
          <cell r="A3">
            <v>11111000</v>
          </cell>
          <cell r="B3" t="str">
            <v>Milk, whole</v>
          </cell>
          <cell r="I3">
            <v>244</v>
          </cell>
          <cell r="J3">
            <v>148.84</v>
          </cell>
          <cell r="K3">
            <v>0.61</v>
          </cell>
          <cell r="L3">
            <v>0</v>
          </cell>
          <cell r="M3">
            <v>4.5506000000000002</v>
          </cell>
          <cell r="N3">
            <v>0</v>
          </cell>
          <cell r="O3">
            <v>0</v>
          </cell>
          <cell r="P3">
            <v>0</v>
          </cell>
          <cell r="Q3">
            <v>0.4758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244</v>
          </cell>
          <cell r="W3">
            <v>0</v>
          </cell>
          <cell r="X3">
            <v>0.10492</v>
          </cell>
          <cell r="Y3">
            <v>0</v>
          </cell>
          <cell r="Z3">
            <v>0</v>
          </cell>
          <cell r="AA3">
            <v>0</v>
          </cell>
          <cell r="AB3">
            <v>0.34117890000000001</v>
          </cell>
        </row>
        <row r="4">
          <cell r="A4">
            <v>11111160</v>
          </cell>
          <cell r="B4" t="str">
            <v>Milk, calcium fortified, cow's, fluid, 1% fat</v>
          </cell>
          <cell r="I4">
            <v>247</v>
          </cell>
          <cell r="J4">
            <v>103.74</v>
          </cell>
          <cell r="K4">
            <v>0.42</v>
          </cell>
          <cell r="L4">
            <v>0</v>
          </cell>
          <cell r="M4">
            <v>1.56351</v>
          </cell>
          <cell r="N4">
            <v>0</v>
          </cell>
          <cell r="O4">
            <v>0</v>
          </cell>
          <cell r="P4">
            <v>0</v>
          </cell>
          <cell r="Q4">
            <v>8.6449999999999999E-2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247</v>
          </cell>
          <cell r="W4">
            <v>0</v>
          </cell>
          <cell r="X4">
            <v>0.10868</v>
          </cell>
          <cell r="Y4">
            <v>0</v>
          </cell>
          <cell r="Z4">
            <v>0</v>
          </cell>
          <cell r="AA4">
            <v>0</v>
          </cell>
          <cell r="AB4">
            <v>8.7667599999999998E-2</v>
          </cell>
        </row>
        <row r="5">
          <cell r="A5">
            <v>11111170</v>
          </cell>
          <cell r="B5" t="str">
            <v>Milk, calcium fortified, fat free (skim)</v>
          </cell>
          <cell r="I5">
            <v>247</v>
          </cell>
          <cell r="J5">
            <v>86.45</v>
          </cell>
          <cell r="K5">
            <v>0.35000000000000003</v>
          </cell>
          <cell r="L5">
            <v>0</v>
          </cell>
          <cell r="M5">
            <v>0.28899000000000002</v>
          </cell>
          <cell r="N5">
            <v>0</v>
          </cell>
          <cell r="O5">
            <v>0</v>
          </cell>
          <cell r="P5">
            <v>0</v>
          </cell>
          <cell r="Q5">
            <v>1.729E-2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247</v>
          </cell>
          <cell r="W5">
            <v>0</v>
          </cell>
          <cell r="X5">
            <v>0.12844</v>
          </cell>
          <cell r="Y5">
            <v>0</v>
          </cell>
          <cell r="Z5">
            <v>0</v>
          </cell>
          <cell r="AA5">
            <v>0</v>
          </cell>
          <cell r="AB5">
            <v>1.62863E-2</v>
          </cell>
        </row>
        <row r="6">
          <cell r="A6">
            <v>11112110</v>
          </cell>
          <cell r="B6" t="str">
            <v>Milk, reduced fat (2%)</v>
          </cell>
          <cell r="I6">
            <v>244</v>
          </cell>
          <cell r="J6">
            <v>122</v>
          </cell>
          <cell r="K6">
            <v>0.5</v>
          </cell>
          <cell r="L6">
            <v>0</v>
          </cell>
          <cell r="M6">
            <v>3.0670799999999998</v>
          </cell>
          <cell r="N6">
            <v>0</v>
          </cell>
          <cell r="O6">
            <v>0</v>
          </cell>
          <cell r="P6">
            <v>0</v>
          </cell>
          <cell r="Q6">
            <v>0.17812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244</v>
          </cell>
          <cell r="W6">
            <v>0</v>
          </cell>
          <cell r="X6">
            <v>0.11468</v>
          </cell>
          <cell r="Y6">
            <v>0</v>
          </cell>
          <cell r="Z6">
            <v>0</v>
          </cell>
          <cell r="AA6">
            <v>0</v>
          </cell>
          <cell r="AB6">
            <v>0.2074</v>
          </cell>
        </row>
        <row r="7">
          <cell r="A7">
            <v>11112130</v>
          </cell>
          <cell r="B7" t="str">
            <v>Milk, cow's, fluid, acidophilus, 2% fat</v>
          </cell>
          <cell r="I7">
            <v>245</v>
          </cell>
          <cell r="J7">
            <v>122.5</v>
          </cell>
          <cell r="K7">
            <v>0.5</v>
          </cell>
          <cell r="L7">
            <v>0</v>
          </cell>
          <cell r="M7">
            <v>3.07965</v>
          </cell>
          <cell r="N7">
            <v>0</v>
          </cell>
          <cell r="O7">
            <v>0</v>
          </cell>
          <cell r="P7">
            <v>0</v>
          </cell>
          <cell r="Q7">
            <v>0.17885000000000001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245</v>
          </cell>
          <cell r="W7">
            <v>0</v>
          </cell>
          <cell r="X7">
            <v>0.11515</v>
          </cell>
          <cell r="Y7">
            <v>0</v>
          </cell>
          <cell r="Z7">
            <v>0</v>
          </cell>
          <cell r="AA7">
            <v>0</v>
          </cell>
          <cell r="AB7">
            <v>0.20824999999999999</v>
          </cell>
        </row>
        <row r="8">
          <cell r="A8">
            <v>11112210</v>
          </cell>
          <cell r="B8" t="str">
            <v>Milk, low fat (1%)</v>
          </cell>
          <cell r="I8">
            <v>244</v>
          </cell>
          <cell r="J8">
            <v>102.48</v>
          </cell>
          <cell r="K8">
            <v>0.42000000000000004</v>
          </cell>
          <cell r="L8">
            <v>0</v>
          </cell>
          <cell r="M8">
            <v>1.5445199999999999</v>
          </cell>
          <cell r="N8">
            <v>0</v>
          </cell>
          <cell r="O8">
            <v>0</v>
          </cell>
          <cell r="P8">
            <v>0</v>
          </cell>
          <cell r="Q8">
            <v>8.5400000000000004E-2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244</v>
          </cell>
          <cell r="W8">
            <v>0</v>
          </cell>
          <cell r="X8">
            <v>0.10736</v>
          </cell>
          <cell r="Y8">
            <v>0</v>
          </cell>
          <cell r="Z8">
            <v>0</v>
          </cell>
          <cell r="AA8">
            <v>0</v>
          </cell>
          <cell r="AB8">
            <v>8.6678599999999995E-2</v>
          </cell>
        </row>
        <row r="9">
          <cell r="A9">
            <v>11113000</v>
          </cell>
          <cell r="B9" t="str">
            <v>Milk, fat free (skim)</v>
          </cell>
          <cell r="I9">
            <v>245</v>
          </cell>
          <cell r="J9">
            <v>83.3</v>
          </cell>
          <cell r="K9">
            <v>0.33999999999999997</v>
          </cell>
          <cell r="L9">
            <v>0</v>
          </cell>
          <cell r="M9">
            <v>0.13719999999999999</v>
          </cell>
          <cell r="N9">
            <v>0</v>
          </cell>
          <cell r="O9">
            <v>0</v>
          </cell>
          <cell r="P9">
            <v>0</v>
          </cell>
          <cell r="Q9">
            <v>7.3499999999999998E-3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245</v>
          </cell>
          <cell r="W9">
            <v>0</v>
          </cell>
          <cell r="X9">
            <v>0.10290000000000001</v>
          </cell>
          <cell r="Y9">
            <v>0</v>
          </cell>
          <cell r="Z9">
            <v>0</v>
          </cell>
          <cell r="AA9">
            <v>0</v>
          </cell>
          <cell r="AB9">
            <v>7.2363999999999996E-3</v>
          </cell>
        </row>
        <row r="10">
          <cell r="A10">
            <v>11114300</v>
          </cell>
          <cell r="B10" t="str">
            <v>Milk, lactose free, low fat (1%)</v>
          </cell>
          <cell r="I10">
            <v>246</v>
          </cell>
          <cell r="J10">
            <v>103.32</v>
          </cell>
          <cell r="K10">
            <v>0.42</v>
          </cell>
          <cell r="L10">
            <v>0</v>
          </cell>
          <cell r="M10">
            <v>1.55718</v>
          </cell>
          <cell r="N10">
            <v>0</v>
          </cell>
          <cell r="O10">
            <v>0</v>
          </cell>
          <cell r="P10">
            <v>0</v>
          </cell>
          <cell r="Q10">
            <v>8.6099999999999996E-2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246</v>
          </cell>
          <cell r="W10">
            <v>0</v>
          </cell>
          <cell r="X10">
            <v>0.10824</v>
          </cell>
          <cell r="Y10">
            <v>0</v>
          </cell>
          <cell r="Z10">
            <v>0</v>
          </cell>
          <cell r="AA10">
            <v>0</v>
          </cell>
          <cell r="AB10">
            <v>8.7384299999999998E-2</v>
          </cell>
        </row>
        <row r="11">
          <cell r="A11">
            <v>11114320</v>
          </cell>
          <cell r="B11" t="str">
            <v>Milk, lactose free, fat free (skim)</v>
          </cell>
          <cell r="I11">
            <v>245</v>
          </cell>
          <cell r="J11">
            <v>83.3</v>
          </cell>
          <cell r="K11">
            <v>0.33999999999999997</v>
          </cell>
          <cell r="L11">
            <v>0</v>
          </cell>
          <cell r="M11">
            <v>0.13719999999999999</v>
          </cell>
          <cell r="N11">
            <v>0</v>
          </cell>
          <cell r="O11">
            <v>0</v>
          </cell>
          <cell r="P11">
            <v>0</v>
          </cell>
          <cell r="Q11">
            <v>7.3499999999999998E-3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245</v>
          </cell>
          <cell r="W11">
            <v>0</v>
          </cell>
          <cell r="X11">
            <v>0.10290000000000001</v>
          </cell>
          <cell r="Y11">
            <v>0</v>
          </cell>
          <cell r="Z11">
            <v>0</v>
          </cell>
          <cell r="AA11">
            <v>0</v>
          </cell>
          <cell r="AB11">
            <v>7.241E-3</v>
          </cell>
        </row>
        <row r="12">
          <cell r="A12">
            <v>11114330</v>
          </cell>
          <cell r="B12" t="str">
            <v>Milk, lactose free, reduced fat (2%)</v>
          </cell>
          <cell r="I12">
            <v>244</v>
          </cell>
          <cell r="J12">
            <v>122</v>
          </cell>
          <cell r="K12">
            <v>0.5</v>
          </cell>
          <cell r="L12">
            <v>0</v>
          </cell>
          <cell r="M12">
            <v>3.0670799999999998</v>
          </cell>
          <cell r="N12">
            <v>0</v>
          </cell>
          <cell r="O12">
            <v>0</v>
          </cell>
          <cell r="P12">
            <v>0</v>
          </cell>
          <cell r="Q12">
            <v>0.17812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244</v>
          </cell>
          <cell r="W12">
            <v>0</v>
          </cell>
          <cell r="X12">
            <v>0.11468</v>
          </cell>
          <cell r="Y12">
            <v>0</v>
          </cell>
          <cell r="Z12">
            <v>0</v>
          </cell>
          <cell r="AA12">
            <v>0</v>
          </cell>
          <cell r="AB12">
            <v>0.2074</v>
          </cell>
        </row>
        <row r="13">
          <cell r="A13">
            <v>11114350</v>
          </cell>
          <cell r="B13" t="str">
            <v>Milk, lactose free, whole</v>
          </cell>
          <cell r="I13">
            <v>244</v>
          </cell>
          <cell r="J13">
            <v>148.84</v>
          </cell>
          <cell r="K13">
            <v>0.61</v>
          </cell>
          <cell r="L13">
            <v>0</v>
          </cell>
          <cell r="M13">
            <v>4.5506000000000002</v>
          </cell>
          <cell r="N13">
            <v>0</v>
          </cell>
          <cell r="O13">
            <v>0</v>
          </cell>
          <cell r="P13">
            <v>0</v>
          </cell>
          <cell r="Q13">
            <v>0.4758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244</v>
          </cell>
          <cell r="W13">
            <v>0</v>
          </cell>
          <cell r="X13">
            <v>0.10492</v>
          </cell>
          <cell r="Y13">
            <v>0</v>
          </cell>
          <cell r="Z13">
            <v>0</v>
          </cell>
          <cell r="AA13">
            <v>0</v>
          </cell>
          <cell r="AB13">
            <v>0.34119240000000001</v>
          </cell>
        </row>
        <row r="14">
          <cell r="A14">
            <v>11115000</v>
          </cell>
          <cell r="B14" t="str">
            <v>Buttermilk, fat free (skim)</v>
          </cell>
          <cell r="I14">
            <v>245</v>
          </cell>
          <cell r="J14">
            <v>98</v>
          </cell>
          <cell r="K14">
            <v>0.4</v>
          </cell>
          <cell r="L14">
            <v>0</v>
          </cell>
          <cell r="M14">
            <v>1.3426</v>
          </cell>
          <cell r="N14">
            <v>0</v>
          </cell>
          <cell r="O14">
            <v>0</v>
          </cell>
          <cell r="P14">
            <v>0</v>
          </cell>
          <cell r="Q14">
            <v>8.0850000000000005E-2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245</v>
          </cell>
          <cell r="W14">
            <v>0</v>
          </cell>
          <cell r="X14">
            <v>0.46550000000000002</v>
          </cell>
          <cell r="Y14">
            <v>0</v>
          </cell>
          <cell r="Z14">
            <v>0</v>
          </cell>
          <cell r="AA14">
            <v>0</v>
          </cell>
          <cell r="AB14">
            <v>7.89599E-2</v>
          </cell>
        </row>
        <row r="15">
          <cell r="A15">
            <v>11115100</v>
          </cell>
          <cell r="B15" t="str">
            <v>Buttermilk, low fat (1%)</v>
          </cell>
          <cell r="I15">
            <v>245</v>
          </cell>
          <cell r="J15">
            <v>98</v>
          </cell>
          <cell r="K15">
            <v>0.4</v>
          </cell>
          <cell r="L15">
            <v>0</v>
          </cell>
          <cell r="M15">
            <v>1.3426</v>
          </cell>
          <cell r="N15">
            <v>0</v>
          </cell>
          <cell r="O15">
            <v>0</v>
          </cell>
          <cell r="P15">
            <v>0</v>
          </cell>
          <cell r="Q15">
            <v>8.0850000000000005E-2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245</v>
          </cell>
          <cell r="W15">
            <v>0</v>
          </cell>
          <cell r="X15">
            <v>0.46550000000000002</v>
          </cell>
          <cell r="Y15">
            <v>0</v>
          </cell>
          <cell r="Z15">
            <v>0</v>
          </cell>
          <cell r="AA15">
            <v>0</v>
          </cell>
          <cell r="AB15">
            <v>7.8986000000000001E-2</v>
          </cell>
        </row>
        <row r="16">
          <cell r="A16">
            <v>11115200</v>
          </cell>
          <cell r="B16" t="str">
            <v>Buttermilk, reduced fat (2%)</v>
          </cell>
          <cell r="I16">
            <v>245</v>
          </cell>
          <cell r="J16">
            <v>137.19999999999999</v>
          </cell>
          <cell r="K16">
            <v>0.55999999999999994</v>
          </cell>
          <cell r="L16">
            <v>0</v>
          </cell>
          <cell r="M16">
            <v>3.0428999999999999</v>
          </cell>
          <cell r="N16">
            <v>0</v>
          </cell>
          <cell r="O16">
            <v>0</v>
          </cell>
          <cell r="P16">
            <v>0</v>
          </cell>
          <cell r="Q16">
            <v>0.17394999999999999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245</v>
          </cell>
          <cell r="W16">
            <v>0</v>
          </cell>
          <cell r="X16">
            <v>0.25724999999999998</v>
          </cell>
          <cell r="Y16">
            <v>0</v>
          </cell>
          <cell r="Z16">
            <v>0</v>
          </cell>
          <cell r="AA16">
            <v>0</v>
          </cell>
          <cell r="AB16">
            <v>0.2107831</v>
          </cell>
        </row>
        <row r="17">
          <cell r="A17">
            <v>11115300</v>
          </cell>
          <cell r="B17" t="str">
            <v>Buttermilk, whole</v>
          </cell>
          <cell r="I17">
            <v>245</v>
          </cell>
          <cell r="J17">
            <v>151.9</v>
          </cell>
          <cell r="K17">
            <v>0.62</v>
          </cell>
          <cell r="L17">
            <v>0</v>
          </cell>
          <cell r="M17">
            <v>4.6525499999999997</v>
          </cell>
          <cell r="N17">
            <v>0</v>
          </cell>
          <cell r="O17">
            <v>0</v>
          </cell>
          <cell r="P17">
            <v>0</v>
          </cell>
          <cell r="Q17">
            <v>0.48509999999999998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245</v>
          </cell>
          <cell r="W17">
            <v>0</v>
          </cell>
          <cell r="X17">
            <v>0.25724999999999998</v>
          </cell>
          <cell r="Y17">
            <v>0</v>
          </cell>
          <cell r="Z17">
            <v>0</v>
          </cell>
          <cell r="AA17">
            <v>0</v>
          </cell>
          <cell r="AB17">
            <v>0.3488945</v>
          </cell>
        </row>
        <row r="18">
          <cell r="A18">
            <v>11115400</v>
          </cell>
          <cell r="B18" t="str">
            <v>Kefir, NS as to fat content</v>
          </cell>
          <cell r="I18">
            <v>245</v>
          </cell>
          <cell r="J18">
            <v>126.175</v>
          </cell>
          <cell r="K18">
            <v>0.51500000000000001</v>
          </cell>
          <cell r="L18">
            <v>0</v>
          </cell>
          <cell r="M18">
            <v>1.4589749999999999</v>
          </cell>
          <cell r="N18">
            <v>0</v>
          </cell>
          <cell r="O18">
            <v>0</v>
          </cell>
          <cell r="P18">
            <v>0</v>
          </cell>
          <cell r="Q18">
            <v>0.11515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117.61225</v>
          </cell>
          <cell r="W18">
            <v>0</v>
          </cell>
          <cell r="X18">
            <v>9.4325000000000006E-2</v>
          </cell>
          <cell r="Y18">
            <v>0</v>
          </cell>
          <cell r="Z18">
            <v>0</v>
          </cell>
          <cell r="AA18">
            <v>0</v>
          </cell>
          <cell r="AB18">
            <v>8.2074999999999995E-2</v>
          </cell>
        </row>
        <row r="19">
          <cell r="A19">
            <v>11116000</v>
          </cell>
          <cell r="B19" t="str">
            <v>Goat's milk, whole</v>
          </cell>
          <cell r="I19">
            <v>244</v>
          </cell>
          <cell r="J19">
            <v>168.36</v>
          </cell>
          <cell r="K19">
            <v>0.69000000000000006</v>
          </cell>
          <cell r="L19">
            <v>0</v>
          </cell>
          <cell r="M19">
            <v>6.5074800000000002</v>
          </cell>
          <cell r="N19">
            <v>0</v>
          </cell>
          <cell r="O19">
            <v>0</v>
          </cell>
          <cell r="P19">
            <v>0</v>
          </cell>
          <cell r="Q19">
            <v>0.36355999999999999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244</v>
          </cell>
          <cell r="W19">
            <v>0</v>
          </cell>
          <cell r="X19">
            <v>0.122</v>
          </cell>
          <cell r="Y19">
            <v>0</v>
          </cell>
          <cell r="Z19">
            <v>0</v>
          </cell>
          <cell r="AA19">
            <v>0</v>
          </cell>
          <cell r="AB19">
            <v>0.43452869999999999</v>
          </cell>
        </row>
        <row r="20">
          <cell r="A20">
            <v>11120000</v>
          </cell>
          <cell r="B20" t="str">
            <v>Milk, dry, reconstituted, NS as to fat content</v>
          </cell>
          <cell r="I20">
            <v>245</v>
          </cell>
          <cell r="J20">
            <v>77.589614999999995</v>
          </cell>
          <cell r="K20">
            <v>0.31669230612244897</v>
          </cell>
          <cell r="L20">
            <v>0</v>
          </cell>
          <cell r="M20">
            <v>0.10121330000000001</v>
          </cell>
          <cell r="N20">
            <v>0</v>
          </cell>
          <cell r="O20">
            <v>0</v>
          </cell>
          <cell r="P20">
            <v>0</v>
          </cell>
          <cell r="Q20">
            <v>6.0685000000000001E-3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21.673076999999999</v>
          </cell>
          <cell r="W20">
            <v>0</v>
          </cell>
          <cell r="X20">
            <v>0.12791830000000001</v>
          </cell>
          <cell r="Y20">
            <v>0</v>
          </cell>
          <cell r="Z20">
            <v>0</v>
          </cell>
          <cell r="AA20">
            <v>0</v>
          </cell>
          <cell r="AB20">
            <v>5.9389000000000004E-3</v>
          </cell>
        </row>
        <row r="21">
          <cell r="A21">
            <v>11121100</v>
          </cell>
          <cell r="B21" t="str">
            <v>Milk, dry, reconstituted, whole</v>
          </cell>
          <cell r="I21">
            <v>244</v>
          </cell>
          <cell r="J21">
            <v>184.62021999999999</v>
          </cell>
          <cell r="K21">
            <v>0.75664024590163925</v>
          </cell>
          <cell r="L21">
            <v>0</v>
          </cell>
          <cell r="M21">
            <v>6.2316767000000004</v>
          </cell>
          <cell r="N21">
            <v>0</v>
          </cell>
          <cell r="O21">
            <v>0</v>
          </cell>
          <cell r="P21">
            <v>0</v>
          </cell>
          <cell r="Q21">
            <v>0.2475251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37.221817999999999</v>
          </cell>
          <cell r="W21">
            <v>0</v>
          </cell>
          <cell r="X21">
            <v>0.1463641</v>
          </cell>
          <cell r="Y21">
            <v>0</v>
          </cell>
          <cell r="Z21">
            <v>0</v>
          </cell>
          <cell r="AA21">
            <v>0</v>
          </cell>
          <cell r="AB21">
            <v>0.3680638</v>
          </cell>
        </row>
        <row r="22">
          <cell r="A22">
            <v>11121210</v>
          </cell>
          <cell r="B22" t="str">
            <v>Milk, dry, reconstituted, low fat (1%)</v>
          </cell>
          <cell r="I22">
            <v>245</v>
          </cell>
          <cell r="J22">
            <v>97.290666999999999</v>
          </cell>
          <cell r="K22">
            <v>0.39710476326530614</v>
          </cell>
          <cell r="L22">
            <v>0</v>
          </cell>
          <cell r="M22">
            <v>1.5451427</v>
          </cell>
          <cell r="N22">
            <v>0</v>
          </cell>
          <cell r="O22">
            <v>0</v>
          </cell>
          <cell r="P22">
            <v>0</v>
          </cell>
          <cell r="Q22">
            <v>9.2203999999999994E-2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21.466667000000001</v>
          </cell>
          <cell r="W22">
            <v>0</v>
          </cell>
          <cell r="X22">
            <v>0.12674669999999999</v>
          </cell>
          <cell r="Y22">
            <v>0</v>
          </cell>
          <cell r="Z22">
            <v>0</v>
          </cell>
          <cell r="AA22">
            <v>0</v>
          </cell>
          <cell r="AB22">
            <v>3.6876600000000002E-2</v>
          </cell>
        </row>
        <row r="23">
          <cell r="A23">
            <v>11121300</v>
          </cell>
          <cell r="B23" t="str">
            <v>Milk, dry, reconstituted, fat free (skim)</v>
          </cell>
          <cell r="I23">
            <v>245</v>
          </cell>
          <cell r="J23">
            <v>77.589614999999995</v>
          </cell>
          <cell r="K23">
            <v>0.31669230612244897</v>
          </cell>
          <cell r="L23">
            <v>0</v>
          </cell>
          <cell r="M23">
            <v>0.10121330000000001</v>
          </cell>
          <cell r="N23">
            <v>0</v>
          </cell>
          <cell r="O23">
            <v>0</v>
          </cell>
          <cell r="P23">
            <v>0</v>
          </cell>
          <cell r="Q23">
            <v>6.0685000000000001E-3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21.673076999999999</v>
          </cell>
          <cell r="W23">
            <v>0</v>
          </cell>
          <cell r="X23">
            <v>0.12791830000000001</v>
          </cell>
          <cell r="Y23">
            <v>0</v>
          </cell>
          <cell r="Z23">
            <v>0</v>
          </cell>
          <cell r="AA23">
            <v>0</v>
          </cell>
          <cell r="AB23">
            <v>5.9366000000000002E-3</v>
          </cell>
        </row>
        <row r="24">
          <cell r="A24">
            <v>11210050</v>
          </cell>
          <cell r="B24" t="str">
            <v>Milk, evaporated, NS as to fat content</v>
          </cell>
          <cell r="I24">
            <v>30</v>
          </cell>
          <cell r="J24">
            <v>40.200000000000003</v>
          </cell>
          <cell r="K24">
            <v>1.34</v>
          </cell>
          <cell r="L24">
            <v>0</v>
          </cell>
          <cell r="M24">
            <v>1.3773</v>
          </cell>
          <cell r="N24">
            <v>0</v>
          </cell>
          <cell r="O24">
            <v>0</v>
          </cell>
          <cell r="P24">
            <v>0</v>
          </cell>
          <cell r="Q24">
            <v>7.3499999999999996E-2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30</v>
          </cell>
          <cell r="W24">
            <v>0</v>
          </cell>
          <cell r="X24">
            <v>3.1800000000000002E-2</v>
          </cell>
          <cell r="Y24">
            <v>0</v>
          </cell>
          <cell r="Z24">
            <v>0</v>
          </cell>
          <cell r="AA24">
            <v>0</v>
          </cell>
          <cell r="AB24">
            <v>9.75602E-2</v>
          </cell>
        </row>
        <row r="25">
          <cell r="A25">
            <v>11211050</v>
          </cell>
          <cell r="B25" t="str">
            <v>Milk, evaporated, whole</v>
          </cell>
          <cell r="I25">
            <v>30</v>
          </cell>
          <cell r="J25">
            <v>40.200000000000003</v>
          </cell>
          <cell r="K25">
            <v>1.34</v>
          </cell>
          <cell r="L25">
            <v>0</v>
          </cell>
          <cell r="M25">
            <v>1.3773</v>
          </cell>
          <cell r="N25">
            <v>0</v>
          </cell>
          <cell r="O25">
            <v>0</v>
          </cell>
          <cell r="P25">
            <v>0</v>
          </cell>
          <cell r="Q25">
            <v>7.3499999999999996E-2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30</v>
          </cell>
          <cell r="W25">
            <v>0</v>
          </cell>
          <cell r="X25">
            <v>3.1800000000000002E-2</v>
          </cell>
          <cell r="Y25">
            <v>0</v>
          </cell>
          <cell r="Z25">
            <v>0</v>
          </cell>
          <cell r="AA25">
            <v>0</v>
          </cell>
          <cell r="AB25">
            <v>9.7547900000000007E-2</v>
          </cell>
        </row>
        <row r="26">
          <cell r="A26">
            <v>11211400</v>
          </cell>
          <cell r="B26" t="str">
            <v>Milk, evaporated, reduced fat (2%)</v>
          </cell>
          <cell r="I26">
            <v>30</v>
          </cell>
          <cell r="J26">
            <v>27.633006000000002</v>
          </cell>
          <cell r="K26">
            <v>0.92110020000000004</v>
          </cell>
          <cell r="L26">
            <v>0</v>
          </cell>
          <cell r="M26">
            <v>0.36413519999999999</v>
          </cell>
          <cell r="N26">
            <v>0</v>
          </cell>
          <cell r="O26">
            <v>0</v>
          </cell>
          <cell r="P26">
            <v>0</v>
          </cell>
          <cell r="Q26">
            <v>2.1363099999999999E-2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29.469548</v>
          </cell>
          <cell r="W26">
            <v>0</v>
          </cell>
          <cell r="X26">
            <v>3.3900600000000003E-2</v>
          </cell>
          <cell r="Y26">
            <v>0</v>
          </cell>
          <cell r="Z26">
            <v>0</v>
          </cell>
          <cell r="AA26">
            <v>0</v>
          </cell>
          <cell r="AB26">
            <v>2.5240700000000001E-2</v>
          </cell>
        </row>
        <row r="27">
          <cell r="A27">
            <v>11212050</v>
          </cell>
          <cell r="B27" t="str">
            <v>Milk, evaporated, fat free (skim)</v>
          </cell>
          <cell r="I27">
            <v>30</v>
          </cell>
          <cell r="J27">
            <v>23.4</v>
          </cell>
          <cell r="K27">
            <v>0.77999999999999992</v>
          </cell>
          <cell r="L27">
            <v>0</v>
          </cell>
          <cell r="M27">
            <v>3.6299999999999999E-2</v>
          </cell>
          <cell r="N27">
            <v>0</v>
          </cell>
          <cell r="O27">
            <v>0</v>
          </cell>
          <cell r="P27">
            <v>0</v>
          </cell>
          <cell r="Q27">
            <v>1.8E-3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30</v>
          </cell>
          <cell r="W27">
            <v>0</v>
          </cell>
          <cell r="X27">
            <v>3.4500000000000003E-2</v>
          </cell>
          <cell r="Y27">
            <v>0</v>
          </cell>
          <cell r="Z27">
            <v>0</v>
          </cell>
          <cell r="AA27">
            <v>0</v>
          </cell>
          <cell r="AB27">
            <v>2.1875000000000002E-3</v>
          </cell>
        </row>
        <row r="28">
          <cell r="A28">
            <v>11220000</v>
          </cell>
          <cell r="B28" t="str">
            <v>Milk, condensed, sweetened</v>
          </cell>
          <cell r="I28">
            <v>30</v>
          </cell>
          <cell r="J28">
            <v>96.3</v>
          </cell>
          <cell r="K28">
            <v>3.21</v>
          </cell>
          <cell r="L28">
            <v>0</v>
          </cell>
          <cell r="M28">
            <v>1.6457999999999999</v>
          </cell>
          <cell r="N28">
            <v>0</v>
          </cell>
          <cell r="O28">
            <v>0</v>
          </cell>
          <cell r="P28">
            <v>0</v>
          </cell>
          <cell r="Q28">
            <v>0.1011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15.2454</v>
          </cell>
          <cell r="W28">
            <v>0</v>
          </cell>
          <cell r="X28">
            <v>3.8100000000000002E-2</v>
          </cell>
          <cell r="Y28">
            <v>0</v>
          </cell>
          <cell r="Z28">
            <v>0</v>
          </cell>
          <cell r="AA28">
            <v>0</v>
          </cell>
          <cell r="AB28">
            <v>9.2135999999999996E-2</v>
          </cell>
        </row>
        <row r="29">
          <cell r="A29">
            <v>11320000</v>
          </cell>
          <cell r="B29" t="str">
            <v>Soy milk</v>
          </cell>
          <cell r="I29">
            <v>245</v>
          </cell>
          <cell r="J29">
            <v>105.35</v>
          </cell>
          <cell r="K29">
            <v>0.43</v>
          </cell>
          <cell r="L29">
            <v>0</v>
          </cell>
          <cell r="M29">
            <v>0.50224999999999997</v>
          </cell>
          <cell r="N29">
            <v>0</v>
          </cell>
          <cell r="O29">
            <v>0.30135000000000001</v>
          </cell>
          <cell r="P29">
            <v>0.49</v>
          </cell>
          <cell r="Q29">
            <v>2.1021000000000001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0.11515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A30">
            <v>11320100</v>
          </cell>
          <cell r="B30" t="str">
            <v>Soy milk, light</v>
          </cell>
          <cell r="I30">
            <v>243</v>
          </cell>
          <cell r="J30">
            <v>72.900000000000006</v>
          </cell>
          <cell r="K30">
            <v>0.30000000000000004</v>
          </cell>
          <cell r="L30">
            <v>0</v>
          </cell>
          <cell r="M30">
            <v>1.2149999999999999E-2</v>
          </cell>
          <cell r="N30">
            <v>0</v>
          </cell>
          <cell r="O30">
            <v>0.29888999999999999</v>
          </cell>
          <cell r="P30">
            <v>0.72899999999999998</v>
          </cell>
          <cell r="Q30">
            <v>1.03518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0.11663999999999999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A31">
            <v>11320200</v>
          </cell>
          <cell r="B31" t="str">
            <v>Soy milk, nonfat</v>
          </cell>
          <cell r="I31">
            <v>243</v>
          </cell>
          <cell r="J31">
            <v>68.040000000000006</v>
          </cell>
          <cell r="K31">
            <v>0.28000000000000003</v>
          </cell>
          <cell r="L31">
            <v>0</v>
          </cell>
          <cell r="M31">
            <v>0</v>
          </cell>
          <cell r="N31">
            <v>0</v>
          </cell>
          <cell r="O31">
            <v>0.28188000000000002</v>
          </cell>
          <cell r="P31">
            <v>0.48599999999999999</v>
          </cell>
          <cell r="Q31">
            <v>8.7480000000000002E-2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0.13850999999999999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A32">
            <v>11321000</v>
          </cell>
          <cell r="B32" t="str">
            <v>Soy milk, chocolate</v>
          </cell>
          <cell r="I32">
            <v>240</v>
          </cell>
          <cell r="J32">
            <v>151.19999999999999</v>
          </cell>
          <cell r="K32">
            <v>0.63</v>
          </cell>
          <cell r="L32">
            <v>0</v>
          </cell>
          <cell r="M32">
            <v>0.57599999999999996</v>
          </cell>
          <cell r="N32">
            <v>0</v>
          </cell>
          <cell r="O32">
            <v>0.3024</v>
          </cell>
          <cell r="P32">
            <v>0.96</v>
          </cell>
          <cell r="Q32">
            <v>2.0064000000000002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0.12720000000000001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A33">
            <v>11321100</v>
          </cell>
          <cell r="B33" t="str">
            <v>Soy milk, light, chocolate</v>
          </cell>
          <cell r="I33">
            <v>243</v>
          </cell>
          <cell r="J33">
            <v>114.21</v>
          </cell>
          <cell r="K33">
            <v>0.47</v>
          </cell>
          <cell r="L33">
            <v>0</v>
          </cell>
          <cell r="M33">
            <v>7.7759999999999996E-2</v>
          </cell>
          <cell r="N33">
            <v>0</v>
          </cell>
          <cell r="O33">
            <v>0.29888999999999999</v>
          </cell>
          <cell r="P33">
            <v>1.7010000000000001</v>
          </cell>
          <cell r="Q33">
            <v>0.98414999999999997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0.11178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>
            <v>11340000</v>
          </cell>
          <cell r="B34" t="str">
            <v>Imitation milk, non-soy, sweetened</v>
          </cell>
          <cell r="I34">
            <v>244</v>
          </cell>
          <cell r="J34">
            <v>112.24</v>
          </cell>
          <cell r="K34">
            <v>0.45999999999999996</v>
          </cell>
          <cell r="L34">
            <v>0</v>
          </cell>
          <cell r="M34">
            <v>0.61975999999999998</v>
          </cell>
          <cell r="N34">
            <v>0</v>
          </cell>
          <cell r="O34">
            <v>0.20008000000000001</v>
          </cell>
          <cell r="P34">
            <v>0</v>
          </cell>
          <cell r="Q34">
            <v>2.86456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0.13420000000000001</v>
          </cell>
          <cell r="Y34">
            <v>0</v>
          </cell>
          <cell r="Z34">
            <v>0</v>
          </cell>
          <cell r="AA34">
            <v>0</v>
          </cell>
          <cell r="AB34">
            <v>0.31166890000000003</v>
          </cell>
        </row>
        <row r="35">
          <cell r="A35">
            <v>11350000</v>
          </cell>
          <cell r="B35" t="str">
            <v>Almond milk, sweetened</v>
          </cell>
          <cell r="I35">
            <v>244</v>
          </cell>
          <cell r="J35">
            <v>92.72</v>
          </cell>
          <cell r="K35">
            <v>0.38</v>
          </cell>
          <cell r="L35">
            <v>0</v>
          </cell>
          <cell r="M35">
            <v>0</v>
          </cell>
          <cell r="N35">
            <v>0</v>
          </cell>
          <cell r="O35">
            <v>0.45872000000000002</v>
          </cell>
          <cell r="P35">
            <v>0.97599999999999998</v>
          </cell>
          <cell r="Q35">
            <v>0.50751999999999997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0.15372</v>
          </cell>
          <cell r="Y35">
            <v>4.8421799999999999</v>
          </cell>
          <cell r="Z35">
            <v>0</v>
          </cell>
          <cell r="AA35">
            <v>0</v>
          </cell>
          <cell r="AB35">
            <v>0</v>
          </cell>
        </row>
        <row r="36">
          <cell r="A36">
            <v>11350010</v>
          </cell>
          <cell r="B36" t="str">
            <v>Almond milk, sweetened, chocolate</v>
          </cell>
          <cell r="I36">
            <v>244</v>
          </cell>
          <cell r="J36">
            <v>122</v>
          </cell>
          <cell r="K36">
            <v>0.5</v>
          </cell>
          <cell r="L36">
            <v>0</v>
          </cell>
          <cell r="M36">
            <v>0</v>
          </cell>
          <cell r="N36">
            <v>0</v>
          </cell>
          <cell r="O36">
            <v>0.45872000000000002</v>
          </cell>
          <cell r="P36">
            <v>0.97599999999999998</v>
          </cell>
          <cell r="Q36">
            <v>0.50751999999999997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0.17324000000000001</v>
          </cell>
          <cell r="Y36">
            <v>4.8421799999999999</v>
          </cell>
          <cell r="Z36">
            <v>0</v>
          </cell>
          <cell r="AA36">
            <v>0</v>
          </cell>
          <cell r="AB36">
            <v>0</v>
          </cell>
        </row>
        <row r="37">
          <cell r="A37">
            <v>11350020</v>
          </cell>
          <cell r="B37" t="str">
            <v>Almond milk, unsweetened</v>
          </cell>
          <cell r="I37">
            <v>244</v>
          </cell>
          <cell r="J37">
            <v>36.6</v>
          </cell>
          <cell r="K37">
            <v>0.15</v>
          </cell>
          <cell r="L37">
            <v>0</v>
          </cell>
          <cell r="M37">
            <v>0</v>
          </cell>
          <cell r="N37">
            <v>0</v>
          </cell>
          <cell r="O37">
            <v>0.48068</v>
          </cell>
          <cell r="P37">
            <v>0</v>
          </cell>
          <cell r="Q37">
            <v>0.57584000000000002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0.17324000000000001</v>
          </cell>
          <cell r="Y37">
            <v>4.8421799999999999</v>
          </cell>
          <cell r="Z37">
            <v>0</v>
          </cell>
          <cell r="AA37">
            <v>0</v>
          </cell>
          <cell r="AB37">
            <v>1.6157600000000001E-2</v>
          </cell>
        </row>
        <row r="38">
          <cell r="A38">
            <v>11350030</v>
          </cell>
          <cell r="B38" t="str">
            <v>Almond milk, unsweetened, chocolate</v>
          </cell>
          <cell r="I38">
            <v>244</v>
          </cell>
          <cell r="J38">
            <v>51.24</v>
          </cell>
          <cell r="K38">
            <v>0.21000000000000002</v>
          </cell>
          <cell r="L38">
            <v>0</v>
          </cell>
          <cell r="M38">
            <v>0</v>
          </cell>
          <cell r="N38">
            <v>0</v>
          </cell>
          <cell r="O38">
            <v>0.45872000000000002</v>
          </cell>
          <cell r="P38">
            <v>0.97599999999999998</v>
          </cell>
          <cell r="Q38">
            <v>0.59292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0.183</v>
          </cell>
          <cell r="Y38">
            <v>4.8421799999999999</v>
          </cell>
          <cell r="Z38">
            <v>0</v>
          </cell>
          <cell r="AA38">
            <v>0</v>
          </cell>
          <cell r="AB38">
            <v>0</v>
          </cell>
        </row>
        <row r="39">
          <cell r="A39">
            <v>11360000</v>
          </cell>
          <cell r="B39" t="str">
            <v>Rice milk</v>
          </cell>
          <cell r="I39">
            <v>244</v>
          </cell>
          <cell r="J39">
            <v>114.68</v>
          </cell>
          <cell r="K39">
            <v>0.47000000000000003</v>
          </cell>
          <cell r="L39">
            <v>0</v>
          </cell>
          <cell r="M39">
            <v>0</v>
          </cell>
          <cell r="N39">
            <v>0</v>
          </cell>
          <cell r="O39">
            <v>0.28792000000000001</v>
          </cell>
          <cell r="P39">
            <v>0.73199999999999998</v>
          </cell>
          <cell r="Q39">
            <v>0.76371999999999995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9.5159999999999995E-2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>
            <v>11370000</v>
          </cell>
          <cell r="B40" t="str">
            <v>Coconut milk</v>
          </cell>
          <cell r="I40">
            <v>244</v>
          </cell>
          <cell r="J40">
            <v>75.64</v>
          </cell>
          <cell r="K40">
            <v>0.31</v>
          </cell>
          <cell r="L40">
            <v>0</v>
          </cell>
          <cell r="M40">
            <v>5.0825199999999997</v>
          </cell>
          <cell r="N40">
            <v>0</v>
          </cell>
          <cell r="O40">
            <v>0.45872000000000002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4.6359999999999998E-2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>
            <v>11400000</v>
          </cell>
          <cell r="B41" t="str">
            <v>Yogurt, NFS</v>
          </cell>
          <cell r="I41">
            <v>170</v>
          </cell>
          <cell r="J41">
            <v>107.16058</v>
          </cell>
          <cell r="K41">
            <v>0.63035635294117642</v>
          </cell>
          <cell r="L41">
            <v>0</v>
          </cell>
          <cell r="M41">
            <v>1.6997960000000001</v>
          </cell>
          <cell r="N41">
            <v>0</v>
          </cell>
          <cell r="O41">
            <v>0.31106270000000003</v>
          </cell>
          <cell r="P41">
            <v>0</v>
          </cell>
          <cell r="Q41">
            <v>7.4790999999999996E-2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0.119073</v>
          </cell>
          <cell r="Y41">
            <v>0</v>
          </cell>
          <cell r="Z41">
            <v>0</v>
          </cell>
          <cell r="AA41">
            <v>0</v>
          </cell>
          <cell r="AB41">
            <v>2.9726300000000001E-2</v>
          </cell>
        </row>
        <row r="42">
          <cell r="A42">
            <v>11410000</v>
          </cell>
          <cell r="B42" t="str">
            <v>Yogurt, NS as to type of milk or flavor</v>
          </cell>
          <cell r="I42">
            <v>170</v>
          </cell>
          <cell r="J42">
            <v>107.16058</v>
          </cell>
          <cell r="K42">
            <v>0.63035635294117642</v>
          </cell>
          <cell r="L42">
            <v>0</v>
          </cell>
          <cell r="M42">
            <v>1.6997960000000001</v>
          </cell>
          <cell r="N42">
            <v>0</v>
          </cell>
          <cell r="O42">
            <v>0.31106270000000003</v>
          </cell>
          <cell r="P42">
            <v>0</v>
          </cell>
          <cell r="Q42">
            <v>7.4790999999999996E-2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0.119073</v>
          </cell>
          <cell r="Y42">
            <v>0</v>
          </cell>
          <cell r="Z42">
            <v>0</v>
          </cell>
          <cell r="AA42">
            <v>0</v>
          </cell>
          <cell r="AB42">
            <v>2.2611800000000001E-2</v>
          </cell>
        </row>
        <row r="43">
          <cell r="A43">
            <v>11411010</v>
          </cell>
          <cell r="B43" t="str">
            <v>Yogurt, NS as to type of milk, plain</v>
          </cell>
          <cell r="I43">
            <v>170</v>
          </cell>
          <cell r="J43">
            <v>107.16058</v>
          </cell>
          <cell r="K43">
            <v>0.63035635294117642</v>
          </cell>
          <cell r="L43">
            <v>0</v>
          </cell>
          <cell r="M43">
            <v>1.6997960000000001</v>
          </cell>
          <cell r="N43">
            <v>0</v>
          </cell>
          <cell r="O43">
            <v>0.31106270000000003</v>
          </cell>
          <cell r="P43">
            <v>0</v>
          </cell>
          <cell r="Q43">
            <v>7.4790999999999996E-2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0.119073</v>
          </cell>
          <cell r="Y43">
            <v>0</v>
          </cell>
          <cell r="Z43">
            <v>0</v>
          </cell>
          <cell r="AA43">
            <v>0</v>
          </cell>
          <cell r="AB43">
            <v>2.9696299999999998E-2</v>
          </cell>
        </row>
        <row r="44">
          <cell r="A44">
            <v>11411100</v>
          </cell>
          <cell r="B44" t="str">
            <v>Yogurt, whole milk, plain</v>
          </cell>
          <cell r="I44">
            <v>170</v>
          </cell>
          <cell r="J44">
            <v>103.75591</v>
          </cell>
          <cell r="K44">
            <v>0.61032888235294114</v>
          </cell>
          <cell r="L44">
            <v>0</v>
          </cell>
          <cell r="M44">
            <v>3.5628080999999998</v>
          </cell>
          <cell r="N44">
            <v>0</v>
          </cell>
          <cell r="O44">
            <v>0.20567740000000001</v>
          </cell>
          <cell r="P44">
            <v>0</v>
          </cell>
          <cell r="Q44">
            <v>0.15638279999999999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7.8271400000000005E-2</v>
          </cell>
          <cell r="Y44">
            <v>0</v>
          </cell>
          <cell r="Z44">
            <v>0</v>
          </cell>
          <cell r="AA44">
            <v>0</v>
          </cell>
          <cell r="AB44">
            <v>6.2234699999999997E-2</v>
          </cell>
        </row>
        <row r="45">
          <cell r="A45">
            <v>11411200</v>
          </cell>
          <cell r="B45" t="str">
            <v>Yogurt, low fat milk, plain</v>
          </cell>
          <cell r="I45">
            <v>170</v>
          </cell>
          <cell r="J45">
            <v>107.16058</v>
          </cell>
          <cell r="K45">
            <v>0.63035635294117642</v>
          </cell>
          <cell r="L45">
            <v>0</v>
          </cell>
          <cell r="M45">
            <v>1.6997960000000001</v>
          </cell>
          <cell r="N45">
            <v>0</v>
          </cell>
          <cell r="O45">
            <v>0.31106270000000003</v>
          </cell>
          <cell r="P45">
            <v>0</v>
          </cell>
          <cell r="Q45">
            <v>7.4790999999999996E-2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0.119073</v>
          </cell>
          <cell r="Y45">
            <v>0</v>
          </cell>
          <cell r="Z45">
            <v>0</v>
          </cell>
          <cell r="AA45">
            <v>0</v>
          </cell>
          <cell r="AB45">
            <v>2.96995E-2</v>
          </cell>
        </row>
        <row r="46">
          <cell r="A46">
            <v>11411300</v>
          </cell>
          <cell r="B46" t="str">
            <v>Yogurt, nonfat milk, plain</v>
          </cell>
          <cell r="I46">
            <v>170</v>
          </cell>
          <cell r="J46">
            <v>95.262009000000006</v>
          </cell>
          <cell r="K46">
            <v>0.56036475882352943</v>
          </cell>
          <cell r="L46">
            <v>0</v>
          </cell>
          <cell r="M46">
            <v>0.1971763</v>
          </cell>
          <cell r="N46">
            <v>0</v>
          </cell>
          <cell r="O46">
            <v>0.33825939999999999</v>
          </cell>
          <cell r="P46">
            <v>0</v>
          </cell>
          <cell r="Q46">
            <v>8.4989999999999996E-3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0.13097159999999999</v>
          </cell>
          <cell r="Y46">
            <v>0</v>
          </cell>
          <cell r="Z46">
            <v>0</v>
          </cell>
          <cell r="AA46">
            <v>0</v>
          </cell>
          <cell r="AB46">
            <v>3.4554999999999998E-3</v>
          </cell>
        </row>
        <row r="47">
          <cell r="A47">
            <v>11411390</v>
          </cell>
          <cell r="B47" t="str">
            <v>Yogurt, Greek, NS as to type of milk, plain</v>
          </cell>
          <cell r="I47">
            <v>170</v>
          </cell>
          <cell r="J47">
            <v>124.1</v>
          </cell>
          <cell r="K47">
            <v>0.73</v>
          </cell>
          <cell r="L47">
            <v>0</v>
          </cell>
          <cell r="M47">
            <v>2.0910000000000002</v>
          </cell>
          <cell r="N47">
            <v>0</v>
          </cell>
          <cell r="O47">
            <v>0.19550000000000001</v>
          </cell>
          <cell r="P47">
            <v>0</v>
          </cell>
          <cell r="Q47">
            <v>0.12920000000000001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5.7799999999999997E-2</v>
          </cell>
          <cell r="Y47">
            <v>0</v>
          </cell>
          <cell r="Z47">
            <v>0</v>
          </cell>
          <cell r="AA47">
            <v>0</v>
          </cell>
          <cell r="AB47">
            <v>0.10199999999999999</v>
          </cell>
        </row>
        <row r="48">
          <cell r="A48">
            <v>11411400</v>
          </cell>
          <cell r="B48" t="str">
            <v>Yogurt, Greek, whole milk, plain</v>
          </cell>
          <cell r="I48">
            <v>170</v>
          </cell>
          <cell r="J48">
            <v>164.9</v>
          </cell>
          <cell r="K48">
            <v>0.97000000000000008</v>
          </cell>
          <cell r="L48">
            <v>0</v>
          </cell>
          <cell r="M48">
            <v>4.0715000000000003</v>
          </cell>
          <cell r="N48">
            <v>0</v>
          </cell>
          <cell r="O48">
            <v>0.17</v>
          </cell>
          <cell r="P48">
            <v>0</v>
          </cell>
          <cell r="Q48">
            <v>0.79730000000000001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5.9499999999999997E-2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>
            <v>11411410</v>
          </cell>
          <cell r="B49" t="str">
            <v>Yogurt, Greek, low fat milk, plain</v>
          </cell>
          <cell r="I49">
            <v>170</v>
          </cell>
          <cell r="J49">
            <v>124.1</v>
          </cell>
          <cell r="K49">
            <v>0.73</v>
          </cell>
          <cell r="L49">
            <v>0</v>
          </cell>
          <cell r="M49">
            <v>2.0910000000000002</v>
          </cell>
          <cell r="N49">
            <v>0</v>
          </cell>
          <cell r="O49">
            <v>0.19550000000000001</v>
          </cell>
          <cell r="P49">
            <v>0</v>
          </cell>
          <cell r="Q49">
            <v>0.12920000000000001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5.7799999999999997E-2</v>
          </cell>
          <cell r="Y49">
            <v>0</v>
          </cell>
          <cell r="Z49">
            <v>0</v>
          </cell>
          <cell r="AA49">
            <v>0</v>
          </cell>
          <cell r="AB49">
            <v>0.10199999999999999</v>
          </cell>
        </row>
        <row r="50">
          <cell r="A50">
            <v>11411420</v>
          </cell>
          <cell r="B50" t="str">
            <v>Yogurt, Greek, nonfat milk, plain</v>
          </cell>
          <cell r="I50">
            <v>170</v>
          </cell>
          <cell r="J50">
            <v>100.3</v>
          </cell>
          <cell r="K50">
            <v>0.59</v>
          </cell>
          <cell r="L50">
            <v>0</v>
          </cell>
          <cell r="M50">
            <v>0.19889999999999999</v>
          </cell>
          <cell r="N50">
            <v>0</v>
          </cell>
          <cell r="O50">
            <v>0.187</v>
          </cell>
          <cell r="P50">
            <v>0</v>
          </cell>
          <cell r="Q50">
            <v>2.0400000000000001E-2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6.1199999999999997E-2</v>
          </cell>
          <cell r="Y50">
            <v>0</v>
          </cell>
          <cell r="Z50">
            <v>0</v>
          </cell>
          <cell r="AA50">
            <v>0</v>
          </cell>
          <cell r="AB50">
            <v>1.0200000000000001E-2</v>
          </cell>
        </row>
        <row r="51">
          <cell r="A51">
            <v>11420000</v>
          </cell>
          <cell r="B51" t="str">
            <v>Yogurt, vanilla, NS as to type of milk</v>
          </cell>
          <cell r="I51">
            <v>170</v>
          </cell>
          <cell r="J51">
            <v>144.5</v>
          </cell>
          <cell r="K51">
            <v>0.85</v>
          </cell>
          <cell r="L51">
            <v>0</v>
          </cell>
          <cell r="M51">
            <v>1.3702000000000001</v>
          </cell>
          <cell r="N51">
            <v>0</v>
          </cell>
          <cell r="O51">
            <v>0.29070000000000001</v>
          </cell>
          <cell r="P51">
            <v>0</v>
          </cell>
          <cell r="Q51">
            <v>6.1199999999999997E-2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0.11219999999999999</v>
          </cell>
          <cell r="Y51">
            <v>0</v>
          </cell>
          <cell r="Z51">
            <v>0</v>
          </cell>
          <cell r="AA51">
            <v>0</v>
          </cell>
          <cell r="AB51">
            <v>2.3944099999999999E-2</v>
          </cell>
        </row>
        <row r="52">
          <cell r="A52">
            <v>11421000</v>
          </cell>
          <cell r="B52" t="str">
            <v>Yogurt, vanilla, whole milk</v>
          </cell>
          <cell r="I52">
            <v>170</v>
          </cell>
          <cell r="J52">
            <v>170.35962000000001</v>
          </cell>
          <cell r="K52">
            <v>1.002115411764706</v>
          </cell>
          <cell r="L52">
            <v>0</v>
          </cell>
          <cell r="M52">
            <v>3.3682884999999998</v>
          </cell>
          <cell r="N52">
            <v>0</v>
          </cell>
          <cell r="O52">
            <v>0.28524040000000001</v>
          </cell>
          <cell r="P52">
            <v>0</v>
          </cell>
          <cell r="Q52">
            <v>0.18078849999999999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0.1101077</v>
          </cell>
          <cell r="Y52">
            <v>0</v>
          </cell>
          <cell r="Z52">
            <v>0</v>
          </cell>
          <cell r="AA52">
            <v>0</v>
          </cell>
          <cell r="AB52">
            <v>6.0246099999999997E-2</v>
          </cell>
        </row>
        <row r="53">
          <cell r="A53">
            <v>11422000</v>
          </cell>
          <cell r="B53" t="str">
            <v>Yogurt, vanilla, low fat milk</v>
          </cell>
          <cell r="I53">
            <v>170</v>
          </cell>
          <cell r="J53">
            <v>144.5</v>
          </cell>
          <cell r="K53">
            <v>0.85</v>
          </cell>
          <cell r="L53">
            <v>0</v>
          </cell>
          <cell r="M53">
            <v>1.3702000000000001</v>
          </cell>
          <cell r="N53">
            <v>0</v>
          </cell>
          <cell r="O53">
            <v>0.29070000000000001</v>
          </cell>
          <cell r="P53">
            <v>0</v>
          </cell>
          <cell r="Q53">
            <v>6.1199999999999997E-2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0.11219999999999999</v>
          </cell>
          <cell r="Y53">
            <v>0</v>
          </cell>
          <cell r="Z53">
            <v>0</v>
          </cell>
          <cell r="AA53">
            <v>0</v>
          </cell>
          <cell r="AB53">
            <v>2.39446E-2</v>
          </cell>
        </row>
        <row r="54">
          <cell r="A54">
            <v>11422100</v>
          </cell>
          <cell r="B54" t="str">
            <v>Yogurt, vanilla, low fat milk, light</v>
          </cell>
          <cell r="I54">
            <v>170</v>
          </cell>
          <cell r="J54">
            <v>146.19999999999999</v>
          </cell>
          <cell r="K54">
            <v>0.86</v>
          </cell>
          <cell r="L54">
            <v>0</v>
          </cell>
          <cell r="M54">
            <v>1.2784</v>
          </cell>
          <cell r="N54">
            <v>0</v>
          </cell>
          <cell r="O54">
            <v>0.29070000000000001</v>
          </cell>
          <cell r="P54">
            <v>0</v>
          </cell>
          <cell r="Q54">
            <v>5.9499999999999997E-2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0.11219999999999999</v>
          </cell>
          <cell r="Y54">
            <v>0</v>
          </cell>
          <cell r="Z54">
            <v>0</v>
          </cell>
          <cell r="AA54">
            <v>0</v>
          </cell>
          <cell r="AB54">
            <v>2.3942499999999999E-2</v>
          </cell>
        </row>
        <row r="55">
          <cell r="A55">
            <v>11423000</v>
          </cell>
          <cell r="B55" t="str">
            <v>Yogurt, vanilla, nonfat milk</v>
          </cell>
          <cell r="I55">
            <v>170</v>
          </cell>
          <cell r="J55">
            <v>132.6</v>
          </cell>
          <cell r="K55">
            <v>0.77999999999999992</v>
          </cell>
          <cell r="L55">
            <v>0</v>
          </cell>
          <cell r="M55">
            <v>0</v>
          </cell>
          <cell r="N55">
            <v>0</v>
          </cell>
          <cell r="O55">
            <v>0.2006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7.9899999999999999E-2</v>
          </cell>
          <cell r="Y55">
            <v>0</v>
          </cell>
          <cell r="Z55">
            <v>0</v>
          </cell>
          <cell r="AA55">
            <v>0</v>
          </cell>
          <cell r="AB55">
            <v>2.5739999999999999E-3</v>
          </cell>
        </row>
        <row r="56">
          <cell r="A56">
            <v>11424000</v>
          </cell>
          <cell r="B56" t="str">
            <v>Yogurt, vanilla, nonfat milk, light</v>
          </cell>
          <cell r="I56">
            <v>170</v>
          </cell>
          <cell r="J56">
            <v>73.099999999999994</v>
          </cell>
          <cell r="K56">
            <v>0.43</v>
          </cell>
          <cell r="L56">
            <v>0</v>
          </cell>
          <cell r="M56">
            <v>0.19719999999999999</v>
          </cell>
          <cell r="N56">
            <v>0</v>
          </cell>
          <cell r="O56">
            <v>0.24310000000000001</v>
          </cell>
          <cell r="P56">
            <v>0</v>
          </cell>
          <cell r="Q56">
            <v>8.5000000000000006E-3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0.1003</v>
          </cell>
          <cell r="Y56">
            <v>0</v>
          </cell>
          <cell r="Z56">
            <v>0</v>
          </cell>
          <cell r="AA56">
            <v>0</v>
          </cell>
          <cell r="AB56">
            <v>3.4564000000000001E-3</v>
          </cell>
        </row>
        <row r="57">
          <cell r="A57">
            <v>11424500</v>
          </cell>
          <cell r="B57" t="str">
            <v>Yogurt, Greek, vanilla, whole milk</v>
          </cell>
          <cell r="I57">
            <v>170</v>
          </cell>
          <cell r="J57">
            <v>201.33099999999999</v>
          </cell>
          <cell r="K57">
            <v>1.1842999999999999</v>
          </cell>
          <cell r="L57">
            <v>0</v>
          </cell>
          <cell r="M57">
            <v>5.5739089999999996</v>
          </cell>
          <cell r="N57">
            <v>0</v>
          </cell>
          <cell r="O57">
            <v>0.165104</v>
          </cell>
          <cell r="P57">
            <v>0</v>
          </cell>
          <cell r="Q57">
            <v>0.52314099999999997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6.6061999999999996E-2</v>
          </cell>
          <cell r="Y57">
            <v>0</v>
          </cell>
          <cell r="Z57">
            <v>0</v>
          </cell>
          <cell r="AA57">
            <v>0</v>
          </cell>
          <cell r="AB57">
            <v>0.10359160000000001</v>
          </cell>
        </row>
        <row r="58">
          <cell r="A58">
            <v>11424510</v>
          </cell>
          <cell r="B58" t="str">
            <v>Yogurt, Greek, vanilla, low fat</v>
          </cell>
          <cell r="I58">
            <v>170</v>
          </cell>
          <cell r="J58">
            <v>161.5</v>
          </cell>
          <cell r="K58">
            <v>0.95</v>
          </cell>
          <cell r="L58">
            <v>0</v>
          </cell>
          <cell r="M58">
            <v>2.4904999999999999</v>
          </cell>
          <cell r="N58">
            <v>0</v>
          </cell>
          <cell r="O58">
            <v>0.17</v>
          </cell>
          <cell r="P58">
            <v>0</v>
          </cell>
          <cell r="Q58">
            <v>0.34510000000000002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6.8000000000000005E-2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>
            <v>11424520</v>
          </cell>
          <cell r="B59" t="str">
            <v>Yogurt, Greek, vanilla, nonfat</v>
          </cell>
          <cell r="I59">
            <v>170</v>
          </cell>
          <cell r="J59">
            <v>132.6</v>
          </cell>
          <cell r="K59">
            <v>0.77999999999999992</v>
          </cell>
          <cell r="L59">
            <v>0</v>
          </cell>
          <cell r="M59">
            <v>0.2261</v>
          </cell>
          <cell r="N59">
            <v>0</v>
          </cell>
          <cell r="O59">
            <v>0.16830000000000001</v>
          </cell>
          <cell r="P59">
            <v>0.85</v>
          </cell>
          <cell r="Q59">
            <v>1.5299999999999999E-2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5.7799999999999997E-2</v>
          </cell>
          <cell r="Y59">
            <v>0</v>
          </cell>
          <cell r="Z59">
            <v>0</v>
          </cell>
          <cell r="AA59">
            <v>0</v>
          </cell>
          <cell r="AB59">
            <v>6.7999999999999996E-3</v>
          </cell>
        </row>
        <row r="60">
          <cell r="A60">
            <v>11426000</v>
          </cell>
          <cell r="B60" t="str">
            <v>Yogurt, chocolate, whole milk</v>
          </cell>
          <cell r="I60">
            <v>170</v>
          </cell>
          <cell r="J60">
            <v>230.60675000000001</v>
          </cell>
          <cell r="K60">
            <v>1.356510294117647</v>
          </cell>
          <cell r="L60">
            <v>0</v>
          </cell>
          <cell r="M60">
            <v>3.2588522000000002</v>
          </cell>
          <cell r="N60">
            <v>0</v>
          </cell>
          <cell r="O60">
            <v>0.14517939999999999</v>
          </cell>
          <cell r="P60">
            <v>1.9768479999999999</v>
          </cell>
          <cell r="Q60">
            <v>0.19440279999999999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0.2225007</v>
          </cell>
          <cell r="Y60">
            <v>0</v>
          </cell>
          <cell r="Z60">
            <v>0</v>
          </cell>
          <cell r="AA60">
            <v>0</v>
          </cell>
          <cell r="AB60">
            <v>5.9004000000000001E-2</v>
          </cell>
        </row>
        <row r="61">
          <cell r="A61">
            <v>11427000</v>
          </cell>
          <cell r="B61" t="str">
            <v>Yogurt, chocolate, nonfat milk</v>
          </cell>
          <cell r="I61">
            <v>170</v>
          </cell>
          <cell r="J61">
            <v>190.4</v>
          </cell>
          <cell r="K61">
            <v>1.1200000000000001</v>
          </cell>
          <cell r="L61">
            <v>0</v>
          </cell>
          <cell r="M61">
            <v>0</v>
          </cell>
          <cell r="N61">
            <v>0</v>
          </cell>
          <cell r="O61">
            <v>0.14960000000000001</v>
          </cell>
          <cell r="P61">
            <v>2.04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0.22950000000000001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>
            <v>11428000</v>
          </cell>
          <cell r="B62" t="str">
            <v>Yogurt, Greek, chocolate, nonfat</v>
          </cell>
          <cell r="I62">
            <v>170</v>
          </cell>
          <cell r="J62">
            <v>135.15</v>
          </cell>
          <cell r="K62">
            <v>0.79500000000000004</v>
          </cell>
          <cell r="L62">
            <v>0</v>
          </cell>
          <cell r="M62">
            <v>0.36102899999999999</v>
          </cell>
          <cell r="N62">
            <v>0</v>
          </cell>
          <cell r="O62">
            <v>0.168793</v>
          </cell>
          <cell r="P62">
            <v>1.4704999999999999</v>
          </cell>
          <cell r="Q62">
            <v>2.2627000000000001E-2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5.7578999999999998E-2</v>
          </cell>
          <cell r="Y62">
            <v>0</v>
          </cell>
          <cell r="Z62">
            <v>0</v>
          </cell>
          <cell r="AA62">
            <v>0</v>
          </cell>
          <cell r="AB62">
            <v>6.7320000000000001E-3</v>
          </cell>
        </row>
        <row r="63">
          <cell r="A63">
            <v>11430000</v>
          </cell>
          <cell r="B63" t="str">
            <v>Yogurt, NS as to type of milk, fruit</v>
          </cell>
          <cell r="I63">
            <v>170</v>
          </cell>
          <cell r="J63">
            <v>151.01532</v>
          </cell>
          <cell r="K63">
            <v>0.88832541176470592</v>
          </cell>
          <cell r="L63">
            <v>0.22437309999999999</v>
          </cell>
          <cell r="M63">
            <v>1.4978602999999999</v>
          </cell>
          <cell r="N63">
            <v>0</v>
          </cell>
          <cell r="O63">
            <v>0.27781470000000003</v>
          </cell>
          <cell r="P63">
            <v>0</v>
          </cell>
          <cell r="Q63">
            <v>6.5816100000000002E-2</v>
          </cell>
          <cell r="R63">
            <v>0</v>
          </cell>
          <cell r="S63">
            <v>0</v>
          </cell>
          <cell r="T63">
            <v>9.8087748999999995</v>
          </cell>
          <cell r="U63">
            <v>0</v>
          </cell>
          <cell r="V63">
            <v>0</v>
          </cell>
          <cell r="W63">
            <v>0</v>
          </cell>
          <cell r="X63">
            <v>0.111322</v>
          </cell>
          <cell r="Y63">
            <v>0</v>
          </cell>
          <cell r="Z63">
            <v>0</v>
          </cell>
          <cell r="AA63">
            <v>0</v>
          </cell>
          <cell r="AB63">
            <v>2.13536E-2</v>
          </cell>
        </row>
        <row r="64">
          <cell r="A64">
            <v>11431000</v>
          </cell>
          <cell r="B64" t="str">
            <v>Yogurt, whole milk, fruit</v>
          </cell>
          <cell r="I64">
            <v>170</v>
          </cell>
          <cell r="J64">
            <v>148.01903999999999</v>
          </cell>
          <cell r="K64">
            <v>0.87070023529411755</v>
          </cell>
          <cell r="L64">
            <v>0.2243753</v>
          </cell>
          <cell r="M64">
            <v>3.1373109000000001</v>
          </cell>
          <cell r="N64">
            <v>0</v>
          </cell>
          <cell r="O64">
            <v>0.18507560000000001</v>
          </cell>
          <cell r="P64">
            <v>0</v>
          </cell>
          <cell r="Q64">
            <v>0.13761689999999999</v>
          </cell>
          <cell r="R64">
            <v>0</v>
          </cell>
          <cell r="S64">
            <v>0</v>
          </cell>
          <cell r="T64">
            <v>9.8088730000000002</v>
          </cell>
          <cell r="U64">
            <v>0</v>
          </cell>
          <cell r="V64">
            <v>0</v>
          </cell>
          <cell r="W64">
            <v>0</v>
          </cell>
          <cell r="X64">
            <v>7.5415700000000002E-2</v>
          </cell>
          <cell r="Y64">
            <v>0</v>
          </cell>
          <cell r="Z64">
            <v>0</v>
          </cell>
          <cell r="AA64">
            <v>0</v>
          </cell>
          <cell r="AB64">
            <v>6.11236E-2</v>
          </cell>
        </row>
        <row r="65">
          <cell r="A65">
            <v>11432000</v>
          </cell>
          <cell r="B65" t="str">
            <v>Yogurt, low fat milk, fruit</v>
          </cell>
          <cell r="I65">
            <v>170</v>
          </cell>
          <cell r="J65">
            <v>151.01532</v>
          </cell>
          <cell r="K65">
            <v>0.88832541176470592</v>
          </cell>
          <cell r="L65">
            <v>0.22437309999999999</v>
          </cell>
          <cell r="M65">
            <v>1.4978602999999999</v>
          </cell>
          <cell r="N65">
            <v>0</v>
          </cell>
          <cell r="O65">
            <v>0.27781470000000003</v>
          </cell>
          <cell r="P65">
            <v>0</v>
          </cell>
          <cell r="Q65">
            <v>6.5816100000000002E-2</v>
          </cell>
          <cell r="R65">
            <v>0</v>
          </cell>
          <cell r="S65">
            <v>0</v>
          </cell>
          <cell r="T65">
            <v>9.8087748999999995</v>
          </cell>
          <cell r="U65">
            <v>0</v>
          </cell>
          <cell r="V65">
            <v>0</v>
          </cell>
          <cell r="W65">
            <v>0</v>
          </cell>
          <cell r="X65">
            <v>0.111322</v>
          </cell>
          <cell r="Y65">
            <v>0</v>
          </cell>
          <cell r="Z65">
            <v>0</v>
          </cell>
          <cell r="AA65">
            <v>0</v>
          </cell>
          <cell r="AB65">
            <v>2.1392700000000001E-2</v>
          </cell>
        </row>
        <row r="66">
          <cell r="A66">
            <v>11432500</v>
          </cell>
          <cell r="B66" t="str">
            <v>Yogurt, fruit, low fat milk, light</v>
          </cell>
          <cell r="I66">
            <v>170</v>
          </cell>
          <cell r="J66">
            <v>178.5</v>
          </cell>
          <cell r="K66">
            <v>1.05</v>
          </cell>
          <cell r="L66">
            <v>0</v>
          </cell>
          <cell r="M66">
            <v>1.5452999999999999</v>
          </cell>
          <cell r="N66">
            <v>0</v>
          </cell>
          <cell r="O66">
            <v>0.25840000000000002</v>
          </cell>
          <cell r="P66">
            <v>0</v>
          </cell>
          <cell r="Q66">
            <v>6.8000000000000005E-2</v>
          </cell>
          <cell r="R66">
            <v>0</v>
          </cell>
          <cell r="S66">
            <v>0</v>
          </cell>
          <cell r="T66">
            <v>14.79</v>
          </cell>
          <cell r="U66">
            <v>0</v>
          </cell>
          <cell r="V66">
            <v>0</v>
          </cell>
          <cell r="W66">
            <v>0</v>
          </cell>
          <cell r="X66">
            <v>9.8599999999999993E-2</v>
          </cell>
          <cell r="Y66">
            <v>0</v>
          </cell>
          <cell r="Z66">
            <v>0</v>
          </cell>
          <cell r="AA66">
            <v>0</v>
          </cell>
          <cell r="AB66">
            <v>2.70222E-2</v>
          </cell>
        </row>
        <row r="67">
          <cell r="A67">
            <v>11433000</v>
          </cell>
          <cell r="B67" t="str">
            <v>Yogurt, nonfat milk, fruit</v>
          </cell>
          <cell r="I67">
            <v>170</v>
          </cell>
          <cell r="J67">
            <v>140.54456999999999</v>
          </cell>
          <cell r="K67">
            <v>0.82673276470588231</v>
          </cell>
          <cell r="L67">
            <v>0.22437309999999999</v>
          </cell>
          <cell r="M67">
            <v>0.17555490000000001</v>
          </cell>
          <cell r="N67">
            <v>0</v>
          </cell>
          <cell r="O67">
            <v>0.30174780000000001</v>
          </cell>
          <cell r="P67">
            <v>0</v>
          </cell>
          <cell r="Q67">
            <v>7.4790999999999998E-3</v>
          </cell>
          <cell r="R67">
            <v>0</v>
          </cell>
          <cell r="S67">
            <v>0</v>
          </cell>
          <cell r="T67">
            <v>9.8087748999999995</v>
          </cell>
          <cell r="U67">
            <v>0</v>
          </cell>
          <cell r="V67">
            <v>0</v>
          </cell>
          <cell r="W67">
            <v>0</v>
          </cell>
          <cell r="X67">
            <v>0.1217927</v>
          </cell>
          <cell r="Y67">
            <v>0</v>
          </cell>
          <cell r="Z67">
            <v>0</v>
          </cell>
          <cell r="AA67">
            <v>0</v>
          </cell>
          <cell r="AB67">
            <v>3.7174999999999999E-3</v>
          </cell>
        </row>
        <row r="68">
          <cell r="A68">
            <v>11433500</v>
          </cell>
          <cell r="B68" t="str">
            <v>Yogurt, fruit, nonfat milk, light</v>
          </cell>
          <cell r="I68">
            <v>170</v>
          </cell>
          <cell r="J68">
            <v>77.010000000000005</v>
          </cell>
          <cell r="K68">
            <v>0.45300000000000001</v>
          </cell>
          <cell r="L68">
            <v>0.71399999999999997</v>
          </cell>
          <cell r="M68">
            <v>0.1598</v>
          </cell>
          <cell r="N68">
            <v>0</v>
          </cell>
          <cell r="O68">
            <v>0.22847999999999999</v>
          </cell>
          <cell r="P68">
            <v>0</v>
          </cell>
          <cell r="Q68">
            <v>2.5159999999999998E-2</v>
          </cell>
          <cell r="R68">
            <v>0</v>
          </cell>
          <cell r="S68">
            <v>0</v>
          </cell>
          <cell r="T68">
            <v>34</v>
          </cell>
          <cell r="U68">
            <v>0</v>
          </cell>
          <cell r="V68">
            <v>0</v>
          </cell>
          <cell r="W68">
            <v>0</v>
          </cell>
          <cell r="X68">
            <v>9.01E-2</v>
          </cell>
          <cell r="Y68">
            <v>0</v>
          </cell>
          <cell r="Z68">
            <v>0</v>
          </cell>
          <cell r="AA68">
            <v>0</v>
          </cell>
          <cell r="AB68">
            <v>3.1549999999999998E-3</v>
          </cell>
        </row>
        <row r="69">
          <cell r="A69">
            <v>11433990</v>
          </cell>
          <cell r="B69" t="str">
            <v>Yogurt, Greek, NS as to type of milk, fruit</v>
          </cell>
          <cell r="I69">
            <v>170</v>
          </cell>
          <cell r="J69">
            <v>175.1</v>
          </cell>
          <cell r="K69">
            <v>1.03</v>
          </cell>
          <cell r="L69">
            <v>1.7</v>
          </cell>
          <cell r="M69">
            <v>2.7183000000000002</v>
          </cell>
          <cell r="N69">
            <v>0</v>
          </cell>
          <cell r="O69">
            <v>0.14960000000000001</v>
          </cell>
          <cell r="P69">
            <v>0</v>
          </cell>
          <cell r="Q69">
            <v>0.19209999999999999</v>
          </cell>
          <cell r="R69">
            <v>0</v>
          </cell>
          <cell r="S69">
            <v>0</v>
          </cell>
          <cell r="T69">
            <v>14.79</v>
          </cell>
          <cell r="U69">
            <v>0</v>
          </cell>
          <cell r="V69">
            <v>0</v>
          </cell>
          <cell r="W69">
            <v>0</v>
          </cell>
          <cell r="X69">
            <v>5.6099999999999997E-2</v>
          </cell>
          <cell r="Y69">
            <v>0</v>
          </cell>
          <cell r="Z69">
            <v>0</v>
          </cell>
          <cell r="AA69">
            <v>0</v>
          </cell>
          <cell r="AB69">
            <v>0.1258</v>
          </cell>
        </row>
        <row r="70">
          <cell r="A70">
            <v>11434000</v>
          </cell>
          <cell r="B70" t="str">
            <v>Yogurt, Greek, whole milk, fruit</v>
          </cell>
          <cell r="I70">
            <v>170</v>
          </cell>
          <cell r="J70">
            <v>180.2</v>
          </cell>
          <cell r="K70">
            <v>1.0599999999999998</v>
          </cell>
          <cell r="L70">
            <v>0</v>
          </cell>
          <cell r="M70">
            <v>2.7183000000000002</v>
          </cell>
          <cell r="N70">
            <v>0</v>
          </cell>
          <cell r="O70">
            <v>0.17</v>
          </cell>
          <cell r="P70">
            <v>0</v>
          </cell>
          <cell r="Q70">
            <v>0.37230000000000002</v>
          </cell>
          <cell r="R70">
            <v>0</v>
          </cell>
          <cell r="S70">
            <v>0</v>
          </cell>
          <cell r="T70">
            <v>14.79</v>
          </cell>
          <cell r="U70">
            <v>0</v>
          </cell>
          <cell r="V70">
            <v>0</v>
          </cell>
          <cell r="W70">
            <v>0</v>
          </cell>
          <cell r="X70">
            <v>6.2899999999999998E-2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</row>
        <row r="71">
          <cell r="A71">
            <v>11434010</v>
          </cell>
          <cell r="B71" t="str">
            <v>Yogurt, Greek, low fat milk, fruit</v>
          </cell>
          <cell r="I71">
            <v>170</v>
          </cell>
          <cell r="J71">
            <v>175.1</v>
          </cell>
          <cell r="K71">
            <v>1.03</v>
          </cell>
          <cell r="L71">
            <v>1.7</v>
          </cell>
          <cell r="M71">
            <v>2.7183000000000002</v>
          </cell>
          <cell r="N71">
            <v>0</v>
          </cell>
          <cell r="O71">
            <v>0.14960000000000001</v>
          </cell>
          <cell r="P71">
            <v>0</v>
          </cell>
          <cell r="Q71">
            <v>0.19209999999999999</v>
          </cell>
          <cell r="R71">
            <v>0</v>
          </cell>
          <cell r="S71">
            <v>0</v>
          </cell>
          <cell r="T71">
            <v>14.79</v>
          </cell>
          <cell r="U71">
            <v>0</v>
          </cell>
          <cell r="V71">
            <v>0</v>
          </cell>
          <cell r="W71">
            <v>0</v>
          </cell>
          <cell r="X71">
            <v>5.6099999999999997E-2</v>
          </cell>
          <cell r="Y71">
            <v>0</v>
          </cell>
          <cell r="Z71">
            <v>0</v>
          </cell>
          <cell r="AA71">
            <v>0</v>
          </cell>
          <cell r="AB71">
            <v>0.1258</v>
          </cell>
        </row>
        <row r="72">
          <cell r="A72">
            <v>11434020</v>
          </cell>
          <cell r="B72" t="str">
            <v>Yogurt, Greek, nonfat milk, fruit</v>
          </cell>
          <cell r="I72">
            <v>170</v>
          </cell>
          <cell r="J72">
            <v>139.4</v>
          </cell>
          <cell r="K72">
            <v>0.82000000000000006</v>
          </cell>
          <cell r="L72">
            <v>1.02</v>
          </cell>
          <cell r="M72">
            <v>0.17849999999999999</v>
          </cell>
          <cell r="N72">
            <v>0</v>
          </cell>
          <cell r="O72">
            <v>0.16489999999999999</v>
          </cell>
          <cell r="P72">
            <v>0</v>
          </cell>
          <cell r="Q72">
            <v>2.3800000000000002E-2</v>
          </cell>
          <cell r="R72">
            <v>0</v>
          </cell>
          <cell r="S72">
            <v>0</v>
          </cell>
          <cell r="T72">
            <v>14.79</v>
          </cell>
          <cell r="U72">
            <v>0</v>
          </cell>
          <cell r="V72">
            <v>0</v>
          </cell>
          <cell r="W72">
            <v>0</v>
          </cell>
          <cell r="X72">
            <v>5.6099999999999997E-2</v>
          </cell>
          <cell r="Y72">
            <v>0</v>
          </cell>
          <cell r="Z72">
            <v>0</v>
          </cell>
          <cell r="AA72">
            <v>0</v>
          </cell>
          <cell r="AB72">
            <v>1.6999999999999999E-3</v>
          </cell>
        </row>
        <row r="73">
          <cell r="A73">
            <v>11434090</v>
          </cell>
          <cell r="B73" t="str">
            <v>Yogurt, NS as to type of milk, flavors other than fruit</v>
          </cell>
          <cell r="I73">
            <v>170</v>
          </cell>
          <cell r="J73">
            <v>123.68259999999999</v>
          </cell>
          <cell r="K73">
            <v>0.72754470588235287</v>
          </cell>
          <cell r="L73">
            <v>0</v>
          </cell>
          <cell r="M73">
            <v>1.6488020999999999</v>
          </cell>
          <cell r="N73">
            <v>0</v>
          </cell>
          <cell r="O73">
            <v>0.30178179999999999</v>
          </cell>
          <cell r="P73">
            <v>0</v>
          </cell>
          <cell r="Q73">
            <v>7.2547299999999995E-2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0.1155544</v>
          </cell>
          <cell r="Y73">
            <v>0</v>
          </cell>
          <cell r="Z73">
            <v>0</v>
          </cell>
          <cell r="AA73">
            <v>0</v>
          </cell>
          <cell r="AB73">
            <v>2.8778000000000001E-2</v>
          </cell>
        </row>
        <row r="74">
          <cell r="A74">
            <v>11434100</v>
          </cell>
          <cell r="B74" t="str">
            <v>Yogurt, whole milk, flavors other than fruit</v>
          </cell>
          <cell r="I74">
            <v>170</v>
          </cell>
          <cell r="J74">
            <v>131.46286000000001</v>
          </cell>
          <cell r="K74">
            <v>0.77331094117647059</v>
          </cell>
          <cell r="L74">
            <v>0</v>
          </cell>
          <cell r="M74">
            <v>3.3846677000000001</v>
          </cell>
          <cell r="N74">
            <v>0</v>
          </cell>
          <cell r="O74">
            <v>0.1954785</v>
          </cell>
          <cell r="P74">
            <v>0</v>
          </cell>
          <cell r="Q74">
            <v>0.14856369999999999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7.4446799999999994E-2</v>
          </cell>
          <cell r="Y74">
            <v>0</v>
          </cell>
          <cell r="Z74">
            <v>0</v>
          </cell>
          <cell r="AA74">
            <v>0</v>
          </cell>
          <cell r="AB74">
            <v>5.9098900000000003E-2</v>
          </cell>
        </row>
        <row r="75">
          <cell r="A75">
            <v>11434200</v>
          </cell>
          <cell r="B75" t="str">
            <v>Yogurt, low fat milk, flavors other than fruit</v>
          </cell>
          <cell r="I75">
            <v>170</v>
          </cell>
          <cell r="J75">
            <v>123.68259999999999</v>
          </cell>
          <cell r="K75">
            <v>0.72754470588235287</v>
          </cell>
          <cell r="L75">
            <v>0</v>
          </cell>
          <cell r="M75">
            <v>1.6488020999999999</v>
          </cell>
          <cell r="N75">
            <v>0</v>
          </cell>
          <cell r="O75">
            <v>0.30178179999999999</v>
          </cell>
          <cell r="P75">
            <v>0</v>
          </cell>
          <cell r="Q75">
            <v>7.2547299999999995E-2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0.1155544</v>
          </cell>
          <cell r="Y75">
            <v>0</v>
          </cell>
          <cell r="Z75">
            <v>0</v>
          </cell>
          <cell r="AA75">
            <v>0</v>
          </cell>
          <cell r="AB75">
            <v>2.87788E-2</v>
          </cell>
        </row>
        <row r="76">
          <cell r="A76">
            <v>11434300</v>
          </cell>
          <cell r="B76" t="str">
            <v>Yogurt, nonfat milk, flavors other than fruit</v>
          </cell>
          <cell r="I76">
            <v>170</v>
          </cell>
          <cell r="J76">
            <v>112.14098</v>
          </cell>
          <cell r="K76">
            <v>0.65965282352941179</v>
          </cell>
          <cell r="L76">
            <v>0</v>
          </cell>
          <cell r="M76">
            <v>0.19126099999999999</v>
          </cell>
          <cell r="N76">
            <v>0</v>
          </cell>
          <cell r="O76">
            <v>0.32816260000000003</v>
          </cell>
          <cell r="P76">
            <v>0</v>
          </cell>
          <cell r="Q76">
            <v>8.2439999999999996E-3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0.12709609999999999</v>
          </cell>
          <cell r="Y76">
            <v>0</v>
          </cell>
          <cell r="Z76">
            <v>0</v>
          </cell>
          <cell r="AA76">
            <v>0</v>
          </cell>
          <cell r="AB76">
            <v>3.3611000000000001E-3</v>
          </cell>
        </row>
        <row r="77">
          <cell r="A77">
            <v>11435000</v>
          </cell>
          <cell r="B77" t="str">
            <v>Yogurt, Greek, NS as to type of milk, flavors other than fruit</v>
          </cell>
          <cell r="I77">
            <v>170</v>
          </cell>
          <cell r="J77">
            <v>161.5</v>
          </cell>
          <cell r="K77">
            <v>0.95</v>
          </cell>
          <cell r="L77">
            <v>0</v>
          </cell>
          <cell r="M77">
            <v>2.4904999999999999</v>
          </cell>
          <cell r="N77">
            <v>0</v>
          </cell>
          <cell r="O77">
            <v>0.17</v>
          </cell>
          <cell r="P77">
            <v>0</v>
          </cell>
          <cell r="Q77">
            <v>0.34510000000000002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6.8000000000000005E-2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</row>
        <row r="78">
          <cell r="A78">
            <v>11435010</v>
          </cell>
          <cell r="B78" t="str">
            <v>Yogurt, Greek, whole milk, flavors other than fruit</v>
          </cell>
          <cell r="I78">
            <v>170</v>
          </cell>
          <cell r="J78">
            <v>188.054</v>
          </cell>
          <cell r="K78">
            <v>1.1062000000000001</v>
          </cell>
          <cell r="L78">
            <v>0</v>
          </cell>
          <cell r="M78">
            <v>4.546106</v>
          </cell>
          <cell r="N78">
            <v>0</v>
          </cell>
          <cell r="O78">
            <v>0.166736</v>
          </cell>
          <cell r="P78">
            <v>0</v>
          </cell>
          <cell r="Q78">
            <v>0.46379399999999998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6.6708000000000003E-2</v>
          </cell>
          <cell r="Y78">
            <v>0</v>
          </cell>
          <cell r="Z78">
            <v>0</v>
          </cell>
          <cell r="AA78">
            <v>0</v>
          </cell>
          <cell r="AB78">
            <v>8.5042300000000001E-2</v>
          </cell>
        </row>
        <row r="79">
          <cell r="A79">
            <v>11435020</v>
          </cell>
          <cell r="B79" t="str">
            <v>Yogurt, Greek, low fat milk, flavors other than fruit</v>
          </cell>
          <cell r="I79">
            <v>170</v>
          </cell>
          <cell r="J79">
            <v>161.5</v>
          </cell>
          <cell r="K79">
            <v>0.95</v>
          </cell>
          <cell r="L79">
            <v>0</v>
          </cell>
          <cell r="M79">
            <v>2.4904999999999999</v>
          </cell>
          <cell r="N79">
            <v>0</v>
          </cell>
          <cell r="O79">
            <v>0.17</v>
          </cell>
          <cell r="P79">
            <v>0</v>
          </cell>
          <cell r="Q79">
            <v>0.34510000000000002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6.8000000000000005E-2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</row>
        <row r="80">
          <cell r="A80">
            <v>11435030</v>
          </cell>
          <cell r="B80" t="str">
            <v>Yogurt, Greek, nonfat milk, flavors other than fruit</v>
          </cell>
          <cell r="I80">
            <v>170</v>
          </cell>
          <cell r="J80">
            <v>132.6</v>
          </cell>
          <cell r="K80">
            <v>0.77999999999999992</v>
          </cell>
          <cell r="L80">
            <v>0</v>
          </cell>
          <cell r="M80">
            <v>0.2261</v>
          </cell>
          <cell r="N80">
            <v>0</v>
          </cell>
          <cell r="O80">
            <v>0.16830000000000001</v>
          </cell>
          <cell r="P80">
            <v>0.85</v>
          </cell>
          <cell r="Q80">
            <v>1.5299999999999999E-2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5.7799999999999997E-2</v>
          </cell>
          <cell r="Y80">
            <v>0</v>
          </cell>
          <cell r="Z80">
            <v>0</v>
          </cell>
          <cell r="AA80">
            <v>0</v>
          </cell>
          <cell r="AB80">
            <v>6.7999999999999996E-3</v>
          </cell>
        </row>
        <row r="81">
          <cell r="A81">
            <v>11436000</v>
          </cell>
          <cell r="B81" t="str">
            <v>Yogurt, liquid</v>
          </cell>
          <cell r="I81">
            <v>170</v>
          </cell>
          <cell r="J81">
            <v>122.28877</v>
          </cell>
          <cell r="K81">
            <v>0.71934570588235291</v>
          </cell>
          <cell r="L81">
            <v>0.18697759999999999</v>
          </cell>
          <cell r="M81">
            <v>1.191557</v>
          </cell>
          <cell r="N81">
            <v>0</v>
          </cell>
          <cell r="O81">
            <v>0.22216330000000001</v>
          </cell>
          <cell r="P81">
            <v>0</v>
          </cell>
          <cell r="Q81">
            <v>5.2353700000000003E-2</v>
          </cell>
          <cell r="R81">
            <v>0</v>
          </cell>
          <cell r="S81">
            <v>0</v>
          </cell>
          <cell r="T81">
            <v>8.1739791000000004</v>
          </cell>
          <cell r="U81">
            <v>0</v>
          </cell>
          <cell r="V81">
            <v>0</v>
          </cell>
          <cell r="W81">
            <v>0</v>
          </cell>
          <cell r="X81">
            <v>9.0176500000000007E-2</v>
          </cell>
          <cell r="Y81">
            <v>0</v>
          </cell>
          <cell r="Z81">
            <v>0</v>
          </cell>
          <cell r="AA81">
            <v>0</v>
          </cell>
          <cell r="AB81">
            <v>2.0934700000000001E-2</v>
          </cell>
        </row>
        <row r="82">
          <cell r="A82">
            <v>11440010</v>
          </cell>
          <cell r="B82" t="str">
            <v>Chipotle dip, yogurt based</v>
          </cell>
          <cell r="I82">
            <v>30</v>
          </cell>
          <cell r="J82">
            <v>56.689255000000003</v>
          </cell>
          <cell r="K82">
            <v>1.8896418333333334</v>
          </cell>
          <cell r="L82">
            <v>8.7124999999999998E-3</v>
          </cell>
          <cell r="M82">
            <v>0.96576189999999995</v>
          </cell>
          <cell r="N82">
            <v>0</v>
          </cell>
          <cell r="O82">
            <v>2.7354900000000001E-2</v>
          </cell>
          <cell r="P82">
            <v>0</v>
          </cell>
          <cell r="Q82">
            <v>2.6147860999999999</v>
          </cell>
          <cell r="R82">
            <v>0</v>
          </cell>
          <cell r="S82">
            <v>0</v>
          </cell>
          <cell r="T82">
            <v>0</v>
          </cell>
          <cell r="U82">
            <v>0.58083249999999997</v>
          </cell>
          <cell r="V82">
            <v>0</v>
          </cell>
          <cell r="W82">
            <v>0</v>
          </cell>
          <cell r="X82">
            <v>0.1911619</v>
          </cell>
          <cell r="Y82">
            <v>0</v>
          </cell>
          <cell r="Z82">
            <v>0</v>
          </cell>
          <cell r="AA82">
            <v>0</v>
          </cell>
          <cell r="AB82">
            <v>2.4801500000000001E-2</v>
          </cell>
        </row>
        <row r="83">
          <cell r="A83">
            <v>11440040</v>
          </cell>
          <cell r="B83" t="str">
            <v>Ranch dip, yogurt based</v>
          </cell>
          <cell r="I83">
            <v>30</v>
          </cell>
          <cell r="J83">
            <v>58.428848000000002</v>
          </cell>
          <cell r="K83">
            <v>1.9476282666666667</v>
          </cell>
          <cell r="L83">
            <v>0</v>
          </cell>
          <cell r="M83">
            <v>0.97996899999999998</v>
          </cell>
          <cell r="N83">
            <v>0</v>
          </cell>
          <cell r="O83">
            <v>3.4022799999999999E-2</v>
          </cell>
          <cell r="P83">
            <v>7.7541100000000002E-2</v>
          </cell>
          <cell r="Q83">
            <v>2.6230948999999999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0.1939237</v>
          </cell>
          <cell r="Y83">
            <v>0</v>
          </cell>
          <cell r="Z83">
            <v>0</v>
          </cell>
          <cell r="AA83">
            <v>0</v>
          </cell>
          <cell r="AB83">
            <v>2.4801500000000001E-2</v>
          </cell>
        </row>
        <row r="84">
          <cell r="A84">
            <v>11440050</v>
          </cell>
          <cell r="B84" t="str">
            <v>Spinach dip, yogurt based</v>
          </cell>
          <cell r="I84">
            <v>30</v>
          </cell>
          <cell r="J84">
            <v>47.512414</v>
          </cell>
          <cell r="K84">
            <v>1.5837471333333333</v>
          </cell>
          <cell r="L84">
            <v>8.4539199999999995E-2</v>
          </cell>
          <cell r="M84">
            <v>0.81948710000000002</v>
          </cell>
          <cell r="N84">
            <v>0</v>
          </cell>
          <cell r="O84">
            <v>3.0373799999999999E-2</v>
          </cell>
          <cell r="P84">
            <v>0</v>
          </cell>
          <cell r="Q84">
            <v>2.0692021</v>
          </cell>
          <cell r="R84">
            <v>0</v>
          </cell>
          <cell r="S84">
            <v>0</v>
          </cell>
          <cell r="T84">
            <v>0</v>
          </cell>
          <cell r="U84">
            <v>2.2848438999999998</v>
          </cell>
          <cell r="V84">
            <v>0</v>
          </cell>
          <cell r="W84">
            <v>0</v>
          </cell>
          <cell r="X84">
            <v>0.15460670000000001</v>
          </cell>
          <cell r="Y84">
            <v>0</v>
          </cell>
          <cell r="Z84">
            <v>0</v>
          </cell>
          <cell r="AA84">
            <v>0</v>
          </cell>
          <cell r="AB84">
            <v>2.0949700000000002E-2</v>
          </cell>
        </row>
        <row r="85">
          <cell r="A85">
            <v>11440060</v>
          </cell>
          <cell r="B85" t="str">
            <v>Tzatziki dip</v>
          </cell>
          <cell r="I85">
            <v>30</v>
          </cell>
          <cell r="J85">
            <v>27.633704000000002</v>
          </cell>
          <cell r="K85">
            <v>0.92112346666666667</v>
          </cell>
          <cell r="L85">
            <v>6.1888899999999997E-2</v>
          </cell>
          <cell r="M85">
            <v>0.55132700000000001</v>
          </cell>
          <cell r="N85">
            <v>0</v>
          </cell>
          <cell r="O85">
            <v>1.9128900000000001E-2</v>
          </cell>
          <cell r="P85">
            <v>0</v>
          </cell>
          <cell r="Q85">
            <v>0.19238810000000001</v>
          </cell>
          <cell r="R85">
            <v>0</v>
          </cell>
          <cell r="S85">
            <v>0</v>
          </cell>
          <cell r="T85">
            <v>0.55555560000000004</v>
          </cell>
          <cell r="U85">
            <v>11.333333</v>
          </cell>
          <cell r="V85">
            <v>0</v>
          </cell>
          <cell r="W85">
            <v>0</v>
          </cell>
          <cell r="X85">
            <v>9.2313300000000001E-2</v>
          </cell>
          <cell r="Y85">
            <v>0</v>
          </cell>
          <cell r="Z85">
            <v>0</v>
          </cell>
          <cell r="AA85">
            <v>0</v>
          </cell>
          <cell r="AB85">
            <v>1.4852499999999999E-2</v>
          </cell>
        </row>
        <row r="86">
          <cell r="A86">
            <v>11446000</v>
          </cell>
          <cell r="B86" t="str">
            <v>Yogurt parfait, low fat, with fruit</v>
          </cell>
          <cell r="I86">
            <v>170</v>
          </cell>
          <cell r="J86">
            <v>142.85160999999999</v>
          </cell>
          <cell r="K86">
            <v>0.84030358823529405</v>
          </cell>
          <cell r="L86">
            <v>1.8697942999999999</v>
          </cell>
          <cell r="M86">
            <v>0.89240180000000002</v>
          </cell>
          <cell r="N86">
            <v>0</v>
          </cell>
          <cell r="O86">
            <v>0.17848040000000001</v>
          </cell>
          <cell r="P86">
            <v>0</v>
          </cell>
          <cell r="Q86">
            <v>0.20737720000000001</v>
          </cell>
          <cell r="R86">
            <v>1.6318204999999999</v>
          </cell>
          <cell r="S86">
            <v>0</v>
          </cell>
          <cell r="T86">
            <v>71.477137999999997</v>
          </cell>
          <cell r="U86">
            <v>0</v>
          </cell>
          <cell r="V86">
            <v>0</v>
          </cell>
          <cell r="W86">
            <v>0</v>
          </cell>
          <cell r="X86">
            <v>8.3370899999999998E-2</v>
          </cell>
          <cell r="Y86">
            <v>0</v>
          </cell>
          <cell r="Z86">
            <v>0</v>
          </cell>
          <cell r="AA86">
            <v>0</v>
          </cell>
          <cell r="AB86">
            <v>1.9397600000000001E-2</v>
          </cell>
        </row>
        <row r="87">
          <cell r="A87">
            <v>11459990</v>
          </cell>
          <cell r="B87" t="str">
            <v>Yogurt, frozen, NS as to flavor, NS as to type of milk</v>
          </cell>
          <cell r="I87">
            <v>96</v>
          </cell>
          <cell r="J87">
            <v>133.44</v>
          </cell>
          <cell r="K87">
            <v>1.39</v>
          </cell>
          <cell r="L87">
            <v>0</v>
          </cell>
          <cell r="M87">
            <v>1.4486399999999999</v>
          </cell>
          <cell r="N87">
            <v>0</v>
          </cell>
          <cell r="O87">
            <v>0.192</v>
          </cell>
          <cell r="P87">
            <v>0</v>
          </cell>
          <cell r="Q87">
            <v>6.6239999999999993E-2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4.3200000000000002E-2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</row>
        <row r="88">
          <cell r="A88">
            <v>11460000</v>
          </cell>
          <cell r="B88" t="str">
            <v>Yogurt, frozen, flavors other than chocolate, NS as to type of milk</v>
          </cell>
          <cell r="I88">
            <v>96</v>
          </cell>
          <cell r="J88">
            <v>121.92</v>
          </cell>
          <cell r="K88">
            <v>1.27</v>
          </cell>
          <cell r="L88">
            <v>0</v>
          </cell>
          <cell r="M88">
            <v>2.2329599999999998</v>
          </cell>
          <cell r="N88">
            <v>0</v>
          </cell>
          <cell r="O88">
            <v>9.6000000000000002E-2</v>
          </cell>
          <cell r="P88">
            <v>0</v>
          </cell>
          <cell r="Q88">
            <v>9.6000000000000002E-2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6.0479999999999999E-2</v>
          </cell>
          <cell r="Y88">
            <v>0</v>
          </cell>
          <cell r="Z88">
            <v>0</v>
          </cell>
          <cell r="AA88">
            <v>0</v>
          </cell>
          <cell r="AB88">
            <v>7.3922199999999993E-2</v>
          </cell>
        </row>
        <row r="89">
          <cell r="A89">
            <v>11460100</v>
          </cell>
          <cell r="B89" t="str">
            <v>Yogurt, frozen, chocolate, NS as to type of milk</v>
          </cell>
          <cell r="I89">
            <v>96</v>
          </cell>
          <cell r="J89">
            <v>121.92</v>
          </cell>
          <cell r="K89">
            <v>1.27</v>
          </cell>
          <cell r="L89">
            <v>0</v>
          </cell>
          <cell r="M89">
            <v>2.1811199999999999</v>
          </cell>
          <cell r="N89">
            <v>0</v>
          </cell>
          <cell r="O89">
            <v>9.6000000000000002E-2</v>
          </cell>
          <cell r="P89">
            <v>2.2080000000000002</v>
          </cell>
          <cell r="Q89">
            <v>9.7919999999999993E-2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6.0479999999999999E-2</v>
          </cell>
          <cell r="Y89">
            <v>0</v>
          </cell>
          <cell r="Z89">
            <v>0</v>
          </cell>
          <cell r="AA89">
            <v>0</v>
          </cell>
          <cell r="AB89">
            <v>0.10484309999999999</v>
          </cell>
        </row>
        <row r="90">
          <cell r="A90">
            <v>11460160</v>
          </cell>
          <cell r="B90" t="str">
            <v>Yogurt, frozen, chocolate, lowfat milk</v>
          </cell>
          <cell r="I90">
            <v>96</v>
          </cell>
          <cell r="J90">
            <v>108.75264</v>
          </cell>
          <cell r="K90">
            <v>1.1328400000000001</v>
          </cell>
          <cell r="L90">
            <v>0</v>
          </cell>
          <cell r="M90">
            <v>1.1726592</v>
          </cell>
          <cell r="N90">
            <v>0</v>
          </cell>
          <cell r="O90">
            <v>0.14937220000000001</v>
          </cell>
          <cell r="P90">
            <v>1.487616</v>
          </cell>
          <cell r="Q90">
            <v>5.5518699999999997E-2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5.60429E-2</v>
          </cell>
          <cell r="Y90">
            <v>0</v>
          </cell>
          <cell r="Z90">
            <v>0</v>
          </cell>
          <cell r="AA90">
            <v>0</v>
          </cell>
          <cell r="AB90">
            <v>5.6729099999999998E-2</v>
          </cell>
        </row>
        <row r="91">
          <cell r="A91">
            <v>11460170</v>
          </cell>
          <cell r="B91" t="str">
            <v>Yogurt, frozen, flavors other than chocolate, lowfat milk</v>
          </cell>
          <cell r="I91">
            <v>96</v>
          </cell>
          <cell r="J91">
            <v>133.44</v>
          </cell>
          <cell r="K91">
            <v>1.39</v>
          </cell>
          <cell r="L91">
            <v>0</v>
          </cell>
          <cell r="M91">
            <v>1.4486399999999999</v>
          </cell>
          <cell r="N91">
            <v>0</v>
          </cell>
          <cell r="O91">
            <v>0.192</v>
          </cell>
          <cell r="P91">
            <v>0</v>
          </cell>
          <cell r="Q91">
            <v>6.6239999999999993E-2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4.3200000000000002E-2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A92">
            <v>11460250</v>
          </cell>
          <cell r="B92" t="str">
            <v>Yogurt, frozen, flavors other than chocolate, with sorbet or sorbet-coated</v>
          </cell>
          <cell r="I92">
            <v>96</v>
          </cell>
          <cell r="J92">
            <v>146.01599999999999</v>
          </cell>
          <cell r="K92">
            <v>1.5209999999999999</v>
          </cell>
          <cell r="L92">
            <v>0.28799999999999998</v>
          </cell>
          <cell r="M92">
            <v>1.966944</v>
          </cell>
          <cell r="N92">
            <v>0</v>
          </cell>
          <cell r="O92">
            <v>0.10963199999999999</v>
          </cell>
          <cell r="P92">
            <v>0.2016</v>
          </cell>
          <cell r="Q92">
            <v>0.155808</v>
          </cell>
          <cell r="R92">
            <v>0</v>
          </cell>
          <cell r="S92">
            <v>0</v>
          </cell>
          <cell r="T92">
            <v>2.4192</v>
          </cell>
          <cell r="U92">
            <v>0</v>
          </cell>
          <cell r="V92">
            <v>0</v>
          </cell>
          <cell r="W92">
            <v>0</v>
          </cell>
          <cell r="X92">
            <v>5.0880000000000002E-2</v>
          </cell>
          <cell r="Y92">
            <v>0</v>
          </cell>
          <cell r="Z92">
            <v>0</v>
          </cell>
          <cell r="AA92">
            <v>0</v>
          </cell>
          <cell r="AB92">
            <v>0.1302101</v>
          </cell>
        </row>
        <row r="93">
          <cell r="A93">
            <v>11460300</v>
          </cell>
          <cell r="B93" t="str">
            <v>Yogurt, frozen, flavors other than chocolate, nonfat milk</v>
          </cell>
          <cell r="I93">
            <v>96</v>
          </cell>
          <cell r="J93">
            <v>99.84</v>
          </cell>
          <cell r="K93">
            <v>1.04</v>
          </cell>
          <cell r="L93">
            <v>0</v>
          </cell>
          <cell r="M93">
            <v>0.46848000000000001</v>
          </cell>
          <cell r="N93">
            <v>0</v>
          </cell>
          <cell r="O93">
            <v>0.15264</v>
          </cell>
          <cell r="P93">
            <v>1.92</v>
          </cell>
          <cell r="Q93">
            <v>2.8799999999999999E-2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7.7759999999999996E-2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A94">
            <v>11460410</v>
          </cell>
          <cell r="B94" t="str">
            <v>Yogurt, frozen, flavors other than chocolate, nonfat milk, with low-calorie sweetener</v>
          </cell>
          <cell r="I94">
            <v>96</v>
          </cell>
          <cell r="J94">
            <v>99.84</v>
          </cell>
          <cell r="K94">
            <v>1.04</v>
          </cell>
          <cell r="L94">
            <v>0</v>
          </cell>
          <cell r="M94">
            <v>0.46848000000000001</v>
          </cell>
          <cell r="N94">
            <v>0</v>
          </cell>
          <cell r="O94">
            <v>0.15264</v>
          </cell>
          <cell r="P94">
            <v>1.92</v>
          </cell>
          <cell r="Q94">
            <v>2.8799999999999999E-2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7.7759999999999996E-2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</row>
        <row r="95">
          <cell r="A95">
            <v>11461000</v>
          </cell>
          <cell r="B95" t="str">
            <v>Yogurt, frozen, chocolate-coated</v>
          </cell>
          <cell r="I95">
            <v>41</v>
          </cell>
          <cell r="J95">
            <v>110.64219</v>
          </cell>
          <cell r="K95">
            <v>2.6985899999999998</v>
          </cell>
          <cell r="L95">
            <v>1.138E-17</v>
          </cell>
          <cell r="M95">
            <v>5.3448653999999998</v>
          </cell>
          <cell r="N95">
            <v>0</v>
          </cell>
          <cell r="O95">
            <v>4.5984799999999999E-2</v>
          </cell>
          <cell r="P95">
            <v>9.7293000000000004E-2</v>
          </cell>
          <cell r="Q95">
            <v>0.1397661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2.8021500000000001E-2</v>
          </cell>
          <cell r="Y95">
            <v>0</v>
          </cell>
          <cell r="Z95">
            <v>0</v>
          </cell>
          <cell r="AA95">
            <v>0</v>
          </cell>
          <cell r="AB95">
            <v>0.14436860000000001</v>
          </cell>
        </row>
        <row r="96">
          <cell r="A96">
            <v>11461250</v>
          </cell>
          <cell r="B96" t="str">
            <v>Yogurt, frozen, cone, chocolate</v>
          </cell>
          <cell r="I96">
            <v>118</v>
          </cell>
          <cell r="J96">
            <v>265.21791000000002</v>
          </cell>
          <cell r="K96">
            <v>2.2476094067796613</v>
          </cell>
          <cell r="L96">
            <v>0</v>
          </cell>
          <cell r="M96">
            <v>6.3719562999999999</v>
          </cell>
          <cell r="N96">
            <v>0</v>
          </cell>
          <cell r="O96">
            <v>0.1516797</v>
          </cell>
          <cell r="P96">
            <v>1.7860247</v>
          </cell>
          <cell r="Q96">
            <v>0.53837800000000002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0.12468</v>
          </cell>
          <cell r="Y96">
            <v>0</v>
          </cell>
          <cell r="Z96">
            <v>0</v>
          </cell>
          <cell r="AA96">
            <v>0</v>
          </cell>
          <cell r="AB96">
            <v>0.58776790000000001</v>
          </cell>
        </row>
        <row r="97">
          <cell r="A97">
            <v>11461260</v>
          </cell>
          <cell r="B97" t="str">
            <v>Yogurt, frozen, cone, flavors other than chocolate</v>
          </cell>
          <cell r="I97">
            <v>118</v>
          </cell>
          <cell r="J97">
            <v>222.58829</v>
          </cell>
          <cell r="K97">
            <v>1.8863414406779662</v>
          </cell>
          <cell r="L97">
            <v>0</v>
          </cell>
          <cell r="M97">
            <v>3.6259098000000001</v>
          </cell>
          <cell r="N97">
            <v>0</v>
          </cell>
          <cell r="O97">
            <v>0.15449370000000001</v>
          </cell>
          <cell r="P97">
            <v>0.24463409999999999</v>
          </cell>
          <cell r="Q97">
            <v>0.42652679999999998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0.13302340000000001</v>
          </cell>
          <cell r="Y97">
            <v>0</v>
          </cell>
          <cell r="Z97">
            <v>0</v>
          </cell>
          <cell r="AA97">
            <v>0</v>
          </cell>
          <cell r="AB97">
            <v>0.20114409999999999</v>
          </cell>
        </row>
        <row r="98">
          <cell r="A98">
            <v>11461270</v>
          </cell>
          <cell r="B98" t="str">
            <v>Yogurt, frozen, cone, flavors other than chocolate, lowfat milk</v>
          </cell>
          <cell r="I98">
            <v>118</v>
          </cell>
          <cell r="J98">
            <v>98.881050000000002</v>
          </cell>
          <cell r="K98">
            <v>0.83797500000000003</v>
          </cell>
          <cell r="L98">
            <v>0</v>
          </cell>
          <cell r="M98">
            <v>1.1953902000000001</v>
          </cell>
          <cell r="N98">
            <v>0</v>
          </cell>
          <cell r="O98">
            <v>0.20498669999999999</v>
          </cell>
          <cell r="P98">
            <v>0.20797499999999999</v>
          </cell>
          <cell r="Q98">
            <v>0.27514650000000002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9.5494499999999996E-2</v>
          </cell>
          <cell r="Y98">
            <v>0</v>
          </cell>
          <cell r="Z98">
            <v>0</v>
          </cell>
          <cell r="AA98">
            <v>0</v>
          </cell>
          <cell r="AB98">
            <v>5.2896600000000002E-2</v>
          </cell>
        </row>
        <row r="99">
          <cell r="A99">
            <v>11511000</v>
          </cell>
          <cell r="B99" t="str">
            <v>Chocolate milk, NFS</v>
          </cell>
          <cell r="I99">
            <v>250</v>
          </cell>
          <cell r="J99">
            <v>167.5</v>
          </cell>
          <cell r="K99">
            <v>0.67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239.71</v>
          </cell>
          <cell r="W99">
            <v>0</v>
          </cell>
          <cell r="X99">
            <v>0.27500000000000002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</row>
        <row r="100">
          <cell r="A100">
            <v>11511100</v>
          </cell>
          <cell r="B100" t="str">
            <v>Chocolate milk, ready to drink, whole</v>
          </cell>
          <cell r="I100">
            <v>250</v>
          </cell>
          <cell r="J100">
            <v>207.5</v>
          </cell>
          <cell r="K100">
            <v>0.83</v>
          </cell>
          <cell r="L100">
            <v>0</v>
          </cell>
          <cell r="M100">
            <v>5.26</v>
          </cell>
          <cell r="N100">
            <v>0</v>
          </cell>
          <cell r="O100">
            <v>0</v>
          </cell>
          <cell r="P100">
            <v>2</v>
          </cell>
          <cell r="Q100">
            <v>0.31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239.185</v>
          </cell>
          <cell r="W100">
            <v>0</v>
          </cell>
          <cell r="X100">
            <v>0.15</v>
          </cell>
          <cell r="Y100">
            <v>0</v>
          </cell>
          <cell r="Z100">
            <v>0</v>
          </cell>
          <cell r="AA100">
            <v>0</v>
          </cell>
          <cell r="AB100">
            <v>0.29924089999999998</v>
          </cell>
        </row>
        <row r="101">
          <cell r="A101">
            <v>11511200</v>
          </cell>
          <cell r="B101" t="str">
            <v>Chocolate milk, ready to drink, reduced fat</v>
          </cell>
          <cell r="I101">
            <v>250</v>
          </cell>
          <cell r="J101">
            <v>190</v>
          </cell>
          <cell r="K101">
            <v>0.76</v>
          </cell>
          <cell r="L101">
            <v>0</v>
          </cell>
          <cell r="M101">
            <v>2.9424999999999999</v>
          </cell>
          <cell r="N101">
            <v>0</v>
          </cell>
          <cell r="O101">
            <v>0</v>
          </cell>
          <cell r="P101">
            <v>1.75</v>
          </cell>
          <cell r="Q101">
            <v>0.2225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239.08</v>
          </cell>
          <cell r="W101">
            <v>0</v>
          </cell>
          <cell r="X101">
            <v>0.16500000000000001</v>
          </cell>
          <cell r="Y101">
            <v>0</v>
          </cell>
          <cell r="Z101">
            <v>0</v>
          </cell>
          <cell r="AA101">
            <v>0</v>
          </cell>
          <cell r="AB101">
            <v>0.16823730000000001</v>
          </cell>
        </row>
        <row r="102">
          <cell r="A102">
            <v>11511300</v>
          </cell>
          <cell r="B102" t="str">
            <v>Chocolate milk, ready to drink, fat free</v>
          </cell>
          <cell r="I102">
            <v>250</v>
          </cell>
          <cell r="J102">
            <v>167.5</v>
          </cell>
          <cell r="K102">
            <v>0.67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239.71</v>
          </cell>
          <cell r="W102">
            <v>0</v>
          </cell>
          <cell r="X102">
            <v>0.27500000000000002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A103">
            <v>11511400</v>
          </cell>
          <cell r="B103" t="str">
            <v>Chocolate milk, ready to drink, low fat</v>
          </cell>
          <cell r="I103">
            <v>250</v>
          </cell>
          <cell r="J103">
            <v>155</v>
          </cell>
          <cell r="K103">
            <v>0.62</v>
          </cell>
          <cell r="L103">
            <v>0</v>
          </cell>
          <cell r="M103">
            <v>1.46</v>
          </cell>
          <cell r="N103">
            <v>0</v>
          </cell>
          <cell r="O103">
            <v>0</v>
          </cell>
          <cell r="P103">
            <v>0.25</v>
          </cell>
          <cell r="Q103">
            <v>0.23749999999999999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238.13499999999999</v>
          </cell>
          <cell r="W103">
            <v>0</v>
          </cell>
          <cell r="X103">
            <v>0.16250000000000001</v>
          </cell>
          <cell r="Y103">
            <v>0</v>
          </cell>
          <cell r="Z103">
            <v>0</v>
          </cell>
          <cell r="AA103">
            <v>0</v>
          </cell>
          <cell r="AB103">
            <v>8.6529400000000006E-2</v>
          </cell>
        </row>
        <row r="104">
          <cell r="A104">
            <v>11511550</v>
          </cell>
          <cell r="B104" t="str">
            <v>Chocolate milk, ready to drink, reduced sugar, NS as to milk</v>
          </cell>
          <cell r="I104">
            <v>250</v>
          </cell>
          <cell r="J104">
            <v>135</v>
          </cell>
          <cell r="K104">
            <v>0.54</v>
          </cell>
          <cell r="L104">
            <v>0</v>
          </cell>
          <cell r="M104">
            <v>1.54</v>
          </cell>
          <cell r="N104">
            <v>0</v>
          </cell>
          <cell r="O104">
            <v>0</v>
          </cell>
          <cell r="P104">
            <v>0</v>
          </cell>
          <cell r="Q104">
            <v>0.13500000000000001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25.625</v>
          </cell>
          <cell r="W104">
            <v>0</v>
          </cell>
          <cell r="X104">
            <v>0.16500000000000001</v>
          </cell>
          <cell r="Y104">
            <v>0</v>
          </cell>
          <cell r="Z104">
            <v>0</v>
          </cell>
          <cell r="AA104">
            <v>0</v>
          </cell>
          <cell r="AB104">
            <v>0.09</v>
          </cell>
        </row>
        <row r="105">
          <cell r="A105">
            <v>11511600</v>
          </cell>
          <cell r="B105" t="str">
            <v>Chocolate milk, ready to drink, low fat (Nesquik)</v>
          </cell>
          <cell r="I105">
            <v>250</v>
          </cell>
          <cell r="J105">
            <v>155</v>
          </cell>
          <cell r="K105">
            <v>0.62</v>
          </cell>
          <cell r="L105">
            <v>0</v>
          </cell>
          <cell r="M105">
            <v>1.46</v>
          </cell>
          <cell r="N105">
            <v>0</v>
          </cell>
          <cell r="O105">
            <v>0</v>
          </cell>
          <cell r="P105">
            <v>0.25</v>
          </cell>
          <cell r="Q105">
            <v>0.23749999999999999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238.13499999999999</v>
          </cell>
          <cell r="W105">
            <v>0</v>
          </cell>
          <cell r="X105">
            <v>0.16250000000000001</v>
          </cell>
          <cell r="Y105">
            <v>0</v>
          </cell>
          <cell r="Z105">
            <v>0</v>
          </cell>
          <cell r="AA105">
            <v>0</v>
          </cell>
          <cell r="AB105">
            <v>8.6547399999999997E-2</v>
          </cell>
        </row>
        <row r="106">
          <cell r="A106">
            <v>11511700</v>
          </cell>
          <cell r="B106" t="str">
            <v>Chocolate milk, ready to drink, low fat, no sugar added (Nesquik)</v>
          </cell>
          <cell r="I106">
            <v>250</v>
          </cell>
          <cell r="J106">
            <v>155</v>
          </cell>
          <cell r="K106">
            <v>0.62</v>
          </cell>
          <cell r="L106">
            <v>0</v>
          </cell>
          <cell r="M106">
            <v>1.46</v>
          </cell>
          <cell r="N106">
            <v>0</v>
          </cell>
          <cell r="O106">
            <v>0</v>
          </cell>
          <cell r="P106">
            <v>0.25</v>
          </cell>
          <cell r="Q106">
            <v>0.23749999999999999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238.13499999999999</v>
          </cell>
          <cell r="W106">
            <v>0</v>
          </cell>
          <cell r="X106">
            <v>0.16250000000000001</v>
          </cell>
          <cell r="Y106">
            <v>0</v>
          </cell>
          <cell r="Z106">
            <v>0</v>
          </cell>
          <cell r="AA106">
            <v>0</v>
          </cell>
          <cell r="AB106">
            <v>8.6565500000000004E-2</v>
          </cell>
        </row>
        <row r="107">
          <cell r="A107">
            <v>11512000</v>
          </cell>
          <cell r="B107" t="str">
            <v>Cocoa, hot chocolate, not from dry mix, made with whole milk</v>
          </cell>
          <cell r="I107">
            <v>250</v>
          </cell>
          <cell r="J107">
            <v>214.38705999999999</v>
          </cell>
          <cell r="K107">
            <v>0.85754823999999996</v>
          </cell>
          <cell r="L107">
            <v>0</v>
          </cell>
          <cell r="M107">
            <v>4.7874455999999999</v>
          </cell>
          <cell r="N107">
            <v>0</v>
          </cell>
          <cell r="O107">
            <v>0</v>
          </cell>
          <cell r="P107">
            <v>2.2209085000000002</v>
          </cell>
          <cell r="Q107">
            <v>0.47355320000000001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227.75358</v>
          </cell>
          <cell r="W107">
            <v>0</v>
          </cell>
          <cell r="X107">
            <v>9.9494399999999997E-2</v>
          </cell>
          <cell r="Y107">
            <v>0</v>
          </cell>
          <cell r="Z107">
            <v>0</v>
          </cell>
          <cell r="AA107">
            <v>0</v>
          </cell>
          <cell r="AB107">
            <v>0.20538680000000001</v>
          </cell>
        </row>
        <row r="108">
          <cell r="A108">
            <v>11512010</v>
          </cell>
          <cell r="B108" t="str">
            <v>Hot chocolate / Cocoa, ready to drink</v>
          </cell>
          <cell r="I108">
            <v>250</v>
          </cell>
          <cell r="J108">
            <v>227.2</v>
          </cell>
          <cell r="K108">
            <v>0.90879999999999994</v>
          </cell>
          <cell r="L108">
            <v>0</v>
          </cell>
          <cell r="M108">
            <v>2.5558999999999998</v>
          </cell>
          <cell r="N108">
            <v>0</v>
          </cell>
          <cell r="O108">
            <v>0</v>
          </cell>
          <cell r="P108">
            <v>0</v>
          </cell>
          <cell r="Q108">
            <v>0.14843329999999999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203.33332999999999</v>
          </cell>
          <cell r="W108">
            <v>0</v>
          </cell>
          <cell r="X108">
            <v>0.16556670000000001</v>
          </cell>
          <cell r="Y108">
            <v>0</v>
          </cell>
          <cell r="Z108">
            <v>0</v>
          </cell>
          <cell r="AA108">
            <v>0</v>
          </cell>
          <cell r="AB108">
            <v>0.1728333</v>
          </cell>
        </row>
        <row r="109">
          <cell r="A109">
            <v>11512020</v>
          </cell>
          <cell r="B109" t="str">
            <v>Hot chocolate / Cocoa, ready to drink, made with nonfat milk</v>
          </cell>
          <cell r="I109">
            <v>250</v>
          </cell>
          <cell r="J109">
            <v>194.66667000000001</v>
          </cell>
          <cell r="K109">
            <v>0.77866668000000006</v>
          </cell>
          <cell r="L109">
            <v>0</v>
          </cell>
          <cell r="M109">
            <v>0.1138667</v>
          </cell>
          <cell r="N109">
            <v>0</v>
          </cell>
          <cell r="O109">
            <v>0</v>
          </cell>
          <cell r="P109">
            <v>0</v>
          </cell>
          <cell r="Q109">
            <v>6.1000000000000004E-3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203.33332999999999</v>
          </cell>
          <cell r="W109">
            <v>0</v>
          </cell>
          <cell r="X109">
            <v>0.15540000000000001</v>
          </cell>
          <cell r="Y109">
            <v>0</v>
          </cell>
          <cell r="Z109">
            <v>0</v>
          </cell>
          <cell r="AA109">
            <v>0</v>
          </cell>
          <cell r="AB109">
            <v>5.5813E-3</v>
          </cell>
        </row>
        <row r="110">
          <cell r="A110">
            <v>11512030</v>
          </cell>
          <cell r="B110" t="str">
            <v>Hot chocolate / Cocoa, ready to drink, made with non-dairy milk</v>
          </cell>
          <cell r="I110">
            <v>250</v>
          </cell>
          <cell r="J110">
            <v>207.88333</v>
          </cell>
          <cell r="K110">
            <v>0.83153332000000002</v>
          </cell>
          <cell r="L110">
            <v>0</v>
          </cell>
          <cell r="M110">
            <v>0.20841670000000001</v>
          </cell>
          <cell r="N110">
            <v>0</v>
          </cell>
          <cell r="O110">
            <v>0.3161833</v>
          </cell>
          <cell r="P110">
            <v>0.61</v>
          </cell>
          <cell r="Q110">
            <v>1.0837667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0.1818333</v>
          </cell>
          <cell r="Y110">
            <v>2.0175749999999999</v>
          </cell>
          <cell r="Z110">
            <v>0</v>
          </cell>
          <cell r="AA110">
            <v>0</v>
          </cell>
          <cell r="AB110">
            <v>0</v>
          </cell>
        </row>
        <row r="111">
          <cell r="A111">
            <v>11512500</v>
          </cell>
          <cell r="B111" t="str">
            <v>Hot chocolate, Puerto Rican style, made with whole milk</v>
          </cell>
          <cell r="I111">
            <v>240</v>
          </cell>
          <cell r="J111">
            <v>241.22309999999999</v>
          </cell>
          <cell r="K111">
            <v>1.00509625</v>
          </cell>
          <cell r="L111">
            <v>0</v>
          </cell>
          <cell r="M111">
            <v>8.7271044999999994</v>
          </cell>
          <cell r="N111">
            <v>0</v>
          </cell>
          <cell r="O111">
            <v>0</v>
          </cell>
          <cell r="P111">
            <v>0.97315980000000002</v>
          </cell>
          <cell r="Q111">
            <v>0.45170379999999999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114.78277</v>
          </cell>
          <cell r="W111">
            <v>0</v>
          </cell>
          <cell r="X111">
            <v>0.12874749999999999</v>
          </cell>
          <cell r="Y111">
            <v>0</v>
          </cell>
          <cell r="Z111">
            <v>0</v>
          </cell>
          <cell r="AA111">
            <v>0</v>
          </cell>
          <cell r="AB111">
            <v>0.51587660000000002</v>
          </cell>
        </row>
        <row r="112">
          <cell r="A112">
            <v>11512510</v>
          </cell>
          <cell r="B112" t="str">
            <v>Hot chocolate, Puerto Rican style, made with low fat milk</v>
          </cell>
          <cell r="I112">
            <v>240</v>
          </cell>
          <cell r="J112">
            <v>193.14062000000001</v>
          </cell>
          <cell r="K112">
            <v>0.80475258333333344</v>
          </cell>
          <cell r="L112">
            <v>0</v>
          </cell>
          <cell r="M112">
            <v>4.8506422000000002</v>
          </cell>
          <cell r="N112">
            <v>0</v>
          </cell>
          <cell r="O112">
            <v>0</v>
          </cell>
          <cell r="P112">
            <v>0.97315980000000002</v>
          </cell>
          <cell r="Q112">
            <v>0.25222299999999997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112.75322</v>
          </cell>
          <cell r="W112">
            <v>0</v>
          </cell>
          <cell r="X112">
            <v>0.1367845</v>
          </cell>
          <cell r="Y112">
            <v>0</v>
          </cell>
          <cell r="Z112">
            <v>0</v>
          </cell>
          <cell r="AA112">
            <v>0</v>
          </cell>
          <cell r="AB112">
            <v>0.32343719999999998</v>
          </cell>
        </row>
        <row r="113">
          <cell r="A113">
            <v>11513000</v>
          </cell>
          <cell r="B113" t="str">
            <v>Chocolate milk, made from dry mix, NS as to type of milk</v>
          </cell>
          <cell r="I113">
            <v>250</v>
          </cell>
          <cell r="J113">
            <v>180.55885000000001</v>
          </cell>
          <cell r="K113">
            <v>0.72223539999999997</v>
          </cell>
          <cell r="L113">
            <v>0</v>
          </cell>
          <cell r="M113">
            <v>3.2392387999999999</v>
          </cell>
          <cell r="N113">
            <v>0</v>
          </cell>
          <cell r="O113">
            <v>0</v>
          </cell>
          <cell r="P113">
            <v>0.69230769999999997</v>
          </cell>
          <cell r="Q113">
            <v>0.23822850000000001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234.61537999999999</v>
          </cell>
          <cell r="W113">
            <v>0</v>
          </cell>
          <cell r="X113">
            <v>0.1254208</v>
          </cell>
          <cell r="Y113">
            <v>0</v>
          </cell>
          <cell r="Z113">
            <v>0</v>
          </cell>
          <cell r="AA113">
            <v>0</v>
          </cell>
          <cell r="AB113">
            <v>0.17632890000000001</v>
          </cell>
        </row>
        <row r="114">
          <cell r="A114">
            <v>11513100</v>
          </cell>
          <cell r="B114" t="str">
            <v>Chocolate milk, made from dry mix with whole milk</v>
          </cell>
          <cell r="I114">
            <v>250</v>
          </cell>
          <cell r="J114">
            <v>204.65385000000001</v>
          </cell>
          <cell r="K114">
            <v>0.81861539999999999</v>
          </cell>
          <cell r="L114">
            <v>0</v>
          </cell>
          <cell r="M114">
            <v>4.7252691999999996</v>
          </cell>
          <cell r="N114">
            <v>0</v>
          </cell>
          <cell r="O114">
            <v>0</v>
          </cell>
          <cell r="P114">
            <v>0.69230769999999997</v>
          </cell>
          <cell r="Q114">
            <v>0.45750000000000002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234.61537999999999</v>
          </cell>
          <cell r="W114">
            <v>0</v>
          </cell>
          <cell r="X114">
            <v>0.1218077</v>
          </cell>
          <cell r="Y114">
            <v>0</v>
          </cell>
          <cell r="Z114">
            <v>0</v>
          </cell>
          <cell r="AA114">
            <v>0</v>
          </cell>
          <cell r="AB114">
            <v>0.2807925</v>
          </cell>
        </row>
        <row r="115">
          <cell r="A115">
            <v>11513150</v>
          </cell>
          <cell r="B115" t="str">
            <v>Chocolate milk, made from dry mix with reduced fat milk</v>
          </cell>
          <cell r="I115">
            <v>250</v>
          </cell>
          <cell r="J115">
            <v>178.84614999999999</v>
          </cell>
          <cell r="K115">
            <v>0.71538459999999993</v>
          </cell>
          <cell r="L115">
            <v>0</v>
          </cell>
          <cell r="M115">
            <v>3.2988076999999998</v>
          </cell>
          <cell r="N115">
            <v>0</v>
          </cell>
          <cell r="O115">
            <v>0</v>
          </cell>
          <cell r="P115">
            <v>0.69230769999999997</v>
          </cell>
          <cell r="Q115">
            <v>0.17126920000000001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234.61537999999999</v>
          </cell>
          <cell r="W115">
            <v>0</v>
          </cell>
          <cell r="X115">
            <v>0.13119230000000001</v>
          </cell>
          <cell r="Y115">
            <v>0</v>
          </cell>
          <cell r="Z115">
            <v>0</v>
          </cell>
          <cell r="AA115">
            <v>0</v>
          </cell>
          <cell r="AB115">
            <v>0.19942309999999999</v>
          </cell>
        </row>
        <row r="116">
          <cell r="A116">
            <v>11513200</v>
          </cell>
          <cell r="B116" t="str">
            <v>Chocolate milk, made from dry mix with low fat milk</v>
          </cell>
          <cell r="I116">
            <v>250</v>
          </cell>
          <cell r="J116">
            <v>160.07692</v>
          </cell>
          <cell r="K116">
            <v>0.64030768000000005</v>
          </cell>
          <cell r="L116">
            <v>0</v>
          </cell>
          <cell r="M116">
            <v>1.8348077</v>
          </cell>
          <cell r="N116">
            <v>0</v>
          </cell>
          <cell r="O116">
            <v>0</v>
          </cell>
          <cell r="P116">
            <v>0.69230769999999997</v>
          </cell>
          <cell r="Q116">
            <v>8.2115400000000005E-2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234.61537999999999</v>
          </cell>
          <cell r="W116">
            <v>0</v>
          </cell>
          <cell r="X116">
            <v>0.12415379999999999</v>
          </cell>
          <cell r="Y116">
            <v>0</v>
          </cell>
          <cell r="Z116">
            <v>0</v>
          </cell>
          <cell r="AA116">
            <v>0</v>
          </cell>
          <cell r="AB116">
            <v>9.3745800000000004E-2</v>
          </cell>
        </row>
        <row r="117">
          <cell r="A117">
            <v>11513300</v>
          </cell>
          <cell r="B117" t="str">
            <v>Chocolate milk, made from dry mix with fat free milk</v>
          </cell>
          <cell r="I117">
            <v>250</v>
          </cell>
          <cell r="J117">
            <v>141.30769000000001</v>
          </cell>
          <cell r="K117">
            <v>0.56523076000000005</v>
          </cell>
          <cell r="L117">
            <v>0</v>
          </cell>
          <cell r="M117">
            <v>0.48107689999999997</v>
          </cell>
          <cell r="N117">
            <v>0</v>
          </cell>
          <cell r="O117">
            <v>0</v>
          </cell>
          <cell r="P117">
            <v>0.69230769999999997</v>
          </cell>
          <cell r="Q117">
            <v>7.0384999999999996E-3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234.61537999999999</v>
          </cell>
          <cell r="W117">
            <v>0</v>
          </cell>
          <cell r="X117">
            <v>0.1194615</v>
          </cell>
          <cell r="Y117">
            <v>0</v>
          </cell>
          <cell r="Z117">
            <v>0</v>
          </cell>
          <cell r="AA117">
            <v>0</v>
          </cell>
          <cell r="AB117">
            <v>2.3559799999999999E-2</v>
          </cell>
        </row>
        <row r="118">
          <cell r="A118">
            <v>11513310</v>
          </cell>
          <cell r="B118" t="str">
            <v>Chocolate milk, made from dry mix with non-dairy milk</v>
          </cell>
          <cell r="I118">
            <v>250</v>
          </cell>
          <cell r="J118">
            <v>156.55769000000001</v>
          </cell>
          <cell r="K118">
            <v>0.62623076</v>
          </cell>
          <cell r="L118">
            <v>0</v>
          </cell>
          <cell r="M118">
            <v>0.59017310000000001</v>
          </cell>
          <cell r="N118">
            <v>0</v>
          </cell>
          <cell r="O118">
            <v>0.43482690000000002</v>
          </cell>
          <cell r="P118">
            <v>1.3961538</v>
          </cell>
          <cell r="Q118">
            <v>1.2504999999999999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0.1499615</v>
          </cell>
          <cell r="Y118">
            <v>2.3279711999999999</v>
          </cell>
          <cell r="Z118">
            <v>0</v>
          </cell>
          <cell r="AA118">
            <v>0</v>
          </cell>
          <cell r="AB118">
            <v>0</v>
          </cell>
        </row>
        <row r="119">
          <cell r="A119">
            <v>11513381</v>
          </cell>
          <cell r="B119" t="str">
            <v>Chocolate milk, made from dry mix with whole milk (Nesquik)</v>
          </cell>
          <cell r="I119">
            <v>250</v>
          </cell>
          <cell r="J119">
            <v>204.65385000000001</v>
          </cell>
          <cell r="K119">
            <v>0.81861539999999999</v>
          </cell>
          <cell r="L119">
            <v>0</v>
          </cell>
          <cell r="M119">
            <v>4.7252691999999996</v>
          </cell>
          <cell r="N119">
            <v>0</v>
          </cell>
          <cell r="O119">
            <v>0</v>
          </cell>
          <cell r="P119">
            <v>0.69230769999999997</v>
          </cell>
          <cell r="Q119">
            <v>0.45750000000000002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234.61537999999999</v>
          </cell>
          <cell r="W119">
            <v>0</v>
          </cell>
          <cell r="X119">
            <v>0.1218077</v>
          </cell>
          <cell r="Y119">
            <v>0</v>
          </cell>
          <cell r="Z119">
            <v>0</v>
          </cell>
          <cell r="AA119">
            <v>0</v>
          </cell>
          <cell r="AB119">
            <v>0.2815474</v>
          </cell>
        </row>
        <row r="120">
          <cell r="A120">
            <v>11513382</v>
          </cell>
          <cell r="B120" t="str">
            <v>Chocolate milk, made from dry mix with reduced fat milk (Nesquik)</v>
          </cell>
          <cell r="I120">
            <v>250</v>
          </cell>
          <cell r="J120">
            <v>178.84614999999999</v>
          </cell>
          <cell r="K120">
            <v>0.71538459999999993</v>
          </cell>
          <cell r="L120">
            <v>0</v>
          </cell>
          <cell r="M120">
            <v>3.2988076999999998</v>
          </cell>
          <cell r="N120">
            <v>0</v>
          </cell>
          <cell r="O120">
            <v>0</v>
          </cell>
          <cell r="P120">
            <v>0.69230769999999997</v>
          </cell>
          <cell r="Q120">
            <v>0.17126920000000001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234.61537999999999</v>
          </cell>
          <cell r="W120">
            <v>0</v>
          </cell>
          <cell r="X120">
            <v>0.13119230000000001</v>
          </cell>
          <cell r="Y120">
            <v>0</v>
          </cell>
          <cell r="Z120">
            <v>0</v>
          </cell>
          <cell r="AA120">
            <v>0</v>
          </cell>
          <cell r="AB120">
            <v>0.19942309999999999</v>
          </cell>
        </row>
        <row r="121">
          <cell r="A121">
            <v>11513383</v>
          </cell>
          <cell r="B121" t="str">
            <v>Chocolate milk, made from dry mix with low fat milk (Nesquik)</v>
          </cell>
          <cell r="I121">
            <v>250</v>
          </cell>
          <cell r="J121">
            <v>160.07692</v>
          </cell>
          <cell r="K121">
            <v>0.64030768000000005</v>
          </cell>
          <cell r="L121">
            <v>0</v>
          </cell>
          <cell r="M121">
            <v>1.8348077</v>
          </cell>
          <cell r="N121">
            <v>0</v>
          </cell>
          <cell r="O121">
            <v>0</v>
          </cell>
          <cell r="P121">
            <v>0.69230769999999997</v>
          </cell>
          <cell r="Q121">
            <v>8.2115400000000005E-2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234.61537999999999</v>
          </cell>
          <cell r="W121">
            <v>0</v>
          </cell>
          <cell r="X121">
            <v>0.12415379999999999</v>
          </cell>
          <cell r="Y121">
            <v>0</v>
          </cell>
          <cell r="Z121">
            <v>0</v>
          </cell>
          <cell r="AA121">
            <v>0</v>
          </cell>
          <cell r="AB121">
            <v>9.0823500000000001E-2</v>
          </cell>
        </row>
        <row r="122">
          <cell r="A122">
            <v>11513392</v>
          </cell>
          <cell r="B122" t="str">
            <v>Chocolate milk, made from no sugar added dry mix with reduced fat milk (Nesquik)</v>
          </cell>
          <cell r="I122">
            <v>250</v>
          </cell>
          <cell r="J122">
            <v>159.83332999999999</v>
          </cell>
          <cell r="K122">
            <v>0.63933331999999998</v>
          </cell>
          <cell r="L122">
            <v>0</v>
          </cell>
          <cell r="M122">
            <v>3.4970881999999999</v>
          </cell>
          <cell r="N122">
            <v>0</v>
          </cell>
          <cell r="O122">
            <v>0</v>
          </cell>
          <cell r="P122">
            <v>0.98137249999999998</v>
          </cell>
          <cell r="Q122">
            <v>0.37208819999999998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239.21569</v>
          </cell>
          <cell r="W122">
            <v>0</v>
          </cell>
          <cell r="X122">
            <v>0.1810196</v>
          </cell>
          <cell r="Y122">
            <v>0</v>
          </cell>
          <cell r="Z122">
            <v>0</v>
          </cell>
          <cell r="AA122">
            <v>0</v>
          </cell>
          <cell r="AB122">
            <v>0.20333329999999999</v>
          </cell>
        </row>
        <row r="123">
          <cell r="A123">
            <v>11513393</v>
          </cell>
          <cell r="B123" t="str">
            <v>Chocolate milk, made from no sugar added dry mix with low fat milk (Nesquik)</v>
          </cell>
          <cell r="I123">
            <v>250</v>
          </cell>
          <cell r="J123">
            <v>140.69607999999999</v>
          </cell>
          <cell r="K123">
            <v>0.56278432</v>
          </cell>
          <cell r="L123">
            <v>0</v>
          </cell>
          <cell r="M123">
            <v>2.0043823999999999</v>
          </cell>
          <cell r="N123">
            <v>0</v>
          </cell>
          <cell r="O123">
            <v>0</v>
          </cell>
          <cell r="P123">
            <v>0.98137249999999998</v>
          </cell>
          <cell r="Q123">
            <v>0.2811863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239.21569</v>
          </cell>
          <cell r="W123">
            <v>0</v>
          </cell>
          <cell r="X123">
            <v>0.1738431</v>
          </cell>
          <cell r="Y123">
            <v>0</v>
          </cell>
          <cell r="Z123">
            <v>0</v>
          </cell>
          <cell r="AA123">
            <v>0</v>
          </cell>
          <cell r="AB123">
            <v>0.1141832</v>
          </cell>
        </row>
        <row r="124">
          <cell r="A124">
            <v>11513400</v>
          </cell>
          <cell r="B124" t="str">
            <v>Chocolate milk, made from syrup, NS as to type of milk</v>
          </cell>
          <cell r="I124">
            <v>250</v>
          </cell>
          <cell r="J124">
            <v>199.51705000000001</v>
          </cell>
          <cell r="K124">
            <v>0.79806820000000001</v>
          </cell>
          <cell r="L124">
            <v>0</v>
          </cell>
          <cell r="M124">
            <v>2.6688529000000001</v>
          </cell>
          <cell r="N124">
            <v>0</v>
          </cell>
          <cell r="O124">
            <v>0</v>
          </cell>
          <cell r="P124">
            <v>0</v>
          </cell>
          <cell r="Q124">
            <v>0.22003339999999999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216.69627</v>
          </cell>
          <cell r="W124">
            <v>0</v>
          </cell>
          <cell r="X124">
            <v>0.14647209999999999</v>
          </cell>
          <cell r="Y124">
            <v>0</v>
          </cell>
          <cell r="Z124">
            <v>0</v>
          </cell>
          <cell r="AA124">
            <v>0</v>
          </cell>
          <cell r="AB124">
            <v>0.16016520000000001</v>
          </cell>
        </row>
        <row r="125">
          <cell r="A125">
            <v>11513500</v>
          </cell>
          <cell r="B125" t="str">
            <v>Chocolate milk, made from syrup with whole milk</v>
          </cell>
          <cell r="I125">
            <v>250</v>
          </cell>
          <cell r="J125">
            <v>221.77176</v>
          </cell>
          <cell r="K125">
            <v>0.88708704000000005</v>
          </cell>
          <cell r="L125">
            <v>0</v>
          </cell>
          <cell r="M125">
            <v>4.0413854000000002</v>
          </cell>
          <cell r="N125">
            <v>0</v>
          </cell>
          <cell r="O125">
            <v>0</v>
          </cell>
          <cell r="P125">
            <v>0</v>
          </cell>
          <cell r="Q125">
            <v>0.42255769999999998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216.69627</v>
          </cell>
          <cell r="W125">
            <v>0</v>
          </cell>
          <cell r="X125">
            <v>0.14313500000000001</v>
          </cell>
          <cell r="Y125">
            <v>0</v>
          </cell>
          <cell r="Z125">
            <v>0</v>
          </cell>
          <cell r="AA125">
            <v>0</v>
          </cell>
          <cell r="AB125">
            <v>0.25932349999999998</v>
          </cell>
        </row>
        <row r="126">
          <cell r="A126">
            <v>11513550</v>
          </cell>
          <cell r="B126" t="str">
            <v>Chocolate milk, made from syrup with reduced fat milk</v>
          </cell>
          <cell r="I126">
            <v>250</v>
          </cell>
          <cell r="J126">
            <v>197.93517</v>
          </cell>
          <cell r="K126">
            <v>0.79174067999999997</v>
          </cell>
          <cell r="L126">
            <v>0</v>
          </cell>
          <cell r="M126">
            <v>2.7238720999999999</v>
          </cell>
          <cell r="N126">
            <v>0</v>
          </cell>
          <cell r="O126">
            <v>0</v>
          </cell>
          <cell r="P126">
            <v>0</v>
          </cell>
          <cell r="Q126">
            <v>0.1581883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216.69627</v>
          </cell>
          <cell r="W126">
            <v>0</v>
          </cell>
          <cell r="X126">
            <v>0.15180279999999999</v>
          </cell>
          <cell r="Y126">
            <v>0</v>
          </cell>
          <cell r="Z126">
            <v>0</v>
          </cell>
          <cell r="AA126">
            <v>0</v>
          </cell>
          <cell r="AB126">
            <v>0.18419179999999999</v>
          </cell>
        </row>
        <row r="127">
          <cell r="A127">
            <v>11513600</v>
          </cell>
          <cell r="B127" t="str">
            <v>Chocolate milk, made from syrup with low fat milk</v>
          </cell>
          <cell r="I127">
            <v>250</v>
          </cell>
          <cell r="J127">
            <v>180.59947</v>
          </cell>
          <cell r="K127">
            <v>0.72239787999999994</v>
          </cell>
          <cell r="L127">
            <v>0</v>
          </cell>
          <cell r="M127">
            <v>1.3716873999999999</v>
          </cell>
          <cell r="N127">
            <v>0</v>
          </cell>
          <cell r="O127">
            <v>0</v>
          </cell>
          <cell r="P127">
            <v>0</v>
          </cell>
          <cell r="Q127">
            <v>7.58437E-2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216.69627</v>
          </cell>
          <cell r="W127">
            <v>0</v>
          </cell>
          <cell r="X127">
            <v>0.14530199999999999</v>
          </cell>
          <cell r="Y127">
            <v>0</v>
          </cell>
          <cell r="Z127">
            <v>0</v>
          </cell>
          <cell r="AA127">
            <v>0</v>
          </cell>
          <cell r="AB127">
            <v>8.3201600000000001E-2</v>
          </cell>
        </row>
        <row r="128">
          <cell r="A128">
            <v>11513804</v>
          </cell>
          <cell r="B128" t="str">
            <v>Chocolate milk, made from light syrup with fat free milk</v>
          </cell>
          <cell r="I128">
            <v>250</v>
          </cell>
          <cell r="J128">
            <v>122.32079</v>
          </cell>
          <cell r="K128">
            <v>0.48928315999999999</v>
          </cell>
          <cell r="L128">
            <v>0</v>
          </cell>
          <cell r="M128">
            <v>0.1224373</v>
          </cell>
          <cell r="N128">
            <v>0</v>
          </cell>
          <cell r="O128">
            <v>0</v>
          </cell>
          <cell r="P128">
            <v>0</v>
          </cell>
          <cell r="Q128">
            <v>6.5591E-3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218.63799</v>
          </cell>
          <cell r="W128">
            <v>0</v>
          </cell>
          <cell r="X128">
            <v>0.12318999999999999</v>
          </cell>
          <cell r="Y128">
            <v>0</v>
          </cell>
          <cell r="Z128">
            <v>0</v>
          </cell>
          <cell r="AA128">
            <v>0</v>
          </cell>
          <cell r="AB128">
            <v>1.6673400000000001E-2</v>
          </cell>
        </row>
        <row r="129">
          <cell r="A129">
            <v>11514100</v>
          </cell>
          <cell r="B129" t="str">
            <v>Hot chocolate / Cocoa, made with dry mix and water</v>
          </cell>
          <cell r="I129">
            <v>250</v>
          </cell>
          <cell r="J129">
            <v>135.50584000000001</v>
          </cell>
          <cell r="K129">
            <v>0.54202336000000007</v>
          </cell>
          <cell r="L129">
            <v>0</v>
          </cell>
          <cell r="M129">
            <v>0.80928990000000001</v>
          </cell>
          <cell r="N129">
            <v>0</v>
          </cell>
          <cell r="O129">
            <v>0</v>
          </cell>
          <cell r="P129">
            <v>1.2597275999999999</v>
          </cell>
          <cell r="Q129">
            <v>3.8813199999999999E-2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1.1916342</v>
          </cell>
          <cell r="W129">
            <v>0</v>
          </cell>
          <cell r="X129">
            <v>0.18023349999999999</v>
          </cell>
          <cell r="Y129">
            <v>0</v>
          </cell>
          <cell r="Z129">
            <v>0</v>
          </cell>
          <cell r="AA129">
            <v>0</v>
          </cell>
          <cell r="AB129">
            <v>4.7595699999999998E-2</v>
          </cell>
        </row>
        <row r="130">
          <cell r="A130">
            <v>11514110</v>
          </cell>
          <cell r="B130" t="str">
            <v>Hot chocolate / Cocoa, made with dry mix and whole milk</v>
          </cell>
          <cell r="I130">
            <v>250</v>
          </cell>
          <cell r="J130">
            <v>264.30095</v>
          </cell>
          <cell r="K130">
            <v>1.0572037999999999</v>
          </cell>
          <cell r="L130">
            <v>-1.3899999999999999E-16</v>
          </cell>
          <cell r="M130">
            <v>4.8323577999999996</v>
          </cell>
          <cell r="N130">
            <v>0</v>
          </cell>
          <cell r="O130">
            <v>0</v>
          </cell>
          <cell r="P130">
            <v>1.2274882</v>
          </cell>
          <cell r="Q130">
            <v>0.46062799999999998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217.98578000000001</v>
          </cell>
          <cell r="W130">
            <v>0</v>
          </cell>
          <cell r="X130">
            <v>0.26043840000000001</v>
          </cell>
          <cell r="Y130">
            <v>0</v>
          </cell>
          <cell r="Z130">
            <v>0</v>
          </cell>
          <cell r="AA130">
            <v>0</v>
          </cell>
          <cell r="AB130">
            <v>0.29562749999999999</v>
          </cell>
        </row>
        <row r="131">
          <cell r="A131">
            <v>11514120</v>
          </cell>
          <cell r="B131" t="str">
            <v>Hot chocolate / Cocoa, made with dry mix and reduced fat milk</v>
          </cell>
          <cell r="I131">
            <v>250</v>
          </cell>
          <cell r="J131">
            <v>240.45024000000001</v>
          </cell>
          <cell r="K131">
            <v>0.96180096000000004</v>
          </cell>
          <cell r="L131">
            <v>-1.3899999999999999E-16</v>
          </cell>
          <cell r="M131">
            <v>3.5140639999999999</v>
          </cell>
          <cell r="N131">
            <v>0</v>
          </cell>
          <cell r="O131">
            <v>0</v>
          </cell>
          <cell r="P131">
            <v>1.2274882</v>
          </cell>
          <cell r="Q131">
            <v>0.1961019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217.98578000000001</v>
          </cell>
          <cell r="W131">
            <v>0</v>
          </cell>
          <cell r="X131">
            <v>0.2691114</v>
          </cell>
          <cell r="Y131">
            <v>0</v>
          </cell>
          <cell r="Z131">
            <v>0</v>
          </cell>
          <cell r="AA131">
            <v>0</v>
          </cell>
          <cell r="AB131">
            <v>0.19837460000000001</v>
          </cell>
        </row>
        <row r="132">
          <cell r="A132">
            <v>11514140</v>
          </cell>
          <cell r="B132" t="str">
            <v>Hot chocolate / Cocoa, made with dry mix and fat free milk</v>
          </cell>
          <cell r="I132">
            <v>250</v>
          </cell>
          <cell r="J132">
            <v>205.75828999999999</v>
          </cell>
          <cell r="K132">
            <v>0.82303315999999993</v>
          </cell>
          <cell r="L132">
            <v>-1.3899999999999999E-16</v>
          </cell>
          <cell r="M132">
            <v>0.91</v>
          </cell>
          <cell r="N132">
            <v>0</v>
          </cell>
          <cell r="O132">
            <v>0</v>
          </cell>
          <cell r="P132">
            <v>1.2274882</v>
          </cell>
          <cell r="Q132">
            <v>4.4324599999999999E-2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217.98578000000001</v>
          </cell>
          <cell r="W132">
            <v>0</v>
          </cell>
          <cell r="X132">
            <v>0.2582701</v>
          </cell>
          <cell r="Y132">
            <v>0</v>
          </cell>
          <cell r="Z132">
            <v>0</v>
          </cell>
          <cell r="AA132">
            <v>0</v>
          </cell>
          <cell r="AB132">
            <v>5.1905699999999999E-2</v>
          </cell>
        </row>
        <row r="133">
          <cell r="A133">
            <v>11514150</v>
          </cell>
          <cell r="B133" t="str">
            <v>Hot chocolate / Cocoa, made with dry mix and non-dairy milk</v>
          </cell>
          <cell r="I133">
            <v>250</v>
          </cell>
          <cell r="J133">
            <v>219.29245</v>
          </cell>
          <cell r="K133">
            <v>0.8771698</v>
          </cell>
          <cell r="L133">
            <v>0</v>
          </cell>
          <cell r="M133">
            <v>1.0072642000000001</v>
          </cell>
          <cell r="N133">
            <v>0</v>
          </cell>
          <cell r="O133">
            <v>0.38132080000000002</v>
          </cell>
          <cell r="P133">
            <v>1.8726415000000001</v>
          </cell>
          <cell r="Q133">
            <v>1.1941508999999999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0.28575469999999997</v>
          </cell>
          <cell r="Y133">
            <v>2.1529953000000002</v>
          </cell>
          <cell r="Z133">
            <v>0</v>
          </cell>
          <cell r="AA133">
            <v>0</v>
          </cell>
          <cell r="AB133">
            <v>3.1196999999999999E-2</v>
          </cell>
        </row>
        <row r="134">
          <cell r="A134">
            <v>11514300</v>
          </cell>
          <cell r="B134" t="str">
            <v>Cocoa with nonfat dry milk and low calorie sweetener, mixture, water added</v>
          </cell>
          <cell r="I134">
            <v>250</v>
          </cell>
          <cell r="J134">
            <v>73.463527999999997</v>
          </cell>
          <cell r="K134">
            <v>0.293854112</v>
          </cell>
          <cell r="L134">
            <v>0</v>
          </cell>
          <cell r="M134">
            <v>0.34627239999999998</v>
          </cell>
          <cell r="N134">
            <v>0</v>
          </cell>
          <cell r="O134">
            <v>0</v>
          </cell>
          <cell r="P134">
            <v>1.461476</v>
          </cell>
          <cell r="Q134">
            <v>1.7148E-2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6.7227896999999999</v>
          </cell>
          <cell r="W134">
            <v>0</v>
          </cell>
          <cell r="X134">
            <v>0.17992089999999999</v>
          </cell>
          <cell r="Y134">
            <v>0</v>
          </cell>
          <cell r="Z134">
            <v>0</v>
          </cell>
          <cell r="AA134">
            <v>0</v>
          </cell>
          <cell r="AB134">
            <v>2.0276700000000002E-2</v>
          </cell>
        </row>
        <row r="135">
          <cell r="A135">
            <v>11514310</v>
          </cell>
          <cell r="B135" t="str">
            <v>Hot chocolate / Cocoa, made with no sugar added dry mix and water</v>
          </cell>
          <cell r="I135">
            <v>250</v>
          </cell>
          <cell r="J135">
            <v>77.892561999999998</v>
          </cell>
          <cell r="K135">
            <v>0.31157024799999999</v>
          </cell>
          <cell r="L135">
            <v>0</v>
          </cell>
          <cell r="M135">
            <v>0.3671488</v>
          </cell>
          <cell r="N135">
            <v>0</v>
          </cell>
          <cell r="O135">
            <v>0</v>
          </cell>
          <cell r="P135">
            <v>1.5495867999999999</v>
          </cell>
          <cell r="Q135">
            <v>1.8181800000000001E-2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7.1280992000000003</v>
          </cell>
          <cell r="W135">
            <v>0</v>
          </cell>
          <cell r="X135">
            <v>0.18787190000000001</v>
          </cell>
          <cell r="Y135">
            <v>0</v>
          </cell>
          <cell r="Z135">
            <v>0</v>
          </cell>
          <cell r="AA135">
            <v>0</v>
          </cell>
          <cell r="AB135">
            <v>2.1423500000000002E-2</v>
          </cell>
        </row>
        <row r="136">
          <cell r="A136">
            <v>11514320</v>
          </cell>
          <cell r="B136" t="str">
            <v>Hot chocolate / Cocoa, made with no sugar added dry mix and whole milk</v>
          </cell>
          <cell r="I136">
            <v>250</v>
          </cell>
          <cell r="J136">
            <v>216.01759000000001</v>
          </cell>
          <cell r="K136">
            <v>0.86407036000000004</v>
          </cell>
          <cell r="L136">
            <v>0</v>
          </cell>
          <cell r="M136">
            <v>4.6448115999999997</v>
          </cell>
          <cell r="N136">
            <v>0</v>
          </cell>
          <cell r="O136">
            <v>0</v>
          </cell>
          <cell r="P136">
            <v>1.5075377000000001</v>
          </cell>
          <cell r="Q136">
            <v>0.46599249999999998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236.83417</v>
          </cell>
          <cell r="W136">
            <v>0</v>
          </cell>
          <cell r="X136">
            <v>0.27493719999999999</v>
          </cell>
          <cell r="Y136">
            <v>0</v>
          </cell>
          <cell r="Z136">
            <v>0</v>
          </cell>
          <cell r="AA136">
            <v>0</v>
          </cell>
          <cell r="AB136">
            <v>0.28502959999999999</v>
          </cell>
        </row>
        <row r="137">
          <cell r="A137">
            <v>11514330</v>
          </cell>
          <cell r="B137" t="str">
            <v>Hot chocolate / Cocoa, made with no sugar added dry mix and reduced fat milk</v>
          </cell>
          <cell r="I137">
            <v>250</v>
          </cell>
          <cell r="J137">
            <v>190.72864000000001</v>
          </cell>
          <cell r="K137">
            <v>0.76291456000000002</v>
          </cell>
          <cell r="L137">
            <v>0</v>
          </cell>
          <cell r="M137">
            <v>3.2470226000000002</v>
          </cell>
          <cell r="N137">
            <v>0</v>
          </cell>
          <cell r="O137">
            <v>0</v>
          </cell>
          <cell r="P137">
            <v>1.5075377000000001</v>
          </cell>
          <cell r="Q137">
            <v>0.18551509999999999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236.83417</v>
          </cell>
          <cell r="W137">
            <v>0</v>
          </cell>
          <cell r="X137">
            <v>0.28413319999999997</v>
          </cell>
          <cell r="Y137">
            <v>0</v>
          </cell>
          <cell r="Z137">
            <v>0</v>
          </cell>
          <cell r="AA137">
            <v>0</v>
          </cell>
          <cell r="AB137">
            <v>0.19541459999999999</v>
          </cell>
        </row>
        <row r="138">
          <cell r="A138">
            <v>11514340</v>
          </cell>
          <cell r="B138" t="str">
            <v>Hot chocolate / Cocoa, made with no sugar added dry mix and low fat milk</v>
          </cell>
          <cell r="I138">
            <v>250</v>
          </cell>
          <cell r="J138">
            <v>172.33668</v>
          </cell>
          <cell r="K138">
            <v>0.68934671999999997</v>
          </cell>
          <cell r="L138">
            <v>0</v>
          </cell>
          <cell r="M138">
            <v>1.8124496999999999</v>
          </cell>
          <cell r="N138">
            <v>0</v>
          </cell>
          <cell r="O138">
            <v>0</v>
          </cell>
          <cell r="P138">
            <v>1.5075377000000001</v>
          </cell>
          <cell r="Q138">
            <v>9.8153299999999999E-2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236.83417</v>
          </cell>
          <cell r="W138">
            <v>0</v>
          </cell>
          <cell r="X138">
            <v>0.27723619999999999</v>
          </cell>
          <cell r="Y138">
            <v>0</v>
          </cell>
          <cell r="Z138">
            <v>0</v>
          </cell>
          <cell r="AA138">
            <v>0</v>
          </cell>
          <cell r="AB138">
            <v>9.8137100000000005E-2</v>
          </cell>
        </row>
        <row r="139">
          <cell r="A139">
            <v>11514360</v>
          </cell>
          <cell r="B139" t="str">
            <v>Hot chocolate / Cocoa, made with no sugar added dry mix and non-dairy milk</v>
          </cell>
          <cell r="I139">
            <v>250</v>
          </cell>
          <cell r="J139">
            <v>168.55</v>
          </cell>
          <cell r="K139">
            <v>0.67420000000000002</v>
          </cell>
          <cell r="L139">
            <v>0</v>
          </cell>
          <cell r="M139">
            <v>0.59114999999999995</v>
          </cell>
          <cell r="N139">
            <v>0</v>
          </cell>
          <cell r="O139">
            <v>0.47284999999999999</v>
          </cell>
          <cell r="P139">
            <v>2.19</v>
          </cell>
          <cell r="Q139">
            <v>1.2435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0.30170000000000002</v>
          </cell>
          <cell r="Y139">
            <v>2.2821750000000001</v>
          </cell>
          <cell r="Z139">
            <v>0</v>
          </cell>
          <cell r="AA139">
            <v>0</v>
          </cell>
          <cell r="AB139">
            <v>0</v>
          </cell>
        </row>
        <row r="140">
          <cell r="A140">
            <v>11516000</v>
          </cell>
          <cell r="B140" t="str">
            <v>Cocoa, whey, and low-calorie sweetener mixture, lowfat milk added</v>
          </cell>
          <cell r="I140">
            <v>250</v>
          </cell>
          <cell r="J140">
            <v>150.44574</v>
          </cell>
          <cell r="K140">
            <v>0.60178295999999998</v>
          </cell>
          <cell r="L140">
            <v>0</v>
          </cell>
          <cell r="M140">
            <v>1.7376938</v>
          </cell>
          <cell r="N140">
            <v>0</v>
          </cell>
          <cell r="O140">
            <v>0</v>
          </cell>
          <cell r="P140">
            <v>1.0174418999999999</v>
          </cell>
          <cell r="Q140">
            <v>9.4689899999999994E-2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241.11434</v>
          </cell>
          <cell r="W140">
            <v>0</v>
          </cell>
          <cell r="X140">
            <v>0.22286819999999999</v>
          </cell>
          <cell r="Y140">
            <v>0</v>
          </cell>
          <cell r="Z140">
            <v>0</v>
          </cell>
          <cell r="AA140">
            <v>0</v>
          </cell>
          <cell r="AB140">
            <v>8.9465100000000006E-2</v>
          </cell>
        </row>
        <row r="141">
          <cell r="A141">
            <v>11519050</v>
          </cell>
          <cell r="B141" t="str">
            <v>Strawberry milk, whole</v>
          </cell>
          <cell r="I141">
            <v>250</v>
          </cell>
          <cell r="J141">
            <v>202.96154000000001</v>
          </cell>
          <cell r="K141">
            <v>0.81184616000000009</v>
          </cell>
          <cell r="L141">
            <v>0</v>
          </cell>
          <cell r="M141">
            <v>4.3755769000000004</v>
          </cell>
          <cell r="N141">
            <v>0</v>
          </cell>
          <cell r="O141">
            <v>0</v>
          </cell>
          <cell r="P141">
            <v>0</v>
          </cell>
          <cell r="Q141">
            <v>0.45750000000000002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234.61537999999999</v>
          </cell>
          <cell r="W141">
            <v>0</v>
          </cell>
          <cell r="X141">
            <v>0.1067308</v>
          </cell>
          <cell r="Y141">
            <v>0</v>
          </cell>
          <cell r="Z141">
            <v>0</v>
          </cell>
          <cell r="AA141">
            <v>0</v>
          </cell>
          <cell r="AB141">
            <v>0.26591710000000002</v>
          </cell>
        </row>
        <row r="142">
          <cell r="A142">
            <v>11519105</v>
          </cell>
          <cell r="B142" t="str">
            <v>Strawberry milk, reduced fat</v>
          </cell>
          <cell r="I142">
            <v>250</v>
          </cell>
          <cell r="J142">
            <v>177.15385000000001</v>
          </cell>
          <cell r="K142">
            <v>0.70861540000000001</v>
          </cell>
          <cell r="L142">
            <v>0</v>
          </cell>
          <cell r="M142">
            <v>2.9491154000000002</v>
          </cell>
          <cell r="N142">
            <v>0</v>
          </cell>
          <cell r="O142">
            <v>0</v>
          </cell>
          <cell r="P142">
            <v>0</v>
          </cell>
          <cell r="Q142">
            <v>0.17126920000000001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234.61537999999999</v>
          </cell>
          <cell r="W142">
            <v>0</v>
          </cell>
          <cell r="X142">
            <v>0.11611539999999999</v>
          </cell>
          <cell r="Y142">
            <v>0</v>
          </cell>
          <cell r="Z142">
            <v>0</v>
          </cell>
          <cell r="AA142">
            <v>0</v>
          </cell>
          <cell r="AB142">
            <v>0.19942309999999999</v>
          </cell>
        </row>
        <row r="143">
          <cell r="A143">
            <v>11519200</v>
          </cell>
          <cell r="B143" t="str">
            <v>Strawberry milk, low fat</v>
          </cell>
          <cell r="I143">
            <v>250</v>
          </cell>
          <cell r="J143">
            <v>158.38462000000001</v>
          </cell>
          <cell r="K143">
            <v>0.63353848000000001</v>
          </cell>
          <cell r="L143">
            <v>0</v>
          </cell>
          <cell r="M143">
            <v>1.4851154</v>
          </cell>
          <cell r="N143">
            <v>0</v>
          </cell>
          <cell r="O143">
            <v>0</v>
          </cell>
          <cell r="P143">
            <v>0</v>
          </cell>
          <cell r="Q143">
            <v>8.2115400000000005E-2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234.61537999999999</v>
          </cell>
          <cell r="W143">
            <v>0</v>
          </cell>
          <cell r="X143">
            <v>0.1090769</v>
          </cell>
          <cell r="Y143">
            <v>0</v>
          </cell>
          <cell r="Z143">
            <v>0</v>
          </cell>
          <cell r="AA143">
            <v>0</v>
          </cell>
          <cell r="AB143">
            <v>7.8815499999999997E-2</v>
          </cell>
        </row>
        <row r="144">
          <cell r="A144">
            <v>11519205</v>
          </cell>
          <cell r="B144" t="str">
            <v>Strawberry milk, fat free</v>
          </cell>
          <cell r="I144">
            <v>250</v>
          </cell>
          <cell r="J144">
            <v>139.61537999999999</v>
          </cell>
          <cell r="K144">
            <v>0.55846151999999993</v>
          </cell>
          <cell r="L144">
            <v>0</v>
          </cell>
          <cell r="M144">
            <v>0.13138459999999999</v>
          </cell>
          <cell r="N144">
            <v>0</v>
          </cell>
          <cell r="O144">
            <v>0</v>
          </cell>
          <cell r="P144">
            <v>0</v>
          </cell>
          <cell r="Q144">
            <v>7.0384999999999996E-3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234.61537999999999</v>
          </cell>
          <cell r="W144">
            <v>0</v>
          </cell>
          <cell r="X144">
            <v>0.10438459999999999</v>
          </cell>
          <cell r="Y144">
            <v>0</v>
          </cell>
          <cell r="Z144">
            <v>0</v>
          </cell>
          <cell r="AA144">
            <v>0</v>
          </cell>
          <cell r="AB144">
            <v>7.7632999999999999E-3</v>
          </cell>
        </row>
        <row r="145">
          <cell r="A145">
            <v>11519215</v>
          </cell>
          <cell r="B145" t="str">
            <v>Strawberry milk, non-dairy</v>
          </cell>
          <cell r="I145">
            <v>250</v>
          </cell>
          <cell r="J145">
            <v>154.86537999999999</v>
          </cell>
          <cell r="K145">
            <v>0.61946151999999999</v>
          </cell>
          <cell r="L145">
            <v>0</v>
          </cell>
          <cell r="M145">
            <v>0.24048079999999999</v>
          </cell>
          <cell r="N145">
            <v>0</v>
          </cell>
          <cell r="O145">
            <v>0.3654423</v>
          </cell>
          <cell r="P145">
            <v>0.70384619999999998</v>
          </cell>
          <cell r="Q145">
            <v>1.2504999999999999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0.13488459999999999</v>
          </cell>
          <cell r="Y145">
            <v>2.3279711999999999</v>
          </cell>
          <cell r="Z145">
            <v>0</v>
          </cell>
          <cell r="AA145">
            <v>0</v>
          </cell>
          <cell r="AB145">
            <v>0</v>
          </cell>
        </row>
        <row r="146">
          <cell r="A146">
            <v>11522000</v>
          </cell>
          <cell r="B146" t="str">
            <v>Milk, malted, unfortified, natural flavor, made with milk</v>
          </cell>
          <cell r="I146">
            <v>235</v>
          </cell>
          <cell r="J146">
            <v>186.96315999999999</v>
          </cell>
          <cell r="K146">
            <v>0.79558791489361702</v>
          </cell>
          <cell r="L146">
            <v>4.077E-18</v>
          </cell>
          <cell r="M146">
            <v>3.3836966999999998</v>
          </cell>
          <cell r="N146">
            <v>0</v>
          </cell>
          <cell r="O146">
            <v>0</v>
          </cell>
          <cell r="P146">
            <v>1.86226E-2</v>
          </cell>
          <cell r="Q146">
            <v>0.46864679999999997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224.75755000000001</v>
          </cell>
          <cell r="W146">
            <v>0</v>
          </cell>
          <cell r="X146">
            <v>0.17168800000000001</v>
          </cell>
          <cell r="Y146">
            <v>0</v>
          </cell>
          <cell r="Z146">
            <v>0</v>
          </cell>
          <cell r="AA146">
            <v>0</v>
          </cell>
          <cell r="AB146">
            <v>0.31078460000000002</v>
          </cell>
        </row>
        <row r="147">
          <cell r="A147">
            <v>11526000</v>
          </cell>
          <cell r="B147" t="str">
            <v>Milk, malted</v>
          </cell>
          <cell r="I147">
            <v>235</v>
          </cell>
          <cell r="J147">
            <v>151.78345999999999</v>
          </cell>
          <cell r="K147">
            <v>0.64588706382978722</v>
          </cell>
          <cell r="L147">
            <v>0</v>
          </cell>
          <cell r="M147">
            <v>2.7694321</v>
          </cell>
          <cell r="N147">
            <v>0</v>
          </cell>
          <cell r="O147">
            <v>0</v>
          </cell>
          <cell r="P147">
            <v>0</v>
          </cell>
          <cell r="Q147">
            <v>0.22832559999999999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224.86275000000001</v>
          </cell>
          <cell r="W147">
            <v>0</v>
          </cell>
          <cell r="X147">
            <v>0.16462679999999999</v>
          </cell>
          <cell r="Y147">
            <v>0</v>
          </cell>
          <cell r="Z147">
            <v>0</v>
          </cell>
          <cell r="AA147">
            <v>0</v>
          </cell>
          <cell r="AB147">
            <v>0.19444059999999999</v>
          </cell>
        </row>
        <row r="148">
          <cell r="A148">
            <v>11531000</v>
          </cell>
          <cell r="B148" t="str">
            <v>Eggnog, regular</v>
          </cell>
          <cell r="I148">
            <v>254</v>
          </cell>
          <cell r="J148">
            <v>223.52</v>
          </cell>
          <cell r="K148">
            <v>0.88</v>
          </cell>
          <cell r="L148">
            <v>0</v>
          </cell>
          <cell r="M148">
            <v>6.5811400000000004</v>
          </cell>
          <cell r="N148">
            <v>0</v>
          </cell>
          <cell r="O148">
            <v>0.33019999999999999</v>
          </cell>
          <cell r="P148">
            <v>0</v>
          </cell>
          <cell r="Q148">
            <v>0.50292000000000003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0.13716</v>
          </cell>
          <cell r="Y148">
            <v>0</v>
          </cell>
          <cell r="Z148">
            <v>0</v>
          </cell>
          <cell r="AA148">
            <v>0</v>
          </cell>
          <cell r="AB148">
            <v>0.23504040000000001</v>
          </cell>
        </row>
        <row r="149">
          <cell r="A149">
            <v>11531500</v>
          </cell>
          <cell r="B149" t="str">
            <v>Eggnog, lowfat / light</v>
          </cell>
          <cell r="I149">
            <v>254</v>
          </cell>
          <cell r="J149">
            <v>187.43117000000001</v>
          </cell>
          <cell r="K149">
            <v>0.7379179921259843</v>
          </cell>
          <cell r="L149">
            <v>0</v>
          </cell>
          <cell r="M149">
            <v>3.8866670000000001</v>
          </cell>
          <cell r="N149">
            <v>0</v>
          </cell>
          <cell r="O149">
            <v>0.26938210000000001</v>
          </cell>
          <cell r="P149">
            <v>0</v>
          </cell>
          <cell r="Q149">
            <v>0.95160420000000001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0.15602009999999999</v>
          </cell>
          <cell r="Y149">
            <v>0</v>
          </cell>
          <cell r="Z149">
            <v>0</v>
          </cell>
          <cell r="AA149">
            <v>0</v>
          </cell>
          <cell r="AB149">
            <v>0.19004879999999999</v>
          </cell>
        </row>
        <row r="150">
          <cell r="A150">
            <v>11541110</v>
          </cell>
          <cell r="B150" t="str">
            <v>Milk shake, home recipe, chocolate</v>
          </cell>
          <cell r="I150">
            <v>226</v>
          </cell>
          <cell r="J150">
            <v>270.11612000000002</v>
          </cell>
          <cell r="K150">
            <v>1.1952040707964602</v>
          </cell>
          <cell r="L150">
            <v>1.2549999999999999E-16</v>
          </cell>
          <cell r="M150">
            <v>8.4257643000000009</v>
          </cell>
          <cell r="N150">
            <v>0</v>
          </cell>
          <cell r="O150">
            <v>0.25196689999999999</v>
          </cell>
          <cell r="P150">
            <v>1.0239183999999999</v>
          </cell>
          <cell r="Q150">
            <v>0.62415200000000004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0.1253378</v>
          </cell>
          <cell r="Y150">
            <v>0</v>
          </cell>
          <cell r="Z150">
            <v>0</v>
          </cell>
          <cell r="AA150">
            <v>0</v>
          </cell>
          <cell r="AB150">
            <v>0.46218819999999999</v>
          </cell>
        </row>
        <row r="151">
          <cell r="A151">
            <v>11541120</v>
          </cell>
          <cell r="B151" t="str">
            <v>Milk shake, home recipe, flavors other than chocolate</v>
          </cell>
          <cell r="I151">
            <v>226</v>
          </cell>
          <cell r="J151">
            <v>262.43673000000001</v>
          </cell>
          <cell r="K151">
            <v>1.1612244690265487</v>
          </cell>
          <cell r="L151">
            <v>0</v>
          </cell>
          <cell r="M151">
            <v>8.4172315999999991</v>
          </cell>
          <cell r="N151">
            <v>0</v>
          </cell>
          <cell r="O151">
            <v>0.268179</v>
          </cell>
          <cell r="P151">
            <v>0.59728570000000003</v>
          </cell>
          <cell r="Q151">
            <v>0.65998920000000005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0.1287508</v>
          </cell>
          <cell r="Y151">
            <v>0</v>
          </cell>
          <cell r="Z151">
            <v>0</v>
          </cell>
          <cell r="AA151">
            <v>0</v>
          </cell>
          <cell r="AB151">
            <v>0.4457062</v>
          </cell>
        </row>
        <row r="152">
          <cell r="A152">
            <v>11541130</v>
          </cell>
          <cell r="B152" t="str">
            <v>Milk shake, home recipe, chocolate, light</v>
          </cell>
          <cell r="I152">
            <v>226</v>
          </cell>
          <cell r="J152">
            <v>218.64347000000001</v>
          </cell>
          <cell r="K152">
            <v>0.96744898230088494</v>
          </cell>
          <cell r="L152">
            <v>0</v>
          </cell>
          <cell r="M152">
            <v>4.6277651000000004</v>
          </cell>
          <cell r="N152">
            <v>0</v>
          </cell>
          <cell r="O152">
            <v>0.31151099999999998</v>
          </cell>
          <cell r="P152">
            <v>0.6826122</v>
          </cell>
          <cell r="Q152">
            <v>0.25487270000000001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0.1224782</v>
          </cell>
          <cell r="Y152">
            <v>0</v>
          </cell>
          <cell r="Z152">
            <v>0</v>
          </cell>
          <cell r="AA152">
            <v>0</v>
          </cell>
          <cell r="AB152">
            <v>0.20488339999999999</v>
          </cell>
        </row>
        <row r="153">
          <cell r="A153">
            <v>11541135</v>
          </cell>
          <cell r="B153" t="str">
            <v>Milk shake, home recipe, flavors other than chocolate, light</v>
          </cell>
          <cell r="I153">
            <v>226</v>
          </cell>
          <cell r="J153">
            <v>212.67061000000001</v>
          </cell>
          <cell r="K153">
            <v>0.94102039823008854</v>
          </cell>
          <cell r="L153">
            <v>3.136E-17</v>
          </cell>
          <cell r="M153">
            <v>3.3879706000000001</v>
          </cell>
          <cell r="N153">
            <v>0</v>
          </cell>
          <cell r="O153">
            <v>0.31321759999999998</v>
          </cell>
          <cell r="P153">
            <v>0.25597959999999997</v>
          </cell>
          <cell r="Q153">
            <v>0.2361008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0.12503800000000001</v>
          </cell>
          <cell r="Y153">
            <v>0</v>
          </cell>
          <cell r="Z153">
            <v>0</v>
          </cell>
          <cell r="AA153">
            <v>0</v>
          </cell>
          <cell r="AB153">
            <v>0.17158470000000001</v>
          </cell>
        </row>
        <row r="154">
          <cell r="A154">
            <v>11541400</v>
          </cell>
          <cell r="B154" t="str">
            <v>Milk shake with malt</v>
          </cell>
          <cell r="I154">
            <v>226.4</v>
          </cell>
          <cell r="J154">
            <v>288.58987999999999</v>
          </cell>
          <cell r="K154">
            <v>1.2746902826855122</v>
          </cell>
          <cell r="L154">
            <v>0</v>
          </cell>
          <cell r="M154">
            <v>8.5175909999999995</v>
          </cell>
          <cell r="N154">
            <v>0</v>
          </cell>
          <cell r="O154">
            <v>0.28342519999999999</v>
          </cell>
          <cell r="P154">
            <v>0.58481099999999997</v>
          </cell>
          <cell r="Q154">
            <v>0.75480689999999995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0.15764520000000001</v>
          </cell>
          <cell r="Y154">
            <v>0</v>
          </cell>
          <cell r="Z154">
            <v>0</v>
          </cell>
          <cell r="AA154">
            <v>0</v>
          </cell>
          <cell r="AB154">
            <v>0.4635765</v>
          </cell>
        </row>
        <row r="155">
          <cell r="A155">
            <v>11542100</v>
          </cell>
          <cell r="B155" t="str">
            <v>Milk shake, fast food, chocolate</v>
          </cell>
          <cell r="I155">
            <v>188</v>
          </cell>
          <cell r="J155">
            <v>281.24799999999999</v>
          </cell>
          <cell r="K155">
            <v>1.496</v>
          </cell>
          <cell r="L155">
            <v>0</v>
          </cell>
          <cell r="M155">
            <v>7.6030208000000004</v>
          </cell>
          <cell r="N155">
            <v>0</v>
          </cell>
          <cell r="O155">
            <v>0.21668879999999999</v>
          </cell>
          <cell r="P155">
            <v>3.0493600000000001</v>
          </cell>
          <cell r="Q155">
            <v>0.59874240000000001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0.15002399999999999</v>
          </cell>
          <cell r="Y155">
            <v>0</v>
          </cell>
          <cell r="Z155">
            <v>0</v>
          </cell>
          <cell r="AA155">
            <v>0</v>
          </cell>
          <cell r="AB155">
            <v>0.27006989999999997</v>
          </cell>
        </row>
        <row r="156">
          <cell r="A156">
            <v>11542200</v>
          </cell>
          <cell r="B156" t="str">
            <v>Milk shake, fast food, flavors other than chocolate</v>
          </cell>
          <cell r="I156">
            <v>188</v>
          </cell>
          <cell r="J156">
            <v>278.24</v>
          </cell>
          <cell r="K156">
            <v>1.48</v>
          </cell>
          <cell r="L156">
            <v>0</v>
          </cell>
          <cell r="M156">
            <v>7.4485599999999996</v>
          </cell>
          <cell r="N156">
            <v>0</v>
          </cell>
          <cell r="O156">
            <v>0.2162</v>
          </cell>
          <cell r="P156">
            <v>1.6919999999999999</v>
          </cell>
          <cell r="Q156">
            <v>0.59408000000000005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0.15228</v>
          </cell>
          <cell r="Y156">
            <v>0</v>
          </cell>
          <cell r="Z156">
            <v>0</v>
          </cell>
          <cell r="AA156">
            <v>0</v>
          </cell>
          <cell r="AB156">
            <v>0.23391980000000001</v>
          </cell>
        </row>
        <row r="157">
          <cell r="A157">
            <v>11543000</v>
          </cell>
          <cell r="B157" t="str">
            <v>Milk shake, bottled, chocolate</v>
          </cell>
          <cell r="I157">
            <v>188</v>
          </cell>
          <cell r="J157">
            <v>281.24799999999999</v>
          </cell>
          <cell r="K157">
            <v>1.496</v>
          </cell>
          <cell r="L157">
            <v>0</v>
          </cell>
          <cell r="M157">
            <v>7.6030208000000004</v>
          </cell>
          <cell r="N157">
            <v>0</v>
          </cell>
          <cell r="O157">
            <v>0.21668879999999999</v>
          </cell>
          <cell r="P157">
            <v>3.0493600000000001</v>
          </cell>
          <cell r="Q157">
            <v>0.59874240000000001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0.15002399999999999</v>
          </cell>
          <cell r="Y157">
            <v>0</v>
          </cell>
          <cell r="Z157">
            <v>0</v>
          </cell>
          <cell r="AA157">
            <v>0</v>
          </cell>
          <cell r="AB157">
            <v>0.26380900000000002</v>
          </cell>
        </row>
        <row r="158">
          <cell r="A158">
            <v>11543010</v>
          </cell>
          <cell r="B158" t="str">
            <v>Milk shake, bottled, flavors other than chocolate</v>
          </cell>
          <cell r="I158">
            <v>188</v>
          </cell>
          <cell r="J158">
            <v>278.24</v>
          </cell>
          <cell r="K158">
            <v>1.48</v>
          </cell>
          <cell r="L158">
            <v>0</v>
          </cell>
          <cell r="M158">
            <v>7.4485599999999996</v>
          </cell>
          <cell r="N158">
            <v>0</v>
          </cell>
          <cell r="O158">
            <v>0.2162</v>
          </cell>
          <cell r="P158">
            <v>1.6919999999999999</v>
          </cell>
          <cell r="Q158">
            <v>0.59408000000000005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0.15228</v>
          </cell>
          <cell r="Y158">
            <v>0</v>
          </cell>
          <cell r="Z158">
            <v>0</v>
          </cell>
          <cell r="AA158">
            <v>0</v>
          </cell>
          <cell r="AB158">
            <v>0.2366473</v>
          </cell>
        </row>
        <row r="159">
          <cell r="A159">
            <v>11551050</v>
          </cell>
          <cell r="B159" t="str">
            <v>Licuado or Batido</v>
          </cell>
          <cell r="I159">
            <v>209</v>
          </cell>
          <cell r="J159">
            <v>149.17934</v>
          </cell>
          <cell r="K159">
            <v>0.71377674641148325</v>
          </cell>
          <cell r="L159">
            <v>1.5513827</v>
          </cell>
          <cell r="M159">
            <v>1.6737690999999999</v>
          </cell>
          <cell r="N159">
            <v>0</v>
          </cell>
          <cell r="O159">
            <v>0.16349630000000001</v>
          </cell>
          <cell r="P159">
            <v>0</v>
          </cell>
          <cell r="Q159">
            <v>0.20711830000000001</v>
          </cell>
          <cell r="R159">
            <v>0</v>
          </cell>
          <cell r="S159">
            <v>0</v>
          </cell>
          <cell r="T159">
            <v>66.517238000000006</v>
          </cell>
          <cell r="U159">
            <v>0</v>
          </cell>
          <cell r="V159">
            <v>0</v>
          </cell>
          <cell r="W159">
            <v>209</v>
          </cell>
          <cell r="X159">
            <v>5.9645200000000002E-2</v>
          </cell>
          <cell r="Y159">
            <v>0</v>
          </cell>
          <cell r="Z159">
            <v>0</v>
          </cell>
          <cell r="AA159">
            <v>0</v>
          </cell>
          <cell r="AB159">
            <v>9.2635999999999996E-2</v>
          </cell>
        </row>
        <row r="160">
          <cell r="A160">
            <v>11553000</v>
          </cell>
          <cell r="B160" t="str">
            <v>Fruit smoothie drink, made with fruit or fruit juice and dairy products</v>
          </cell>
          <cell r="I160">
            <v>202</v>
          </cell>
          <cell r="J160">
            <v>200.23143999999999</v>
          </cell>
          <cell r="K160">
            <v>0.99124475247524746</v>
          </cell>
          <cell r="L160">
            <v>2.2966141000000002</v>
          </cell>
          <cell r="M160">
            <v>2.025604</v>
          </cell>
          <cell r="N160">
            <v>0</v>
          </cell>
          <cell r="O160">
            <v>0.1079562</v>
          </cell>
          <cell r="P160">
            <v>0.13819029999999999</v>
          </cell>
          <cell r="Q160">
            <v>0.1851035</v>
          </cell>
          <cell r="R160">
            <v>0</v>
          </cell>
          <cell r="S160">
            <v>0</v>
          </cell>
          <cell r="T160">
            <v>81.127251999999999</v>
          </cell>
          <cell r="U160">
            <v>0</v>
          </cell>
          <cell r="V160">
            <v>0</v>
          </cell>
          <cell r="W160">
            <v>202</v>
          </cell>
          <cell r="X160">
            <v>5.5195899999999999E-2</v>
          </cell>
          <cell r="Y160">
            <v>0</v>
          </cell>
          <cell r="Z160">
            <v>0</v>
          </cell>
          <cell r="AA160">
            <v>0</v>
          </cell>
          <cell r="AB160">
            <v>6.8076899999999996E-2</v>
          </cell>
        </row>
        <row r="161">
          <cell r="A161">
            <v>11553100</v>
          </cell>
          <cell r="B161" t="str">
            <v>Fruit smoothie, NFS</v>
          </cell>
          <cell r="I161">
            <v>202</v>
          </cell>
          <cell r="J161">
            <v>126.99475</v>
          </cell>
          <cell r="K161">
            <v>0.62868688118811877</v>
          </cell>
          <cell r="L161">
            <v>2.4183881999999999</v>
          </cell>
          <cell r="M161">
            <v>1.1820957000000001</v>
          </cell>
          <cell r="N161">
            <v>0</v>
          </cell>
          <cell r="O161">
            <v>0.15874389999999999</v>
          </cell>
          <cell r="P161">
            <v>0</v>
          </cell>
          <cell r="Q161">
            <v>0.21156520000000001</v>
          </cell>
          <cell r="R161">
            <v>0</v>
          </cell>
          <cell r="S161">
            <v>0</v>
          </cell>
          <cell r="T161">
            <v>98.508268000000001</v>
          </cell>
          <cell r="U161">
            <v>0</v>
          </cell>
          <cell r="V161">
            <v>0</v>
          </cell>
          <cell r="W161">
            <v>202</v>
          </cell>
          <cell r="X161">
            <v>5.9426100000000003E-2</v>
          </cell>
          <cell r="Y161">
            <v>0</v>
          </cell>
          <cell r="Z161">
            <v>0</v>
          </cell>
          <cell r="AA161">
            <v>0</v>
          </cell>
          <cell r="AB161">
            <v>4.0903599999999998E-2</v>
          </cell>
        </row>
        <row r="162">
          <cell r="A162">
            <v>11553110</v>
          </cell>
          <cell r="B162" t="str">
            <v>Fruit smoothie, with whole fruit and dairy</v>
          </cell>
          <cell r="I162">
            <v>202</v>
          </cell>
          <cell r="J162">
            <v>127.02472</v>
          </cell>
          <cell r="K162">
            <v>0.62883524752475251</v>
          </cell>
          <cell r="L162">
            <v>2.4171586999999999</v>
          </cell>
          <cell r="M162">
            <v>1.1824372000000001</v>
          </cell>
          <cell r="N162">
            <v>0</v>
          </cell>
          <cell r="O162">
            <v>0.15884180000000001</v>
          </cell>
          <cell r="P162">
            <v>0</v>
          </cell>
          <cell r="Q162">
            <v>0.21148900000000001</v>
          </cell>
          <cell r="R162">
            <v>0</v>
          </cell>
          <cell r="S162">
            <v>0</v>
          </cell>
          <cell r="T162">
            <v>98.458642999999995</v>
          </cell>
          <cell r="U162">
            <v>0</v>
          </cell>
          <cell r="V162">
            <v>0</v>
          </cell>
          <cell r="W162">
            <v>202</v>
          </cell>
          <cell r="X162">
            <v>5.9467800000000001E-2</v>
          </cell>
          <cell r="Y162">
            <v>0</v>
          </cell>
          <cell r="Z162">
            <v>0</v>
          </cell>
          <cell r="AA162">
            <v>0</v>
          </cell>
          <cell r="AB162">
            <v>5.2647800000000002E-2</v>
          </cell>
        </row>
        <row r="163">
          <cell r="A163">
            <v>11553120</v>
          </cell>
          <cell r="B163" t="str">
            <v>Fruit smoothie, with whole fruit and dairy, added protein</v>
          </cell>
          <cell r="I163">
            <v>202</v>
          </cell>
          <cell r="J163">
            <v>156.23276999999999</v>
          </cell>
          <cell r="K163">
            <v>0.77342955445544548</v>
          </cell>
          <cell r="L163">
            <v>1.8604227</v>
          </cell>
          <cell r="M163">
            <v>1.343796</v>
          </cell>
          <cell r="N163">
            <v>0</v>
          </cell>
          <cell r="O163">
            <v>0.22967989999999999</v>
          </cell>
          <cell r="P163">
            <v>0.39392700000000003</v>
          </cell>
          <cell r="Q163">
            <v>0.24531990000000001</v>
          </cell>
          <cell r="R163">
            <v>0</v>
          </cell>
          <cell r="S163">
            <v>0</v>
          </cell>
          <cell r="T163">
            <v>77.484145999999996</v>
          </cell>
          <cell r="U163">
            <v>0</v>
          </cell>
          <cell r="V163">
            <v>0</v>
          </cell>
          <cell r="W163">
            <v>202</v>
          </cell>
          <cell r="X163">
            <v>8.3751000000000006E-2</v>
          </cell>
          <cell r="Y163">
            <v>0</v>
          </cell>
          <cell r="Z163">
            <v>0</v>
          </cell>
          <cell r="AA163">
            <v>0</v>
          </cell>
          <cell r="AB163">
            <v>5.4303200000000003E-2</v>
          </cell>
        </row>
        <row r="164">
          <cell r="A164">
            <v>11553130</v>
          </cell>
          <cell r="B164" t="str">
            <v>Fruit smoothie juice drink, with dairy</v>
          </cell>
          <cell r="I164">
            <v>202</v>
          </cell>
          <cell r="J164">
            <v>131.30000000000001</v>
          </cell>
          <cell r="K164">
            <v>0.65</v>
          </cell>
          <cell r="L164">
            <v>1.8180000000000001</v>
          </cell>
          <cell r="M164">
            <v>0</v>
          </cell>
          <cell r="N164">
            <v>0</v>
          </cell>
          <cell r="O164">
            <v>4.0399999999999998E-2</v>
          </cell>
          <cell r="P164">
            <v>0</v>
          </cell>
          <cell r="Q164">
            <v>0.10503999999999999</v>
          </cell>
          <cell r="R164">
            <v>0</v>
          </cell>
          <cell r="S164">
            <v>0</v>
          </cell>
          <cell r="T164">
            <v>70.296000000000006</v>
          </cell>
          <cell r="U164">
            <v>0</v>
          </cell>
          <cell r="V164">
            <v>0</v>
          </cell>
          <cell r="W164">
            <v>202</v>
          </cell>
          <cell r="X164">
            <v>2.828E-2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</row>
        <row r="165">
          <cell r="A165">
            <v>11560000</v>
          </cell>
          <cell r="B165" t="str">
            <v>Chocolate milk drink</v>
          </cell>
          <cell r="I165">
            <v>244</v>
          </cell>
          <cell r="J165">
            <v>119.56</v>
          </cell>
          <cell r="K165">
            <v>0.49</v>
          </cell>
          <cell r="L165">
            <v>0</v>
          </cell>
          <cell r="M165">
            <v>0.75639999999999996</v>
          </cell>
          <cell r="N165">
            <v>0</v>
          </cell>
          <cell r="O165">
            <v>0.24399999999999999</v>
          </cell>
          <cell r="P165">
            <v>1.464</v>
          </cell>
          <cell r="Q165">
            <v>2.196E-2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0.22203999999999999</v>
          </cell>
          <cell r="Y165">
            <v>0</v>
          </cell>
          <cell r="Z165">
            <v>0</v>
          </cell>
          <cell r="AA165">
            <v>0</v>
          </cell>
          <cell r="AB165">
            <v>5.21381E-2</v>
          </cell>
        </row>
        <row r="166">
          <cell r="A166">
            <v>11561000</v>
          </cell>
          <cell r="B166" t="str">
            <v>Cafe con leche</v>
          </cell>
          <cell r="I166">
            <v>253.6</v>
          </cell>
          <cell r="J166">
            <v>79.755301000000003</v>
          </cell>
          <cell r="K166">
            <v>0.31449251182965299</v>
          </cell>
          <cell r="L166">
            <v>0</v>
          </cell>
          <cell r="M166">
            <v>2.4027313000000001</v>
          </cell>
          <cell r="N166">
            <v>0</v>
          </cell>
          <cell r="O166">
            <v>0.1479277</v>
          </cell>
          <cell r="P166">
            <v>0</v>
          </cell>
          <cell r="Q166">
            <v>0.25221169999999998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5.7838500000000001E-2</v>
          </cell>
          <cell r="Y166">
            <v>0</v>
          </cell>
          <cell r="Z166">
            <v>0</v>
          </cell>
          <cell r="AA166">
            <v>0</v>
          </cell>
          <cell r="AB166">
            <v>0.22205539999999999</v>
          </cell>
        </row>
        <row r="167">
          <cell r="A167">
            <v>11561010</v>
          </cell>
          <cell r="B167" t="str">
            <v>Cafe con leche prepared with sugar</v>
          </cell>
          <cell r="I167">
            <v>253.6</v>
          </cell>
          <cell r="J167">
            <v>138.21572</v>
          </cell>
          <cell r="K167">
            <v>0.54501466876971616</v>
          </cell>
          <cell r="L167">
            <v>0</v>
          </cell>
          <cell r="M167">
            <v>2.2469496000000002</v>
          </cell>
          <cell r="N167">
            <v>0</v>
          </cell>
          <cell r="O167">
            <v>0.13850119999999999</v>
          </cell>
          <cell r="P167">
            <v>0</v>
          </cell>
          <cell r="Q167">
            <v>0.2358595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5.4253000000000003E-2</v>
          </cell>
          <cell r="Y167">
            <v>0</v>
          </cell>
          <cell r="Z167">
            <v>0</v>
          </cell>
          <cell r="AA167">
            <v>0</v>
          </cell>
          <cell r="AB167">
            <v>0.2393585</v>
          </cell>
        </row>
        <row r="168">
          <cell r="A168">
            <v>11810000</v>
          </cell>
          <cell r="B168" t="str">
            <v>Milk, dry, not reconstituted, NS as to fat content</v>
          </cell>
          <cell r="I168">
            <v>22.666667</v>
          </cell>
          <cell r="J168">
            <v>81.146666999999994</v>
          </cell>
          <cell r="K168">
            <v>3.5799999620588236</v>
          </cell>
          <cell r="L168">
            <v>0</v>
          </cell>
          <cell r="M168">
            <v>0.1058533</v>
          </cell>
          <cell r="N168">
            <v>0</v>
          </cell>
          <cell r="O168">
            <v>0.27902670000000002</v>
          </cell>
          <cell r="P168">
            <v>0</v>
          </cell>
          <cell r="Q168">
            <v>6.3467000000000003E-3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0.12444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A169">
            <v>11811000</v>
          </cell>
          <cell r="B169" t="str">
            <v>Milk, dry, not reconstituted, whole</v>
          </cell>
          <cell r="I169">
            <v>42.666666999999997</v>
          </cell>
          <cell r="J169">
            <v>211.62666999999999</v>
          </cell>
          <cell r="K169">
            <v>4.9600000393750001</v>
          </cell>
          <cell r="L169">
            <v>0</v>
          </cell>
          <cell r="M169">
            <v>7.1432532999999996</v>
          </cell>
          <cell r="N169">
            <v>0</v>
          </cell>
          <cell r="O169">
            <v>0.38912000000000002</v>
          </cell>
          <cell r="P169">
            <v>0</v>
          </cell>
          <cell r="Q169">
            <v>0.28373330000000002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0.1582933</v>
          </cell>
          <cell r="Y169">
            <v>0</v>
          </cell>
          <cell r="Z169">
            <v>0</v>
          </cell>
          <cell r="AA169">
            <v>0</v>
          </cell>
          <cell r="AB169">
            <v>8.3421400000000007E-2</v>
          </cell>
        </row>
        <row r="170">
          <cell r="A170">
            <v>11813000</v>
          </cell>
          <cell r="B170" t="str">
            <v>Milk, dry, not reconstituted, fat free (skim)</v>
          </cell>
          <cell r="I170">
            <v>23</v>
          </cell>
          <cell r="J170">
            <v>82.34</v>
          </cell>
          <cell r="K170">
            <v>3.58</v>
          </cell>
          <cell r="L170">
            <v>0</v>
          </cell>
          <cell r="M170">
            <v>0.10741000000000001</v>
          </cell>
          <cell r="N170">
            <v>0</v>
          </cell>
          <cell r="O170">
            <v>0.28312999999999999</v>
          </cell>
          <cell r="P170">
            <v>0</v>
          </cell>
          <cell r="Q170">
            <v>6.4400000000000004E-3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0.12626999999999999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</row>
        <row r="171">
          <cell r="A171">
            <v>11830100</v>
          </cell>
          <cell r="B171" t="str">
            <v>Hot chocolate / Cocoa, dry mix, not reconstituted</v>
          </cell>
          <cell r="I171">
            <v>28.35</v>
          </cell>
          <cell r="J171">
            <v>112.833</v>
          </cell>
          <cell r="K171">
            <v>3.9799999999999995</v>
          </cell>
          <cell r="L171">
            <v>0</v>
          </cell>
          <cell r="M171">
            <v>0.67387949999999996</v>
          </cell>
          <cell r="N171">
            <v>0</v>
          </cell>
          <cell r="O171">
            <v>3.7705500000000003E-2</v>
          </cell>
          <cell r="P171">
            <v>1.04895</v>
          </cell>
          <cell r="Q171">
            <v>3.2319000000000001E-2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0.14288400000000001</v>
          </cell>
          <cell r="Y171">
            <v>0</v>
          </cell>
          <cell r="Z171">
            <v>0</v>
          </cell>
          <cell r="AA171">
            <v>0</v>
          </cell>
          <cell r="AB171">
            <v>7.3944599999999999E-2</v>
          </cell>
        </row>
        <row r="172">
          <cell r="A172">
            <v>11830110</v>
          </cell>
          <cell r="B172" t="str">
            <v>Cocoa powder with nonfat dry milk and low calorie sweetener, dry mix, not reconstituted</v>
          </cell>
          <cell r="I172">
            <v>19</v>
          </cell>
          <cell r="J172">
            <v>71.63</v>
          </cell>
          <cell r="K172">
            <v>3.7699999999999996</v>
          </cell>
          <cell r="L172">
            <v>0</v>
          </cell>
          <cell r="M172">
            <v>0.33762999999999999</v>
          </cell>
          <cell r="N172">
            <v>0</v>
          </cell>
          <cell r="O172">
            <v>0.10944</v>
          </cell>
          <cell r="P172">
            <v>1.425</v>
          </cell>
          <cell r="Q172">
            <v>1.6719999999999999E-2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0.16644</v>
          </cell>
          <cell r="Y172">
            <v>0</v>
          </cell>
          <cell r="Z172">
            <v>0</v>
          </cell>
          <cell r="AA172">
            <v>0</v>
          </cell>
          <cell r="AB172">
            <v>1.93901E-2</v>
          </cell>
        </row>
        <row r="173">
          <cell r="A173">
            <v>11830115</v>
          </cell>
          <cell r="B173" t="str">
            <v>Hot chocolate / Cocoa, dry mix, no sugar added, not reconstituted</v>
          </cell>
          <cell r="I173">
            <v>19</v>
          </cell>
          <cell r="J173">
            <v>71.63</v>
          </cell>
          <cell r="K173">
            <v>3.7699999999999996</v>
          </cell>
          <cell r="L173">
            <v>0</v>
          </cell>
          <cell r="M173">
            <v>0.33762999999999999</v>
          </cell>
          <cell r="N173">
            <v>0</v>
          </cell>
          <cell r="O173">
            <v>0.10944</v>
          </cell>
          <cell r="P173">
            <v>1.425</v>
          </cell>
          <cell r="Q173">
            <v>1.6719999999999999E-2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0.16644</v>
          </cell>
          <cell r="Y173">
            <v>0</v>
          </cell>
          <cell r="Z173">
            <v>0</v>
          </cell>
          <cell r="AA173">
            <v>0</v>
          </cell>
          <cell r="AB173">
            <v>1.29032E-2</v>
          </cell>
        </row>
        <row r="174">
          <cell r="A174">
            <v>11830150</v>
          </cell>
          <cell r="B174" t="str">
            <v>Cocoa powder, not reconstituted</v>
          </cell>
          <cell r="I174">
            <v>5.4</v>
          </cell>
          <cell r="J174">
            <v>12.311999999999999</v>
          </cell>
          <cell r="K174">
            <v>2.2799999999999998</v>
          </cell>
          <cell r="L174">
            <v>0</v>
          </cell>
          <cell r="M174">
            <v>0.43578</v>
          </cell>
          <cell r="N174">
            <v>0</v>
          </cell>
          <cell r="O174">
            <v>6.9119999999999997E-3</v>
          </cell>
          <cell r="P174">
            <v>1.998</v>
          </cell>
          <cell r="Q174">
            <v>2.376E-2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1.134E-3</v>
          </cell>
          <cell r="Y174">
            <v>0</v>
          </cell>
          <cell r="Z174">
            <v>0</v>
          </cell>
          <cell r="AA174">
            <v>0</v>
          </cell>
          <cell r="AB174">
            <v>4.6953599999999998E-2</v>
          </cell>
        </row>
        <row r="175">
          <cell r="A175">
            <v>11830160</v>
          </cell>
          <cell r="B175" t="str">
            <v>Chocolate beverage powder, dry mix, not reconstituted</v>
          </cell>
          <cell r="I175">
            <v>22</v>
          </cell>
          <cell r="J175">
            <v>88</v>
          </cell>
          <cell r="K175">
            <v>4</v>
          </cell>
          <cell r="L175">
            <v>0</v>
          </cell>
          <cell r="M175">
            <v>0.50005999999999995</v>
          </cell>
          <cell r="N175">
            <v>0</v>
          </cell>
          <cell r="O175">
            <v>0.10009999999999999</v>
          </cell>
          <cell r="P175">
            <v>0.99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2.9919999999999999E-2</v>
          </cell>
          <cell r="Y175">
            <v>0</v>
          </cell>
          <cell r="Z175">
            <v>0</v>
          </cell>
          <cell r="AA175">
            <v>0</v>
          </cell>
          <cell r="AB175">
            <v>2.6586100000000001E-2</v>
          </cell>
        </row>
        <row r="176">
          <cell r="A176">
            <v>11830165</v>
          </cell>
          <cell r="B176" t="str">
            <v>Chocolate beverage powder, reduced sugar, dry mix, not reconstituted</v>
          </cell>
          <cell r="I176">
            <v>22</v>
          </cell>
          <cell r="J176">
            <v>82.06</v>
          </cell>
          <cell r="K176">
            <v>3.73</v>
          </cell>
          <cell r="L176">
            <v>0</v>
          </cell>
          <cell r="M176">
            <v>0.99990000000000001</v>
          </cell>
          <cell r="N176">
            <v>0</v>
          </cell>
          <cell r="O176">
            <v>0.19997999999999999</v>
          </cell>
          <cell r="P176">
            <v>2.0019999999999998</v>
          </cell>
          <cell r="Q176">
            <v>0.40282000000000001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0.13991999999999999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A177">
            <v>11830170</v>
          </cell>
          <cell r="B177" t="str">
            <v>Cocoa (or chocolate) flavored beverage powder with low-calorie sweetener, dry mix, not reconstituted</v>
          </cell>
          <cell r="I177">
            <v>5.2</v>
          </cell>
          <cell r="J177">
            <v>19.603999999999999</v>
          </cell>
          <cell r="K177">
            <v>3.7699999999999996</v>
          </cell>
          <cell r="L177">
            <v>0</v>
          </cell>
          <cell r="M177">
            <v>9.2404E-2</v>
          </cell>
          <cell r="N177">
            <v>0</v>
          </cell>
          <cell r="O177">
            <v>2.9951999999999999E-2</v>
          </cell>
          <cell r="P177">
            <v>0.39</v>
          </cell>
          <cell r="Q177">
            <v>4.5760000000000002E-3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4.5552000000000002E-2</v>
          </cell>
          <cell r="Y177">
            <v>0</v>
          </cell>
          <cell r="Z177">
            <v>0</v>
          </cell>
          <cell r="AA177">
            <v>0</v>
          </cell>
          <cell r="AB177">
            <v>3.6315000000000002E-3</v>
          </cell>
        </row>
        <row r="178">
          <cell r="A178">
            <v>11830260</v>
          </cell>
          <cell r="B178" t="str">
            <v>Milk, malted, dry mix, not reconstituted</v>
          </cell>
          <cell r="I178">
            <v>21</v>
          </cell>
          <cell r="J178">
            <v>78.12</v>
          </cell>
          <cell r="K178">
            <v>3.72</v>
          </cell>
          <cell r="L178">
            <v>0</v>
          </cell>
          <cell r="M178">
            <v>0</v>
          </cell>
          <cell r="N178">
            <v>0</v>
          </cell>
          <cell r="O178">
            <v>0.19089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0.13356000000000001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</row>
        <row r="179">
          <cell r="A179">
            <v>11830400</v>
          </cell>
          <cell r="B179" t="str">
            <v>Strawberry beverage powder, dry mix, not reconstituted</v>
          </cell>
          <cell r="I179">
            <v>22</v>
          </cell>
          <cell r="J179">
            <v>85.58</v>
          </cell>
          <cell r="K179">
            <v>3.89</v>
          </cell>
          <cell r="L179">
            <v>0</v>
          </cell>
          <cell r="M179">
            <v>0</v>
          </cell>
          <cell r="N179">
            <v>0</v>
          </cell>
          <cell r="O179">
            <v>8.8000000000000003E-4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8.3599999999999994E-3</v>
          </cell>
          <cell r="Y179">
            <v>0</v>
          </cell>
          <cell r="Z179">
            <v>0</v>
          </cell>
          <cell r="AA179">
            <v>0</v>
          </cell>
          <cell r="AB179">
            <v>6.7907000000000002E-3</v>
          </cell>
        </row>
        <row r="180">
          <cell r="A180">
            <v>12100100</v>
          </cell>
          <cell r="B180" t="str">
            <v>Cream, NS as to light, heavy, or half and half</v>
          </cell>
          <cell r="I180">
            <v>15</v>
          </cell>
          <cell r="J180">
            <v>18.45</v>
          </cell>
          <cell r="K180">
            <v>1.23</v>
          </cell>
          <cell r="L180">
            <v>0</v>
          </cell>
          <cell r="M180">
            <v>1.0548</v>
          </cell>
          <cell r="N180">
            <v>0</v>
          </cell>
          <cell r="O180">
            <v>1.6049999999999998E-2</v>
          </cell>
          <cell r="P180">
            <v>0</v>
          </cell>
          <cell r="Q180">
            <v>8.3099999999999993E-2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9.1500000000000001E-3</v>
          </cell>
          <cell r="Y180">
            <v>0</v>
          </cell>
          <cell r="Z180">
            <v>0</v>
          </cell>
          <cell r="AA180">
            <v>0</v>
          </cell>
          <cell r="AB180">
            <v>6.9599999999999995E-2</v>
          </cell>
        </row>
        <row r="181">
          <cell r="A181">
            <v>12110100</v>
          </cell>
          <cell r="B181" t="str">
            <v>Cream, light</v>
          </cell>
          <cell r="I181">
            <v>15</v>
          </cell>
          <cell r="J181">
            <v>28.65</v>
          </cell>
          <cell r="K181">
            <v>1.91</v>
          </cell>
          <cell r="L181">
            <v>0</v>
          </cell>
          <cell r="M181">
            <v>1.5264</v>
          </cell>
          <cell r="N181">
            <v>0</v>
          </cell>
          <cell r="O181">
            <v>1.3650000000000001E-2</v>
          </cell>
          <cell r="P181">
            <v>0</v>
          </cell>
          <cell r="Q181">
            <v>0.11835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1.0800000000000001E-2</v>
          </cell>
          <cell r="Y181">
            <v>0</v>
          </cell>
          <cell r="Z181">
            <v>0</v>
          </cell>
          <cell r="AA181">
            <v>0</v>
          </cell>
          <cell r="AB181">
            <v>9.375E-2</v>
          </cell>
        </row>
        <row r="182">
          <cell r="A182">
            <v>12110300</v>
          </cell>
          <cell r="B182" t="str">
            <v>Cream, light, whipped, unsweetened</v>
          </cell>
          <cell r="I182">
            <v>15</v>
          </cell>
          <cell r="J182">
            <v>43.8</v>
          </cell>
          <cell r="K182">
            <v>2.92</v>
          </cell>
          <cell r="L182">
            <v>0</v>
          </cell>
          <cell r="M182">
            <v>2.90055</v>
          </cell>
          <cell r="N182">
            <v>0</v>
          </cell>
          <cell r="O182">
            <v>1.035E-2</v>
          </cell>
          <cell r="P182">
            <v>0</v>
          </cell>
          <cell r="Q182">
            <v>0.1326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5.1000000000000004E-3</v>
          </cell>
          <cell r="Y182">
            <v>0</v>
          </cell>
          <cell r="Z182">
            <v>0</v>
          </cell>
          <cell r="AA182">
            <v>0</v>
          </cell>
          <cell r="AB182">
            <v>0.13734660000000001</v>
          </cell>
        </row>
        <row r="183">
          <cell r="A183">
            <v>12120100</v>
          </cell>
          <cell r="B183" t="str">
            <v>Cream, half and half</v>
          </cell>
          <cell r="I183">
            <v>30</v>
          </cell>
          <cell r="J183">
            <v>36.9</v>
          </cell>
          <cell r="K183">
            <v>1.23</v>
          </cell>
          <cell r="L183">
            <v>0</v>
          </cell>
          <cell r="M183">
            <v>2.1095999999999999</v>
          </cell>
          <cell r="N183">
            <v>0</v>
          </cell>
          <cell r="O183">
            <v>3.2099999999999997E-2</v>
          </cell>
          <cell r="P183">
            <v>0</v>
          </cell>
          <cell r="Q183">
            <v>0.16619999999999999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1.83E-2</v>
          </cell>
          <cell r="Y183">
            <v>0</v>
          </cell>
          <cell r="Z183">
            <v>0</v>
          </cell>
          <cell r="AA183">
            <v>0</v>
          </cell>
          <cell r="AB183">
            <v>0.13919999999999999</v>
          </cell>
        </row>
        <row r="184">
          <cell r="A184">
            <v>12120105</v>
          </cell>
          <cell r="B184" t="str">
            <v>Cream, half and half, low fat</v>
          </cell>
          <cell r="I184">
            <v>30</v>
          </cell>
          <cell r="J184">
            <v>21.6</v>
          </cell>
          <cell r="K184">
            <v>0.72000000000000008</v>
          </cell>
          <cell r="L184">
            <v>0</v>
          </cell>
          <cell r="M184">
            <v>0.98280000000000001</v>
          </cell>
          <cell r="N184">
            <v>0</v>
          </cell>
          <cell r="O184">
            <v>3.9899999999999998E-2</v>
          </cell>
          <cell r="P184">
            <v>0</v>
          </cell>
          <cell r="Q184">
            <v>7.7100000000000002E-2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1.4999999999999999E-2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A185">
            <v>12120106</v>
          </cell>
          <cell r="B185" t="str">
            <v>Cream, half and half, flavored</v>
          </cell>
          <cell r="I185">
            <v>30</v>
          </cell>
          <cell r="J185">
            <v>36.505882</v>
          </cell>
          <cell r="K185">
            <v>1.2168627333333333</v>
          </cell>
          <cell r="L185">
            <v>0</v>
          </cell>
          <cell r="M185">
            <v>2.0682353</v>
          </cell>
          <cell r="N185">
            <v>0</v>
          </cell>
          <cell r="O185">
            <v>3.1488200000000001E-2</v>
          </cell>
          <cell r="P185">
            <v>0</v>
          </cell>
          <cell r="Q185">
            <v>0.16294120000000001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1.79588E-2</v>
          </cell>
          <cell r="Y185">
            <v>0</v>
          </cell>
          <cell r="Z185">
            <v>0</v>
          </cell>
          <cell r="AA185">
            <v>0</v>
          </cell>
          <cell r="AB185">
            <v>0.1364706</v>
          </cell>
        </row>
        <row r="186">
          <cell r="A186">
            <v>12120110</v>
          </cell>
          <cell r="B186" t="str">
            <v>Cream, half and half, fat free</v>
          </cell>
          <cell r="I186">
            <v>30</v>
          </cell>
          <cell r="J186">
            <v>17.7</v>
          </cell>
          <cell r="K186">
            <v>0.59</v>
          </cell>
          <cell r="L186">
            <v>0</v>
          </cell>
          <cell r="M186">
            <v>0.25230000000000002</v>
          </cell>
          <cell r="N186">
            <v>0</v>
          </cell>
          <cell r="O186">
            <v>2.8799999999999999E-2</v>
          </cell>
          <cell r="P186">
            <v>0</v>
          </cell>
          <cell r="Q186">
            <v>1.5599999999999999E-2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0.03</v>
          </cell>
          <cell r="Y186">
            <v>0</v>
          </cell>
          <cell r="Z186">
            <v>0</v>
          </cell>
          <cell r="AA186">
            <v>0</v>
          </cell>
          <cell r="AB186">
            <v>0.4073563</v>
          </cell>
        </row>
        <row r="187">
          <cell r="A187">
            <v>12130100</v>
          </cell>
          <cell r="B187" t="str">
            <v>Cream, heavy</v>
          </cell>
          <cell r="I187">
            <v>15</v>
          </cell>
          <cell r="J187">
            <v>51</v>
          </cell>
          <cell r="K187">
            <v>3.4</v>
          </cell>
          <cell r="L187">
            <v>0</v>
          </cell>
          <cell r="M187">
            <v>3.4548000000000001</v>
          </cell>
          <cell r="N187">
            <v>0</v>
          </cell>
          <cell r="O187">
            <v>9.9000000000000008E-3</v>
          </cell>
          <cell r="P187">
            <v>0</v>
          </cell>
          <cell r="Q187">
            <v>0.23549999999999999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4.0499999999999998E-3</v>
          </cell>
          <cell r="Y187">
            <v>0</v>
          </cell>
          <cell r="Z187">
            <v>0</v>
          </cell>
          <cell r="AA187">
            <v>0</v>
          </cell>
          <cell r="AB187">
            <v>0.18540000000000001</v>
          </cell>
        </row>
        <row r="188">
          <cell r="A188">
            <v>12130200</v>
          </cell>
          <cell r="B188" t="str">
            <v>Cream, heavy, whipped, unsweetened</v>
          </cell>
          <cell r="I188">
            <v>15</v>
          </cell>
          <cell r="J188">
            <v>51</v>
          </cell>
          <cell r="K188">
            <v>3.4</v>
          </cell>
          <cell r="L188">
            <v>0</v>
          </cell>
          <cell r="M188">
            <v>3.4548000000000001</v>
          </cell>
          <cell r="N188">
            <v>0</v>
          </cell>
          <cell r="O188">
            <v>9.9000000000000008E-3</v>
          </cell>
          <cell r="P188">
            <v>0</v>
          </cell>
          <cell r="Q188">
            <v>0.23549999999999999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4.0499999999999998E-3</v>
          </cell>
          <cell r="Y188">
            <v>0</v>
          </cell>
          <cell r="Z188">
            <v>0</v>
          </cell>
          <cell r="AA188">
            <v>0</v>
          </cell>
          <cell r="AB188">
            <v>0.18540000000000001</v>
          </cell>
        </row>
        <row r="189">
          <cell r="A189">
            <v>12140000</v>
          </cell>
          <cell r="B189" t="str">
            <v>Cream, whipped</v>
          </cell>
          <cell r="I189">
            <v>15</v>
          </cell>
          <cell r="J189">
            <v>51.435771000000003</v>
          </cell>
          <cell r="K189">
            <v>3.4290514000000001</v>
          </cell>
          <cell r="L189">
            <v>0</v>
          </cell>
          <cell r="M189">
            <v>3.2499699999999998</v>
          </cell>
          <cell r="N189">
            <v>0</v>
          </cell>
          <cell r="O189">
            <v>9.3218999999999993E-3</v>
          </cell>
          <cell r="P189">
            <v>0</v>
          </cell>
          <cell r="Q189">
            <v>0.2215375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3.8276999999999999E-3</v>
          </cell>
          <cell r="Y189">
            <v>0</v>
          </cell>
          <cell r="Z189">
            <v>0</v>
          </cell>
          <cell r="AA189">
            <v>0</v>
          </cell>
          <cell r="AB189">
            <v>0.19697149999999999</v>
          </cell>
        </row>
        <row r="190">
          <cell r="A190">
            <v>12140100</v>
          </cell>
          <cell r="B190" t="str">
            <v>Cream, whipped, pressurized container</v>
          </cell>
          <cell r="I190">
            <v>15</v>
          </cell>
          <cell r="J190">
            <v>38.549999999999997</v>
          </cell>
          <cell r="K190">
            <v>2.57</v>
          </cell>
          <cell r="L190">
            <v>0</v>
          </cell>
          <cell r="M190">
            <v>2.0746500000000001</v>
          </cell>
          <cell r="N190">
            <v>0</v>
          </cell>
          <cell r="O190">
            <v>1.515E-2</v>
          </cell>
          <cell r="P190">
            <v>0</v>
          </cell>
          <cell r="Q190">
            <v>0.12375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1.1999999999999999E-3</v>
          </cell>
          <cell r="Y190">
            <v>0</v>
          </cell>
          <cell r="Z190">
            <v>0</v>
          </cell>
          <cell r="AA190">
            <v>0</v>
          </cell>
          <cell r="AB190">
            <v>0.1215324</v>
          </cell>
        </row>
        <row r="191">
          <cell r="A191">
            <v>12140105</v>
          </cell>
          <cell r="B191" t="str">
            <v>Cream, whipped, pressurized container, light</v>
          </cell>
          <cell r="I191">
            <v>15</v>
          </cell>
          <cell r="J191">
            <v>38.549999999999997</v>
          </cell>
          <cell r="K191">
            <v>2.57</v>
          </cell>
          <cell r="L191">
            <v>0</v>
          </cell>
          <cell r="M191">
            <v>2.0746500000000001</v>
          </cell>
          <cell r="N191">
            <v>0</v>
          </cell>
          <cell r="O191">
            <v>1.515E-2</v>
          </cell>
          <cell r="P191">
            <v>0</v>
          </cell>
          <cell r="Q191">
            <v>0.12375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1.1999999999999999E-3</v>
          </cell>
          <cell r="Y191">
            <v>0</v>
          </cell>
          <cell r="Z191">
            <v>0</v>
          </cell>
          <cell r="AA191">
            <v>0</v>
          </cell>
          <cell r="AB191">
            <v>0.1222148</v>
          </cell>
        </row>
        <row r="192">
          <cell r="A192">
            <v>12200100</v>
          </cell>
          <cell r="B192" t="str">
            <v>Coffee creamer, NFS</v>
          </cell>
          <cell r="I192">
            <v>15</v>
          </cell>
          <cell r="J192">
            <v>20.399999999999999</v>
          </cell>
          <cell r="K192">
            <v>1.3599999999999999</v>
          </cell>
          <cell r="L192">
            <v>0</v>
          </cell>
          <cell r="M192">
            <v>0.29054999999999997</v>
          </cell>
          <cell r="N192">
            <v>0</v>
          </cell>
          <cell r="O192">
            <v>1.3500000000000001E-3</v>
          </cell>
          <cell r="P192">
            <v>0</v>
          </cell>
          <cell r="Q192">
            <v>4.0499999999999998E-3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1.005E-2</v>
          </cell>
          <cell r="Y192">
            <v>0</v>
          </cell>
          <cell r="Z192">
            <v>0</v>
          </cell>
          <cell r="AA192">
            <v>0</v>
          </cell>
          <cell r="AB192">
            <v>0.3474487</v>
          </cell>
        </row>
        <row r="193">
          <cell r="A193">
            <v>12210100</v>
          </cell>
          <cell r="B193" t="str">
            <v>Cream substitute, frozen</v>
          </cell>
          <cell r="I193">
            <v>15</v>
          </cell>
          <cell r="J193">
            <v>20.399999999999999</v>
          </cell>
          <cell r="K193">
            <v>1.3599999999999999</v>
          </cell>
          <cell r="L193">
            <v>0</v>
          </cell>
          <cell r="M193">
            <v>0.29054999999999997</v>
          </cell>
          <cell r="N193">
            <v>0</v>
          </cell>
          <cell r="O193">
            <v>1.3500000000000001E-3</v>
          </cell>
          <cell r="P193">
            <v>0</v>
          </cell>
          <cell r="Q193">
            <v>4.0499999999999998E-3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1.005E-2</v>
          </cell>
          <cell r="Y193">
            <v>0</v>
          </cell>
          <cell r="Z193">
            <v>0</v>
          </cell>
          <cell r="AA193">
            <v>0</v>
          </cell>
          <cell r="AB193">
            <v>0.34738019999999997</v>
          </cell>
        </row>
        <row r="194">
          <cell r="A194">
            <v>12210200</v>
          </cell>
          <cell r="B194" t="str">
            <v>Coffee creamer, liquid</v>
          </cell>
          <cell r="I194">
            <v>15</v>
          </cell>
          <cell r="J194">
            <v>20.399999999999999</v>
          </cell>
          <cell r="K194">
            <v>1.3599999999999999</v>
          </cell>
          <cell r="L194">
            <v>0</v>
          </cell>
          <cell r="M194">
            <v>0.29054999999999997</v>
          </cell>
          <cell r="N194">
            <v>0</v>
          </cell>
          <cell r="O194">
            <v>1.3500000000000001E-3</v>
          </cell>
          <cell r="P194">
            <v>0</v>
          </cell>
          <cell r="Q194">
            <v>4.0499999999999998E-3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1.005E-2</v>
          </cell>
          <cell r="Y194">
            <v>0</v>
          </cell>
          <cell r="Z194">
            <v>0</v>
          </cell>
          <cell r="AA194">
            <v>0</v>
          </cell>
          <cell r="AB194">
            <v>0.34739809999999999</v>
          </cell>
        </row>
        <row r="195">
          <cell r="A195">
            <v>12210210</v>
          </cell>
          <cell r="B195" t="str">
            <v>Coffee creamer, liquid, flavored</v>
          </cell>
          <cell r="I195">
            <v>15</v>
          </cell>
          <cell r="J195">
            <v>37.65</v>
          </cell>
          <cell r="K195">
            <v>2.5099999999999998</v>
          </cell>
          <cell r="L195">
            <v>0</v>
          </cell>
          <cell r="M195">
            <v>0.39524999999999999</v>
          </cell>
          <cell r="N195">
            <v>0</v>
          </cell>
          <cell r="O195">
            <v>8.9999999999999998E-4</v>
          </cell>
          <cell r="P195">
            <v>0.16500000000000001</v>
          </cell>
          <cell r="Q195">
            <v>0.94035000000000002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1.005E-2</v>
          </cell>
          <cell r="Y195">
            <v>0</v>
          </cell>
          <cell r="Z195">
            <v>0</v>
          </cell>
          <cell r="AA195">
            <v>0</v>
          </cell>
          <cell r="AB195">
            <v>0.3253528</v>
          </cell>
        </row>
        <row r="196">
          <cell r="A196">
            <v>12210250</v>
          </cell>
          <cell r="B196" t="str">
            <v>Cream substitute, light, liquid</v>
          </cell>
          <cell r="I196">
            <v>15</v>
          </cell>
          <cell r="J196">
            <v>10.65</v>
          </cell>
          <cell r="K196">
            <v>0.71000000000000008</v>
          </cell>
          <cell r="L196">
            <v>0</v>
          </cell>
          <cell r="M196">
            <v>0.13439999999999999</v>
          </cell>
          <cell r="N196">
            <v>0</v>
          </cell>
          <cell r="O196">
            <v>1.4999999999999999E-4</v>
          </cell>
          <cell r="P196">
            <v>0</v>
          </cell>
          <cell r="Q196">
            <v>6.3E-2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8.9999999999999993E-3</v>
          </cell>
          <cell r="Y196">
            <v>0</v>
          </cell>
          <cell r="Z196">
            <v>0</v>
          </cell>
          <cell r="AA196">
            <v>0</v>
          </cell>
          <cell r="AB196">
            <v>0.24855579999999999</v>
          </cell>
        </row>
        <row r="197">
          <cell r="A197">
            <v>12210255</v>
          </cell>
          <cell r="B197" t="str">
            <v>Cream substitute, light, flavored, liquid</v>
          </cell>
          <cell r="I197">
            <v>15</v>
          </cell>
          <cell r="J197">
            <v>10.65</v>
          </cell>
          <cell r="K197">
            <v>0.71000000000000008</v>
          </cell>
          <cell r="L197">
            <v>0</v>
          </cell>
          <cell r="M197">
            <v>0.13439999999999999</v>
          </cell>
          <cell r="N197">
            <v>0</v>
          </cell>
          <cell r="O197">
            <v>1.4999999999999999E-4</v>
          </cell>
          <cell r="P197">
            <v>0</v>
          </cell>
          <cell r="Q197">
            <v>6.3E-2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8.9999999999999993E-3</v>
          </cell>
          <cell r="Y197">
            <v>0</v>
          </cell>
          <cell r="Z197">
            <v>0</v>
          </cell>
          <cell r="AA197">
            <v>0</v>
          </cell>
          <cell r="AB197">
            <v>0.24858130000000001</v>
          </cell>
        </row>
        <row r="198">
          <cell r="A198">
            <v>12210260</v>
          </cell>
          <cell r="B198" t="str">
            <v>Coffee creamer, liquid, fat free</v>
          </cell>
          <cell r="I198">
            <v>15</v>
          </cell>
          <cell r="J198">
            <v>10.65</v>
          </cell>
          <cell r="K198">
            <v>0.71000000000000008</v>
          </cell>
          <cell r="L198">
            <v>0</v>
          </cell>
          <cell r="M198">
            <v>0.13439999999999999</v>
          </cell>
          <cell r="N198">
            <v>0</v>
          </cell>
          <cell r="O198">
            <v>1.4999999999999999E-4</v>
          </cell>
          <cell r="P198">
            <v>0</v>
          </cell>
          <cell r="Q198">
            <v>6.3E-2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8.9999999999999993E-3</v>
          </cell>
          <cell r="Y198">
            <v>0</v>
          </cell>
          <cell r="Z198">
            <v>0</v>
          </cell>
          <cell r="AA198">
            <v>0</v>
          </cell>
          <cell r="AB198">
            <v>0.2432819</v>
          </cell>
        </row>
        <row r="199">
          <cell r="A199">
            <v>12210270</v>
          </cell>
          <cell r="B199" t="str">
            <v>Coffee creamer, liquid, fat free, flavored</v>
          </cell>
          <cell r="I199">
            <v>15</v>
          </cell>
          <cell r="J199">
            <v>22.5</v>
          </cell>
          <cell r="K199">
            <v>1.5</v>
          </cell>
          <cell r="L199">
            <v>0</v>
          </cell>
          <cell r="M199">
            <v>0.1008</v>
          </cell>
          <cell r="N199">
            <v>0</v>
          </cell>
          <cell r="O199">
            <v>1.4999999999999999E-4</v>
          </cell>
          <cell r="P199">
            <v>0</v>
          </cell>
          <cell r="Q199">
            <v>4.725E-2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6.7875000000000001E-3</v>
          </cell>
          <cell r="Y199">
            <v>0</v>
          </cell>
          <cell r="Z199">
            <v>0</v>
          </cell>
          <cell r="AA199">
            <v>0</v>
          </cell>
          <cell r="AB199">
            <v>0.2382117</v>
          </cell>
        </row>
        <row r="200">
          <cell r="A200">
            <v>12210280</v>
          </cell>
          <cell r="B200" t="str">
            <v>Coffee creamer, liquid, fat free, sugar free, flavored</v>
          </cell>
          <cell r="I200">
            <v>15</v>
          </cell>
          <cell r="J200">
            <v>10.65</v>
          </cell>
          <cell r="K200">
            <v>0.71000000000000008</v>
          </cell>
          <cell r="L200">
            <v>0</v>
          </cell>
          <cell r="M200">
            <v>0.13439999999999999</v>
          </cell>
          <cell r="N200">
            <v>0</v>
          </cell>
          <cell r="O200">
            <v>1.4999999999999999E-4</v>
          </cell>
          <cell r="P200">
            <v>0</v>
          </cell>
          <cell r="Q200">
            <v>6.3E-2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8.9999999999999993E-3</v>
          </cell>
          <cell r="Y200">
            <v>0</v>
          </cell>
          <cell r="Z200">
            <v>0</v>
          </cell>
          <cell r="AA200">
            <v>0</v>
          </cell>
          <cell r="AB200">
            <v>0.22991690000000001</v>
          </cell>
        </row>
        <row r="201">
          <cell r="A201">
            <v>12210310</v>
          </cell>
          <cell r="B201" t="str">
            <v>Coffee creamer, liquid, sugar free, flavored</v>
          </cell>
          <cell r="I201">
            <v>15</v>
          </cell>
          <cell r="J201">
            <v>10.65</v>
          </cell>
          <cell r="K201">
            <v>0.71000000000000008</v>
          </cell>
          <cell r="L201">
            <v>0</v>
          </cell>
          <cell r="M201">
            <v>0.13439999999999999</v>
          </cell>
          <cell r="N201">
            <v>0</v>
          </cell>
          <cell r="O201">
            <v>1.4999999999999999E-4</v>
          </cell>
          <cell r="P201">
            <v>0</v>
          </cell>
          <cell r="Q201">
            <v>6.3E-2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8.9999999999999993E-3</v>
          </cell>
          <cell r="Y201">
            <v>0</v>
          </cell>
          <cell r="Z201">
            <v>0</v>
          </cell>
          <cell r="AA201">
            <v>0</v>
          </cell>
          <cell r="AB201">
            <v>0.3114693</v>
          </cell>
        </row>
        <row r="202">
          <cell r="A202">
            <v>12210400</v>
          </cell>
          <cell r="B202" t="str">
            <v>Coffee creamer, powder</v>
          </cell>
          <cell r="I202">
            <v>2</v>
          </cell>
          <cell r="J202">
            <v>10.58</v>
          </cell>
          <cell r="K202">
            <v>5.29</v>
          </cell>
          <cell r="L202">
            <v>0</v>
          </cell>
          <cell r="M202">
            <v>0.38291999999999998</v>
          </cell>
          <cell r="N202">
            <v>0</v>
          </cell>
          <cell r="O202">
            <v>4.0000000000000003E-5</v>
          </cell>
          <cell r="P202">
            <v>0</v>
          </cell>
          <cell r="Q202">
            <v>8.1600000000000006E-3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2.48E-3</v>
          </cell>
          <cell r="Y202">
            <v>0</v>
          </cell>
          <cell r="Z202">
            <v>0</v>
          </cell>
          <cell r="AA202">
            <v>0</v>
          </cell>
          <cell r="AB202">
            <v>0.11082</v>
          </cell>
        </row>
        <row r="203">
          <cell r="A203">
            <v>12210410</v>
          </cell>
          <cell r="B203" t="str">
            <v>Cream substitute, light, powdered</v>
          </cell>
          <cell r="I203">
            <v>2</v>
          </cell>
          <cell r="J203">
            <v>8.6199999999999992</v>
          </cell>
          <cell r="K203">
            <v>4.3099999999999996</v>
          </cell>
          <cell r="L203">
            <v>0</v>
          </cell>
          <cell r="M203">
            <v>7.5999999999999998E-2</v>
          </cell>
          <cell r="N203">
            <v>0</v>
          </cell>
          <cell r="O203">
            <v>2.0000000000000002E-5</v>
          </cell>
          <cell r="P203">
            <v>0</v>
          </cell>
          <cell r="Q203">
            <v>3.96E-3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4.5799999999999999E-3</v>
          </cell>
          <cell r="Y203">
            <v>0</v>
          </cell>
          <cell r="Z203">
            <v>0</v>
          </cell>
          <cell r="AA203">
            <v>0</v>
          </cell>
          <cell r="AB203">
            <v>6.0262799999999998E-2</v>
          </cell>
        </row>
        <row r="204">
          <cell r="A204">
            <v>12210420</v>
          </cell>
          <cell r="B204" t="str">
            <v>Coffee creamer, powder, flavored</v>
          </cell>
          <cell r="I204">
            <v>2</v>
          </cell>
          <cell r="J204">
            <v>9.64</v>
          </cell>
          <cell r="K204">
            <v>4.82</v>
          </cell>
          <cell r="L204">
            <v>0</v>
          </cell>
          <cell r="M204">
            <v>0.38891999999999999</v>
          </cell>
          <cell r="N204">
            <v>0</v>
          </cell>
          <cell r="O204">
            <v>1E-4</v>
          </cell>
          <cell r="P204">
            <v>2.4E-2</v>
          </cell>
          <cell r="Q204">
            <v>4.5799999999999999E-3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2.4599999999999999E-3</v>
          </cell>
          <cell r="Y204">
            <v>0</v>
          </cell>
          <cell r="Z204">
            <v>0</v>
          </cell>
          <cell r="AA204">
            <v>0</v>
          </cell>
          <cell r="AB204">
            <v>4.5719700000000002E-2</v>
          </cell>
        </row>
        <row r="205">
          <cell r="A205">
            <v>12210430</v>
          </cell>
          <cell r="B205" t="str">
            <v>Coffee creamer, powder, fat free</v>
          </cell>
          <cell r="I205">
            <v>2</v>
          </cell>
          <cell r="J205">
            <v>8.6199999999999992</v>
          </cell>
          <cell r="K205">
            <v>4.3099999999999996</v>
          </cell>
          <cell r="L205">
            <v>0</v>
          </cell>
          <cell r="M205">
            <v>7.5999999999999998E-2</v>
          </cell>
          <cell r="N205">
            <v>0</v>
          </cell>
          <cell r="O205">
            <v>2.0000000000000002E-5</v>
          </cell>
          <cell r="P205">
            <v>0</v>
          </cell>
          <cell r="Q205">
            <v>3.96E-3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4.5799999999999999E-3</v>
          </cell>
          <cell r="Y205">
            <v>0</v>
          </cell>
          <cell r="Z205">
            <v>0</v>
          </cell>
          <cell r="AA205">
            <v>0</v>
          </cell>
          <cell r="AB205">
            <v>5.5956100000000002E-2</v>
          </cell>
        </row>
        <row r="206">
          <cell r="A206">
            <v>12210440</v>
          </cell>
          <cell r="B206" t="str">
            <v>Coffee creamer,powder, fat free, flavored</v>
          </cell>
          <cell r="I206">
            <v>2</v>
          </cell>
          <cell r="J206">
            <v>8.6199999999999992</v>
          </cell>
          <cell r="K206">
            <v>4.3099999999999996</v>
          </cell>
          <cell r="L206">
            <v>0</v>
          </cell>
          <cell r="M206">
            <v>7.5999999999999998E-2</v>
          </cell>
          <cell r="N206">
            <v>0</v>
          </cell>
          <cell r="O206">
            <v>2.0000000000000002E-5</v>
          </cell>
          <cell r="P206">
            <v>0</v>
          </cell>
          <cell r="Q206">
            <v>3.96E-3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4.5799999999999999E-3</v>
          </cell>
          <cell r="Y206">
            <v>0</v>
          </cell>
          <cell r="Z206">
            <v>0</v>
          </cell>
          <cell r="AA206">
            <v>0</v>
          </cell>
          <cell r="AB206">
            <v>5.19931E-2</v>
          </cell>
        </row>
        <row r="207">
          <cell r="A207">
            <v>12210505</v>
          </cell>
          <cell r="B207" t="str">
            <v>Coffee creamer,powder, sugar free, flavored</v>
          </cell>
          <cell r="I207">
            <v>2</v>
          </cell>
          <cell r="J207">
            <v>10.58</v>
          </cell>
          <cell r="K207">
            <v>5.29</v>
          </cell>
          <cell r="L207">
            <v>0</v>
          </cell>
          <cell r="M207">
            <v>0.38291999999999998</v>
          </cell>
          <cell r="N207">
            <v>0</v>
          </cell>
          <cell r="O207">
            <v>4.0000000000000003E-5</v>
          </cell>
          <cell r="P207">
            <v>0</v>
          </cell>
          <cell r="Q207">
            <v>8.1600000000000006E-3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2.48E-3</v>
          </cell>
          <cell r="Y207">
            <v>0</v>
          </cell>
          <cell r="Z207">
            <v>0</v>
          </cell>
          <cell r="AA207">
            <v>0</v>
          </cell>
          <cell r="AB207">
            <v>0.11082</v>
          </cell>
        </row>
        <row r="208">
          <cell r="A208">
            <v>12210520</v>
          </cell>
          <cell r="B208" t="str">
            <v>Coffee creamer, soy, liquid</v>
          </cell>
          <cell r="I208">
            <v>15</v>
          </cell>
          <cell r="J208">
            <v>20.399999999999999</v>
          </cell>
          <cell r="K208">
            <v>1.3599999999999999</v>
          </cell>
          <cell r="L208">
            <v>0</v>
          </cell>
          <cell r="M208">
            <v>0.29054999999999997</v>
          </cell>
          <cell r="N208">
            <v>0</v>
          </cell>
          <cell r="O208">
            <v>1.3500000000000001E-3</v>
          </cell>
          <cell r="P208">
            <v>0</v>
          </cell>
          <cell r="Q208">
            <v>4.0499999999999998E-3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1.005E-2</v>
          </cell>
          <cell r="Y208">
            <v>0</v>
          </cell>
          <cell r="Z208">
            <v>0</v>
          </cell>
          <cell r="AA208">
            <v>0</v>
          </cell>
          <cell r="AB208">
            <v>0.34725590000000001</v>
          </cell>
        </row>
        <row r="209">
          <cell r="A209">
            <v>12220000</v>
          </cell>
          <cell r="B209" t="str">
            <v>Whipped topping, nondairy, NS as to canned, frozen, or made from powdered mix</v>
          </cell>
          <cell r="I209">
            <v>15</v>
          </cell>
          <cell r="J209">
            <v>47.7</v>
          </cell>
          <cell r="K209">
            <v>3.18</v>
          </cell>
          <cell r="L209">
            <v>0</v>
          </cell>
          <cell r="M209">
            <v>3.2674500000000002</v>
          </cell>
          <cell r="N209">
            <v>0</v>
          </cell>
          <cell r="O209">
            <v>8.9999999999999998E-4</v>
          </cell>
          <cell r="P209">
            <v>0</v>
          </cell>
          <cell r="Q209">
            <v>7.8450000000000006E-2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3.7499999999999999E-3</v>
          </cell>
          <cell r="Y209">
            <v>0</v>
          </cell>
          <cell r="Z209">
            <v>0</v>
          </cell>
          <cell r="AA209">
            <v>0</v>
          </cell>
          <cell r="AB209">
            <v>0.1203443</v>
          </cell>
        </row>
        <row r="210">
          <cell r="A210">
            <v>12220200</v>
          </cell>
          <cell r="B210" t="str">
            <v>Whipped topping</v>
          </cell>
          <cell r="I210">
            <v>15</v>
          </cell>
          <cell r="J210">
            <v>47.7</v>
          </cell>
          <cell r="K210">
            <v>3.18</v>
          </cell>
          <cell r="L210">
            <v>0</v>
          </cell>
          <cell r="M210">
            <v>3.2674500000000002</v>
          </cell>
          <cell r="N210">
            <v>0</v>
          </cell>
          <cell r="O210">
            <v>8.9999999999999998E-4</v>
          </cell>
          <cell r="P210">
            <v>0</v>
          </cell>
          <cell r="Q210">
            <v>7.8450000000000006E-2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3.7499999999999999E-3</v>
          </cell>
          <cell r="Y210">
            <v>0</v>
          </cell>
          <cell r="Z210">
            <v>0</v>
          </cell>
          <cell r="AA210">
            <v>0</v>
          </cell>
          <cell r="AB210">
            <v>0.11965480000000001</v>
          </cell>
        </row>
        <row r="211">
          <cell r="A211">
            <v>12220250</v>
          </cell>
          <cell r="B211" t="str">
            <v>Whipped topping, nondairy, frozen, lowfat</v>
          </cell>
          <cell r="I211">
            <v>15</v>
          </cell>
          <cell r="J211">
            <v>33.6</v>
          </cell>
          <cell r="K211">
            <v>2.2400000000000002</v>
          </cell>
          <cell r="L211">
            <v>0</v>
          </cell>
          <cell r="M211">
            <v>1.69095</v>
          </cell>
          <cell r="N211">
            <v>0</v>
          </cell>
          <cell r="O211">
            <v>1.065E-2</v>
          </cell>
          <cell r="P211">
            <v>0</v>
          </cell>
          <cell r="Q211">
            <v>4.0349999999999997E-2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1.0800000000000001E-2</v>
          </cell>
          <cell r="Y211">
            <v>0</v>
          </cell>
          <cell r="Z211">
            <v>0</v>
          </cell>
          <cell r="AA211">
            <v>0</v>
          </cell>
          <cell r="AB211">
            <v>6.5468600000000002E-2</v>
          </cell>
        </row>
        <row r="212">
          <cell r="A212">
            <v>12220270</v>
          </cell>
          <cell r="B212" t="str">
            <v>Whipped topping, fat free</v>
          </cell>
          <cell r="I212">
            <v>15</v>
          </cell>
          <cell r="J212">
            <v>33.6</v>
          </cell>
          <cell r="K212">
            <v>2.2400000000000002</v>
          </cell>
          <cell r="L212">
            <v>0</v>
          </cell>
          <cell r="M212">
            <v>1.69095</v>
          </cell>
          <cell r="N212">
            <v>0</v>
          </cell>
          <cell r="O212">
            <v>1.065E-2</v>
          </cell>
          <cell r="P212">
            <v>0</v>
          </cell>
          <cell r="Q212">
            <v>4.0349999999999997E-2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1.0800000000000001E-2</v>
          </cell>
          <cell r="Y212">
            <v>0</v>
          </cell>
          <cell r="Z212">
            <v>0</v>
          </cell>
          <cell r="AA212">
            <v>0</v>
          </cell>
          <cell r="AB212">
            <v>4.3736900000000002E-2</v>
          </cell>
        </row>
        <row r="213">
          <cell r="A213">
            <v>12220280</v>
          </cell>
          <cell r="B213" t="str">
            <v>Whipped topping, sugar free</v>
          </cell>
          <cell r="I213">
            <v>15</v>
          </cell>
          <cell r="J213">
            <v>33.6</v>
          </cell>
          <cell r="K213">
            <v>2.2400000000000002</v>
          </cell>
          <cell r="L213">
            <v>0</v>
          </cell>
          <cell r="M213">
            <v>1.69095</v>
          </cell>
          <cell r="N213">
            <v>0</v>
          </cell>
          <cell r="O213">
            <v>1.065E-2</v>
          </cell>
          <cell r="P213">
            <v>0</v>
          </cell>
          <cell r="Q213">
            <v>4.0349999999999997E-2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1.0800000000000001E-2</v>
          </cell>
          <cell r="Y213">
            <v>0</v>
          </cell>
          <cell r="Z213">
            <v>0</v>
          </cell>
          <cell r="AA213">
            <v>0</v>
          </cell>
          <cell r="AB213">
            <v>6.4628099999999994E-2</v>
          </cell>
        </row>
        <row r="214">
          <cell r="A214">
            <v>12220300</v>
          </cell>
          <cell r="B214" t="str">
            <v>Whipped cream substitute, nondairy, made from powdered mix</v>
          </cell>
          <cell r="I214">
            <v>15</v>
          </cell>
          <cell r="J214">
            <v>29.1</v>
          </cell>
          <cell r="K214">
            <v>1.9400000000000002</v>
          </cell>
          <cell r="L214">
            <v>0</v>
          </cell>
          <cell r="M214">
            <v>1.6026</v>
          </cell>
          <cell r="N214">
            <v>0</v>
          </cell>
          <cell r="O214">
            <v>1.35E-2</v>
          </cell>
          <cell r="P214">
            <v>0</v>
          </cell>
          <cell r="Q214">
            <v>3.015E-2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9.9000000000000008E-3</v>
          </cell>
          <cell r="Y214">
            <v>0</v>
          </cell>
          <cell r="Z214">
            <v>0</v>
          </cell>
          <cell r="AA214">
            <v>0</v>
          </cell>
          <cell r="AB214">
            <v>9.7903100000000007E-2</v>
          </cell>
        </row>
        <row r="215">
          <cell r="A215">
            <v>12310100</v>
          </cell>
          <cell r="B215" t="str">
            <v>Sour cream</v>
          </cell>
          <cell r="I215">
            <v>30</v>
          </cell>
          <cell r="J215">
            <v>59.4</v>
          </cell>
          <cell r="K215">
            <v>1.98</v>
          </cell>
          <cell r="L215">
            <v>0</v>
          </cell>
          <cell r="M215">
            <v>3.0419999999999998</v>
          </cell>
          <cell r="N215">
            <v>0</v>
          </cell>
          <cell r="O215">
            <v>3.0300000000000001E-2</v>
          </cell>
          <cell r="P215">
            <v>0</v>
          </cell>
          <cell r="Q215">
            <v>0.24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9.2999999999999992E-3</v>
          </cell>
          <cell r="Y215">
            <v>0</v>
          </cell>
          <cell r="Z215">
            <v>0</v>
          </cell>
          <cell r="AA215">
            <v>0</v>
          </cell>
          <cell r="AB215">
            <v>0.23880000000000001</v>
          </cell>
        </row>
        <row r="216">
          <cell r="A216">
            <v>12310300</v>
          </cell>
          <cell r="B216" t="str">
            <v>Sour cream, reduced fat</v>
          </cell>
          <cell r="I216">
            <v>30</v>
          </cell>
          <cell r="J216">
            <v>54.3</v>
          </cell>
          <cell r="K216">
            <v>1.8099999999999998</v>
          </cell>
          <cell r="L216">
            <v>0</v>
          </cell>
          <cell r="M216">
            <v>2.61</v>
          </cell>
          <cell r="N216">
            <v>0</v>
          </cell>
          <cell r="O216">
            <v>4.2299999999999997E-2</v>
          </cell>
          <cell r="P216">
            <v>0</v>
          </cell>
          <cell r="Q216">
            <v>0.15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2.1000000000000001E-2</v>
          </cell>
          <cell r="Y216">
            <v>0</v>
          </cell>
          <cell r="Z216">
            <v>0</v>
          </cell>
          <cell r="AA216">
            <v>0</v>
          </cell>
          <cell r="AB216">
            <v>0.14723449999999999</v>
          </cell>
        </row>
        <row r="217">
          <cell r="A217">
            <v>12310350</v>
          </cell>
          <cell r="B217" t="str">
            <v>Sour cream, light</v>
          </cell>
          <cell r="I217">
            <v>30</v>
          </cell>
          <cell r="J217">
            <v>40.799999999999997</v>
          </cell>
          <cell r="K217">
            <v>1.3599999999999999</v>
          </cell>
          <cell r="L217">
            <v>0</v>
          </cell>
          <cell r="M217">
            <v>1.98</v>
          </cell>
          <cell r="N217">
            <v>0</v>
          </cell>
          <cell r="O217">
            <v>4.2299999999999997E-2</v>
          </cell>
          <cell r="P217">
            <v>0</v>
          </cell>
          <cell r="Q217">
            <v>0.12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2.4899999999999999E-2</v>
          </cell>
          <cell r="Y217">
            <v>0</v>
          </cell>
          <cell r="Z217">
            <v>0</v>
          </cell>
          <cell r="AA217">
            <v>0</v>
          </cell>
          <cell r="AB217">
            <v>0.1048813</v>
          </cell>
        </row>
        <row r="218">
          <cell r="A218">
            <v>12310370</v>
          </cell>
          <cell r="B218" t="str">
            <v>Sour cream, fat free</v>
          </cell>
          <cell r="I218">
            <v>30</v>
          </cell>
          <cell r="J218">
            <v>22.2</v>
          </cell>
          <cell r="K218">
            <v>0.74</v>
          </cell>
          <cell r="L218">
            <v>0</v>
          </cell>
          <cell r="M218">
            <v>0</v>
          </cell>
          <cell r="N218">
            <v>0</v>
          </cell>
          <cell r="O218">
            <v>3.7499999999999999E-2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4.2299999999999997E-2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</row>
        <row r="219">
          <cell r="A219">
            <v>12320100</v>
          </cell>
          <cell r="B219" t="str">
            <v>Sour cream, imitation (nondairy)</v>
          </cell>
          <cell r="I219">
            <v>30</v>
          </cell>
          <cell r="J219">
            <v>62.4</v>
          </cell>
          <cell r="K219">
            <v>2.08</v>
          </cell>
          <cell r="L219">
            <v>0</v>
          </cell>
          <cell r="M219">
            <v>5.3372999999999999</v>
          </cell>
          <cell r="N219">
            <v>0</v>
          </cell>
          <cell r="O219">
            <v>8.9999999999999998E-4</v>
          </cell>
          <cell r="P219">
            <v>0</v>
          </cell>
          <cell r="Q219">
            <v>1.6799999999999999E-2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3.0599999999999999E-2</v>
          </cell>
          <cell r="Y219">
            <v>0</v>
          </cell>
          <cell r="Z219">
            <v>0</v>
          </cell>
          <cell r="AA219">
            <v>0</v>
          </cell>
          <cell r="AB219">
            <v>0.1476874</v>
          </cell>
        </row>
        <row r="220">
          <cell r="A220">
            <v>12350000</v>
          </cell>
          <cell r="B220" t="str">
            <v>Dip, sour cream base</v>
          </cell>
          <cell r="I220">
            <v>30</v>
          </cell>
          <cell r="J220">
            <v>90.928996999999995</v>
          </cell>
          <cell r="K220">
            <v>3.0309665666666663</v>
          </cell>
          <cell r="L220">
            <v>2.0160299999999999E-2</v>
          </cell>
          <cell r="M220">
            <v>3.0171763999999999</v>
          </cell>
          <cell r="N220">
            <v>0</v>
          </cell>
          <cell r="O220">
            <v>2.38277E-2</v>
          </cell>
          <cell r="P220">
            <v>4.3748500000000003E-2</v>
          </cell>
          <cell r="Q220">
            <v>3.2750313000000002</v>
          </cell>
          <cell r="R220">
            <v>0</v>
          </cell>
          <cell r="S220">
            <v>0</v>
          </cell>
          <cell r="T220">
            <v>0</v>
          </cell>
          <cell r="U220">
            <v>1.0080137</v>
          </cell>
          <cell r="V220">
            <v>0</v>
          </cell>
          <cell r="W220">
            <v>0</v>
          </cell>
          <cell r="X220">
            <v>0.12405960000000001</v>
          </cell>
          <cell r="Y220">
            <v>0</v>
          </cell>
          <cell r="Z220">
            <v>0</v>
          </cell>
          <cell r="AA220">
            <v>0</v>
          </cell>
          <cell r="AB220">
            <v>0.22408739999999999</v>
          </cell>
        </row>
        <row r="221">
          <cell r="A221">
            <v>12350010</v>
          </cell>
          <cell r="B221" t="str">
            <v>Dip, NFS</v>
          </cell>
          <cell r="I221">
            <v>30</v>
          </cell>
          <cell r="J221">
            <v>129.84174999999999</v>
          </cell>
          <cell r="K221">
            <v>4.3280583333333329</v>
          </cell>
          <cell r="L221">
            <v>-1.6699999999999999E-17</v>
          </cell>
          <cell r="M221">
            <v>3.1955125999999998</v>
          </cell>
          <cell r="N221">
            <v>0</v>
          </cell>
          <cell r="O221">
            <v>2.2712599999999999E-2</v>
          </cell>
          <cell r="P221">
            <v>7.7767000000000003E-2</v>
          </cell>
          <cell r="Q221">
            <v>6.6344824999999998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0.2127</v>
          </cell>
          <cell r="Y221">
            <v>0</v>
          </cell>
          <cell r="Z221">
            <v>0</v>
          </cell>
          <cell r="AA221">
            <v>0</v>
          </cell>
          <cell r="AB221">
            <v>0.14315530000000001</v>
          </cell>
        </row>
        <row r="222">
          <cell r="A222">
            <v>12350100</v>
          </cell>
          <cell r="B222" t="str">
            <v>Spinach dip</v>
          </cell>
          <cell r="I222">
            <v>30</v>
          </cell>
          <cell r="J222">
            <v>73.470275999999998</v>
          </cell>
          <cell r="K222">
            <v>2.4490091999999999</v>
          </cell>
          <cell r="L222">
            <v>0.27967360000000002</v>
          </cell>
          <cell r="M222">
            <v>1.6923657000000001</v>
          </cell>
          <cell r="N222">
            <v>0</v>
          </cell>
          <cell r="O222">
            <v>2.171E-2</v>
          </cell>
          <cell r="P222">
            <v>0.1327759</v>
          </cell>
          <cell r="Q222">
            <v>3.4180947000000002</v>
          </cell>
          <cell r="R222">
            <v>0</v>
          </cell>
          <cell r="S222">
            <v>0</v>
          </cell>
          <cell r="T222">
            <v>0</v>
          </cell>
          <cell r="U222">
            <v>9.7184851999999999</v>
          </cell>
          <cell r="V222">
            <v>0</v>
          </cell>
          <cell r="W222">
            <v>0</v>
          </cell>
          <cell r="X222">
            <v>8.64008E-2</v>
          </cell>
          <cell r="Y222">
            <v>0</v>
          </cell>
          <cell r="Z222">
            <v>0</v>
          </cell>
          <cell r="AA222">
            <v>0</v>
          </cell>
          <cell r="AB222">
            <v>0.1067563</v>
          </cell>
        </row>
        <row r="223">
          <cell r="A223">
            <v>12350110</v>
          </cell>
          <cell r="B223" t="str">
            <v>Spinach and artichoke dip</v>
          </cell>
          <cell r="I223">
            <v>30</v>
          </cell>
          <cell r="J223">
            <v>64.841359999999995</v>
          </cell>
          <cell r="K223">
            <v>2.1613786666666663</v>
          </cell>
          <cell r="L223">
            <v>0.91593230000000003</v>
          </cell>
          <cell r="M223">
            <v>1.2167569</v>
          </cell>
          <cell r="N223">
            <v>0</v>
          </cell>
          <cell r="O223">
            <v>3.90123E-2</v>
          </cell>
          <cell r="P223">
            <v>0</v>
          </cell>
          <cell r="Q223">
            <v>2.9425625000000002</v>
          </cell>
          <cell r="R223">
            <v>0</v>
          </cell>
          <cell r="S223">
            <v>0</v>
          </cell>
          <cell r="T223">
            <v>0</v>
          </cell>
          <cell r="U223">
            <v>20.633233000000001</v>
          </cell>
          <cell r="V223">
            <v>0</v>
          </cell>
          <cell r="W223">
            <v>0</v>
          </cell>
          <cell r="X223">
            <v>0.10692459999999999</v>
          </cell>
          <cell r="Y223">
            <v>0</v>
          </cell>
          <cell r="Z223">
            <v>0</v>
          </cell>
          <cell r="AA223">
            <v>0</v>
          </cell>
          <cell r="AB223">
            <v>3.7683700000000001E-2</v>
          </cell>
        </row>
        <row r="224">
          <cell r="A224">
            <v>12350200</v>
          </cell>
          <cell r="B224" t="str">
            <v>Chipotle dip, regular</v>
          </cell>
          <cell r="I224">
            <v>30</v>
          </cell>
          <cell r="J224">
            <v>128.09709000000001</v>
          </cell>
          <cell r="K224">
            <v>4.2699030000000002</v>
          </cell>
          <cell r="L224">
            <v>8.7378999999999998E-3</v>
          </cell>
          <cell r="M224">
            <v>3.1812640999999999</v>
          </cell>
          <cell r="N224">
            <v>0</v>
          </cell>
          <cell r="O224">
            <v>1.60252E-2</v>
          </cell>
          <cell r="P224">
            <v>0</v>
          </cell>
          <cell r="Q224">
            <v>6.6261495000000004</v>
          </cell>
          <cell r="R224">
            <v>0</v>
          </cell>
          <cell r="S224">
            <v>0</v>
          </cell>
          <cell r="T224">
            <v>0</v>
          </cell>
          <cell r="U224">
            <v>0.58252429999999999</v>
          </cell>
          <cell r="V224">
            <v>0</v>
          </cell>
          <cell r="W224">
            <v>0</v>
          </cell>
          <cell r="X224">
            <v>0.20993010000000001</v>
          </cell>
          <cell r="Y224">
            <v>0</v>
          </cell>
          <cell r="Z224">
            <v>0</v>
          </cell>
          <cell r="AA224">
            <v>0</v>
          </cell>
          <cell r="AB224">
            <v>0.14315530000000001</v>
          </cell>
        </row>
        <row r="225">
          <cell r="A225">
            <v>12350210</v>
          </cell>
          <cell r="B225" t="str">
            <v>Dill dip, regular</v>
          </cell>
          <cell r="I225">
            <v>30</v>
          </cell>
          <cell r="J225">
            <v>128.79612</v>
          </cell>
          <cell r="K225">
            <v>4.2932040000000002</v>
          </cell>
          <cell r="L225">
            <v>5.2427000000000003E-3</v>
          </cell>
          <cell r="M225">
            <v>3.1850795999999999</v>
          </cell>
          <cell r="N225">
            <v>0</v>
          </cell>
          <cell r="O225">
            <v>1.93107E-2</v>
          </cell>
          <cell r="P225">
            <v>7.7767000000000003E-2</v>
          </cell>
          <cell r="Q225">
            <v>6.6339670000000002</v>
          </cell>
          <cell r="R225">
            <v>0</v>
          </cell>
          <cell r="S225">
            <v>0</v>
          </cell>
          <cell r="T225">
            <v>0</v>
          </cell>
          <cell r="U225">
            <v>0.29126210000000002</v>
          </cell>
          <cell r="V225">
            <v>0</v>
          </cell>
          <cell r="W225">
            <v>0</v>
          </cell>
          <cell r="X225">
            <v>0.2112291</v>
          </cell>
          <cell r="Y225">
            <v>0</v>
          </cell>
          <cell r="Z225">
            <v>0</v>
          </cell>
          <cell r="AA225">
            <v>0</v>
          </cell>
          <cell r="AB225">
            <v>0.14315530000000001</v>
          </cell>
        </row>
        <row r="226">
          <cell r="A226">
            <v>12350220</v>
          </cell>
          <cell r="B226" t="str">
            <v>Onion dip, regular</v>
          </cell>
          <cell r="I226">
            <v>30</v>
          </cell>
          <cell r="J226">
            <v>103.49908000000001</v>
          </cell>
          <cell r="K226">
            <v>3.4499693333333337</v>
          </cell>
          <cell r="L226">
            <v>4.1221399999999998E-2</v>
          </cell>
          <cell r="M226">
            <v>2.5578829000000001</v>
          </cell>
          <cell r="N226">
            <v>0</v>
          </cell>
          <cell r="O226">
            <v>1.8335299999999999E-2</v>
          </cell>
          <cell r="P226">
            <v>0</v>
          </cell>
          <cell r="Q226">
            <v>5.2142995000000001</v>
          </cell>
          <cell r="R226">
            <v>0</v>
          </cell>
          <cell r="S226">
            <v>0</v>
          </cell>
          <cell r="T226">
            <v>0</v>
          </cell>
          <cell r="U226">
            <v>2.2900763</v>
          </cell>
          <cell r="V226">
            <v>0</v>
          </cell>
          <cell r="W226">
            <v>0</v>
          </cell>
          <cell r="X226">
            <v>0.16733310000000001</v>
          </cell>
          <cell r="Y226">
            <v>0</v>
          </cell>
          <cell r="Z226">
            <v>0</v>
          </cell>
          <cell r="AA226">
            <v>0</v>
          </cell>
          <cell r="AB226">
            <v>0.11399769999999999</v>
          </cell>
        </row>
        <row r="227">
          <cell r="A227">
            <v>12350230</v>
          </cell>
          <cell r="B227" t="str">
            <v>Ranch dip, regular</v>
          </cell>
          <cell r="I227">
            <v>30</v>
          </cell>
          <cell r="J227">
            <v>129.84174999999999</v>
          </cell>
          <cell r="K227">
            <v>4.3280583333333329</v>
          </cell>
          <cell r="L227">
            <v>-1.6699999999999999E-17</v>
          </cell>
          <cell r="M227">
            <v>3.1955125999999998</v>
          </cell>
          <cell r="N227">
            <v>0</v>
          </cell>
          <cell r="O227">
            <v>2.2712599999999999E-2</v>
          </cell>
          <cell r="P227">
            <v>7.7767000000000003E-2</v>
          </cell>
          <cell r="Q227">
            <v>6.6344824999999998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0.2127</v>
          </cell>
          <cell r="Y227">
            <v>0</v>
          </cell>
          <cell r="Z227">
            <v>0</v>
          </cell>
          <cell r="AA227">
            <v>0</v>
          </cell>
          <cell r="AB227">
            <v>0.14315530000000001</v>
          </cell>
        </row>
        <row r="228">
          <cell r="A228">
            <v>12350235</v>
          </cell>
          <cell r="B228" t="str">
            <v>Ranch dip, light</v>
          </cell>
          <cell r="I228">
            <v>30</v>
          </cell>
          <cell r="J228">
            <v>60.002764999999997</v>
          </cell>
          <cell r="K228">
            <v>2.0000921666666667</v>
          </cell>
          <cell r="L228">
            <v>0</v>
          </cell>
          <cell r="M228">
            <v>1.4026065000000001</v>
          </cell>
          <cell r="N228">
            <v>0</v>
          </cell>
          <cell r="O228">
            <v>2.6798200000000001E-2</v>
          </cell>
          <cell r="P228">
            <v>7.3824899999999999E-2</v>
          </cell>
          <cell r="Q228">
            <v>1.8607990999999999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0.18208479999999999</v>
          </cell>
          <cell r="Y228">
            <v>0</v>
          </cell>
          <cell r="Z228">
            <v>0</v>
          </cell>
          <cell r="AA228">
            <v>0</v>
          </cell>
          <cell r="AB228">
            <v>4.4602000000000003E-2</v>
          </cell>
        </row>
        <row r="229">
          <cell r="A229">
            <v>12350240</v>
          </cell>
          <cell r="B229" t="str">
            <v>Spinach dip, regular</v>
          </cell>
          <cell r="I229">
            <v>30</v>
          </cell>
          <cell r="J229">
            <v>103.63648999999999</v>
          </cell>
          <cell r="K229">
            <v>3.4545496666666664</v>
          </cell>
          <cell r="L229">
            <v>8.4732799999999997E-2</v>
          </cell>
          <cell r="M229">
            <v>2.5611119000000002</v>
          </cell>
          <cell r="N229">
            <v>0</v>
          </cell>
          <cell r="O229">
            <v>2.1472700000000001E-2</v>
          </cell>
          <cell r="P229">
            <v>0</v>
          </cell>
          <cell r="Q229">
            <v>5.2219255000000002</v>
          </cell>
          <cell r="R229">
            <v>0</v>
          </cell>
          <cell r="S229">
            <v>0</v>
          </cell>
          <cell r="T229">
            <v>0</v>
          </cell>
          <cell r="U229">
            <v>2.2900763</v>
          </cell>
          <cell r="V229">
            <v>0</v>
          </cell>
          <cell r="W229">
            <v>0</v>
          </cell>
          <cell r="X229">
            <v>0.16927970000000001</v>
          </cell>
          <cell r="Y229">
            <v>0</v>
          </cell>
          <cell r="Z229">
            <v>0</v>
          </cell>
          <cell r="AA229">
            <v>0</v>
          </cell>
          <cell r="AB229">
            <v>0.11399769999999999</v>
          </cell>
        </row>
        <row r="230">
          <cell r="A230">
            <v>12350250</v>
          </cell>
          <cell r="B230" t="str">
            <v>Vegetable dip, regular</v>
          </cell>
          <cell r="I230">
            <v>30</v>
          </cell>
          <cell r="J230">
            <v>128.79612</v>
          </cell>
          <cell r="K230">
            <v>4.2932040000000002</v>
          </cell>
          <cell r="L230">
            <v>5.2427000000000003E-3</v>
          </cell>
          <cell r="M230">
            <v>3.1850795999999999</v>
          </cell>
          <cell r="N230">
            <v>0</v>
          </cell>
          <cell r="O230">
            <v>1.93107E-2</v>
          </cell>
          <cell r="P230">
            <v>7.7767000000000003E-2</v>
          </cell>
          <cell r="Q230">
            <v>6.6339670000000002</v>
          </cell>
          <cell r="R230">
            <v>0</v>
          </cell>
          <cell r="S230">
            <v>0</v>
          </cell>
          <cell r="T230">
            <v>0</v>
          </cell>
          <cell r="U230">
            <v>0.29126210000000002</v>
          </cell>
          <cell r="V230">
            <v>0</v>
          </cell>
          <cell r="W230">
            <v>0</v>
          </cell>
          <cell r="X230">
            <v>0.2112291</v>
          </cell>
          <cell r="Y230">
            <v>0</v>
          </cell>
          <cell r="Z230">
            <v>0</v>
          </cell>
          <cell r="AA230">
            <v>0</v>
          </cell>
          <cell r="AB230">
            <v>0.14315530000000001</v>
          </cell>
        </row>
        <row r="231">
          <cell r="A231">
            <v>12350255</v>
          </cell>
          <cell r="B231" t="str">
            <v>Vegetable dip, light</v>
          </cell>
          <cell r="I231">
            <v>30</v>
          </cell>
          <cell r="J231">
            <v>59.010137999999998</v>
          </cell>
          <cell r="K231">
            <v>1.9670045999999999</v>
          </cell>
          <cell r="L231">
            <v>4.9769999999999997E-3</v>
          </cell>
          <cell r="M231">
            <v>1.3927023000000001</v>
          </cell>
          <cell r="N231">
            <v>0</v>
          </cell>
          <cell r="O231">
            <v>2.3568700000000001E-2</v>
          </cell>
          <cell r="P231">
            <v>7.3824899999999999E-2</v>
          </cell>
          <cell r="Q231">
            <v>1.8603097</v>
          </cell>
          <cell r="R231">
            <v>0</v>
          </cell>
          <cell r="S231">
            <v>0</v>
          </cell>
          <cell r="T231">
            <v>0</v>
          </cell>
          <cell r="U231">
            <v>0.27649770000000001</v>
          </cell>
          <cell r="V231">
            <v>0</v>
          </cell>
          <cell r="W231">
            <v>0</v>
          </cell>
          <cell r="X231">
            <v>0.1806885</v>
          </cell>
          <cell r="Y231">
            <v>0</v>
          </cell>
          <cell r="Z231">
            <v>0</v>
          </cell>
          <cell r="AA231">
            <v>0</v>
          </cell>
          <cell r="AB231">
            <v>4.6518900000000002E-2</v>
          </cell>
        </row>
        <row r="232">
          <cell r="A232">
            <v>13110000</v>
          </cell>
          <cell r="B232" t="str">
            <v>Ice cream, NFS</v>
          </cell>
          <cell r="I232">
            <v>142</v>
          </cell>
          <cell r="J232">
            <v>293.94</v>
          </cell>
          <cell r="K232">
            <v>2.0699999999999998</v>
          </cell>
          <cell r="L232">
            <v>0</v>
          </cell>
          <cell r="M232">
            <v>9.6417999999999999</v>
          </cell>
          <cell r="N232">
            <v>0</v>
          </cell>
          <cell r="O232">
            <v>0.18176</v>
          </cell>
          <cell r="P232">
            <v>0.99399999999999999</v>
          </cell>
          <cell r="Q232">
            <v>0.64183999999999997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0.11360000000000001</v>
          </cell>
          <cell r="Y232">
            <v>0</v>
          </cell>
          <cell r="Z232">
            <v>0</v>
          </cell>
          <cell r="AA232">
            <v>0</v>
          </cell>
          <cell r="AB232">
            <v>0.52346780000000004</v>
          </cell>
        </row>
        <row r="233">
          <cell r="A233">
            <v>13110100</v>
          </cell>
          <cell r="B233" t="str">
            <v>Ice cream, regular, flavors other than chocolate</v>
          </cell>
          <cell r="I233">
            <v>142</v>
          </cell>
          <cell r="J233">
            <v>293.94</v>
          </cell>
          <cell r="K233">
            <v>2.0699999999999998</v>
          </cell>
          <cell r="L233">
            <v>0</v>
          </cell>
          <cell r="M233">
            <v>9.6417999999999999</v>
          </cell>
          <cell r="N233">
            <v>0</v>
          </cell>
          <cell r="O233">
            <v>0.18176</v>
          </cell>
          <cell r="P233">
            <v>0.99399999999999999</v>
          </cell>
          <cell r="Q233">
            <v>0.64183999999999997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0.11360000000000001</v>
          </cell>
          <cell r="Y233">
            <v>0</v>
          </cell>
          <cell r="Z233">
            <v>0</v>
          </cell>
          <cell r="AA233">
            <v>0</v>
          </cell>
          <cell r="AB233">
            <v>0.52478329999999995</v>
          </cell>
        </row>
        <row r="234">
          <cell r="A234">
            <v>13110110</v>
          </cell>
          <cell r="B234" t="str">
            <v>Ice cream, regular, chocolate</v>
          </cell>
          <cell r="I234">
            <v>142</v>
          </cell>
          <cell r="J234">
            <v>306.72000000000003</v>
          </cell>
          <cell r="K234">
            <v>2.16</v>
          </cell>
          <cell r="L234">
            <v>0</v>
          </cell>
          <cell r="M234">
            <v>9.6560000000000006</v>
          </cell>
          <cell r="N234">
            <v>0</v>
          </cell>
          <cell r="O234">
            <v>0.15478</v>
          </cell>
          <cell r="P234">
            <v>1.704</v>
          </cell>
          <cell r="Q234">
            <v>0.58220000000000005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0.10792</v>
          </cell>
          <cell r="Y234">
            <v>0</v>
          </cell>
          <cell r="Z234">
            <v>0</v>
          </cell>
          <cell r="AA234">
            <v>0</v>
          </cell>
          <cell r="AB234">
            <v>0.4563644</v>
          </cell>
        </row>
        <row r="235">
          <cell r="A235">
            <v>13110120</v>
          </cell>
          <cell r="B235" t="str">
            <v>Ice cream, rich, flavors other than chocolate</v>
          </cell>
          <cell r="I235">
            <v>142</v>
          </cell>
          <cell r="J235">
            <v>353.58</v>
          </cell>
          <cell r="K235">
            <v>2.4899999999999998</v>
          </cell>
          <cell r="L235">
            <v>0</v>
          </cell>
          <cell r="M235">
            <v>14.66718</v>
          </cell>
          <cell r="N235">
            <v>0</v>
          </cell>
          <cell r="O235">
            <v>0.16614000000000001</v>
          </cell>
          <cell r="P235">
            <v>0</v>
          </cell>
          <cell r="Q235">
            <v>0.96560000000000001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8.6620000000000003E-2</v>
          </cell>
          <cell r="Y235">
            <v>0</v>
          </cell>
          <cell r="Z235">
            <v>0</v>
          </cell>
          <cell r="AA235">
            <v>0</v>
          </cell>
          <cell r="AB235">
            <v>0.86983770000000005</v>
          </cell>
        </row>
        <row r="236">
          <cell r="A236">
            <v>13110130</v>
          </cell>
          <cell r="B236" t="str">
            <v>Ice cream, rich, chocolate</v>
          </cell>
          <cell r="I236">
            <v>142</v>
          </cell>
          <cell r="J236">
            <v>356.42</v>
          </cell>
          <cell r="K236">
            <v>2.5100000000000002</v>
          </cell>
          <cell r="L236">
            <v>0</v>
          </cell>
          <cell r="M236">
            <v>14.735340000000001</v>
          </cell>
          <cell r="N236">
            <v>0</v>
          </cell>
          <cell r="O236">
            <v>0.20164000000000001</v>
          </cell>
          <cell r="P236">
            <v>1.278</v>
          </cell>
          <cell r="Q236">
            <v>0.93435999999999997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8.0939999999999998E-2</v>
          </cell>
          <cell r="Y236">
            <v>0</v>
          </cell>
          <cell r="Z236">
            <v>0</v>
          </cell>
          <cell r="AA236">
            <v>0</v>
          </cell>
          <cell r="AB236">
            <v>0.93190419999999996</v>
          </cell>
        </row>
        <row r="237">
          <cell r="A237">
            <v>13110200</v>
          </cell>
          <cell r="B237" t="str">
            <v>Ice cream, soft serve, flavors other than chocolate</v>
          </cell>
          <cell r="I237">
            <v>142</v>
          </cell>
          <cell r="J237">
            <v>293.94</v>
          </cell>
          <cell r="K237">
            <v>2.0699999999999998</v>
          </cell>
          <cell r="L237">
            <v>0</v>
          </cell>
          <cell r="M237">
            <v>9.6417999999999999</v>
          </cell>
          <cell r="N237">
            <v>0</v>
          </cell>
          <cell r="O237">
            <v>0.18176</v>
          </cell>
          <cell r="P237">
            <v>0.99399999999999999</v>
          </cell>
          <cell r="Q237">
            <v>0.64183999999999997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0.11360000000000001</v>
          </cell>
          <cell r="Y237">
            <v>0</v>
          </cell>
          <cell r="Z237">
            <v>0</v>
          </cell>
          <cell r="AA237">
            <v>0</v>
          </cell>
          <cell r="AB237">
            <v>0.52465209999999995</v>
          </cell>
        </row>
        <row r="238">
          <cell r="A238">
            <v>13110210</v>
          </cell>
          <cell r="B238" t="str">
            <v>Ice cream, soft serve, chocolate</v>
          </cell>
          <cell r="I238">
            <v>142</v>
          </cell>
          <cell r="J238">
            <v>315.24</v>
          </cell>
          <cell r="K238">
            <v>2.2200000000000002</v>
          </cell>
          <cell r="L238">
            <v>0</v>
          </cell>
          <cell r="M238">
            <v>10.5932</v>
          </cell>
          <cell r="N238">
            <v>0</v>
          </cell>
          <cell r="O238">
            <v>0.18601999999999999</v>
          </cell>
          <cell r="P238">
            <v>0.99399999999999999</v>
          </cell>
          <cell r="Q238">
            <v>0.6532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8.6620000000000003E-2</v>
          </cell>
          <cell r="Y238">
            <v>0</v>
          </cell>
          <cell r="Z238">
            <v>0</v>
          </cell>
          <cell r="AA238">
            <v>0</v>
          </cell>
          <cell r="AB238">
            <v>0.56249610000000005</v>
          </cell>
        </row>
        <row r="239">
          <cell r="A239">
            <v>13110220</v>
          </cell>
          <cell r="B239" t="str">
            <v>Ice cream, soft serve, NS as to flavor</v>
          </cell>
          <cell r="I239">
            <v>142</v>
          </cell>
          <cell r="J239">
            <v>293.94</v>
          </cell>
          <cell r="K239">
            <v>2.0699999999999998</v>
          </cell>
          <cell r="L239">
            <v>0</v>
          </cell>
          <cell r="M239">
            <v>9.6417999999999999</v>
          </cell>
          <cell r="N239">
            <v>0</v>
          </cell>
          <cell r="O239">
            <v>0.18176</v>
          </cell>
          <cell r="P239">
            <v>0.99399999999999999</v>
          </cell>
          <cell r="Q239">
            <v>0.64183999999999997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0.11360000000000001</v>
          </cell>
          <cell r="Y239">
            <v>0</v>
          </cell>
          <cell r="Z239">
            <v>0</v>
          </cell>
          <cell r="AA239">
            <v>0</v>
          </cell>
          <cell r="AB239">
            <v>0.61375590000000002</v>
          </cell>
        </row>
        <row r="240">
          <cell r="A240">
            <v>13110310</v>
          </cell>
          <cell r="B240" t="str">
            <v>Ice cream, no sugar added, NS as to flavor</v>
          </cell>
          <cell r="I240">
            <v>142</v>
          </cell>
          <cell r="J240">
            <v>306.72000000000003</v>
          </cell>
          <cell r="K240">
            <v>2.16</v>
          </cell>
          <cell r="L240">
            <v>0</v>
          </cell>
          <cell r="M240">
            <v>9.6417999999999999</v>
          </cell>
          <cell r="N240">
            <v>0</v>
          </cell>
          <cell r="O240">
            <v>0.18176</v>
          </cell>
          <cell r="P240">
            <v>6.8159999999999998</v>
          </cell>
          <cell r="Q240">
            <v>0.58220000000000005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6.8159999999999998E-2</v>
          </cell>
          <cell r="Y240">
            <v>0</v>
          </cell>
          <cell r="Z240">
            <v>0</v>
          </cell>
          <cell r="AA240">
            <v>0</v>
          </cell>
          <cell r="AB240">
            <v>0.73593399999999998</v>
          </cell>
        </row>
        <row r="241">
          <cell r="A241">
            <v>13110320</v>
          </cell>
          <cell r="B241" t="str">
            <v>Ice cream, no sugar added, flavors other than chocolate</v>
          </cell>
          <cell r="I241">
            <v>142</v>
          </cell>
          <cell r="J241">
            <v>306.72000000000003</v>
          </cell>
          <cell r="K241">
            <v>2.16</v>
          </cell>
          <cell r="L241">
            <v>0</v>
          </cell>
          <cell r="M241">
            <v>9.6417999999999999</v>
          </cell>
          <cell r="N241">
            <v>0</v>
          </cell>
          <cell r="O241">
            <v>0.18176</v>
          </cell>
          <cell r="P241">
            <v>6.8159999999999998</v>
          </cell>
          <cell r="Q241">
            <v>0.58220000000000005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6.8159999999999998E-2</v>
          </cell>
          <cell r="Y241">
            <v>0</v>
          </cell>
          <cell r="Z241">
            <v>0</v>
          </cell>
          <cell r="AA241">
            <v>0</v>
          </cell>
          <cell r="AB241">
            <v>0.73464260000000003</v>
          </cell>
        </row>
        <row r="242">
          <cell r="A242">
            <v>13120050</v>
          </cell>
          <cell r="B242" t="str">
            <v>Ice cream bar or stick, not chocolate covered or cake covered</v>
          </cell>
          <cell r="I242">
            <v>142</v>
          </cell>
          <cell r="J242">
            <v>293.94</v>
          </cell>
          <cell r="K242">
            <v>2.0699999999999998</v>
          </cell>
          <cell r="L242">
            <v>0</v>
          </cell>
          <cell r="M242">
            <v>9.6417999999999999</v>
          </cell>
          <cell r="N242">
            <v>0</v>
          </cell>
          <cell r="O242">
            <v>0.18176</v>
          </cell>
          <cell r="P242">
            <v>0.99399999999999999</v>
          </cell>
          <cell r="Q242">
            <v>0.64183999999999997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0.11360000000000001</v>
          </cell>
          <cell r="Y242">
            <v>0</v>
          </cell>
          <cell r="Z242">
            <v>0</v>
          </cell>
          <cell r="AA242">
            <v>0</v>
          </cell>
          <cell r="AB242">
            <v>0.52453799999999995</v>
          </cell>
        </row>
        <row r="243">
          <cell r="A243">
            <v>13120100</v>
          </cell>
          <cell r="B243" t="str">
            <v>Ice cream bar or stick, chocolate covered</v>
          </cell>
          <cell r="I243">
            <v>142</v>
          </cell>
          <cell r="J243">
            <v>470.02</v>
          </cell>
          <cell r="K243">
            <v>3.31</v>
          </cell>
          <cell r="L243">
            <v>0</v>
          </cell>
          <cell r="M243">
            <v>18.746839999999999</v>
          </cell>
          <cell r="N243">
            <v>0</v>
          </cell>
          <cell r="O243">
            <v>0.16897999999999999</v>
          </cell>
          <cell r="P243">
            <v>1.1359999999999999</v>
          </cell>
          <cell r="Q243">
            <v>4.6249399999999996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9.6560000000000007E-2</v>
          </cell>
          <cell r="Y243">
            <v>0</v>
          </cell>
          <cell r="Z243">
            <v>0</v>
          </cell>
          <cell r="AA243">
            <v>0</v>
          </cell>
          <cell r="AB243">
            <v>1.1325582999999999</v>
          </cell>
        </row>
        <row r="244">
          <cell r="A244">
            <v>13120110</v>
          </cell>
          <cell r="B244" t="str">
            <v>Ice cream bar or stick, chocolate or caramel covered, with nuts</v>
          </cell>
          <cell r="I244">
            <v>142</v>
          </cell>
          <cell r="J244">
            <v>458.66</v>
          </cell>
          <cell r="K244">
            <v>3.23</v>
          </cell>
          <cell r="L244">
            <v>0</v>
          </cell>
          <cell r="M244">
            <v>17.974360000000001</v>
          </cell>
          <cell r="N244">
            <v>0</v>
          </cell>
          <cell r="O244">
            <v>0.35783999999999999</v>
          </cell>
          <cell r="P244">
            <v>0.85199999999999998</v>
          </cell>
          <cell r="Q244">
            <v>2.0859800000000002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0.13064000000000001</v>
          </cell>
          <cell r="Y244">
            <v>5.2334100000000001</v>
          </cell>
          <cell r="Z244">
            <v>0</v>
          </cell>
          <cell r="AA244">
            <v>0</v>
          </cell>
          <cell r="AB244">
            <v>0.75631159999999997</v>
          </cell>
        </row>
        <row r="245">
          <cell r="A245">
            <v>13120120</v>
          </cell>
          <cell r="B245" t="str">
            <v>Ice cream bar or stick, rich chocolate ice cream, thick chocolate covering</v>
          </cell>
          <cell r="I245">
            <v>142</v>
          </cell>
          <cell r="J245">
            <v>490.92239999999998</v>
          </cell>
          <cell r="K245">
            <v>3.4571999999999998</v>
          </cell>
          <cell r="L245">
            <v>0</v>
          </cell>
          <cell r="M245">
            <v>19.833296000000001</v>
          </cell>
          <cell r="N245">
            <v>0</v>
          </cell>
          <cell r="O245">
            <v>0.13964280000000001</v>
          </cell>
          <cell r="P245">
            <v>3.6948400000000001</v>
          </cell>
          <cell r="Q245">
            <v>1.1087928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5.9398600000000003E-2</v>
          </cell>
          <cell r="Y245">
            <v>0</v>
          </cell>
          <cell r="Z245">
            <v>0</v>
          </cell>
          <cell r="AA245">
            <v>0</v>
          </cell>
          <cell r="AB245">
            <v>2.0628552</v>
          </cell>
        </row>
        <row r="246">
          <cell r="A246">
            <v>13120121</v>
          </cell>
          <cell r="B246" t="str">
            <v>Ice cream bar or stick, rich ice cream, thick chocolate covering</v>
          </cell>
          <cell r="I246">
            <v>142</v>
          </cell>
          <cell r="J246">
            <v>475.416</v>
          </cell>
          <cell r="K246">
            <v>3.3479999999999999</v>
          </cell>
          <cell r="L246">
            <v>0</v>
          </cell>
          <cell r="M246">
            <v>18.151859999999999</v>
          </cell>
          <cell r="N246">
            <v>0</v>
          </cell>
          <cell r="O246">
            <v>0.19681199999999999</v>
          </cell>
          <cell r="P246">
            <v>1.4483999999999999</v>
          </cell>
          <cell r="Q246">
            <v>1.2620960000000001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9.4287999999999997E-2</v>
          </cell>
          <cell r="Y246">
            <v>0</v>
          </cell>
          <cell r="Z246">
            <v>0</v>
          </cell>
          <cell r="AA246">
            <v>0</v>
          </cell>
          <cell r="AB246">
            <v>1.4184971</v>
          </cell>
        </row>
        <row r="247">
          <cell r="A247">
            <v>13120130</v>
          </cell>
          <cell r="B247" t="str">
            <v>Ice cream bar or stick, rich ice cream, chocolate covered, with nuts</v>
          </cell>
          <cell r="I247">
            <v>142</v>
          </cell>
          <cell r="J247">
            <v>430.26</v>
          </cell>
          <cell r="K247">
            <v>3.03</v>
          </cell>
          <cell r="L247">
            <v>0</v>
          </cell>
          <cell r="M247">
            <v>22.583680000000001</v>
          </cell>
          <cell r="N247">
            <v>0</v>
          </cell>
          <cell r="O247">
            <v>0.1278</v>
          </cell>
          <cell r="P247">
            <v>1.5620000000000001</v>
          </cell>
          <cell r="Q247">
            <v>2.66818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7.9519999999999993E-2</v>
          </cell>
          <cell r="Y247">
            <v>7.044975</v>
          </cell>
          <cell r="Z247">
            <v>0</v>
          </cell>
          <cell r="AA247">
            <v>0</v>
          </cell>
          <cell r="AB247">
            <v>0</v>
          </cell>
        </row>
        <row r="248">
          <cell r="A248">
            <v>13120140</v>
          </cell>
          <cell r="B248" t="str">
            <v>Ice cream bar or stick, chocolate ice cream, chocolate covered</v>
          </cell>
          <cell r="I248">
            <v>142</v>
          </cell>
          <cell r="J248">
            <v>403.78714000000002</v>
          </cell>
          <cell r="K248">
            <v>2.8435714084507042</v>
          </cell>
          <cell r="L248">
            <v>0</v>
          </cell>
          <cell r="M248">
            <v>13.218881</v>
          </cell>
          <cell r="N248">
            <v>0</v>
          </cell>
          <cell r="O248">
            <v>0.1791229</v>
          </cell>
          <cell r="P248">
            <v>2.3734286</v>
          </cell>
          <cell r="Q248">
            <v>0.87614000000000003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0.1088329</v>
          </cell>
          <cell r="Y248">
            <v>0</v>
          </cell>
          <cell r="Z248">
            <v>0</v>
          </cell>
          <cell r="AA248">
            <v>0</v>
          </cell>
          <cell r="AB248">
            <v>1.0202812000000001</v>
          </cell>
        </row>
        <row r="249">
          <cell r="A249">
            <v>13120300</v>
          </cell>
          <cell r="B249" t="str">
            <v>Ice cream bar, cake covered</v>
          </cell>
          <cell r="I249">
            <v>142</v>
          </cell>
          <cell r="J249">
            <v>364.41804000000002</v>
          </cell>
          <cell r="K249">
            <v>2.5663242253521128</v>
          </cell>
          <cell r="L249">
            <v>-3.1499999999999999E-16</v>
          </cell>
          <cell r="M249">
            <v>6.0692899999999996</v>
          </cell>
          <cell r="N249">
            <v>0</v>
          </cell>
          <cell r="O249">
            <v>0.13824439999999999</v>
          </cell>
          <cell r="P249">
            <v>1.3859743</v>
          </cell>
          <cell r="Q249">
            <v>4.2445060999999997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0.39551310000000001</v>
          </cell>
          <cell r="Y249">
            <v>0</v>
          </cell>
          <cell r="Z249">
            <v>0</v>
          </cell>
          <cell r="AA249">
            <v>0</v>
          </cell>
          <cell r="AB249">
            <v>0.84743369999999996</v>
          </cell>
        </row>
        <row r="250">
          <cell r="A250">
            <v>13120310</v>
          </cell>
          <cell r="B250" t="str">
            <v>Ice cream bar, stick or nugget, with crunch coating</v>
          </cell>
          <cell r="I250">
            <v>142</v>
          </cell>
          <cell r="J250">
            <v>508.36</v>
          </cell>
          <cell r="K250">
            <v>3.58</v>
          </cell>
          <cell r="L250">
            <v>0</v>
          </cell>
          <cell r="M250">
            <v>25.410900000000002</v>
          </cell>
          <cell r="N250">
            <v>0</v>
          </cell>
          <cell r="O250">
            <v>8.9459999999999998E-2</v>
          </cell>
          <cell r="P250">
            <v>1.5620000000000001</v>
          </cell>
          <cell r="Q250">
            <v>3.1353599999999999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0.11928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</row>
        <row r="251">
          <cell r="A251">
            <v>13120400</v>
          </cell>
          <cell r="B251" t="str">
            <v>Ice cream bar or stick with fruit</v>
          </cell>
          <cell r="I251">
            <v>142</v>
          </cell>
          <cell r="J251">
            <v>228.96080000000001</v>
          </cell>
          <cell r="K251">
            <v>1.6124000000000001</v>
          </cell>
          <cell r="L251">
            <v>2.74912</v>
          </cell>
          <cell r="M251">
            <v>5.4025319999999999</v>
          </cell>
          <cell r="N251">
            <v>0</v>
          </cell>
          <cell r="O251">
            <v>0.1111576</v>
          </cell>
          <cell r="P251">
            <v>0.55664000000000002</v>
          </cell>
          <cell r="Q251">
            <v>0.41503760000000001</v>
          </cell>
          <cell r="R251">
            <v>0</v>
          </cell>
          <cell r="S251">
            <v>0</v>
          </cell>
          <cell r="T251">
            <v>51.642218999999997</v>
          </cell>
          <cell r="U251">
            <v>0</v>
          </cell>
          <cell r="V251">
            <v>0</v>
          </cell>
          <cell r="W251">
            <v>0</v>
          </cell>
          <cell r="X251">
            <v>6.4240800000000001E-2</v>
          </cell>
          <cell r="Y251">
            <v>0</v>
          </cell>
          <cell r="Z251">
            <v>0</v>
          </cell>
          <cell r="AA251">
            <v>0</v>
          </cell>
          <cell r="AB251">
            <v>0.2912343</v>
          </cell>
        </row>
        <row r="252">
          <cell r="A252">
            <v>13120500</v>
          </cell>
          <cell r="B252" t="str">
            <v>Ice cream sandwich</v>
          </cell>
          <cell r="I252">
            <v>142</v>
          </cell>
          <cell r="J252">
            <v>336.54</v>
          </cell>
          <cell r="K252">
            <v>2.37</v>
          </cell>
          <cell r="L252">
            <v>0</v>
          </cell>
          <cell r="M252">
            <v>3.2901400000000001</v>
          </cell>
          <cell r="N252">
            <v>0</v>
          </cell>
          <cell r="O252">
            <v>0.12212000000000001</v>
          </cell>
          <cell r="P252">
            <v>0</v>
          </cell>
          <cell r="Q252">
            <v>3.2262400000000002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0.18318000000000001</v>
          </cell>
          <cell r="Y252">
            <v>0</v>
          </cell>
          <cell r="Z252">
            <v>0</v>
          </cell>
          <cell r="AA252">
            <v>0</v>
          </cell>
          <cell r="AB252">
            <v>0.65433209999999997</v>
          </cell>
        </row>
        <row r="253">
          <cell r="A253">
            <v>13120550</v>
          </cell>
          <cell r="B253" t="str">
            <v>Ice cream cookie sandwich</v>
          </cell>
          <cell r="I253">
            <v>142</v>
          </cell>
          <cell r="J253">
            <v>340.8</v>
          </cell>
          <cell r="K253">
            <v>2.4</v>
          </cell>
          <cell r="L253">
            <v>0</v>
          </cell>
          <cell r="M253">
            <v>2.3614600000000001</v>
          </cell>
          <cell r="N253">
            <v>0</v>
          </cell>
          <cell r="O253">
            <v>0.10366</v>
          </cell>
          <cell r="P253">
            <v>1.704</v>
          </cell>
          <cell r="Q253">
            <v>1.2027399999999999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0.23003999999999999</v>
          </cell>
          <cell r="Y253">
            <v>0</v>
          </cell>
          <cell r="Z253">
            <v>0</v>
          </cell>
          <cell r="AA253">
            <v>0</v>
          </cell>
          <cell r="AB253">
            <v>0.72991729999999999</v>
          </cell>
        </row>
        <row r="254">
          <cell r="A254">
            <v>13120700</v>
          </cell>
          <cell r="B254" t="str">
            <v>Ice cream cone with nuts, flavors other than chocolate</v>
          </cell>
          <cell r="I254">
            <v>142</v>
          </cell>
          <cell r="J254">
            <v>378.72046999999998</v>
          </cell>
          <cell r="K254">
            <v>2.6670455633802814</v>
          </cell>
          <cell r="L254">
            <v>-6.31E-16</v>
          </cell>
          <cell r="M254">
            <v>8.7947573000000006</v>
          </cell>
          <cell r="N254">
            <v>0</v>
          </cell>
          <cell r="O254">
            <v>0.20288780000000001</v>
          </cell>
          <cell r="P254">
            <v>2.8686533999999999</v>
          </cell>
          <cell r="Q254">
            <v>3.1233122999999998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0.1123328</v>
          </cell>
          <cell r="Y254">
            <v>17.447319</v>
          </cell>
          <cell r="Z254">
            <v>0</v>
          </cell>
          <cell r="AA254">
            <v>0</v>
          </cell>
          <cell r="AB254">
            <v>0.56722859999999997</v>
          </cell>
        </row>
        <row r="255">
          <cell r="A255">
            <v>13120710</v>
          </cell>
          <cell r="B255" t="str">
            <v>Ice cream cone, chocolate covered, with nuts, flavors other than chocolate</v>
          </cell>
          <cell r="I255">
            <v>142</v>
          </cell>
          <cell r="J255">
            <v>502.68</v>
          </cell>
          <cell r="K255">
            <v>3.54</v>
          </cell>
          <cell r="L255">
            <v>0</v>
          </cell>
          <cell r="M255">
            <v>16.27036</v>
          </cell>
          <cell r="N255">
            <v>0</v>
          </cell>
          <cell r="O255">
            <v>8.9459999999999998E-2</v>
          </cell>
          <cell r="P255">
            <v>1.42</v>
          </cell>
          <cell r="Q255">
            <v>2.3529399999999998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0.13347999999999999</v>
          </cell>
          <cell r="Y255">
            <v>8.45397</v>
          </cell>
          <cell r="Z255">
            <v>0</v>
          </cell>
          <cell r="AA255">
            <v>0</v>
          </cell>
          <cell r="AB255">
            <v>1.1447361</v>
          </cell>
        </row>
        <row r="256">
          <cell r="A256">
            <v>13120720</v>
          </cell>
          <cell r="B256" t="str">
            <v>Ice cream cone, chocolate covered or dipped, flavors other than chocolate</v>
          </cell>
          <cell r="I256">
            <v>142</v>
          </cell>
          <cell r="J256">
            <v>347.7</v>
          </cell>
          <cell r="K256">
            <v>2.4485915492957746</v>
          </cell>
          <cell r="L256">
            <v>0</v>
          </cell>
          <cell r="M256">
            <v>10.4002</v>
          </cell>
          <cell r="N256">
            <v>0</v>
          </cell>
          <cell r="O256">
            <v>0.15994</v>
          </cell>
          <cell r="P256">
            <v>1.8480000000000001</v>
          </cell>
          <cell r="Q256">
            <v>0.98472000000000004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0.12292</v>
          </cell>
          <cell r="Y256">
            <v>0</v>
          </cell>
          <cell r="Z256">
            <v>0</v>
          </cell>
          <cell r="AA256">
            <v>0</v>
          </cell>
          <cell r="AB256">
            <v>0.78290749999999998</v>
          </cell>
        </row>
        <row r="257">
          <cell r="A257">
            <v>13120730</v>
          </cell>
          <cell r="B257" t="str">
            <v>Ice cream cone, no topping, flavors other than chocolate</v>
          </cell>
          <cell r="I257">
            <v>142</v>
          </cell>
          <cell r="J257">
            <v>310.98</v>
          </cell>
          <cell r="K257">
            <v>2.19</v>
          </cell>
          <cell r="L257">
            <v>0</v>
          </cell>
          <cell r="M257">
            <v>9.1899966000000006</v>
          </cell>
          <cell r="N257">
            <v>0</v>
          </cell>
          <cell r="O257">
            <v>0.17340230000000001</v>
          </cell>
          <cell r="P257">
            <v>1.1806285999999999</v>
          </cell>
          <cell r="Q257">
            <v>0.8700137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0.1278811</v>
          </cell>
          <cell r="Y257">
            <v>0</v>
          </cell>
          <cell r="Z257">
            <v>0</v>
          </cell>
          <cell r="AA257">
            <v>0</v>
          </cell>
          <cell r="AB257">
            <v>0.52653819999999996</v>
          </cell>
        </row>
        <row r="258">
          <cell r="A258">
            <v>13120760</v>
          </cell>
          <cell r="B258" t="str">
            <v>Ice cream cone, chocolate covered or dipped, chocolate ice cream</v>
          </cell>
          <cell r="I258">
            <v>142</v>
          </cell>
          <cell r="J258">
            <v>351.06</v>
          </cell>
          <cell r="K258">
            <v>2.4722535211267607</v>
          </cell>
          <cell r="L258">
            <v>0</v>
          </cell>
          <cell r="M258">
            <v>9.4726499999999998</v>
          </cell>
          <cell r="N258">
            <v>0</v>
          </cell>
          <cell r="O258">
            <v>0.15079400000000001</v>
          </cell>
          <cell r="P258">
            <v>1.9572000000000001</v>
          </cell>
          <cell r="Q258">
            <v>0.87349200000000005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8.8877999999999999E-2</v>
          </cell>
          <cell r="Y258">
            <v>0</v>
          </cell>
          <cell r="Z258">
            <v>0</v>
          </cell>
          <cell r="AA258">
            <v>0</v>
          </cell>
          <cell r="AB258">
            <v>0.79315809999999998</v>
          </cell>
        </row>
        <row r="259">
          <cell r="A259">
            <v>13120770</v>
          </cell>
          <cell r="B259" t="str">
            <v>Ice cream cone, no topping, chocolate ice cream</v>
          </cell>
          <cell r="I259">
            <v>142</v>
          </cell>
          <cell r="J259">
            <v>320.54862000000003</v>
          </cell>
          <cell r="K259">
            <v>2.2573846478873243</v>
          </cell>
          <cell r="L259">
            <v>0</v>
          </cell>
          <cell r="M259">
            <v>8.0204331</v>
          </cell>
          <cell r="N259">
            <v>0</v>
          </cell>
          <cell r="O259">
            <v>0.160519</v>
          </cell>
          <cell r="P259">
            <v>1.3645107999999999</v>
          </cell>
          <cell r="Q259">
            <v>0.82750170000000001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9.5640299999999998E-2</v>
          </cell>
          <cell r="Y259">
            <v>0</v>
          </cell>
          <cell r="Z259">
            <v>0</v>
          </cell>
          <cell r="AA259">
            <v>0</v>
          </cell>
          <cell r="AB259">
            <v>0.53573320000000002</v>
          </cell>
        </row>
        <row r="260">
          <cell r="A260">
            <v>13120790</v>
          </cell>
          <cell r="B260" t="str">
            <v>Ice cream sundae cone</v>
          </cell>
          <cell r="I260">
            <v>142</v>
          </cell>
          <cell r="J260">
            <v>360.68</v>
          </cell>
          <cell r="K260">
            <v>2.54</v>
          </cell>
          <cell r="L260">
            <v>0</v>
          </cell>
          <cell r="M260">
            <v>3.8581400000000001</v>
          </cell>
          <cell r="N260">
            <v>0</v>
          </cell>
          <cell r="O260">
            <v>8.5199999999999998E-2</v>
          </cell>
          <cell r="P260">
            <v>1.42</v>
          </cell>
          <cell r="Q260">
            <v>1.06074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0.1633</v>
          </cell>
          <cell r="Y260">
            <v>5.63598</v>
          </cell>
          <cell r="Z260">
            <v>0</v>
          </cell>
          <cell r="AA260">
            <v>0</v>
          </cell>
          <cell r="AB260">
            <v>0</v>
          </cell>
        </row>
        <row r="261">
          <cell r="A261">
            <v>13120800</v>
          </cell>
          <cell r="B261" t="str">
            <v>Ice cream soda, flavors other than chocolate</v>
          </cell>
          <cell r="I261">
            <v>360</v>
          </cell>
          <cell r="J261">
            <v>304.86315999999999</v>
          </cell>
          <cell r="K261">
            <v>0.84684211111111107</v>
          </cell>
          <cell r="L261">
            <v>-9.9900000000000006E-17</v>
          </cell>
          <cell r="M261">
            <v>6.4326315999999997</v>
          </cell>
          <cell r="N261">
            <v>0</v>
          </cell>
          <cell r="O261">
            <v>0.13452629999999999</v>
          </cell>
          <cell r="P261">
            <v>0.66315789999999997</v>
          </cell>
          <cell r="Q261">
            <v>0.42821049999999999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0.1102737</v>
          </cell>
          <cell r="Y261">
            <v>0</v>
          </cell>
          <cell r="Z261">
            <v>0</v>
          </cell>
          <cell r="AA261">
            <v>0</v>
          </cell>
          <cell r="AB261">
            <v>0.34736879999999998</v>
          </cell>
        </row>
        <row r="262">
          <cell r="A262">
            <v>13121100</v>
          </cell>
          <cell r="B262" t="str">
            <v>Ice cream sundae, fruit topping, with whipped cream</v>
          </cell>
          <cell r="I262">
            <v>213</v>
          </cell>
          <cell r="J262">
            <v>500.74385000000001</v>
          </cell>
          <cell r="K262">
            <v>2.3509100938967138</v>
          </cell>
          <cell r="L262">
            <v>0.45618979999999998</v>
          </cell>
          <cell r="M262">
            <v>14.351767000000001</v>
          </cell>
          <cell r="N262">
            <v>0</v>
          </cell>
          <cell r="O262">
            <v>0.1728616</v>
          </cell>
          <cell r="P262">
            <v>0.79430690000000004</v>
          </cell>
          <cell r="Q262">
            <v>0.8492016</v>
          </cell>
          <cell r="R262">
            <v>0</v>
          </cell>
          <cell r="S262">
            <v>0</v>
          </cell>
          <cell r="T262">
            <v>14.174469</v>
          </cell>
          <cell r="U262">
            <v>0</v>
          </cell>
          <cell r="V262">
            <v>0</v>
          </cell>
          <cell r="W262">
            <v>0</v>
          </cell>
          <cell r="X262">
            <v>0.1161452</v>
          </cell>
          <cell r="Y262">
            <v>0</v>
          </cell>
          <cell r="Z262">
            <v>0</v>
          </cell>
          <cell r="AA262">
            <v>0</v>
          </cell>
          <cell r="AB262">
            <v>0.73405580000000004</v>
          </cell>
        </row>
        <row r="263">
          <cell r="A263">
            <v>13122500</v>
          </cell>
          <cell r="B263" t="str">
            <v>Ice cream pie, with cookie crust, fudge topping, and whipped cream</v>
          </cell>
          <cell r="I263">
            <v>213</v>
          </cell>
          <cell r="J263">
            <v>645.55364999999995</v>
          </cell>
          <cell r="K263">
            <v>3.0307683098591545</v>
          </cell>
          <cell r="L263">
            <v>0.20031579999999999</v>
          </cell>
          <cell r="M263">
            <v>14.160728000000001</v>
          </cell>
          <cell r="N263">
            <v>0</v>
          </cell>
          <cell r="O263">
            <v>0.17688699999999999</v>
          </cell>
          <cell r="P263">
            <v>2.8267196999999999</v>
          </cell>
          <cell r="Q263">
            <v>1.3409314000000001</v>
          </cell>
          <cell r="R263">
            <v>2.8541059999999998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0.4564896</v>
          </cell>
          <cell r="Y263">
            <v>0</v>
          </cell>
          <cell r="Z263">
            <v>0</v>
          </cell>
          <cell r="AA263">
            <v>0</v>
          </cell>
          <cell r="AB263">
            <v>1.4516914999999999</v>
          </cell>
        </row>
        <row r="264">
          <cell r="A264">
            <v>13127010</v>
          </cell>
          <cell r="B264" t="str">
            <v>Dippin' Dots, flash frozen ice cream snacks, chocolate</v>
          </cell>
          <cell r="I264">
            <v>101</v>
          </cell>
          <cell r="J264">
            <v>218.16</v>
          </cell>
          <cell r="K264">
            <v>2.16</v>
          </cell>
          <cell r="L264">
            <v>0</v>
          </cell>
          <cell r="M264">
            <v>6.8680000000000003</v>
          </cell>
          <cell r="N264">
            <v>0</v>
          </cell>
          <cell r="O264">
            <v>0.11008999999999999</v>
          </cell>
          <cell r="P264">
            <v>1.212</v>
          </cell>
          <cell r="Q264">
            <v>0.41410000000000002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7.6759999999999995E-2</v>
          </cell>
          <cell r="Y264">
            <v>0</v>
          </cell>
          <cell r="Z264">
            <v>0</v>
          </cell>
          <cell r="AA264">
            <v>0</v>
          </cell>
          <cell r="AB264">
            <v>0.31704080000000001</v>
          </cell>
        </row>
        <row r="265">
          <cell r="A265">
            <v>13130300</v>
          </cell>
          <cell r="B265" t="str">
            <v>Light ice cream, flavors other than chocolate</v>
          </cell>
          <cell r="I265">
            <v>101</v>
          </cell>
          <cell r="J265">
            <v>181.8</v>
          </cell>
          <cell r="K265">
            <v>1.8</v>
          </cell>
          <cell r="L265">
            <v>0</v>
          </cell>
          <cell r="M265">
            <v>2.95627</v>
          </cell>
          <cell r="N265">
            <v>0</v>
          </cell>
          <cell r="O265">
            <v>0.16261</v>
          </cell>
          <cell r="P265">
            <v>0.30299999999999999</v>
          </cell>
          <cell r="Q265">
            <v>0.22119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7.4740000000000001E-2</v>
          </cell>
          <cell r="Y265">
            <v>0</v>
          </cell>
          <cell r="Z265">
            <v>0</v>
          </cell>
          <cell r="AA265">
            <v>0</v>
          </cell>
          <cell r="AB265">
            <v>0.20138200000000001</v>
          </cell>
        </row>
        <row r="266">
          <cell r="A266">
            <v>13130310</v>
          </cell>
          <cell r="B266" t="str">
            <v>Light ice cream, chocolate</v>
          </cell>
          <cell r="I266">
            <v>101</v>
          </cell>
          <cell r="J266">
            <v>188.87</v>
          </cell>
          <cell r="K266">
            <v>1.87</v>
          </cell>
          <cell r="L266">
            <v>0</v>
          </cell>
          <cell r="M266">
            <v>4.4238</v>
          </cell>
          <cell r="N266">
            <v>0</v>
          </cell>
          <cell r="O266">
            <v>0.16059000000000001</v>
          </cell>
          <cell r="P266">
            <v>0.80800000000000005</v>
          </cell>
          <cell r="Q266">
            <v>0.24340999999999999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7.1709999999999996E-2</v>
          </cell>
          <cell r="Y266">
            <v>0</v>
          </cell>
          <cell r="Z266">
            <v>0</v>
          </cell>
          <cell r="AA266">
            <v>0</v>
          </cell>
          <cell r="AB266">
            <v>0.20950920000000001</v>
          </cell>
        </row>
        <row r="267">
          <cell r="A267">
            <v>13130330</v>
          </cell>
          <cell r="B267" t="str">
            <v>Light ice cream, no sugar added, flavors other than chocolate</v>
          </cell>
          <cell r="I267">
            <v>101</v>
          </cell>
          <cell r="J267">
            <v>170.69</v>
          </cell>
          <cell r="K267">
            <v>1.69</v>
          </cell>
          <cell r="L267">
            <v>0</v>
          </cell>
          <cell r="M267">
            <v>4.0884799999999997</v>
          </cell>
          <cell r="N267">
            <v>0</v>
          </cell>
          <cell r="O267">
            <v>0.13736000000000001</v>
          </cell>
          <cell r="P267">
            <v>0</v>
          </cell>
          <cell r="Q267">
            <v>0.74739999999999995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9.6960000000000005E-2</v>
          </cell>
          <cell r="Y267">
            <v>0</v>
          </cell>
          <cell r="Z267">
            <v>0</v>
          </cell>
          <cell r="AA267">
            <v>0</v>
          </cell>
          <cell r="AB267">
            <v>0.26635130000000001</v>
          </cell>
        </row>
        <row r="268">
          <cell r="A268">
            <v>13130340</v>
          </cell>
          <cell r="B268" t="str">
            <v>Light ice cream, no sugar added, chocolate</v>
          </cell>
          <cell r="I268">
            <v>101</v>
          </cell>
          <cell r="J268">
            <v>174.73</v>
          </cell>
          <cell r="K268">
            <v>1.73</v>
          </cell>
          <cell r="L268">
            <v>0</v>
          </cell>
          <cell r="M268">
            <v>3.6461000000000001</v>
          </cell>
          <cell r="N268">
            <v>0</v>
          </cell>
          <cell r="O268">
            <v>0.12221</v>
          </cell>
          <cell r="P268">
            <v>0.90900000000000003</v>
          </cell>
          <cell r="Q268">
            <v>0.53227000000000002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7.5749999999999998E-2</v>
          </cell>
          <cell r="Y268">
            <v>0</v>
          </cell>
          <cell r="Z268">
            <v>0</v>
          </cell>
          <cell r="AA268">
            <v>0</v>
          </cell>
          <cell r="AB268">
            <v>0.23637749999999999</v>
          </cell>
        </row>
        <row r="269">
          <cell r="A269">
            <v>13130600</v>
          </cell>
          <cell r="B269" t="str">
            <v>Light ice cream, soft serve, flavors other than chocolate</v>
          </cell>
          <cell r="I269">
            <v>101</v>
          </cell>
          <cell r="J269">
            <v>127.26</v>
          </cell>
          <cell r="K269">
            <v>1.26</v>
          </cell>
          <cell r="L269">
            <v>0</v>
          </cell>
          <cell r="M269">
            <v>1.6463000000000001</v>
          </cell>
          <cell r="N269">
            <v>0</v>
          </cell>
          <cell r="O269">
            <v>0.15856999999999999</v>
          </cell>
          <cell r="P269">
            <v>0</v>
          </cell>
          <cell r="Q269">
            <v>0.10100000000000001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7.0699999999999999E-2</v>
          </cell>
          <cell r="Y269">
            <v>0</v>
          </cell>
          <cell r="Z269">
            <v>0</v>
          </cell>
          <cell r="AA269">
            <v>0</v>
          </cell>
          <cell r="AB269">
            <v>6.8026000000000003E-2</v>
          </cell>
        </row>
        <row r="270">
          <cell r="A270">
            <v>13130610</v>
          </cell>
          <cell r="B270" t="str">
            <v>Light ice cream, soft serve, chocolate (formerly ice milk)</v>
          </cell>
          <cell r="I270">
            <v>101</v>
          </cell>
          <cell r="J270">
            <v>142.41</v>
          </cell>
          <cell r="K270">
            <v>1.41</v>
          </cell>
          <cell r="L270">
            <v>0</v>
          </cell>
          <cell r="M270">
            <v>2.37249</v>
          </cell>
          <cell r="N270">
            <v>0</v>
          </cell>
          <cell r="O270">
            <v>0.13533999999999999</v>
          </cell>
          <cell r="P270">
            <v>0</v>
          </cell>
          <cell r="Q270">
            <v>0.12625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6.4640000000000003E-2</v>
          </cell>
          <cell r="Y270">
            <v>0</v>
          </cell>
          <cell r="Z270">
            <v>0</v>
          </cell>
          <cell r="AA270">
            <v>0</v>
          </cell>
          <cell r="AB270">
            <v>0.16968</v>
          </cell>
        </row>
        <row r="271">
          <cell r="A271">
            <v>13130620</v>
          </cell>
          <cell r="B271" t="str">
            <v>Light ice cream, soft serve cone, flavors other than chocolate</v>
          </cell>
          <cell r="I271">
            <v>101</v>
          </cell>
          <cell r="J271">
            <v>164.63</v>
          </cell>
          <cell r="K271">
            <v>1.63</v>
          </cell>
          <cell r="L271">
            <v>0</v>
          </cell>
          <cell r="M271">
            <v>2.5674199999999998</v>
          </cell>
          <cell r="N271">
            <v>0</v>
          </cell>
          <cell r="O271">
            <v>0.13028999999999999</v>
          </cell>
          <cell r="P271">
            <v>0.10100000000000001</v>
          </cell>
          <cell r="Q271">
            <v>0.29997000000000001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8.1809999999999994E-2</v>
          </cell>
          <cell r="Y271">
            <v>0</v>
          </cell>
          <cell r="Z271">
            <v>0</v>
          </cell>
          <cell r="AA271">
            <v>0</v>
          </cell>
          <cell r="AB271">
            <v>0.2828</v>
          </cell>
        </row>
        <row r="272">
          <cell r="A272">
            <v>13130630</v>
          </cell>
          <cell r="B272" t="str">
            <v>Light ice cream, soft serve cone, chocolate</v>
          </cell>
          <cell r="I272">
            <v>101</v>
          </cell>
          <cell r="J272">
            <v>168.13426000000001</v>
          </cell>
          <cell r="K272">
            <v>1.6646956435643565</v>
          </cell>
          <cell r="L272">
            <v>2.2430000000000002E-16</v>
          </cell>
          <cell r="M272">
            <v>2.8882135999999998</v>
          </cell>
          <cell r="N272">
            <v>0</v>
          </cell>
          <cell r="O272">
            <v>0.1291834</v>
          </cell>
          <cell r="P272">
            <v>1.9269042999999999</v>
          </cell>
          <cell r="Q272">
            <v>0.30753180000000002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7.7998300000000007E-2</v>
          </cell>
          <cell r="Y272">
            <v>0</v>
          </cell>
          <cell r="Z272">
            <v>0</v>
          </cell>
          <cell r="AA272">
            <v>0</v>
          </cell>
          <cell r="AB272">
            <v>0.26558609999999999</v>
          </cell>
        </row>
        <row r="273">
          <cell r="A273">
            <v>13130700</v>
          </cell>
          <cell r="B273" t="str">
            <v>Light ice cream, soft serve, blended with candy or cookies</v>
          </cell>
          <cell r="I273">
            <v>101</v>
          </cell>
          <cell r="J273">
            <v>177.255</v>
          </cell>
          <cell r="K273">
            <v>1.7549999999999999</v>
          </cell>
          <cell r="L273">
            <v>0</v>
          </cell>
          <cell r="M273">
            <v>3.2254350000000001</v>
          </cell>
          <cell r="N273">
            <v>0</v>
          </cell>
          <cell r="O273">
            <v>0.13331999999999999</v>
          </cell>
          <cell r="P273">
            <v>0.1515</v>
          </cell>
          <cell r="Q273">
            <v>0.32623000000000002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6.5144999999999995E-2</v>
          </cell>
          <cell r="Y273">
            <v>0</v>
          </cell>
          <cell r="Z273">
            <v>0</v>
          </cell>
          <cell r="AA273">
            <v>0</v>
          </cell>
          <cell r="AB273">
            <v>0.3401961</v>
          </cell>
        </row>
        <row r="274">
          <cell r="A274">
            <v>13135000</v>
          </cell>
          <cell r="B274" t="str">
            <v>Ice cream sandwich, made with light ice cream, flavors other than chocolate</v>
          </cell>
          <cell r="I274">
            <v>101</v>
          </cell>
          <cell r="J274">
            <v>187.86</v>
          </cell>
          <cell r="K274">
            <v>1.86</v>
          </cell>
          <cell r="L274">
            <v>0</v>
          </cell>
          <cell r="M274">
            <v>0.82921</v>
          </cell>
          <cell r="N274">
            <v>0</v>
          </cell>
          <cell r="O274">
            <v>3.0300000000000001E-2</v>
          </cell>
          <cell r="P274">
            <v>0</v>
          </cell>
          <cell r="Q274">
            <v>0.81305000000000005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0.14746000000000001</v>
          </cell>
          <cell r="Y274">
            <v>0</v>
          </cell>
          <cell r="Z274">
            <v>0</v>
          </cell>
          <cell r="AA274">
            <v>0</v>
          </cell>
          <cell r="AB274">
            <v>0.2254902</v>
          </cell>
        </row>
        <row r="275">
          <cell r="A275">
            <v>13135010</v>
          </cell>
          <cell r="B275" t="str">
            <v>Ice cream sandwich, made with light chocolate ice cream</v>
          </cell>
          <cell r="I275">
            <v>101</v>
          </cell>
          <cell r="J275">
            <v>238.07619</v>
          </cell>
          <cell r="K275">
            <v>2.3571900000000001</v>
          </cell>
          <cell r="L275">
            <v>0</v>
          </cell>
          <cell r="M275">
            <v>3.7075898</v>
          </cell>
          <cell r="N275">
            <v>0</v>
          </cell>
          <cell r="O275">
            <v>0.12660959999999999</v>
          </cell>
          <cell r="P275">
            <v>1.558935</v>
          </cell>
          <cell r="Q275">
            <v>0.4816821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5.5330799999999999E-2</v>
          </cell>
          <cell r="Y275">
            <v>0</v>
          </cell>
          <cell r="Z275">
            <v>0</v>
          </cell>
          <cell r="AA275">
            <v>0</v>
          </cell>
          <cell r="AB275">
            <v>0.2632854</v>
          </cell>
        </row>
        <row r="276">
          <cell r="A276">
            <v>13136000</v>
          </cell>
          <cell r="B276" t="str">
            <v>Ice cream sandwich, made with light, no sugar added ice cream</v>
          </cell>
          <cell r="I276">
            <v>101</v>
          </cell>
          <cell r="J276">
            <v>202</v>
          </cell>
          <cell r="K276">
            <v>2</v>
          </cell>
          <cell r="L276">
            <v>0</v>
          </cell>
          <cell r="M276">
            <v>0.82921</v>
          </cell>
          <cell r="N276">
            <v>0</v>
          </cell>
          <cell r="O276">
            <v>8.6860000000000007E-2</v>
          </cell>
          <cell r="P276">
            <v>7.1710000000000003</v>
          </cell>
          <cell r="Q276">
            <v>0.81305000000000005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0.16564000000000001</v>
          </cell>
          <cell r="Y276">
            <v>0</v>
          </cell>
          <cell r="Z276">
            <v>0</v>
          </cell>
          <cell r="AA276">
            <v>0</v>
          </cell>
          <cell r="AB276">
            <v>0.2024919</v>
          </cell>
        </row>
        <row r="277">
          <cell r="A277">
            <v>13140100</v>
          </cell>
          <cell r="B277" t="str">
            <v>Light ice cream, bar or stick, chocolate coated</v>
          </cell>
          <cell r="I277">
            <v>101</v>
          </cell>
          <cell r="J277">
            <v>291.61527999999998</v>
          </cell>
          <cell r="K277">
            <v>2.8872799999999996</v>
          </cell>
          <cell r="L277">
            <v>0</v>
          </cell>
          <cell r="M277">
            <v>14.216351</v>
          </cell>
          <cell r="N277">
            <v>0</v>
          </cell>
          <cell r="O277">
            <v>0.1300325</v>
          </cell>
          <cell r="P277">
            <v>0.57044799999999996</v>
          </cell>
          <cell r="Q277">
            <v>0.3771138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6.0002100000000003E-2</v>
          </cell>
          <cell r="Y277">
            <v>0</v>
          </cell>
          <cell r="Z277">
            <v>0</v>
          </cell>
          <cell r="AA277">
            <v>0</v>
          </cell>
          <cell r="AB277">
            <v>0.41183649999999999</v>
          </cell>
        </row>
        <row r="278">
          <cell r="A278">
            <v>13140110</v>
          </cell>
          <cell r="B278" t="str">
            <v>Light ice cream, bar or stick, chocolate covered, with nuts (formerly ice milk)</v>
          </cell>
          <cell r="I278">
            <v>101</v>
          </cell>
          <cell r="J278">
            <v>332.49023999999997</v>
          </cell>
          <cell r="K278">
            <v>3.2919825742574256</v>
          </cell>
          <cell r="L278">
            <v>0</v>
          </cell>
          <cell r="M278">
            <v>13.50633</v>
          </cell>
          <cell r="N278">
            <v>0</v>
          </cell>
          <cell r="O278">
            <v>0.1211078</v>
          </cell>
          <cell r="P278">
            <v>1.7343896000000001</v>
          </cell>
          <cell r="Q278">
            <v>2.3424798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5.2966199999999998E-2</v>
          </cell>
          <cell r="Y278">
            <v>13.165184999999999</v>
          </cell>
          <cell r="Z278">
            <v>0</v>
          </cell>
          <cell r="AA278">
            <v>0</v>
          </cell>
          <cell r="AB278">
            <v>0.34363500000000002</v>
          </cell>
        </row>
        <row r="279">
          <cell r="A279">
            <v>13140500</v>
          </cell>
          <cell r="B279" t="str">
            <v>Light ice cream, cone, flavors other than chocolate</v>
          </cell>
          <cell r="I279">
            <v>101</v>
          </cell>
          <cell r="J279">
            <v>149.86846</v>
          </cell>
          <cell r="K279">
            <v>1.4838461386138613</v>
          </cell>
          <cell r="L279">
            <v>0</v>
          </cell>
          <cell r="M279">
            <v>1.6146015</v>
          </cell>
          <cell r="N279">
            <v>0</v>
          </cell>
          <cell r="O279">
            <v>0.14831459999999999</v>
          </cell>
          <cell r="P279">
            <v>0.2330769</v>
          </cell>
          <cell r="Q279">
            <v>0.34681849999999997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8.5150799999999999E-2</v>
          </cell>
          <cell r="Y279">
            <v>0</v>
          </cell>
          <cell r="Z279">
            <v>0</v>
          </cell>
          <cell r="AA279">
            <v>0</v>
          </cell>
          <cell r="AB279">
            <v>9.3110399999999996E-2</v>
          </cell>
        </row>
        <row r="280">
          <cell r="A280">
            <v>13140575</v>
          </cell>
          <cell r="B280" t="str">
            <v>Light ice cream, no sugar added, cone, flavors other than chocolate</v>
          </cell>
          <cell r="I280">
            <v>101</v>
          </cell>
          <cell r="J280">
            <v>267.64999999999998</v>
          </cell>
          <cell r="K280">
            <v>2.65</v>
          </cell>
          <cell r="L280">
            <v>0</v>
          </cell>
          <cell r="M280">
            <v>6.6639799999999996</v>
          </cell>
          <cell r="N280">
            <v>0</v>
          </cell>
          <cell r="O280">
            <v>0.13433</v>
          </cell>
          <cell r="P280">
            <v>9.3930000000000007</v>
          </cell>
          <cell r="Q280">
            <v>0.43834000000000001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0.11413</v>
          </cell>
          <cell r="Y280">
            <v>5.0108625</v>
          </cell>
          <cell r="Z280">
            <v>0</v>
          </cell>
          <cell r="AA280">
            <v>0</v>
          </cell>
          <cell r="AB280">
            <v>0</v>
          </cell>
        </row>
        <row r="281">
          <cell r="A281">
            <v>13140660</v>
          </cell>
          <cell r="B281" t="str">
            <v>Light ice cream, sundae, soft serve, chocolate or fudge topping, without whipped cream</v>
          </cell>
          <cell r="I281">
            <v>213</v>
          </cell>
          <cell r="J281">
            <v>386.93709000000001</v>
          </cell>
          <cell r="K281">
            <v>1.8166060563380282</v>
          </cell>
          <cell r="L281">
            <v>0</v>
          </cell>
          <cell r="M281">
            <v>4.7156909000000002</v>
          </cell>
          <cell r="N281">
            <v>0</v>
          </cell>
          <cell r="O281">
            <v>0.27724850000000001</v>
          </cell>
          <cell r="P281">
            <v>1.4819636</v>
          </cell>
          <cell r="Q281">
            <v>0.3072105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0.29517929999999998</v>
          </cell>
          <cell r="Y281">
            <v>0</v>
          </cell>
          <cell r="Z281">
            <v>0</v>
          </cell>
          <cell r="AA281">
            <v>0</v>
          </cell>
          <cell r="AB281">
            <v>0.24435209999999999</v>
          </cell>
        </row>
        <row r="282">
          <cell r="A282">
            <v>13140680</v>
          </cell>
          <cell r="B282" t="str">
            <v>Light ice cream, sundae, soft serve, not fruit or chocolate topping (without whipped cream) (formerly ice milk)</v>
          </cell>
          <cell r="I282">
            <v>213</v>
          </cell>
          <cell r="J282">
            <v>316.01454999999999</v>
          </cell>
          <cell r="K282">
            <v>1.4836363849765257</v>
          </cell>
          <cell r="L282">
            <v>0</v>
          </cell>
          <cell r="M282">
            <v>2.6091855000000002</v>
          </cell>
          <cell r="N282">
            <v>0</v>
          </cell>
          <cell r="O282">
            <v>0.27724850000000001</v>
          </cell>
          <cell r="P282">
            <v>0</v>
          </cell>
          <cell r="Q282">
            <v>0.16007270000000001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0.29253289999999998</v>
          </cell>
          <cell r="Y282">
            <v>0</v>
          </cell>
          <cell r="Z282">
            <v>0</v>
          </cell>
          <cell r="AA282">
            <v>0</v>
          </cell>
          <cell r="AB282">
            <v>0.14398839999999999</v>
          </cell>
        </row>
        <row r="283">
          <cell r="A283">
            <v>13140700</v>
          </cell>
          <cell r="B283" t="str">
            <v>Light ice cream, creamsicle or dreamsicle</v>
          </cell>
          <cell r="I283">
            <v>101</v>
          </cell>
          <cell r="J283">
            <v>166.65</v>
          </cell>
          <cell r="K283">
            <v>1.6500000000000001</v>
          </cell>
          <cell r="L283">
            <v>0</v>
          </cell>
          <cell r="M283">
            <v>1.8311299999999999</v>
          </cell>
          <cell r="N283">
            <v>0</v>
          </cell>
          <cell r="O283">
            <v>6.2619999999999995E-2</v>
          </cell>
          <cell r="P283">
            <v>0</v>
          </cell>
          <cell r="Q283">
            <v>0.13836999999999999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4.6460000000000001E-2</v>
          </cell>
          <cell r="Y283">
            <v>0</v>
          </cell>
          <cell r="Z283">
            <v>0</v>
          </cell>
          <cell r="AA283">
            <v>0</v>
          </cell>
          <cell r="AB283">
            <v>0.10197050000000001</v>
          </cell>
        </row>
        <row r="284">
          <cell r="A284">
            <v>13140900</v>
          </cell>
          <cell r="B284" t="str">
            <v>Light ice cream, fudgesicle</v>
          </cell>
          <cell r="I284">
            <v>101</v>
          </cell>
          <cell r="J284">
            <v>183.416</v>
          </cell>
          <cell r="K284">
            <v>1.8160000000000001</v>
          </cell>
          <cell r="L284">
            <v>0</v>
          </cell>
          <cell r="M284">
            <v>3.1515232000000002</v>
          </cell>
          <cell r="N284">
            <v>0</v>
          </cell>
          <cell r="O284">
            <v>0.16059000000000001</v>
          </cell>
          <cell r="P284">
            <v>1.4947999999999999</v>
          </cell>
          <cell r="Q284">
            <v>0.2293104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7.2517999999999999E-2</v>
          </cell>
          <cell r="Y284">
            <v>0</v>
          </cell>
          <cell r="Z284">
            <v>0</v>
          </cell>
          <cell r="AA284">
            <v>0</v>
          </cell>
          <cell r="AB284">
            <v>0.2268095</v>
          </cell>
        </row>
        <row r="285">
          <cell r="A285">
            <v>13142000</v>
          </cell>
          <cell r="B285" t="str">
            <v>Milk dessert bar or stick, frozen, with coconut</v>
          </cell>
          <cell r="I285">
            <v>101</v>
          </cell>
          <cell r="J285">
            <v>158.35688999999999</v>
          </cell>
          <cell r="K285">
            <v>1.56789</v>
          </cell>
          <cell r="L285">
            <v>-2.2399999999999999E-16</v>
          </cell>
          <cell r="M285">
            <v>5.2071661000000002</v>
          </cell>
          <cell r="N285">
            <v>0</v>
          </cell>
          <cell r="O285">
            <v>0.17415030000000001</v>
          </cell>
          <cell r="P285">
            <v>1.6498349999999999</v>
          </cell>
          <cell r="Q285">
            <v>9.7929600000000006E-2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0.1211556</v>
          </cell>
          <cell r="Y285">
            <v>0</v>
          </cell>
          <cell r="Z285">
            <v>0</v>
          </cell>
          <cell r="AA285">
            <v>0</v>
          </cell>
          <cell r="AB285">
            <v>6.9236199999999998E-2</v>
          </cell>
        </row>
        <row r="286">
          <cell r="A286">
            <v>13150000</v>
          </cell>
          <cell r="B286" t="str">
            <v>Sherbet, all flavors</v>
          </cell>
          <cell r="I286">
            <v>101</v>
          </cell>
          <cell r="J286">
            <v>145.44</v>
          </cell>
          <cell r="K286">
            <v>1.44</v>
          </cell>
          <cell r="L286">
            <v>1.3129999999999999</v>
          </cell>
          <cell r="M286">
            <v>1.1716</v>
          </cell>
          <cell r="N286">
            <v>0</v>
          </cell>
          <cell r="O286">
            <v>5.4539999999999998E-2</v>
          </cell>
          <cell r="P286">
            <v>0</v>
          </cell>
          <cell r="Q286">
            <v>8.0799999999999997E-2</v>
          </cell>
          <cell r="R286">
            <v>0</v>
          </cell>
          <cell r="S286">
            <v>0</v>
          </cell>
          <cell r="T286">
            <v>5.05</v>
          </cell>
          <cell r="U286">
            <v>0</v>
          </cell>
          <cell r="V286">
            <v>0</v>
          </cell>
          <cell r="W286">
            <v>0</v>
          </cell>
          <cell r="X286">
            <v>4.6460000000000001E-2</v>
          </cell>
          <cell r="Y286">
            <v>0</v>
          </cell>
          <cell r="Z286">
            <v>0</v>
          </cell>
          <cell r="AA286">
            <v>0</v>
          </cell>
          <cell r="AB286">
            <v>5.7249999999999998E-4</v>
          </cell>
        </row>
        <row r="287">
          <cell r="A287">
            <v>13160160</v>
          </cell>
          <cell r="B287" t="str">
            <v>Fat free ice cream, no sugar added, flavors other than chocolate</v>
          </cell>
          <cell r="I287">
            <v>101</v>
          </cell>
          <cell r="J287">
            <v>139.38</v>
          </cell>
          <cell r="K287">
            <v>1.38</v>
          </cell>
          <cell r="L287">
            <v>0</v>
          </cell>
          <cell r="M287">
            <v>0</v>
          </cell>
          <cell r="N287">
            <v>0</v>
          </cell>
          <cell r="O287">
            <v>0.15049000000000001</v>
          </cell>
          <cell r="P287">
            <v>1.01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9.7970000000000002E-2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</row>
        <row r="288">
          <cell r="A288">
            <v>13160400</v>
          </cell>
          <cell r="B288" t="str">
            <v>Fat free ice cream, flavors other than chocolate</v>
          </cell>
          <cell r="I288">
            <v>101</v>
          </cell>
          <cell r="J288">
            <v>139.38</v>
          </cell>
          <cell r="K288">
            <v>1.38</v>
          </cell>
          <cell r="L288">
            <v>0</v>
          </cell>
          <cell r="M288">
            <v>0</v>
          </cell>
          <cell r="N288">
            <v>0</v>
          </cell>
          <cell r="O288">
            <v>0.15049000000000001</v>
          </cell>
          <cell r="P288">
            <v>1.01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9.7970000000000002E-2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</row>
        <row r="289">
          <cell r="A289">
            <v>13160410</v>
          </cell>
          <cell r="B289" t="str">
            <v>Fat free ice cream, chocolate</v>
          </cell>
          <cell r="I289">
            <v>101</v>
          </cell>
          <cell r="J289">
            <v>168.67</v>
          </cell>
          <cell r="K289">
            <v>1.67</v>
          </cell>
          <cell r="L289">
            <v>0</v>
          </cell>
          <cell r="M289">
            <v>0.60297000000000001</v>
          </cell>
          <cell r="N289">
            <v>0</v>
          </cell>
          <cell r="O289">
            <v>0.15554000000000001</v>
          </cell>
          <cell r="P289">
            <v>0</v>
          </cell>
          <cell r="Q289">
            <v>3.0300000000000001E-2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9.7970000000000002E-2</v>
          </cell>
          <cell r="Y289">
            <v>0</v>
          </cell>
          <cell r="Z289">
            <v>0</v>
          </cell>
          <cell r="AA289">
            <v>0</v>
          </cell>
          <cell r="AB289">
            <v>4.5966600000000003E-2</v>
          </cell>
        </row>
        <row r="290">
          <cell r="A290">
            <v>13161000</v>
          </cell>
          <cell r="B290" t="str">
            <v>Milk dessert bar, frozen, made from lowfat milk</v>
          </cell>
          <cell r="I290">
            <v>101</v>
          </cell>
          <cell r="J290">
            <v>148.47</v>
          </cell>
          <cell r="K290">
            <v>1.47</v>
          </cell>
          <cell r="L290">
            <v>0</v>
          </cell>
          <cell r="M290">
            <v>0.81810000000000005</v>
          </cell>
          <cell r="N290">
            <v>0</v>
          </cell>
          <cell r="O290">
            <v>0.18584000000000001</v>
          </cell>
          <cell r="P290">
            <v>6.6660000000000004</v>
          </cell>
          <cell r="Q290">
            <v>5.2519999999999997E-2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9.2920000000000003E-2</v>
          </cell>
          <cell r="Y290">
            <v>0</v>
          </cell>
          <cell r="Z290">
            <v>0</v>
          </cell>
          <cell r="AA290">
            <v>0</v>
          </cell>
          <cell r="AB290">
            <v>5.6149200000000003E-2</v>
          </cell>
        </row>
        <row r="291">
          <cell r="A291">
            <v>13161500</v>
          </cell>
          <cell r="B291" t="str">
            <v>Milk dessert sandwich bar, frozen, made from lowfat milk</v>
          </cell>
          <cell r="I291">
            <v>101</v>
          </cell>
          <cell r="J291">
            <v>191.12936999999999</v>
          </cell>
          <cell r="K291">
            <v>1.8923699999999999</v>
          </cell>
          <cell r="L291">
            <v>0</v>
          </cell>
          <cell r="M291">
            <v>1.5911348000000001</v>
          </cell>
          <cell r="N291">
            <v>0</v>
          </cell>
          <cell r="O291">
            <v>0.1250703</v>
          </cell>
          <cell r="P291">
            <v>0.94323900000000005</v>
          </cell>
          <cell r="Q291">
            <v>0.37316569999999999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5.4561199999999997E-2</v>
          </cell>
          <cell r="Y291">
            <v>0</v>
          </cell>
          <cell r="Z291">
            <v>0</v>
          </cell>
          <cell r="AA291">
            <v>0</v>
          </cell>
          <cell r="AB291">
            <v>0.13272349999999999</v>
          </cell>
        </row>
        <row r="292">
          <cell r="A292">
            <v>13161600</v>
          </cell>
          <cell r="B292" t="str">
            <v>Milk dessert bar, frozen, made from lowfat milk and low calorie sweetener</v>
          </cell>
          <cell r="I292">
            <v>101</v>
          </cell>
          <cell r="J292">
            <v>125.24</v>
          </cell>
          <cell r="K292">
            <v>1.24</v>
          </cell>
          <cell r="L292">
            <v>0</v>
          </cell>
          <cell r="M292">
            <v>0.99383999999999995</v>
          </cell>
          <cell r="N292">
            <v>0</v>
          </cell>
          <cell r="O292">
            <v>0.23330999999999999</v>
          </cell>
          <cell r="P292">
            <v>1.5149999999999999</v>
          </cell>
          <cell r="Q292">
            <v>0.15049000000000001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9.6960000000000005E-2</v>
          </cell>
          <cell r="Y292">
            <v>0</v>
          </cell>
          <cell r="Z292">
            <v>0</v>
          </cell>
          <cell r="AA292">
            <v>0</v>
          </cell>
          <cell r="AB292">
            <v>3.0300000000000001E-3</v>
          </cell>
        </row>
        <row r="293">
          <cell r="A293">
            <v>13161630</v>
          </cell>
          <cell r="B293" t="str">
            <v>Light ice cream, bar or stick, with low-calorie sweetener, chocolate coated</v>
          </cell>
          <cell r="I293">
            <v>101</v>
          </cell>
          <cell r="J293">
            <v>223.21</v>
          </cell>
          <cell r="K293">
            <v>2.21</v>
          </cell>
          <cell r="L293">
            <v>0</v>
          </cell>
          <cell r="M293">
            <v>5.5832800000000002</v>
          </cell>
          <cell r="N293">
            <v>0</v>
          </cell>
          <cell r="O293">
            <v>0.22422</v>
          </cell>
          <cell r="P293">
            <v>0.80800000000000005</v>
          </cell>
          <cell r="Q293">
            <v>1.37259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0.10503999999999999</v>
          </cell>
          <cell r="Y293">
            <v>0</v>
          </cell>
          <cell r="Z293">
            <v>0</v>
          </cell>
          <cell r="AA293">
            <v>0</v>
          </cell>
          <cell r="AB293">
            <v>0.29471579999999997</v>
          </cell>
        </row>
        <row r="294">
          <cell r="A294">
            <v>13200110</v>
          </cell>
          <cell r="B294" t="str">
            <v>Pudding, NFS</v>
          </cell>
          <cell r="I294">
            <v>132</v>
          </cell>
          <cell r="J294">
            <v>187.44</v>
          </cell>
          <cell r="K294">
            <v>1.42</v>
          </cell>
          <cell r="L294">
            <v>0</v>
          </cell>
          <cell r="M294">
            <v>1.66716</v>
          </cell>
          <cell r="N294">
            <v>0</v>
          </cell>
          <cell r="O294">
            <v>6.7320000000000005E-2</v>
          </cell>
          <cell r="P294">
            <v>0</v>
          </cell>
          <cell r="Q294">
            <v>0.1386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0.20064000000000001</v>
          </cell>
          <cell r="Y294">
            <v>0</v>
          </cell>
          <cell r="Z294">
            <v>0</v>
          </cell>
          <cell r="AA294">
            <v>0</v>
          </cell>
          <cell r="AB294">
            <v>0.31869950000000002</v>
          </cell>
        </row>
        <row r="295">
          <cell r="A295">
            <v>13210110</v>
          </cell>
          <cell r="B295" t="str">
            <v>Pudding, bread</v>
          </cell>
          <cell r="I295">
            <v>100</v>
          </cell>
          <cell r="J295">
            <v>139.48438999999999</v>
          </cell>
          <cell r="K295">
            <v>1.3948438999999999</v>
          </cell>
          <cell r="L295">
            <v>0.32307409999999998</v>
          </cell>
          <cell r="M295">
            <v>1.4945583</v>
          </cell>
          <cell r="N295">
            <v>0</v>
          </cell>
          <cell r="O295">
            <v>0.1073593</v>
          </cell>
          <cell r="P295">
            <v>0.55803590000000003</v>
          </cell>
          <cell r="Q295">
            <v>0.92510170000000003</v>
          </cell>
          <cell r="R295">
            <v>0</v>
          </cell>
          <cell r="S295">
            <v>0</v>
          </cell>
          <cell r="T295">
            <v>8.7317310999999993</v>
          </cell>
          <cell r="U295">
            <v>0</v>
          </cell>
          <cell r="V295">
            <v>0</v>
          </cell>
          <cell r="W295">
            <v>0</v>
          </cell>
          <cell r="X295">
            <v>0.19447110000000001</v>
          </cell>
          <cell r="Y295">
            <v>0</v>
          </cell>
          <cell r="Z295">
            <v>0</v>
          </cell>
          <cell r="AA295">
            <v>0</v>
          </cell>
          <cell r="AB295">
            <v>0.28113880000000002</v>
          </cell>
        </row>
        <row r="296">
          <cell r="A296">
            <v>13210180</v>
          </cell>
          <cell r="B296" t="str">
            <v>Pudding, Mexican bread</v>
          </cell>
          <cell r="I296">
            <v>102</v>
          </cell>
          <cell r="J296">
            <v>285.97593000000001</v>
          </cell>
          <cell r="K296">
            <v>2.803685588235294</v>
          </cell>
          <cell r="L296">
            <v>0.27368049999999999</v>
          </cell>
          <cell r="M296">
            <v>4.3698259999999998</v>
          </cell>
          <cell r="N296">
            <v>0</v>
          </cell>
          <cell r="O296">
            <v>8.3832400000000001E-2</v>
          </cell>
          <cell r="P296">
            <v>1.0973541</v>
          </cell>
          <cell r="Q296">
            <v>1.3842047</v>
          </cell>
          <cell r="R296">
            <v>0</v>
          </cell>
          <cell r="S296">
            <v>0</v>
          </cell>
          <cell r="T296">
            <v>13.978662</v>
          </cell>
          <cell r="U296">
            <v>0</v>
          </cell>
          <cell r="V296">
            <v>0</v>
          </cell>
          <cell r="W296">
            <v>0</v>
          </cell>
          <cell r="X296">
            <v>0.24920990000000001</v>
          </cell>
          <cell r="Y296">
            <v>3.8290419999999998</v>
          </cell>
          <cell r="Z296">
            <v>0</v>
          </cell>
          <cell r="AA296">
            <v>0</v>
          </cell>
          <cell r="AB296">
            <v>0.96185330000000002</v>
          </cell>
        </row>
        <row r="297">
          <cell r="A297">
            <v>13210220</v>
          </cell>
          <cell r="B297" t="str">
            <v>Pudding, chocolate, NS as to from dry mix or ready-to-eat</v>
          </cell>
          <cell r="I297">
            <v>130.5</v>
          </cell>
          <cell r="J297">
            <v>185.31</v>
          </cell>
          <cell r="K297">
            <v>1.42</v>
          </cell>
          <cell r="L297">
            <v>0</v>
          </cell>
          <cell r="M297">
            <v>1.648215</v>
          </cell>
          <cell r="N297">
            <v>0</v>
          </cell>
          <cell r="O297">
            <v>6.6555000000000003E-2</v>
          </cell>
          <cell r="P297">
            <v>0</v>
          </cell>
          <cell r="Q297">
            <v>0.13702500000000001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0.19836000000000001</v>
          </cell>
          <cell r="Y297">
            <v>0</v>
          </cell>
          <cell r="Z297">
            <v>0</v>
          </cell>
          <cell r="AA297">
            <v>0</v>
          </cell>
          <cell r="AB297">
            <v>0.35114519999999999</v>
          </cell>
        </row>
        <row r="298">
          <cell r="A298">
            <v>13210250</v>
          </cell>
          <cell r="B298" t="str">
            <v>Pudding, chocolate, low calorie, containing artificial sweetener, NS as to from dry mix or ready-to-eat</v>
          </cell>
          <cell r="I298">
            <v>130</v>
          </cell>
          <cell r="J298">
            <v>120.9</v>
          </cell>
          <cell r="K298">
            <v>0.93</v>
          </cell>
          <cell r="L298">
            <v>0</v>
          </cell>
          <cell r="M298">
            <v>0</v>
          </cell>
          <cell r="N298">
            <v>0</v>
          </cell>
          <cell r="O298">
            <v>5.0700000000000002E-2</v>
          </cell>
          <cell r="P298">
            <v>0.39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0.20019999999999999</v>
          </cell>
          <cell r="Y298">
            <v>0</v>
          </cell>
          <cell r="Z298">
            <v>0</v>
          </cell>
          <cell r="AA298">
            <v>0</v>
          </cell>
          <cell r="AB298">
            <v>7.3206800000000002E-2</v>
          </cell>
        </row>
        <row r="299">
          <cell r="A299">
            <v>13210270</v>
          </cell>
          <cell r="B299" t="str">
            <v>Custard, Puerto Rican style</v>
          </cell>
          <cell r="I299">
            <v>121.5</v>
          </cell>
          <cell r="J299">
            <v>163.55981</v>
          </cell>
          <cell r="K299">
            <v>1.3461712757201647</v>
          </cell>
          <cell r="L299">
            <v>0</v>
          </cell>
          <cell r="M299">
            <v>2.2746721999999999</v>
          </cell>
          <cell r="N299">
            <v>0</v>
          </cell>
          <cell r="O299">
            <v>0.1214683</v>
          </cell>
          <cell r="P299">
            <v>1.96437E-2</v>
          </cell>
          <cell r="Q299">
            <v>0.61063480000000003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4.5849000000000001E-2</v>
          </cell>
          <cell r="Y299">
            <v>0</v>
          </cell>
          <cell r="Z299">
            <v>0</v>
          </cell>
          <cell r="AA299">
            <v>0</v>
          </cell>
          <cell r="AB299">
            <v>0.1183898</v>
          </cell>
        </row>
        <row r="300">
          <cell r="A300">
            <v>13210280</v>
          </cell>
          <cell r="B300" t="str">
            <v>Pudding, flavors other than chocolate, NS as to from dry mix or ready-to-eat</v>
          </cell>
          <cell r="I300">
            <v>130.5</v>
          </cell>
          <cell r="J300">
            <v>169.65</v>
          </cell>
          <cell r="K300">
            <v>1.3</v>
          </cell>
          <cell r="L300">
            <v>0</v>
          </cell>
          <cell r="M300">
            <v>1.3258799999999999</v>
          </cell>
          <cell r="N300">
            <v>0</v>
          </cell>
          <cell r="O300">
            <v>6.3945000000000002E-2</v>
          </cell>
          <cell r="P300">
            <v>0</v>
          </cell>
          <cell r="Q300">
            <v>0.113535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0.18531</v>
          </cell>
          <cell r="Y300">
            <v>0</v>
          </cell>
          <cell r="Z300">
            <v>0</v>
          </cell>
          <cell r="AA300">
            <v>0</v>
          </cell>
          <cell r="AB300">
            <v>0.2189227</v>
          </cell>
        </row>
        <row r="301">
          <cell r="A301">
            <v>13210290</v>
          </cell>
          <cell r="B301" t="str">
            <v>Pudding, flavors other than chocolate, low calorie, containing artificial sweetener, NS as to from dry mix or ready-to-eat</v>
          </cell>
          <cell r="I301">
            <v>130</v>
          </cell>
          <cell r="J301">
            <v>115.7</v>
          </cell>
          <cell r="K301">
            <v>0.89</v>
          </cell>
          <cell r="L301">
            <v>0</v>
          </cell>
          <cell r="M301">
            <v>0</v>
          </cell>
          <cell r="N301">
            <v>0</v>
          </cell>
          <cell r="O301">
            <v>5.1999999999999998E-2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0.24829999999999999</v>
          </cell>
          <cell r="Y301">
            <v>0</v>
          </cell>
          <cell r="Z301">
            <v>0</v>
          </cell>
          <cell r="AA301">
            <v>0</v>
          </cell>
          <cell r="AB301">
            <v>2.39229E-2</v>
          </cell>
        </row>
        <row r="302">
          <cell r="A302">
            <v>13210300</v>
          </cell>
          <cell r="B302" t="str">
            <v>Custard</v>
          </cell>
          <cell r="I302">
            <v>122</v>
          </cell>
          <cell r="J302">
            <v>104.21035999999999</v>
          </cell>
          <cell r="K302">
            <v>0.85418327868852451</v>
          </cell>
          <cell r="L302">
            <v>0</v>
          </cell>
          <cell r="M302">
            <v>1.7773288</v>
          </cell>
          <cell r="N302">
            <v>0</v>
          </cell>
          <cell r="O302">
            <v>0.1236029</v>
          </cell>
          <cell r="P302">
            <v>0</v>
          </cell>
          <cell r="Q302">
            <v>0.46815329999999999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0.1001469</v>
          </cell>
          <cell r="Y302">
            <v>0</v>
          </cell>
          <cell r="Z302">
            <v>0</v>
          </cell>
          <cell r="AA302">
            <v>0</v>
          </cell>
          <cell r="AB302">
            <v>0.1112703</v>
          </cell>
        </row>
        <row r="303">
          <cell r="A303">
            <v>13210350</v>
          </cell>
          <cell r="B303" t="str">
            <v>Flan</v>
          </cell>
          <cell r="I303">
            <v>133</v>
          </cell>
          <cell r="J303">
            <v>211.46852000000001</v>
          </cell>
          <cell r="K303">
            <v>1.5899888721804512</v>
          </cell>
          <cell r="L303">
            <v>0</v>
          </cell>
          <cell r="M303">
            <v>2.6355472999999998</v>
          </cell>
          <cell r="N303">
            <v>0</v>
          </cell>
          <cell r="O303">
            <v>0.1152624</v>
          </cell>
          <cell r="P303">
            <v>0</v>
          </cell>
          <cell r="Q303">
            <v>0.65653099999999998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0.1978501</v>
          </cell>
          <cell r="Y303">
            <v>0</v>
          </cell>
          <cell r="Z303">
            <v>0</v>
          </cell>
          <cell r="AA303">
            <v>0</v>
          </cell>
          <cell r="AB303">
            <v>0.16311129999999999</v>
          </cell>
        </row>
        <row r="304">
          <cell r="A304">
            <v>13210410</v>
          </cell>
          <cell r="B304" t="str">
            <v>Pudding, rice</v>
          </cell>
          <cell r="I304">
            <v>112.5</v>
          </cell>
          <cell r="J304">
            <v>121.5</v>
          </cell>
          <cell r="K304">
            <v>1.08</v>
          </cell>
          <cell r="L304">
            <v>6.7038500000000001E-2</v>
          </cell>
          <cell r="M304">
            <v>1.359</v>
          </cell>
          <cell r="N304">
            <v>0</v>
          </cell>
          <cell r="O304">
            <v>0.106875</v>
          </cell>
          <cell r="P304">
            <v>0.27046150000000002</v>
          </cell>
          <cell r="Q304">
            <v>0.145125</v>
          </cell>
          <cell r="R304">
            <v>0</v>
          </cell>
          <cell r="S304">
            <v>0</v>
          </cell>
          <cell r="T304">
            <v>11.418749999999999</v>
          </cell>
          <cell r="U304">
            <v>0</v>
          </cell>
          <cell r="V304">
            <v>0</v>
          </cell>
          <cell r="W304">
            <v>0</v>
          </cell>
          <cell r="X304">
            <v>0.109125</v>
          </cell>
          <cell r="Y304">
            <v>0</v>
          </cell>
          <cell r="Z304">
            <v>0</v>
          </cell>
          <cell r="AA304">
            <v>0</v>
          </cell>
          <cell r="AB304">
            <v>6.0749999999999998E-2</v>
          </cell>
        </row>
        <row r="305">
          <cell r="A305">
            <v>13210500</v>
          </cell>
          <cell r="B305" t="str">
            <v>Pudding, tapioca, made from home recipe, made with milk</v>
          </cell>
          <cell r="I305">
            <v>102.5</v>
          </cell>
          <cell r="J305">
            <v>106.14766</v>
          </cell>
          <cell r="K305">
            <v>1.0355869268292683</v>
          </cell>
          <cell r="L305">
            <v>3.5560000000000002E-18</v>
          </cell>
          <cell r="M305">
            <v>1.3868739999999999</v>
          </cell>
          <cell r="N305">
            <v>0</v>
          </cell>
          <cell r="O305">
            <v>9.6975199999999998E-2</v>
          </cell>
          <cell r="P305">
            <v>1.94667E-2</v>
          </cell>
          <cell r="Q305">
            <v>0.36534280000000002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0.1429426</v>
          </cell>
          <cell r="Y305">
            <v>0</v>
          </cell>
          <cell r="Z305">
            <v>0</v>
          </cell>
          <cell r="AA305">
            <v>0</v>
          </cell>
          <cell r="AB305">
            <v>7.3739499999999999E-2</v>
          </cell>
        </row>
        <row r="306">
          <cell r="A306">
            <v>13210520</v>
          </cell>
          <cell r="B306" t="str">
            <v>Pudding, tapioca, made from dry mix, made with milk</v>
          </cell>
          <cell r="I306">
            <v>82.5</v>
          </cell>
          <cell r="J306">
            <v>79.779781</v>
          </cell>
          <cell r="K306">
            <v>0.96702764848484846</v>
          </cell>
          <cell r="L306">
            <v>2.8619999999999999E-18</v>
          </cell>
          <cell r="M306">
            <v>0.86201170000000005</v>
          </cell>
          <cell r="N306">
            <v>0</v>
          </cell>
          <cell r="O306">
            <v>8.3590100000000001E-2</v>
          </cell>
          <cell r="P306">
            <v>1.8391899999999999E-2</v>
          </cell>
          <cell r="Q306">
            <v>7.1121400000000001E-2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0.1146866</v>
          </cell>
          <cell r="Y306">
            <v>0</v>
          </cell>
          <cell r="Z306">
            <v>0</v>
          </cell>
          <cell r="AA306">
            <v>0</v>
          </cell>
          <cell r="AB306">
            <v>5.5652899999999998E-2</v>
          </cell>
        </row>
        <row r="307">
          <cell r="A307">
            <v>13210610</v>
          </cell>
          <cell r="B307" t="str">
            <v>Pudding, coconut</v>
          </cell>
          <cell r="I307">
            <v>127.5</v>
          </cell>
          <cell r="J307">
            <v>139.95106000000001</v>
          </cell>
          <cell r="K307">
            <v>1.0976553725490197</v>
          </cell>
          <cell r="L307">
            <v>0</v>
          </cell>
          <cell r="M307">
            <v>3.4163939999999999</v>
          </cell>
          <cell r="N307">
            <v>0</v>
          </cell>
          <cell r="O307">
            <v>0.1288299</v>
          </cell>
          <cell r="P307">
            <v>0.58849530000000005</v>
          </cell>
          <cell r="Q307">
            <v>0.1001512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0.2262749</v>
          </cell>
          <cell r="Y307">
            <v>0</v>
          </cell>
          <cell r="Z307">
            <v>0</v>
          </cell>
          <cell r="AA307">
            <v>0</v>
          </cell>
          <cell r="AB307">
            <v>6.5546199999999999E-2</v>
          </cell>
        </row>
        <row r="308">
          <cell r="A308">
            <v>13210810</v>
          </cell>
          <cell r="B308" t="str">
            <v>Pumpkin pudding, Puerto Rican style</v>
          </cell>
          <cell r="I308">
            <v>131</v>
          </cell>
          <cell r="J308">
            <v>133.78953000000001</v>
          </cell>
          <cell r="K308">
            <v>1.0212941221374048</v>
          </cell>
          <cell r="L308">
            <v>0.4097517</v>
          </cell>
          <cell r="M308">
            <v>1.3419407000000001</v>
          </cell>
          <cell r="N308">
            <v>0</v>
          </cell>
          <cell r="O308">
            <v>4.3374799999999998E-2</v>
          </cell>
          <cell r="P308">
            <v>0.23411480000000001</v>
          </cell>
          <cell r="Q308">
            <v>1.2968298</v>
          </cell>
          <cell r="R308">
            <v>0</v>
          </cell>
          <cell r="S308">
            <v>0</v>
          </cell>
          <cell r="T308">
            <v>0</v>
          </cell>
          <cell r="U308">
            <v>81.950331000000006</v>
          </cell>
          <cell r="V308">
            <v>0</v>
          </cell>
          <cell r="W308">
            <v>0</v>
          </cell>
          <cell r="X308">
            <v>0.3608094</v>
          </cell>
          <cell r="Y308">
            <v>0</v>
          </cell>
          <cell r="Z308">
            <v>0</v>
          </cell>
          <cell r="AA308">
            <v>0</v>
          </cell>
          <cell r="AB308">
            <v>0.55588389999999999</v>
          </cell>
        </row>
        <row r="309">
          <cell r="A309">
            <v>13210820</v>
          </cell>
          <cell r="B309" t="str">
            <v>Fresh corn custard, Puerto Rican style (Mazamorra, Mundo Nuevo)</v>
          </cell>
          <cell r="I309">
            <v>140</v>
          </cell>
          <cell r="J309">
            <v>306.66106000000002</v>
          </cell>
          <cell r="K309">
            <v>2.1904361428571431</v>
          </cell>
          <cell r="L309">
            <v>0</v>
          </cell>
          <cell r="M309">
            <v>16.710346999999999</v>
          </cell>
          <cell r="N309">
            <v>0</v>
          </cell>
          <cell r="O309">
            <v>1.50686E-2</v>
          </cell>
          <cell r="P309">
            <v>2.5076296999999999</v>
          </cell>
          <cell r="Q309">
            <v>0.38406000000000001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0.49274000000000001</v>
          </cell>
          <cell r="Y309">
            <v>0</v>
          </cell>
          <cell r="Z309">
            <v>0</v>
          </cell>
          <cell r="AA309">
            <v>0</v>
          </cell>
          <cell r="AB309">
            <v>0.63851069999999999</v>
          </cell>
        </row>
        <row r="310">
          <cell r="A310">
            <v>13220110</v>
          </cell>
          <cell r="B310" t="str">
            <v>Pudding, flavors other than chocolate, prepared from dry mix, milk added</v>
          </cell>
          <cell r="I310">
            <v>132</v>
          </cell>
          <cell r="J310">
            <v>136.41227000000001</v>
          </cell>
          <cell r="K310">
            <v>1.0334262878787879</v>
          </cell>
          <cell r="L310">
            <v>9.1590000000000003E-18</v>
          </cell>
          <cell r="M310">
            <v>1.4218538000000001</v>
          </cell>
          <cell r="N310">
            <v>0</v>
          </cell>
          <cell r="O310">
            <v>0.1332498</v>
          </cell>
          <cell r="P310">
            <v>5.9927800000000003E-2</v>
          </cell>
          <cell r="Q310">
            <v>0.1305847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0.27468039999999999</v>
          </cell>
          <cell r="Y310">
            <v>0</v>
          </cell>
          <cell r="Z310">
            <v>0</v>
          </cell>
          <cell r="AA310">
            <v>0</v>
          </cell>
          <cell r="AB310">
            <v>9.56037E-2</v>
          </cell>
        </row>
        <row r="311">
          <cell r="A311">
            <v>13220120</v>
          </cell>
          <cell r="B311" t="str">
            <v>Pudding, chocolate, prepared from dry mix, milk added</v>
          </cell>
          <cell r="I311">
            <v>130.5</v>
          </cell>
          <cell r="J311">
            <v>136.47196</v>
          </cell>
          <cell r="K311">
            <v>1.0457621455938697</v>
          </cell>
          <cell r="L311">
            <v>0</v>
          </cell>
          <cell r="M311">
            <v>1.5627679000000001</v>
          </cell>
          <cell r="N311">
            <v>0</v>
          </cell>
          <cell r="O311">
            <v>0.13584460000000001</v>
          </cell>
          <cell r="P311">
            <v>0.89137949999999999</v>
          </cell>
          <cell r="Q311">
            <v>0.1571514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0.2959271</v>
          </cell>
          <cell r="Y311">
            <v>0</v>
          </cell>
          <cell r="Z311">
            <v>0</v>
          </cell>
          <cell r="AA311">
            <v>0</v>
          </cell>
          <cell r="AB311">
            <v>0.1008637</v>
          </cell>
        </row>
        <row r="312">
          <cell r="A312">
            <v>13220210</v>
          </cell>
          <cell r="B312" t="str">
            <v>Pudding, flavors other than chocolate, prepared from dry mix, low calorie, containing artificial sweetener, milk added</v>
          </cell>
          <cell r="I312">
            <v>125</v>
          </cell>
          <cell r="J312">
            <v>86.471731000000005</v>
          </cell>
          <cell r="K312">
            <v>0.69177384800000008</v>
          </cell>
          <cell r="L312">
            <v>0</v>
          </cell>
          <cell r="M312">
            <v>1.4492733</v>
          </cell>
          <cell r="N312">
            <v>0</v>
          </cell>
          <cell r="O312">
            <v>0.146535</v>
          </cell>
          <cell r="P312">
            <v>6.5384600000000001E-2</v>
          </cell>
          <cell r="Q312">
            <v>0.13769120000000001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0.26436419999999999</v>
          </cell>
          <cell r="Y312">
            <v>0</v>
          </cell>
          <cell r="Z312">
            <v>0</v>
          </cell>
          <cell r="AA312">
            <v>0</v>
          </cell>
          <cell r="AB312">
            <v>7.0030999999999996E-2</v>
          </cell>
        </row>
        <row r="313">
          <cell r="A313">
            <v>13220220</v>
          </cell>
          <cell r="B313" t="str">
            <v>Pudding, chocolate, prepared from dry mix, low calorie, containing artificial sweetener, milk added</v>
          </cell>
          <cell r="I313">
            <v>125</v>
          </cell>
          <cell r="J313">
            <v>92.746780000000001</v>
          </cell>
          <cell r="K313">
            <v>0.74197424000000001</v>
          </cell>
          <cell r="L313">
            <v>0</v>
          </cell>
          <cell r="M313">
            <v>1.5441895999999999</v>
          </cell>
          <cell r="N313">
            <v>0</v>
          </cell>
          <cell r="O313">
            <v>0.14537539999999999</v>
          </cell>
          <cell r="P313">
            <v>0.76704550000000005</v>
          </cell>
          <cell r="Q313">
            <v>0.12966739999999999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0.34331329999999999</v>
          </cell>
          <cell r="Y313">
            <v>0</v>
          </cell>
          <cell r="Z313">
            <v>0</v>
          </cell>
          <cell r="AA313">
            <v>0</v>
          </cell>
          <cell r="AB313">
            <v>8.4728100000000001E-2</v>
          </cell>
        </row>
        <row r="314">
          <cell r="A314">
            <v>13220235</v>
          </cell>
          <cell r="B314" t="str">
            <v>Pudding, ready-to-eat, chocolate, fat free</v>
          </cell>
          <cell r="I314">
            <v>130.5</v>
          </cell>
          <cell r="J314">
            <v>121.36499999999999</v>
          </cell>
          <cell r="K314">
            <v>0.92999999999999994</v>
          </cell>
          <cell r="L314">
            <v>0</v>
          </cell>
          <cell r="M314">
            <v>0</v>
          </cell>
          <cell r="N314">
            <v>0</v>
          </cell>
          <cell r="O314">
            <v>5.0895000000000003E-2</v>
          </cell>
          <cell r="P314">
            <v>0.39150000000000001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0.20097000000000001</v>
          </cell>
          <cell r="Y314">
            <v>0</v>
          </cell>
          <cell r="Z314">
            <v>0</v>
          </cell>
          <cell r="AA314">
            <v>0</v>
          </cell>
          <cell r="AB314">
            <v>4.9532300000000001E-2</v>
          </cell>
        </row>
        <row r="315">
          <cell r="A315">
            <v>13230110</v>
          </cell>
          <cell r="B315" t="str">
            <v>Pudding, ready-to-eat, flavors other than chocolate</v>
          </cell>
          <cell r="I315">
            <v>130.5</v>
          </cell>
          <cell r="J315">
            <v>169.65</v>
          </cell>
          <cell r="K315">
            <v>1.3</v>
          </cell>
          <cell r="L315">
            <v>0</v>
          </cell>
          <cell r="M315">
            <v>1.3258799999999999</v>
          </cell>
          <cell r="N315">
            <v>0</v>
          </cell>
          <cell r="O315">
            <v>6.3945000000000002E-2</v>
          </cell>
          <cell r="P315">
            <v>0</v>
          </cell>
          <cell r="Q315">
            <v>0.113535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0.18531</v>
          </cell>
          <cell r="Y315">
            <v>0</v>
          </cell>
          <cell r="Z315">
            <v>0</v>
          </cell>
          <cell r="AA315">
            <v>0</v>
          </cell>
          <cell r="AB315">
            <v>0.42283159999999997</v>
          </cell>
        </row>
        <row r="316">
          <cell r="A316">
            <v>13230120</v>
          </cell>
          <cell r="B316" t="str">
            <v>Pudding, ready-to-eat, low calorie, containing artificial sweetener, flavors other than chocolate</v>
          </cell>
          <cell r="I316">
            <v>125</v>
          </cell>
          <cell r="J316">
            <v>111.25</v>
          </cell>
          <cell r="K316">
            <v>0.89</v>
          </cell>
          <cell r="L316">
            <v>0</v>
          </cell>
          <cell r="M316">
            <v>0</v>
          </cell>
          <cell r="N316">
            <v>0</v>
          </cell>
          <cell r="O316">
            <v>0.05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0.23874999999999999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A317">
            <v>13230130</v>
          </cell>
          <cell r="B317" t="str">
            <v>Pudding, ready-to-eat, chocolate</v>
          </cell>
          <cell r="I317">
            <v>130.5</v>
          </cell>
          <cell r="J317">
            <v>185.31</v>
          </cell>
          <cell r="K317">
            <v>1.42</v>
          </cell>
          <cell r="L317">
            <v>0</v>
          </cell>
          <cell r="M317">
            <v>1.648215</v>
          </cell>
          <cell r="N317">
            <v>0</v>
          </cell>
          <cell r="O317">
            <v>6.6555000000000003E-2</v>
          </cell>
          <cell r="P317">
            <v>0</v>
          </cell>
          <cell r="Q317">
            <v>0.13702500000000001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0.19836000000000001</v>
          </cell>
          <cell r="Y317">
            <v>0</v>
          </cell>
          <cell r="Z317">
            <v>0</v>
          </cell>
          <cell r="AA317">
            <v>0</v>
          </cell>
          <cell r="AB317">
            <v>0.51485519999999996</v>
          </cell>
        </row>
        <row r="318">
          <cell r="A318">
            <v>13230140</v>
          </cell>
          <cell r="B318" t="str">
            <v>Pudding, ready-to-eat, low calorie, containing artificial sweetener, chocolate</v>
          </cell>
          <cell r="I318">
            <v>125</v>
          </cell>
          <cell r="J318">
            <v>116.25</v>
          </cell>
          <cell r="K318">
            <v>0.93</v>
          </cell>
          <cell r="L318">
            <v>0</v>
          </cell>
          <cell r="M318">
            <v>0</v>
          </cell>
          <cell r="N318">
            <v>0</v>
          </cell>
          <cell r="O318">
            <v>4.8750000000000002E-2</v>
          </cell>
          <cell r="P318">
            <v>0.375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0.1925</v>
          </cell>
          <cell r="Y318">
            <v>0</v>
          </cell>
          <cell r="Z318">
            <v>0</v>
          </cell>
          <cell r="AA318">
            <v>0</v>
          </cell>
          <cell r="AB318">
            <v>5.8575599999999999E-2</v>
          </cell>
        </row>
        <row r="319">
          <cell r="A319">
            <v>13230200</v>
          </cell>
          <cell r="B319" t="str">
            <v>Pudding, ready-to-eat, chocolate and non-chocolate flavors combined</v>
          </cell>
          <cell r="I319">
            <v>133.5</v>
          </cell>
          <cell r="J319">
            <v>181.56</v>
          </cell>
          <cell r="K319">
            <v>1.36</v>
          </cell>
          <cell r="L319">
            <v>0</v>
          </cell>
          <cell r="M319">
            <v>1.5212325</v>
          </cell>
          <cell r="N319">
            <v>0</v>
          </cell>
          <cell r="O319">
            <v>6.6750000000000004E-2</v>
          </cell>
          <cell r="P319">
            <v>0</v>
          </cell>
          <cell r="Q319">
            <v>0.12816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0.196245</v>
          </cell>
          <cell r="Y319">
            <v>0</v>
          </cell>
          <cell r="Z319">
            <v>0</v>
          </cell>
          <cell r="AA319">
            <v>0</v>
          </cell>
          <cell r="AB319">
            <v>0.48584359999999999</v>
          </cell>
        </row>
        <row r="320">
          <cell r="A320">
            <v>13230500</v>
          </cell>
          <cell r="B320" t="str">
            <v>Pudding, ready-to-eat, tapioca</v>
          </cell>
          <cell r="I320">
            <v>127.5</v>
          </cell>
          <cell r="J320">
            <v>165.75</v>
          </cell>
          <cell r="K320">
            <v>1.3</v>
          </cell>
          <cell r="L320">
            <v>0</v>
          </cell>
          <cell r="M320">
            <v>1.22655</v>
          </cell>
          <cell r="N320">
            <v>0</v>
          </cell>
          <cell r="O320">
            <v>9.0524999999999994E-2</v>
          </cell>
          <cell r="P320">
            <v>0</v>
          </cell>
          <cell r="Q320">
            <v>9.1800000000000007E-2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0.18487500000000001</v>
          </cell>
          <cell r="Y320">
            <v>0</v>
          </cell>
          <cell r="Z320">
            <v>0</v>
          </cell>
          <cell r="AA320">
            <v>0</v>
          </cell>
          <cell r="AB320">
            <v>0.4634373</v>
          </cell>
        </row>
        <row r="321">
          <cell r="A321">
            <v>13230510</v>
          </cell>
          <cell r="B321" t="str">
            <v>Pudding, ready-to-eat, tapioca, fat free</v>
          </cell>
          <cell r="I321">
            <v>127.5</v>
          </cell>
          <cell r="J321">
            <v>119.85</v>
          </cell>
          <cell r="K321">
            <v>0.94</v>
          </cell>
          <cell r="L321">
            <v>0</v>
          </cell>
          <cell r="M321">
            <v>0.15554999999999999</v>
          </cell>
          <cell r="N321">
            <v>0</v>
          </cell>
          <cell r="O321">
            <v>6.6299999999999998E-2</v>
          </cell>
          <cell r="P321">
            <v>0</v>
          </cell>
          <cell r="Q321">
            <v>2.5500000000000002E-3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0.238425</v>
          </cell>
          <cell r="Y321">
            <v>0</v>
          </cell>
          <cell r="Z321">
            <v>0</v>
          </cell>
          <cell r="AA321">
            <v>0</v>
          </cell>
          <cell r="AB321">
            <v>3.1328599999999998E-2</v>
          </cell>
        </row>
        <row r="322">
          <cell r="A322">
            <v>13241000</v>
          </cell>
          <cell r="B322" t="str">
            <v>Pudding, with fruit and vanilla wafers</v>
          </cell>
          <cell r="I322">
            <v>93.5</v>
          </cell>
          <cell r="J322">
            <v>139.52163999999999</v>
          </cell>
          <cell r="K322">
            <v>1.4922100534759357</v>
          </cell>
          <cell r="L322">
            <v>0.65655079999999999</v>
          </cell>
          <cell r="M322">
            <v>1.3846647999999999</v>
          </cell>
          <cell r="N322">
            <v>0</v>
          </cell>
          <cell r="O322">
            <v>5.8666299999999998E-2</v>
          </cell>
          <cell r="P322">
            <v>0.22969290000000001</v>
          </cell>
          <cell r="Q322">
            <v>0.62935960000000002</v>
          </cell>
          <cell r="R322">
            <v>0</v>
          </cell>
          <cell r="S322">
            <v>0</v>
          </cell>
          <cell r="T322">
            <v>25.251954999999999</v>
          </cell>
          <cell r="U322">
            <v>0</v>
          </cell>
          <cell r="V322">
            <v>0</v>
          </cell>
          <cell r="W322">
            <v>0</v>
          </cell>
          <cell r="X322">
            <v>0.114874</v>
          </cell>
          <cell r="Y322">
            <v>0</v>
          </cell>
          <cell r="Z322">
            <v>0</v>
          </cell>
          <cell r="AA322">
            <v>0</v>
          </cell>
          <cell r="AB322">
            <v>0.16881750000000001</v>
          </cell>
        </row>
        <row r="323">
          <cell r="A323">
            <v>13250000</v>
          </cell>
          <cell r="B323" t="str">
            <v>Mousse, chocolate</v>
          </cell>
          <cell r="I323">
            <v>85</v>
          </cell>
          <cell r="J323">
            <v>166.20652999999999</v>
          </cell>
          <cell r="K323">
            <v>1.9553709411764704</v>
          </cell>
          <cell r="L323">
            <v>0</v>
          </cell>
          <cell r="M323">
            <v>6.9323793</v>
          </cell>
          <cell r="N323">
            <v>0</v>
          </cell>
          <cell r="O323">
            <v>7.8681200000000007E-2</v>
          </cell>
          <cell r="P323">
            <v>0.4564706</v>
          </cell>
          <cell r="Q323">
            <v>0.68525290000000005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3.0514599999999999E-2</v>
          </cell>
          <cell r="Y323">
            <v>0</v>
          </cell>
          <cell r="Z323">
            <v>0</v>
          </cell>
          <cell r="AA323">
            <v>0</v>
          </cell>
          <cell r="AB323">
            <v>0.55804849999999995</v>
          </cell>
        </row>
        <row r="324">
          <cell r="A324">
            <v>13250100</v>
          </cell>
          <cell r="B324" t="str">
            <v>Mousse, not chocolate</v>
          </cell>
          <cell r="I324">
            <v>85</v>
          </cell>
          <cell r="J324">
            <v>175.39443</v>
          </cell>
          <cell r="K324">
            <v>2.063463882352941</v>
          </cell>
          <cell r="L324">
            <v>0.65055039999999997</v>
          </cell>
          <cell r="M324">
            <v>8.2807867000000002</v>
          </cell>
          <cell r="N324">
            <v>0</v>
          </cell>
          <cell r="O324">
            <v>2.7167199999999999E-2</v>
          </cell>
          <cell r="P324">
            <v>0</v>
          </cell>
          <cell r="Q324">
            <v>0.59682199999999996</v>
          </cell>
          <cell r="R324">
            <v>0</v>
          </cell>
          <cell r="S324">
            <v>0</v>
          </cell>
          <cell r="T324">
            <v>33.055689999999998</v>
          </cell>
          <cell r="U324">
            <v>0</v>
          </cell>
          <cell r="V324">
            <v>0</v>
          </cell>
          <cell r="W324">
            <v>0</v>
          </cell>
          <cell r="X324">
            <v>3.2750599999999998E-2</v>
          </cell>
          <cell r="Y324">
            <v>0</v>
          </cell>
          <cell r="Z324">
            <v>0</v>
          </cell>
          <cell r="AA324">
            <v>0</v>
          </cell>
          <cell r="AB324">
            <v>0.49463869999999999</v>
          </cell>
        </row>
        <row r="325">
          <cell r="A325">
            <v>13250200</v>
          </cell>
          <cell r="B325" t="str">
            <v>Mousse, chocolate, lowfat, reduced calorie, prepared from dry mix, water added</v>
          </cell>
          <cell r="I325">
            <v>108</v>
          </cell>
          <cell r="J325">
            <v>209.56235000000001</v>
          </cell>
          <cell r="K325">
            <v>1.9403921296296298</v>
          </cell>
          <cell r="L325">
            <v>-4.8000000000000001E-16</v>
          </cell>
          <cell r="M325">
            <v>1.4214290000000001</v>
          </cell>
          <cell r="N325">
            <v>0</v>
          </cell>
          <cell r="O325">
            <v>0.2045304</v>
          </cell>
          <cell r="P325">
            <v>3.2281704000000002</v>
          </cell>
          <cell r="Q325">
            <v>1.1276105000000001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8.6449700000000004E-2</v>
          </cell>
          <cell r="Y325">
            <v>0</v>
          </cell>
          <cell r="Z325">
            <v>0</v>
          </cell>
          <cell r="AA325">
            <v>0</v>
          </cell>
          <cell r="AB325">
            <v>0.37758380000000002</v>
          </cell>
        </row>
        <row r="326">
          <cell r="A326">
            <v>13252200</v>
          </cell>
          <cell r="B326" t="str">
            <v>Milk dessert or milk candy, Puerto Rican style</v>
          </cell>
          <cell r="I326">
            <v>155</v>
          </cell>
          <cell r="J326">
            <v>488.25</v>
          </cell>
          <cell r="K326">
            <v>3.15</v>
          </cell>
          <cell r="L326">
            <v>0</v>
          </cell>
          <cell r="M326">
            <v>7.0277000000000003</v>
          </cell>
          <cell r="N326">
            <v>0</v>
          </cell>
          <cell r="O326">
            <v>0.38905000000000001</v>
          </cell>
          <cell r="P326">
            <v>0</v>
          </cell>
          <cell r="Q326">
            <v>0.58125000000000004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0.19994999999999999</v>
          </cell>
          <cell r="Y326">
            <v>0</v>
          </cell>
          <cell r="Z326">
            <v>0</v>
          </cell>
          <cell r="AA326">
            <v>0</v>
          </cell>
          <cell r="AB326">
            <v>0.56420000000000003</v>
          </cell>
        </row>
        <row r="327">
          <cell r="A327">
            <v>13252500</v>
          </cell>
          <cell r="B327" t="str">
            <v>Barfi or Burfi, Indian dessert, made from milk and/or cream and/or Ricotta cheese</v>
          </cell>
          <cell r="I327">
            <v>44</v>
          </cell>
          <cell r="J327">
            <v>100.55432999999999</v>
          </cell>
          <cell r="K327">
            <v>2.2853256818181817</v>
          </cell>
          <cell r="L327">
            <v>2.4420000000000001E-17</v>
          </cell>
          <cell r="M327">
            <v>2.3833728000000001</v>
          </cell>
          <cell r="N327">
            <v>0</v>
          </cell>
          <cell r="O327">
            <v>5.0002900000000003E-2</v>
          </cell>
          <cell r="P327">
            <v>0.12589239999999999</v>
          </cell>
          <cell r="Q327">
            <v>0.30214790000000002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2.2282900000000001E-2</v>
          </cell>
          <cell r="Y327">
            <v>1.2456331</v>
          </cell>
          <cell r="Z327">
            <v>0</v>
          </cell>
          <cell r="AA327">
            <v>0</v>
          </cell>
          <cell r="AB327">
            <v>0.102327</v>
          </cell>
        </row>
        <row r="328">
          <cell r="A328">
            <v>13252600</v>
          </cell>
          <cell r="B328" t="str">
            <v>Tiramisu</v>
          </cell>
          <cell r="I328">
            <v>174</v>
          </cell>
          <cell r="J328">
            <v>616.74197000000004</v>
          </cell>
          <cell r="K328">
            <v>3.5444940804597702</v>
          </cell>
          <cell r="L328">
            <v>0</v>
          </cell>
          <cell r="M328">
            <v>24.630927</v>
          </cell>
          <cell r="N328">
            <v>0</v>
          </cell>
          <cell r="O328">
            <v>0.1156589</v>
          </cell>
          <cell r="P328">
            <v>0.71696729999999997</v>
          </cell>
          <cell r="Q328">
            <v>2.2937075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0.2696229</v>
          </cell>
          <cell r="Y328">
            <v>0</v>
          </cell>
          <cell r="Z328">
            <v>0</v>
          </cell>
          <cell r="AA328">
            <v>0</v>
          </cell>
          <cell r="AB328">
            <v>1.3749376</v>
          </cell>
        </row>
        <row r="329">
          <cell r="A329">
            <v>13411000</v>
          </cell>
          <cell r="B329" t="str">
            <v>White sauce, milk sauce</v>
          </cell>
          <cell r="I329">
            <v>125</v>
          </cell>
          <cell r="J329">
            <v>165.84842</v>
          </cell>
          <cell r="K329">
            <v>1.32678736</v>
          </cell>
          <cell r="L329">
            <v>0</v>
          </cell>
          <cell r="M329">
            <v>3.1689231000000002</v>
          </cell>
          <cell r="N329">
            <v>0</v>
          </cell>
          <cell r="O329">
            <v>0.12650600000000001</v>
          </cell>
          <cell r="P329">
            <v>0.1821567</v>
          </cell>
          <cell r="Q329">
            <v>3.1122545000000001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0.39009339999999998</v>
          </cell>
          <cell r="Y329">
            <v>0</v>
          </cell>
          <cell r="Z329">
            <v>0</v>
          </cell>
          <cell r="AA329">
            <v>0</v>
          </cell>
          <cell r="AB329">
            <v>1.857416</v>
          </cell>
        </row>
        <row r="330">
          <cell r="A330">
            <v>13412000</v>
          </cell>
          <cell r="B330" t="str">
            <v>Milk gravy, quick gravy</v>
          </cell>
          <cell r="I330">
            <v>125</v>
          </cell>
          <cell r="J330">
            <v>153.51039</v>
          </cell>
          <cell r="K330">
            <v>1.22808312</v>
          </cell>
          <cell r="L330">
            <v>0</v>
          </cell>
          <cell r="M330">
            <v>4.6362601000000003</v>
          </cell>
          <cell r="N330">
            <v>0</v>
          </cell>
          <cell r="O330">
            <v>0.1314158</v>
          </cell>
          <cell r="P330">
            <v>0.15164449999999999</v>
          </cell>
          <cell r="Q330">
            <v>1.0604066000000001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0.31364710000000001</v>
          </cell>
          <cell r="Y330">
            <v>0</v>
          </cell>
          <cell r="Z330">
            <v>0</v>
          </cell>
          <cell r="AA330">
            <v>0</v>
          </cell>
          <cell r="AB330">
            <v>0.3394064</v>
          </cell>
        </row>
        <row r="331">
          <cell r="A331">
            <v>14010000</v>
          </cell>
          <cell r="B331" t="str">
            <v>Cheese, NFS</v>
          </cell>
          <cell r="I331">
            <v>30</v>
          </cell>
          <cell r="J331">
            <v>109.56</v>
          </cell>
          <cell r="K331">
            <v>3.6520000000000001</v>
          </cell>
          <cell r="L331">
            <v>0</v>
          </cell>
          <cell r="M331">
            <v>4.9477799999999998</v>
          </cell>
          <cell r="N331">
            <v>0</v>
          </cell>
          <cell r="O331">
            <v>0.2928</v>
          </cell>
          <cell r="P331">
            <v>0</v>
          </cell>
          <cell r="Q331">
            <v>0.37458000000000002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0.27101999999999998</v>
          </cell>
          <cell r="Y331">
            <v>0</v>
          </cell>
          <cell r="Z331">
            <v>0</v>
          </cell>
          <cell r="AA331">
            <v>0</v>
          </cell>
          <cell r="AB331">
            <v>0.2631</v>
          </cell>
        </row>
        <row r="332">
          <cell r="A332">
            <v>14101010</v>
          </cell>
          <cell r="B332" t="str">
            <v>Cheese, Blue or Roquefort</v>
          </cell>
          <cell r="I332">
            <v>30</v>
          </cell>
          <cell r="J332">
            <v>105.9</v>
          </cell>
          <cell r="K332">
            <v>3.5300000000000002</v>
          </cell>
          <cell r="L332">
            <v>0</v>
          </cell>
          <cell r="M332">
            <v>5.6006999999999998</v>
          </cell>
          <cell r="N332">
            <v>0</v>
          </cell>
          <cell r="O332">
            <v>0.15840000000000001</v>
          </cell>
          <cell r="P332">
            <v>0</v>
          </cell>
          <cell r="Q332">
            <v>0.24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0.34379999999999999</v>
          </cell>
          <cell r="Y332">
            <v>0</v>
          </cell>
          <cell r="Z332">
            <v>0</v>
          </cell>
          <cell r="AA332">
            <v>0</v>
          </cell>
          <cell r="AB332">
            <v>0.1850125</v>
          </cell>
        </row>
        <row r="333">
          <cell r="A333">
            <v>14102010</v>
          </cell>
          <cell r="B333" t="str">
            <v>Cheese, Brick</v>
          </cell>
          <cell r="I333">
            <v>30</v>
          </cell>
          <cell r="J333">
            <v>111.3</v>
          </cell>
          <cell r="K333">
            <v>3.71</v>
          </cell>
          <cell r="L333">
            <v>0</v>
          </cell>
          <cell r="M333">
            <v>5.6292</v>
          </cell>
          <cell r="N333">
            <v>0</v>
          </cell>
          <cell r="O333">
            <v>0.20219999999999999</v>
          </cell>
          <cell r="P333">
            <v>0</v>
          </cell>
          <cell r="Q333">
            <v>0.23519999999999999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0.16800000000000001</v>
          </cell>
          <cell r="Y333">
            <v>0</v>
          </cell>
          <cell r="Z333">
            <v>0</v>
          </cell>
          <cell r="AA333">
            <v>0</v>
          </cell>
          <cell r="AB333">
            <v>0.25464049999999999</v>
          </cell>
        </row>
        <row r="334">
          <cell r="A334">
            <v>14103020</v>
          </cell>
          <cell r="B334" t="str">
            <v>Cheese, Brie</v>
          </cell>
          <cell r="I334">
            <v>30</v>
          </cell>
          <cell r="J334">
            <v>100.2</v>
          </cell>
          <cell r="K334">
            <v>3.3400000000000003</v>
          </cell>
          <cell r="L334">
            <v>0</v>
          </cell>
          <cell r="M334">
            <v>5.2229999999999999</v>
          </cell>
          <cell r="N334">
            <v>0</v>
          </cell>
          <cell r="O334">
            <v>5.5199999999999999E-2</v>
          </cell>
          <cell r="P334">
            <v>0</v>
          </cell>
          <cell r="Q334">
            <v>0.24779999999999999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0.18870000000000001</v>
          </cell>
          <cell r="Y334">
            <v>0</v>
          </cell>
          <cell r="Z334">
            <v>0</v>
          </cell>
          <cell r="AA334">
            <v>0</v>
          </cell>
          <cell r="AB334">
            <v>0.14345759999999999</v>
          </cell>
        </row>
        <row r="335">
          <cell r="A335">
            <v>14104100</v>
          </cell>
          <cell r="B335" t="str">
            <v>Cheese, Cheddar</v>
          </cell>
          <cell r="I335">
            <v>30</v>
          </cell>
          <cell r="J335">
            <v>121.2</v>
          </cell>
          <cell r="K335">
            <v>4.04</v>
          </cell>
          <cell r="L335">
            <v>0</v>
          </cell>
          <cell r="M335">
            <v>5.6600999999999999</v>
          </cell>
          <cell r="N335">
            <v>0</v>
          </cell>
          <cell r="O335">
            <v>0.21299999999999999</v>
          </cell>
          <cell r="P335">
            <v>0</v>
          </cell>
          <cell r="Q335">
            <v>0.42630000000000001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0.19589999999999999</v>
          </cell>
          <cell r="Y335">
            <v>0</v>
          </cell>
          <cell r="Z335">
            <v>0</v>
          </cell>
          <cell r="AA335">
            <v>0</v>
          </cell>
          <cell r="AB335">
            <v>0.27510000000000001</v>
          </cell>
        </row>
        <row r="336">
          <cell r="A336">
            <v>14104110</v>
          </cell>
          <cell r="B336" t="str">
            <v>Cheese, Cheddar, reduced fat</v>
          </cell>
          <cell r="I336">
            <v>30</v>
          </cell>
          <cell r="J336">
            <v>92.7</v>
          </cell>
          <cell r="K336">
            <v>3.0900000000000003</v>
          </cell>
          <cell r="L336">
            <v>0</v>
          </cell>
          <cell r="M336">
            <v>3.7806000000000002</v>
          </cell>
          <cell r="N336">
            <v>0</v>
          </cell>
          <cell r="O336">
            <v>0.2283</v>
          </cell>
          <cell r="P336">
            <v>0</v>
          </cell>
          <cell r="Q336">
            <v>0.26790000000000003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0.18840000000000001</v>
          </cell>
          <cell r="Y336">
            <v>0</v>
          </cell>
          <cell r="Z336">
            <v>0</v>
          </cell>
          <cell r="AA336">
            <v>0</v>
          </cell>
          <cell r="AB336">
            <v>0.21990000000000001</v>
          </cell>
        </row>
        <row r="337">
          <cell r="A337">
            <v>14104200</v>
          </cell>
          <cell r="B337" t="str">
            <v>Cheese, Colby</v>
          </cell>
          <cell r="I337">
            <v>30</v>
          </cell>
          <cell r="J337">
            <v>118.2</v>
          </cell>
          <cell r="K337">
            <v>3.94</v>
          </cell>
          <cell r="L337">
            <v>0</v>
          </cell>
          <cell r="M337">
            <v>6.0654000000000003</v>
          </cell>
          <cell r="N337">
            <v>0</v>
          </cell>
          <cell r="O337">
            <v>0.20549999999999999</v>
          </cell>
          <cell r="P337">
            <v>0</v>
          </cell>
          <cell r="Q337">
            <v>0.28589999999999999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0.1812</v>
          </cell>
          <cell r="Y337">
            <v>0</v>
          </cell>
          <cell r="Z337">
            <v>0</v>
          </cell>
          <cell r="AA337">
            <v>0</v>
          </cell>
          <cell r="AB337">
            <v>0.36121330000000001</v>
          </cell>
        </row>
        <row r="338">
          <cell r="A338">
            <v>14104250</v>
          </cell>
          <cell r="B338" t="str">
            <v>Cheese, Colby Jack</v>
          </cell>
          <cell r="I338">
            <v>30</v>
          </cell>
          <cell r="J338">
            <v>115.05</v>
          </cell>
          <cell r="K338">
            <v>3.835</v>
          </cell>
          <cell r="L338">
            <v>0</v>
          </cell>
          <cell r="M338">
            <v>5.8925999999999998</v>
          </cell>
          <cell r="N338">
            <v>0</v>
          </cell>
          <cell r="O338">
            <v>0.21465000000000001</v>
          </cell>
          <cell r="P338">
            <v>0</v>
          </cell>
          <cell r="Q338">
            <v>0.27779999999999999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0.18060000000000001</v>
          </cell>
          <cell r="Y338">
            <v>0</v>
          </cell>
          <cell r="Z338">
            <v>0</v>
          </cell>
          <cell r="AA338">
            <v>0</v>
          </cell>
          <cell r="AB338">
            <v>0.34958539999999999</v>
          </cell>
        </row>
        <row r="339">
          <cell r="A339">
            <v>14104400</v>
          </cell>
          <cell r="B339" t="str">
            <v>Cheese, Feta</v>
          </cell>
          <cell r="I339">
            <v>30</v>
          </cell>
          <cell r="J339">
            <v>79.2</v>
          </cell>
          <cell r="K339">
            <v>2.64</v>
          </cell>
          <cell r="L339">
            <v>0</v>
          </cell>
          <cell r="M339">
            <v>4.4837999999999996</v>
          </cell>
          <cell r="N339">
            <v>0</v>
          </cell>
          <cell r="O339">
            <v>0.1479</v>
          </cell>
          <cell r="P339">
            <v>0</v>
          </cell>
          <cell r="Q339">
            <v>0.17730000000000001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0.27510000000000001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</row>
        <row r="340">
          <cell r="A340">
            <v>14104600</v>
          </cell>
          <cell r="B340" t="str">
            <v>Cheese, Fontina</v>
          </cell>
          <cell r="I340">
            <v>30</v>
          </cell>
          <cell r="J340">
            <v>116.7</v>
          </cell>
          <cell r="K340">
            <v>3.89</v>
          </cell>
          <cell r="L340">
            <v>0</v>
          </cell>
          <cell r="M340">
            <v>5.7587999999999999</v>
          </cell>
          <cell r="N340">
            <v>0</v>
          </cell>
          <cell r="O340">
            <v>0.16500000000000001</v>
          </cell>
          <cell r="P340">
            <v>0</v>
          </cell>
          <cell r="Q340">
            <v>0.49619999999999997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0.24</v>
          </cell>
          <cell r="Y340">
            <v>0</v>
          </cell>
          <cell r="Z340">
            <v>0</v>
          </cell>
          <cell r="AA340">
            <v>0</v>
          </cell>
          <cell r="AB340">
            <v>0.27699810000000002</v>
          </cell>
        </row>
        <row r="341">
          <cell r="A341">
            <v>14104700</v>
          </cell>
          <cell r="B341" t="str">
            <v>Cheese, goat</v>
          </cell>
          <cell r="I341">
            <v>30</v>
          </cell>
          <cell r="J341">
            <v>108.012</v>
          </cell>
          <cell r="K341">
            <v>3.6004</v>
          </cell>
          <cell r="L341">
            <v>0</v>
          </cell>
          <cell r="M341">
            <v>5.984394</v>
          </cell>
          <cell r="N341">
            <v>0</v>
          </cell>
          <cell r="O341">
            <v>0.13286100000000001</v>
          </cell>
          <cell r="P341">
            <v>0</v>
          </cell>
          <cell r="Q341">
            <v>0.205572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0.12964800000000001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</row>
        <row r="342">
          <cell r="A342">
            <v>14105010</v>
          </cell>
          <cell r="B342" t="str">
            <v>Cheese, Gouda or Edam</v>
          </cell>
          <cell r="I342">
            <v>30</v>
          </cell>
          <cell r="J342">
            <v>107.01</v>
          </cell>
          <cell r="K342">
            <v>3.5670000000000002</v>
          </cell>
          <cell r="L342">
            <v>0</v>
          </cell>
          <cell r="M342">
            <v>5.2753800000000002</v>
          </cell>
          <cell r="N342">
            <v>0</v>
          </cell>
          <cell r="O342">
            <v>0.21651000000000001</v>
          </cell>
          <cell r="P342">
            <v>0</v>
          </cell>
          <cell r="Q342">
            <v>0.19878000000000001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0.24423</v>
          </cell>
          <cell r="Y342">
            <v>0</v>
          </cell>
          <cell r="Z342">
            <v>0</v>
          </cell>
          <cell r="AA342">
            <v>0</v>
          </cell>
          <cell r="AB342">
            <v>0.1948455</v>
          </cell>
        </row>
        <row r="343">
          <cell r="A343">
            <v>14105200</v>
          </cell>
          <cell r="B343" t="str">
            <v>Cheese, Gruyere</v>
          </cell>
          <cell r="I343">
            <v>30</v>
          </cell>
          <cell r="J343">
            <v>123.9</v>
          </cell>
          <cell r="K343">
            <v>4.13</v>
          </cell>
          <cell r="L343">
            <v>0</v>
          </cell>
          <cell r="M343">
            <v>5.6738999999999997</v>
          </cell>
          <cell r="N343">
            <v>0</v>
          </cell>
          <cell r="O343">
            <v>0.30330000000000001</v>
          </cell>
          <cell r="P343">
            <v>0</v>
          </cell>
          <cell r="Q343">
            <v>0.51990000000000003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0.2142</v>
          </cell>
          <cell r="Y343">
            <v>0</v>
          </cell>
          <cell r="Z343">
            <v>0</v>
          </cell>
          <cell r="AA343">
            <v>0</v>
          </cell>
          <cell r="AB343">
            <v>0.26683760000000001</v>
          </cell>
        </row>
        <row r="344">
          <cell r="A344">
            <v>14106200</v>
          </cell>
          <cell r="B344" t="str">
            <v>Cheese, Monterey</v>
          </cell>
          <cell r="I344">
            <v>30</v>
          </cell>
          <cell r="J344">
            <v>111.9</v>
          </cell>
          <cell r="K344">
            <v>3.73</v>
          </cell>
          <cell r="L344">
            <v>0</v>
          </cell>
          <cell r="M344">
            <v>5.7198000000000002</v>
          </cell>
          <cell r="N344">
            <v>0</v>
          </cell>
          <cell r="O344">
            <v>0.2238</v>
          </cell>
          <cell r="P344">
            <v>0</v>
          </cell>
          <cell r="Q344">
            <v>0.2697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0.18</v>
          </cell>
          <cell r="Y344">
            <v>0</v>
          </cell>
          <cell r="Z344">
            <v>0</v>
          </cell>
          <cell r="AA344">
            <v>0</v>
          </cell>
          <cell r="AB344">
            <v>0.33815099999999998</v>
          </cell>
        </row>
        <row r="345">
          <cell r="A345">
            <v>14106500</v>
          </cell>
          <cell r="B345" t="str">
            <v>Cheese, Monterey, reduced fat</v>
          </cell>
          <cell r="I345">
            <v>30</v>
          </cell>
          <cell r="J345">
            <v>93.9</v>
          </cell>
          <cell r="K345">
            <v>3.1300000000000003</v>
          </cell>
          <cell r="L345">
            <v>0</v>
          </cell>
          <cell r="M345">
            <v>4.2119999999999997</v>
          </cell>
          <cell r="N345">
            <v>0</v>
          </cell>
          <cell r="O345">
            <v>0.21149999999999999</v>
          </cell>
          <cell r="P345">
            <v>0</v>
          </cell>
          <cell r="Q345">
            <v>0.252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0.23430000000000001</v>
          </cell>
          <cell r="Y345">
            <v>0</v>
          </cell>
          <cell r="Z345">
            <v>0</v>
          </cell>
          <cell r="AA345">
            <v>0</v>
          </cell>
          <cell r="AB345">
            <v>9.1014200000000003E-2</v>
          </cell>
        </row>
        <row r="346">
          <cell r="A346">
            <v>14107010</v>
          </cell>
          <cell r="B346" t="str">
            <v>Cheese, Mozzarella, NFS</v>
          </cell>
          <cell r="I346">
            <v>30</v>
          </cell>
          <cell r="J346">
            <v>88.5</v>
          </cell>
          <cell r="K346">
            <v>2.95</v>
          </cell>
          <cell r="L346">
            <v>0</v>
          </cell>
          <cell r="M346">
            <v>3.3885000000000001</v>
          </cell>
          <cell r="N346">
            <v>0</v>
          </cell>
          <cell r="O346">
            <v>0.20910000000000001</v>
          </cell>
          <cell r="P346">
            <v>0</v>
          </cell>
          <cell r="Q346">
            <v>0.30570000000000003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0.19980000000000001</v>
          </cell>
          <cell r="Y346">
            <v>0</v>
          </cell>
          <cell r="Z346">
            <v>0</v>
          </cell>
          <cell r="AA346">
            <v>0</v>
          </cell>
          <cell r="AB346">
            <v>0.216</v>
          </cell>
        </row>
        <row r="347">
          <cell r="A347">
            <v>14107020</v>
          </cell>
          <cell r="B347" t="str">
            <v>Cheese, Mozzarella, whole milk</v>
          </cell>
          <cell r="I347">
            <v>30</v>
          </cell>
          <cell r="J347">
            <v>90</v>
          </cell>
          <cell r="K347">
            <v>3</v>
          </cell>
          <cell r="L347">
            <v>0</v>
          </cell>
          <cell r="M347">
            <v>3.9456000000000002</v>
          </cell>
          <cell r="N347">
            <v>0</v>
          </cell>
          <cell r="O347">
            <v>0.1515</v>
          </cell>
          <cell r="P347">
            <v>0</v>
          </cell>
          <cell r="Q347">
            <v>0.22950000000000001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0.18809999999999999</v>
          </cell>
          <cell r="Y347">
            <v>0</v>
          </cell>
          <cell r="Z347">
            <v>0</v>
          </cell>
          <cell r="AA347">
            <v>0</v>
          </cell>
          <cell r="AB347">
            <v>0.22748969999999999</v>
          </cell>
        </row>
        <row r="348">
          <cell r="A348">
            <v>14107030</v>
          </cell>
          <cell r="B348" t="str">
            <v>Cheese, Mozzarella, part skim</v>
          </cell>
          <cell r="I348">
            <v>30</v>
          </cell>
          <cell r="J348">
            <v>88.5</v>
          </cell>
          <cell r="K348">
            <v>2.95</v>
          </cell>
          <cell r="L348">
            <v>0</v>
          </cell>
          <cell r="M348">
            <v>3.3885000000000001</v>
          </cell>
          <cell r="N348">
            <v>0</v>
          </cell>
          <cell r="O348">
            <v>0.20910000000000001</v>
          </cell>
          <cell r="P348">
            <v>0</v>
          </cell>
          <cell r="Q348">
            <v>0.30570000000000003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0.19980000000000001</v>
          </cell>
          <cell r="Y348">
            <v>0</v>
          </cell>
          <cell r="Z348">
            <v>0</v>
          </cell>
          <cell r="AA348">
            <v>0</v>
          </cell>
          <cell r="AB348">
            <v>0.216</v>
          </cell>
        </row>
        <row r="349">
          <cell r="A349">
            <v>14107040</v>
          </cell>
          <cell r="B349" t="str">
            <v>Cheese, Mozzarella, reduced sodium</v>
          </cell>
          <cell r="I349">
            <v>30</v>
          </cell>
          <cell r="J349">
            <v>84</v>
          </cell>
          <cell r="K349">
            <v>2.8</v>
          </cell>
          <cell r="L349">
            <v>0</v>
          </cell>
          <cell r="M349">
            <v>3.2601</v>
          </cell>
          <cell r="N349">
            <v>0</v>
          </cell>
          <cell r="O349">
            <v>0.21929999999999999</v>
          </cell>
          <cell r="P349">
            <v>0</v>
          </cell>
          <cell r="Q349">
            <v>0.1527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4.7999999999999996E-3</v>
          </cell>
          <cell r="Y349">
            <v>0</v>
          </cell>
          <cell r="Z349">
            <v>0</v>
          </cell>
          <cell r="AA349">
            <v>0</v>
          </cell>
          <cell r="AB349">
            <v>0.13629939999999999</v>
          </cell>
        </row>
        <row r="350">
          <cell r="A350">
            <v>14107060</v>
          </cell>
          <cell r="B350" t="str">
            <v>Cheese, Mozzarella, nonfat or fat free</v>
          </cell>
          <cell r="I350">
            <v>30</v>
          </cell>
          <cell r="J350">
            <v>42.3</v>
          </cell>
          <cell r="K350">
            <v>1.41</v>
          </cell>
          <cell r="L350">
            <v>0</v>
          </cell>
          <cell r="M350">
            <v>0</v>
          </cell>
          <cell r="N350">
            <v>0</v>
          </cell>
          <cell r="O350">
            <v>0.2883</v>
          </cell>
          <cell r="P350">
            <v>0.54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0.22289999999999999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</row>
        <row r="351">
          <cell r="A351">
            <v>14107200</v>
          </cell>
          <cell r="B351" t="str">
            <v>Cheese, Muenster</v>
          </cell>
          <cell r="I351">
            <v>30</v>
          </cell>
          <cell r="J351">
            <v>110.4</v>
          </cell>
          <cell r="K351">
            <v>3.68</v>
          </cell>
          <cell r="L351">
            <v>0</v>
          </cell>
          <cell r="M351">
            <v>5.7339000000000002</v>
          </cell>
          <cell r="N351">
            <v>0</v>
          </cell>
          <cell r="O351">
            <v>0.21510000000000001</v>
          </cell>
          <cell r="P351">
            <v>0</v>
          </cell>
          <cell r="Q351">
            <v>0.1983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0.18840000000000001</v>
          </cell>
          <cell r="Y351">
            <v>0</v>
          </cell>
          <cell r="Z351">
            <v>0</v>
          </cell>
          <cell r="AA351">
            <v>0</v>
          </cell>
          <cell r="AB351">
            <v>0.1954052</v>
          </cell>
        </row>
        <row r="352">
          <cell r="A352">
            <v>14107250</v>
          </cell>
          <cell r="B352" t="str">
            <v>Cheese, Muenster, reduced fat</v>
          </cell>
          <cell r="I352">
            <v>30</v>
          </cell>
          <cell r="J352">
            <v>81.3</v>
          </cell>
          <cell r="K352">
            <v>2.71</v>
          </cell>
          <cell r="L352">
            <v>0</v>
          </cell>
          <cell r="M352">
            <v>3.2850000000000001</v>
          </cell>
          <cell r="N352">
            <v>0</v>
          </cell>
          <cell r="O352">
            <v>0.15870000000000001</v>
          </cell>
          <cell r="P352">
            <v>0</v>
          </cell>
          <cell r="Q352">
            <v>0.19500000000000001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0.18</v>
          </cell>
          <cell r="Y352">
            <v>0</v>
          </cell>
          <cell r="Z352">
            <v>0</v>
          </cell>
          <cell r="AA352">
            <v>0</v>
          </cell>
          <cell r="AB352">
            <v>7.0206599999999994E-2</v>
          </cell>
        </row>
        <row r="353">
          <cell r="A353">
            <v>14108010</v>
          </cell>
          <cell r="B353" t="str">
            <v>Cheese, Parmesan, dry grated</v>
          </cell>
          <cell r="I353">
            <v>5</v>
          </cell>
          <cell r="J353">
            <v>21</v>
          </cell>
          <cell r="K353">
            <v>4.2</v>
          </cell>
          <cell r="L353">
            <v>0</v>
          </cell>
          <cell r="M353">
            <v>0.76854999999999996</v>
          </cell>
          <cell r="N353">
            <v>0</v>
          </cell>
          <cell r="O353">
            <v>4.265E-2</v>
          </cell>
          <cell r="P353">
            <v>0</v>
          </cell>
          <cell r="Q353">
            <v>6.93E-2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9.0200000000000002E-2</v>
          </cell>
          <cell r="Y353">
            <v>0</v>
          </cell>
          <cell r="Z353">
            <v>0</v>
          </cell>
          <cell r="AA353">
            <v>0</v>
          </cell>
          <cell r="AB353">
            <v>4.3799999999999999E-2</v>
          </cell>
        </row>
        <row r="354">
          <cell r="A354">
            <v>14108015</v>
          </cell>
          <cell r="B354" t="str">
            <v>Cheese, Parmesan, dry grated, reduced fat</v>
          </cell>
          <cell r="I354">
            <v>5</v>
          </cell>
          <cell r="J354">
            <v>19.75</v>
          </cell>
          <cell r="K354">
            <v>3.95</v>
          </cell>
          <cell r="L354">
            <v>0</v>
          </cell>
          <cell r="M354">
            <v>0.46202500000000002</v>
          </cell>
          <cell r="N354">
            <v>0</v>
          </cell>
          <cell r="O354">
            <v>4.1325000000000001E-2</v>
          </cell>
          <cell r="P354">
            <v>0</v>
          </cell>
          <cell r="Q354">
            <v>3.9300000000000002E-2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7.3849999999999999E-2</v>
          </cell>
          <cell r="Y354">
            <v>0</v>
          </cell>
          <cell r="Z354">
            <v>0</v>
          </cell>
          <cell r="AA354">
            <v>0</v>
          </cell>
          <cell r="AB354">
            <v>2.53888E-2</v>
          </cell>
        </row>
        <row r="355">
          <cell r="A355">
            <v>14108020</v>
          </cell>
          <cell r="B355" t="str">
            <v>Cheese, Parmesan, hard</v>
          </cell>
          <cell r="I355">
            <v>5</v>
          </cell>
          <cell r="J355">
            <v>19.600000000000001</v>
          </cell>
          <cell r="K355">
            <v>3.9200000000000004</v>
          </cell>
          <cell r="L355">
            <v>0</v>
          </cell>
          <cell r="M355">
            <v>0.82050000000000001</v>
          </cell>
          <cell r="N355">
            <v>0</v>
          </cell>
          <cell r="O355">
            <v>5.9200000000000003E-2</v>
          </cell>
          <cell r="P355">
            <v>0</v>
          </cell>
          <cell r="Q355">
            <v>2.845E-2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6.88E-2</v>
          </cell>
          <cell r="Y355">
            <v>0</v>
          </cell>
          <cell r="Z355">
            <v>0</v>
          </cell>
          <cell r="AA355">
            <v>0</v>
          </cell>
          <cell r="AB355">
            <v>4.4701600000000001E-2</v>
          </cell>
        </row>
        <row r="356">
          <cell r="A356">
            <v>14108400</v>
          </cell>
          <cell r="B356" t="str">
            <v>Cheese, Provolone</v>
          </cell>
          <cell r="I356">
            <v>30</v>
          </cell>
          <cell r="J356">
            <v>105.3</v>
          </cell>
          <cell r="K356">
            <v>3.51</v>
          </cell>
          <cell r="L356">
            <v>0</v>
          </cell>
          <cell r="M356">
            <v>5.1234000000000002</v>
          </cell>
          <cell r="N356">
            <v>0</v>
          </cell>
          <cell r="O356">
            <v>0.2268</v>
          </cell>
          <cell r="P356">
            <v>0</v>
          </cell>
          <cell r="Q356">
            <v>0.23069999999999999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0.26279999999999998</v>
          </cell>
          <cell r="Y356">
            <v>0</v>
          </cell>
          <cell r="Z356">
            <v>0</v>
          </cell>
          <cell r="AA356">
            <v>0</v>
          </cell>
          <cell r="AB356">
            <v>0.17385690000000001</v>
          </cell>
        </row>
        <row r="357">
          <cell r="A357">
            <v>14108420</v>
          </cell>
          <cell r="B357" t="str">
            <v>Cheese, provolone, reduced fat</v>
          </cell>
          <cell r="I357">
            <v>30</v>
          </cell>
          <cell r="J357">
            <v>82.2</v>
          </cell>
          <cell r="K357">
            <v>2.74</v>
          </cell>
          <cell r="L357">
            <v>0</v>
          </cell>
          <cell r="M357">
            <v>3.39</v>
          </cell>
          <cell r="N357">
            <v>0</v>
          </cell>
          <cell r="O357">
            <v>0.2268</v>
          </cell>
          <cell r="P357">
            <v>0</v>
          </cell>
          <cell r="Q357">
            <v>0.153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0.1845</v>
          </cell>
          <cell r="Y357">
            <v>0</v>
          </cell>
          <cell r="Z357">
            <v>0</v>
          </cell>
          <cell r="AA357">
            <v>0</v>
          </cell>
          <cell r="AB357">
            <v>0.1003324</v>
          </cell>
        </row>
        <row r="358">
          <cell r="A358">
            <v>14109010</v>
          </cell>
          <cell r="B358" t="str">
            <v>Cheese, Swiss</v>
          </cell>
          <cell r="I358">
            <v>30</v>
          </cell>
          <cell r="J358">
            <v>117.9</v>
          </cell>
          <cell r="K358">
            <v>3.93</v>
          </cell>
          <cell r="L358">
            <v>0</v>
          </cell>
          <cell r="M358">
            <v>5.4680999999999997</v>
          </cell>
          <cell r="N358">
            <v>0</v>
          </cell>
          <cell r="O358">
            <v>0.26700000000000002</v>
          </cell>
          <cell r="P358">
            <v>0</v>
          </cell>
          <cell r="Q358">
            <v>0.40229999999999999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5.6099999999999997E-2</v>
          </cell>
          <cell r="Y358">
            <v>0</v>
          </cell>
          <cell r="Z358">
            <v>0</v>
          </cell>
          <cell r="AA358">
            <v>0</v>
          </cell>
          <cell r="AB358">
            <v>0.29609999999999997</v>
          </cell>
        </row>
        <row r="359">
          <cell r="A359">
            <v>14109020</v>
          </cell>
          <cell r="B359" t="str">
            <v>Cheese, Swiss, reduced sodium</v>
          </cell>
          <cell r="I359">
            <v>30</v>
          </cell>
          <cell r="J359">
            <v>112.2</v>
          </cell>
          <cell r="K359">
            <v>3.74</v>
          </cell>
          <cell r="L359">
            <v>0</v>
          </cell>
          <cell r="M359">
            <v>5.3231999999999999</v>
          </cell>
          <cell r="N359">
            <v>0</v>
          </cell>
          <cell r="O359">
            <v>0.2883</v>
          </cell>
          <cell r="P359">
            <v>0</v>
          </cell>
          <cell r="Q359">
            <v>0.29039999999999999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4.1999999999999997E-3</v>
          </cell>
          <cell r="Y359">
            <v>0</v>
          </cell>
          <cell r="Z359">
            <v>0</v>
          </cell>
          <cell r="AA359">
            <v>0</v>
          </cell>
          <cell r="AB359">
            <v>0.17622189999999999</v>
          </cell>
        </row>
        <row r="360">
          <cell r="A360">
            <v>14109030</v>
          </cell>
          <cell r="B360" t="str">
            <v>Cheese, Swiss, reduced fat</v>
          </cell>
          <cell r="I360">
            <v>30</v>
          </cell>
          <cell r="J360">
            <v>53.7</v>
          </cell>
          <cell r="K360">
            <v>1.79</v>
          </cell>
          <cell r="L360">
            <v>0</v>
          </cell>
          <cell r="M360">
            <v>0.99119999999999997</v>
          </cell>
          <cell r="N360">
            <v>0</v>
          </cell>
          <cell r="O360">
            <v>0.2883</v>
          </cell>
          <cell r="P360">
            <v>0</v>
          </cell>
          <cell r="Q360">
            <v>5.3999999999999999E-2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5.9700000000000003E-2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</row>
        <row r="361">
          <cell r="A361">
            <v>14109040</v>
          </cell>
          <cell r="B361" t="str">
            <v>Cheese, Swiss, nonfat or fat free</v>
          </cell>
          <cell r="I361">
            <v>30</v>
          </cell>
          <cell r="J361">
            <v>38.1</v>
          </cell>
          <cell r="K361">
            <v>1.27</v>
          </cell>
          <cell r="L361">
            <v>0</v>
          </cell>
          <cell r="M361">
            <v>0</v>
          </cell>
          <cell r="N361">
            <v>0</v>
          </cell>
          <cell r="O361">
            <v>0.2883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0.3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</row>
        <row r="362">
          <cell r="A362">
            <v>14110010</v>
          </cell>
          <cell r="B362" t="str">
            <v>Cheese, Cheddar, reduced sodium</v>
          </cell>
          <cell r="I362">
            <v>30</v>
          </cell>
          <cell r="J362">
            <v>119.4</v>
          </cell>
          <cell r="K362">
            <v>3.98</v>
          </cell>
          <cell r="L362">
            <v>0</v>
          </cell>
          <cell r="M362">
            <v>6.2304000000000004</v>
          </cell>
          <cell r="N362">
            <v>0</v>
          </cell>
          <cell r="O362">
            <v>0.2109</v>
          </cell>
          <cell r="P362">
            <v>0</v>
          </cell>
          <cell r="Q362">
            <v>0.29160000000000003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6.3E-3</v>
          </cell>
          <cell r="Y362">
            <v>0</v>
          </cell>
          <cell r="Z362">
            <v>0</v>
          </cell>
          <cell r="AA362">
            <v>0</v>
          </cell>
          <cell r="AB362">
            <v>0.1939632</v>
          </cell>
        </row>
        <row r="363">
          <cell r="A363">
            <v>14120010</v>
          </cell>
          <cell r="B363" t="str">
            <v>Cheese, Mexican blend</v>
          </cell>
          <cell r="I363">
            <v>30</v>
          </cell>
          <cell r="J363">
            <v>107.4</v>
          </cell>
          <cell r="K363">
            <v>3.58</v>
          </cell>
          <cell r="L363">
            <v>0</v>
          </cell>
          <cell r="M363">
            <v>5.1081000000000003</v>
          </cell>
          <cell r="N363">
            <v>0</v>
          </cell>
          <cell r="O363">
            <v>0.19769999999999999</v>
          </cell>
          <cell r="P363">
            <v>0</v>
          </cell>
          <cell r="Q363">
            <v>0.25919999999999999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0.1014</v>
          </cell>
          <cell r="Y363">
            <v>0</v>
          </cell>
          <cell r="Z363">
            <v>0</v>
          </cell>
          <cell r="AA363">
            <v>0</v>
          </cell>
          <cell r="AB363">
            <v>0.23949609999999999</v>
          </cell>
        </row>
        <row r="364">
          <cell r="A364">
            <v>14120020</v>
          </cell>
          <cell r="B364" t="str">
            <v>Cheese, Mexican blend, reduced fat</v>
          </cell>
          <cell r="I364">
            <v>30</v>
          </cell>
          <cell r="J364">
            <v>84.6</v>
          </cell>
          <cell r="K364">
            <v>2.82</v>
          </cell>
          <cell r="L364">
            <v>0</v>
          </cell>
          <cell r="M364">
            <v>3.4740000000000002</v>
          </cell>
          <cell r="N364">
            <v>0</v>
          </cell>
          <cell r="O364">
            <v>0.34379999999999999</v>
          </cell>
          <cell r="P364">
            <v>0</v>
          </cell>
          <cell r="Q364">
            <v>0.22500000000000001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0.23280000000000001</v>
          </cell>
          <cell r="Y364">
            <v>0</v>
          </cell>
          <cell r="Z364">
            <v>0</v>
          </cell>
          <cell r="AA364">
            <v>0</v>
          </cell>
          <cell r="AB364">
            <v>0.1816035</v>
          </cell>
        </row>
        <row r="365">
          <cell r="A365">
            <v>14131000</v>
          </cell>
          <cell r="B365" t="str">
            <v>Queso Anejo, aged Mexican cheese</v>
          </cell>
          <cell r="I365">
            <v>30</v>
          </cell>
          <cell r="J365">
            <v>111.9</v>
          </cell>
          <cell r="K365">
            <v>3.73</v>
          </cell>
          <cell r="L365">
            <v>0</v>
          </cell>
          <cell r="M365">
            <v>5.7099000000000002</v>
          </cell>
          <cell r="N365">
            <v>0</v>
          </cell>
          <cell r="O365">
            <v>0.20399999999999999</v>
          </cell>
          <cell r="P365">
            <v>0</v>
          </cell>
          <cell r="Q365">
            <v>0.27029999999999998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0.33929999999999999</v>
          </cell>
          <cell r="Y365">
            <v>0</v>
          </cell>
          <cell r="Z365">
            <v>0</v>
          </cell>
          <cell r="AA365">
            <v>0</v>
          </cell>
          <cell r="AB365">
            <v>0.17057810000000001</v>
          </cell>
        </row>
        <row r="366">
          <cell r="A366">
            <v>14131500</v>
          </cell>
          <cell r="B366" t="str">
            <v>Queso Asadero</v>
          </cell>
          <cell r="I366">
            <v>30</v>
          </cell>
          <cell r="J366">
            <v>106.8</v>
          </cell>
          <cell r="K366">
            <v>3.56</v>
          </cell>
          <cell r="L366">
            <v>0</v>
          </cell>
          <cell r="M366">
            <v>5.3817000000000004</v>
          </cell>
          <cell r="N366">
            <v>0</v>
          </cell>
          <cell r="O366">
            <v>0.1983</v>
          </cell>
          <cell r="P366">
            <v>0</v>
          </cell>
          <cell r="Q366">
            <v>0.255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0.21149999999999999</v>
          </cell>
          <cell r="Y366">
            <v>0</v>
          </cell>
          <cell r="Z366">
            <v>0</v>
          </cell>
          <cell r="AA366">
            <v>0</v>
          </cell>
          <cell r="AB366">
            <v>0.15915679999999999</v>
          </cell>
        </row>
        <row r="367">
          <cell r="A367">
            <v>14132000</v>
          </cell>
          <cell r="B367" t="str">
            <v>Queso Chihuahua</v>
          </cell>
          <cell r="I367">
            <v>30</v>
          </cell>
          <cell r="J367">
            <v>112.2</v>
          </cell>
          <cell r="K367">
            <v>3.74</v>
          </cell>
          <cell r="L367">
            <v>0</v>
          </cell>
          <cell r="M367">
            <v>5.6528999999999998</v>
          </cell>
          <cell r="N367">
            <v>0</v>
          </cell>
          <cell r="O367">
            <v>0.1953</v>
          </cell>
          <cell r="P367">
            <v>0</v>
          </cell>
          <cell r="Q367">
            <v>0.2676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0.18509999999999999</v>
          </cell>
          <cell r="Y367">
            <v>0</v>
          </cell>
          <cell r="Z367">
            <v>0</v>
          </cell>
          <cell r="AA367">
            <v>0</v>
          </cell>
          <cell r="AB367">
            <v>0.1697369</v>
          </cell>
        </row>
        <row r="368">
          <cell r="A368">
            <v>14133000</v>
          </cell>
          <cell r="B368" t="str">
            <v>Queso Fresco</v>
          </cell>
          <cell r="I368">
            <v>30</v>
          </cell>
          <cell r="J368">
            <v>89.7</v>
          </cell>
          <cell r="K368">
            <v>2.99</v>
          </cell>
          <cell r="L368">
            <v>0</v>
          </cell>
          <cell r="M368">
            <v>3.8820000000000001</v>
          </cell>
          <cell r="N368">
            <v>0</v>
          </cell>
          <cell r="O368">
            <v>0.16980000000000001</v>
          </cell>
          <cell r="P368">
            <v>0</v>
          </cell>
          <cell r="Q368">
            <v>0.33179999999999998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0.2253</v>
          </cell>
          <cell r="Y368">
            <v>0</v>
          </cell>
          <cell r="Z368">
            <v>0</v>
          </cell>
          <cell r="AA368">
            <v>0</v>
          </cell>
          <cell r="AB368">
            <v>0.25019999999999998</v>
          </cell>
        </row>
        <row r="369">
          <cell r="A369">
            <v>14134000</v>
          </cell>
          <cell r="B369" t="str">
            <v>Queso cotija</v>
          </cell>
          <cell r="I369">
            <v>30</v>
          </cell>
          <cell r="J369">
            <v>109.8</v>
          </cell>
          <cell r="K369">
            <v>3.6599999999999997</v>
          </cell>
          <cell r="L369">
            <v>0</v>
          </cell>
          <cell r="M369">
            <v>5.25</v>
          </cell>
          <cell r="N369">
            <v>0</v>
          </cell>
          <cell r="O369">
            <v>0.24</v>
          </cell>
          <cell r="P369">
            <v>0</v>
          </cell>
          <cell r="Q369">
            <v>0.35610000000000003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0.42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</row>
        <row r="370">
          <cell r="A370">
            <v>14200100</v>
          </cell>
          <cell r="B370" t="str">
            <v>Cheese, cottage, NFS</v>
          </cell>
          <cell r="I370">
            <v>110</v>
          </cell>
          <cell r="J370">
            <v>89.1</v>
          </cell>
          <cell r="K370">
            <v>0.80999999999999994</v>
          </cell>
          <cell r="L370">
            <v>0</v>
          </cell>
          <cell r="M370">
            <v>1.3585</v>
          </cell>
          <cell r="N370">
            <v>0</v>
          </cell>
          <cell r="O370">
            <v>0.1221</v>
          </cell>
          <cell r="P370">
            <v>0</v>
          </cell>
          <cell r="Q370">
            <v>9.1300000000000006E-2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0.33879999999999999</v>
          </cell>
          <cell r="Y370">
            <v>0</v>
          </cell>
          <cell r="Z370">
            <v>0</v>
          </cell>
          <cell r="AA370">
            <v>0</v>
          </cell>
          <cell r="AB370">
            <v>7.3700000000000002E-2</v>
          </cell>
        </row>
        <row r="371">
          <cell r="A371">
            <v>14201010</v>
          </cell>
          <cell r="B371" t="str">
            <v>Cheese, cottage, creamed, large or small curd</v>
          </cell>
          <cell r="I371">
            <v>110</v>
          </cell>
          <cell r="J371">
            <v>107.8</v>
          </cell>
          <cell r="K371">
            <v>0.98</v>
          </cell>
          <cell r="L371">
            <v>0</v>
          </cell>
          <cell r="M371">
            <v>1.8897999999999999</v>
          </cell>
          <cell r="N371">
            <v>0</v>
          </cell>
          <cell r="O371">
            <v>9.1300000000000006E-2</v>
          </cell>
          <cell r="P371">
            <v>0</v>
          </cell>
          <cell r="Q371">
            <v>0.1353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0.40039999999999998</v>
          </cell>
          <cell r="Y371">
            <v>0</v>
          </cell>
          <cell r="Z371">
            <v>0</v>
          </cell>
          <cell r="AA371">
            <v>0</v>
          </cell>
          <cell r="AB371">
            <v>0.29660399999999998</v>
          </cell>
        </row>
        <row r="372">
          <cell r="A372">
            <v>14201200</v>
          </cell>
          <cell r="B372" t="str">
            <v>Cottage cheese, farmer's</v>
          </cell>
          <cell r="I372">
            <v>110</v>
          </cell>
          <cell r="J372">
            <v>157.26524000000001</v>
          </cell>
          <cell r="K372">
            <v>1.429684</v>
          </cell>
          <cell r="L372">
            <v>0</v>
          </cell>
          <cell r="M372">
            <v>5.7176974999999999</v>
          </cell>
          <cell r="N372">
            <v>0</v>
          </cell>
          <cell r="O372">
            <v>8.6277199999999998E-2</v>
          </cell>
          <cell r="P372">
            <v>0</v>
          </cell>
          <cell r="Q372">
            <v>0.36234420000000001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0.377384</v>
          </cell>
          <cell r="Y372">
            <v>0</v>
          </cell>
          <cell r="Z372">
            <v>0</v>
          </cell>
          <cell r="AA372">
            <v>0</v>
          </cell>
          <cell r="AB372">
            <v>0.59649430000000003</v>
          </cell>
        </row>
        <row r="373">
          <cell r="A373">
            <v>14201500</v>
          </cell>
          <cell r="B373" t="str">
            <v>Cheese, Ricotta</v>
          </cell>
          <cell r="I373">
            <v>55</v>
          </cell>
          <cell r="J373">
            <v>85.8</v>
          </cell>
          <cell r="K373">
            <v>1.56</v>
          </cell>
          <cell r="L373">
            <v>0</v>
          </cell>
          <cell r="M373">
            <v>3.63605</v>
          </cell>
          <cell r="N373">
            <v>0</v>
          </cell>
          <cell r="O373">
            <v>0.13172500000000001</v>
          </cell>
          <cell r="P373">
            <v>0</v>
          </cell>
          <cell r="Q373">
            <v>0.177375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5.0325000000000002E-2</v>
          </cell>
          <cell r="Y373">
            <v>0</v>
          </cell>
          <cell r="Z373">
            <v>0</v>
          </cell>
          <cell r="AA373">
            <v>0</v>
          </cell>
          <cell r="AB373">
            <v>8.9354000000000003E-2</v>
          </cell>
        </row>
        <row r="374">
          <cell r="A374">
            <v>14202010</v>
          </cell>
          <cell r="B374" t="str">
            <v>Cheese, cottage, with fruit</v>
          </cell>
          <cell r="I374">
            <v>110</v>
          </cell>
          <cell r="J374">
            <v>106.7</v>
          </cell>
          <cell r="K374">
            <v>0.97</v>
          </cell>
          <cell r="L374">
            <v>0.22</v>
          </cell>
          <cell r="M374">
            <v>2.5421</v>
          </cell>
          <cell r="N374">
            <v>0</v>
          </cell>
          <cell r="O374">
            <v>5.8299999999999998E-2</v>
          </cell>
          <cell r="P374">
            <v>0</v>
          </cell>
          <cell r="Q374">
            <v>0.13639999999999999</v>
          </cell>
          <cell r="R374">
            <v>0</v>
          </cell>
          <cell r="S374">
            <v>0</v>
          </cell>
          <cell r="T374">
            <v>6.38</v>
          </cell>
          <cell r="U374">
            <v>0</v>
          </cell>
          <cell r="V374">
            <v>0</v>
          </cell>
          <cell r="W374">
            <v>0</v>
          </cell>
          <cell r="X374">
            <v>0.37840000000000001</v>
          </cell>
          <cell r="Y374">
            <v>0</v>
          </cell>
          <cell r="Z374">
            <v>0</v>
          </cell>
          <cell r="AA374">
            <v>0</v>
          </cell>
          <cell r="AB374">
            <v>9.56867E-2</v>
          </cell>
        </row>
        <row r="375">
          <cell r="A375">
            <v>14202020</v>
          </cell>
          <cell r="B375" t="str">
            <v>Cheese, cottage, with vegetables</v>
          </cell>
          <cell r="I375">
            <v>110</v>
          </cell>
          <cell r="J375">
            <v>104.5</v>
          </cell>
          <cell r="K375">
            <v>0.95</v>
          </cell>
          <cell r="L375">
            <v>0.11</v>
          </cell>
          <cell r="M375">
            <v>2.9106000000000001</v>
          </cell>
          <cell r="N375">
            <v>0</v>
          </cell>
          <cell r="O375">
            <v>6.1600000000000002E-2</v>
          </cell>
          <cell r="P375">
            <v>0</v>
          </cell>
          <cell r="Q375">
            <v>0.154</v>
          </cell>
          <cell r="R375">
            <v>0</v>
          </cell>
          <cell r="S375">
            <v>0</v>
          </cell>
          <cell r="T375">
            <v>0</v>
          </cell>
          <cell r="U375">
            <v>17.05</v>
          </cell>
          <cell r="V375">
            <v>0</v>
          </cell>
          <cell r="W375">
            <v>0</v>
          </cell>
          <cell r="X375">
            <v>0.44330000000000003</v>
          </cell>
          <cell r="Y375">
            <v>0</v>
          </cell>
          <cell r="Z375">
            <v>0</v>
          </cell>
          <cell r="AA375">
            <v>0</v>
          </cell>
          <cell r="AB375">
            <v>8.7059700000000004E-2</v>
          </cell>
        </row>
        <row r="376">
          <cell r="A376">
            <v>14203010</v>
          </cell>
          <cell r="B376" t="str">
            <v>Cheese, cottage, dry curd</v>
          </cell>
          <cell r="I376">
            <v>55</v>
          </cell>
          <cell r="J376">
            <v>39.6</v>
          </cell>
          <cell r="K376">
            <v>0.72</v>
          </cell>
          <cell r="L376">
            <v>0</v>
          </cell>
          <cell r="M376">
            <v>9.2950000000000005E-2</v>
          </cell>
          <cell r="N376">
            <v>0</v>
          </cell>
          <cell r="O376">
            <v>4.7300000000000002E-2</v>
          </cell>
          <cell r="P376">
            <v>0</v>
          </cell>
          <cell r="Q376">
            <v>1.65E-3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0.2046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</row>
        <row r="377">
          <cell r="A377">
            <v>14203020</v>
          </cell>
          <cell r="B377" t="str">
            <v>Cheese, cottage, salted, dry curd</v>
          </cell>
          <cell r="I377">
            <v>55</v>
          </cell>
          <cell r="J377">
            <v>39.204000000000001</v>
          </cell>
          <cell r="K377">
            <v>0.71279999999999999</v>
          </cell>
          <cell r="L377">
            <v>0</v>
          </cell>
          <cell r="M377">
            <v>9.2020500000000005E-2</v>
          </cell>
          <cell r="N377">
            <v>0</v>
          </cell>
          <cell r="O377">
            <v>4.6959000000000001E-2</v>
          </cell>
          <cell r="P377">
            <v>0</v>
          </cell>
          <cell r="Q377">
            <v>1.6335E-3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0.41572300000000001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</row>
        <row r="378">
          <cell r="A378">
            <v>14203510</v>
          </cell>
          <cell r="B378" t="str">
            <v>Puerto Rican white cheese</v>
          </cell>
          <cell r="I378">
            <v>55</v>
          </cell>
          <cell r="J378">
            <v>95.7</v>
          </cell>
          <cell r="K378">
            <v>1.74</v>
          </cell>
          <cell r="L378">
            <v>0</v>
          </cell>
          <cell r="M378">
            <v>4.5622499999999997</v>
          </cell>
          <cell r="N378">
            <v>0</v>
          </cell>
          <cell r="O378">
            <v>0.11385000000000001</v>
          </cell>
          <cell r="P378">
            <v>0</v>
          </cell>
          <cell r="Q378">
            <v>0.21174999999999999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4.6199999999999998E-2</v>
          </cell>
          <cell r="Y378">
            <v>0</v>
          </cell>
          <cell r="Z378">
            <v>0</v>
          </cell>
          <cell r="AA378">
            <v>0</v>
          </cell>
          <cell r="AB378">
            <v>0.11150640000000001</v>
          </cell>
        </row>
        <row r="379">
          <cell r="A379">
            <v>14204010</v>
          </cell>
          <cell r="B379" t="str">
            <v>Cheese, cottage, low fat</v>
          </cell>
          <cell r="I379">
            <v>110</v>
          </cell>
          <cell r="J379">
            <v>89.1</v>
          </cell>
          <cell r="K379">
            <v>0.80999999999999994</v>
          </cell>
          <cell r="L379">
            <v>0</v>
          </cell>
          <cell r="M379">
            <v>1.3585</v>
          </cell>
          <cell r="N379">
            <v>0</v>
          </cell>
          <cell r="O379">
            <v>0.1221</v>
          </cell>
          <cell r="P379">
            <v>0</v>
          </cell>
          <cell r="Q379">
            <v>9.1300000000000006E-2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0.33879999999999999</v>
          </cell>
          <cell r="Y379">
            <v>0</v>
          </cell>
          <cell r="Z379">
            <v>0</v>
          </cell>
          <cell r="AA379">
            <v>0</v>
          </cell>
          <cell r="AB379">
            <v>7.3700000000000002E-2</v>
          </cell>
        </row>
        <row r="380">
          <cell r="A380">
            <v>14204020</v>
          </cell>
          <cell r="B380" t="str">
            <v>Cheese, cottage, lowfat, with fruit</v>
          </cell>
          <cell r="I380">
            <v>110</v>
          </cell>
          <cell r="J380">
            <v>78.495874999999998</v>
          </cell>
          <cell r="K380">
            <v>0.7135988636363636</v>
          </cell>
          <cell r="L380">
            <v>0.51056900000000005</v>
          </cell>
          <cell r="M380">
            <v>0.87463769999999996</v>
          </cell>
          <cell r="N380">
            <v>0</v>
          </cell>
          <cell r="O380">
            <v>7.9683500000000004E-2</v>
          </cell>
          <cell r="P380">
            <v>0</v>
          </cell>
          <cell r="Q380">
            <v>6.4593300000000006E-2</v>
          </cell>
          <cell r="R380">
            <v>0</v>
          </cell>
          <cell r="S380">
            <v>0</v>
          </cell>
          <cell r="T380">
            <v>25.528449999999999</v>
          </cell>
          <cell r="U380">
            <v>0</v>
          </cell>
          <cell r="V380">
            <v>0</v>
          </cell>
          <cell r="W380">
            <v>0</v>
          </cell>
          <cell r="X380">
            <v>0.2197982</v>
          </cell>
          <cell r="Y380">
            <v>0</v>
          </cell>
          <cell r="Z380">
            <v>0</v>
          </cell>
          <cell r="AA380">
            <v>0</v>
          </cell>
          <cell r="AB380">
            <v>4.73861E-2</v>
          </cell>
        </row>
        <row r="381">
          <cell r="A381">
            <v>14301010</v>
          </cell>
          <cell r="B381" t="str">
            <v>Cheese, cream</v>
          </cell>
          <cell r="I381">
            <v>30</v>
          </cell>
          <cell r="J381">
            <v>105</v>
          </cell>
          <cell r="K381">
            <v>3.5</v>
          </cell>
          <cell r="L381">
            <v>0</v>
          </cell>
          <cell r="M381">
            <v>6.0639000000000003</v>
          </cell>
          <cell r="N381">
            <v>0</v>
          </cell>
          <cell r="O381">
            <v>2.9100000000000001E-2</v>
          </cell>
          <cell r="P381">
            <v>0</v>
          </cell>
          <cell r="Q381">
            <v>0.44490000000000002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9.4200000000000006E-2</v>
          </cell>
          <cell r="Y381">
            <v>0</v>
          </cell>
          <cell r="Z381">
            <v>0</v>
          </cell>
          <cell r="AA381">
            <v>0</v>
          </cell>
          <cell r="AB381">
            <v>0.40697050000000001</v>
          </cell>
        </row>
        <row r="382">
          <cell r="A382">
            <v>14303010</v>
          </cell>
          <cell r="B382" t="str">
            <v>Cheese, cream, light or lite</v>
          </cell>
          <cell r="I382">
            <v>30</v>
          </cell>
          <cell r="J382">
            <v>60.3</v>
          </cell>
          <cell r="K382">
            <v>2.0099999999999998</v>
          </cell>
          <cell r="L382">
            <v>0</v>
          </cell>
          <cell r="M382">
            <v>2.7294</v>
          </cell>
          <cell r="N382">
            <v>0</v>
          </cell>
          <cell r="O382">
            <v>4.4400000000000002E-2</v>
          </cell>
          <cell r="P382">
            <v>0</v>
          </cell>
          <cell r="Q382">
            <v>0.19739999999999999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0.1077</v>
          </cell>
          <cell r="Y382">
            <v>0</v>
          </cell>
          <cell r="Z382">
            <v>0</v>
          </cell>
          <cell r="AA382">
            <v>0</v>
          </cell>
          <cell r="AB382">
            <v>0.1780147</v>
          </cell>
        </row>
        <row r="383">
          <cell r="A383">
            <v>14410100</v>
          </cell>
          <cell r="B383" t="str">
            <v>Cheese, American and Swiss blends</v>
          </cell>
          <cell r="I383">
            <v>30</v>
          </cell>
          <cell r="J383">
            <v>109.8</v>
          </cell>
          <cell r="K383">
            <v>3.6599999999999997</v>
          </cell>
          <cell r="L383">
            <v>0</v>
          </cell>
          <cell r="M383">
            <v>5.4170999999999996</v>
          </cell>
          <cell r="N383">
            <v>0</v>
          </cell>
          <cell r="O383">
            <v>0.3135</v>
          </cell>
          <cell r="P383">
            <v>0</v>
          </cell>
          <cell r="Q383">
            <v>0.38579999999999998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0.50129999999999997</v>
          </cell>
          <cell r="Y383">
            <v>0</v>
          </cell>
          <cell r="Z383">
            <v>0</v>
          </cell>
          <cell r="AA383">
            <v>0</v>
          </cell>
          <cell r="AB383">
            <v>0.34320000000000001</v>
          </cell>
        </row>
        <row r="384">
          <cell r="A384">
            <v>14410110</v>
          </cell>
          <cell r="B384" t="str">
            <v>Cheese, American</v>
          </cell>
          <cell r="I384">
            <v>30</v>
          </cell>
          <cell r="J384">
            <v>92.1</v>
          </cell>
          <cell r="K384">
            <v>3.07</v>
          </cell>
          <cell r="L384">
            <v>0</v>
          </cell>
          <cell r="M384">
            <v>3.8793000000000002</v>
          </cell>
          <cell r="N384">
            <v>0</v>
          </cell>
          <cell r="O384">
            <v>0.41249999999999998</v>
          </cell>
          <cell r="P384">
            <v>0</v>
          </cell>
          <cell r="Q384">
            <v>0.29699999999999999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0.38369999999999999</v>
          </cell>
          <cell r="Y384">
            <v>0</v>
          </cell>
          <cell r="Z384">
            <v>0</v>
          </cell>
          <cell r="AA384">
            <v>0</v>
          </cell>
          <cell r="AB384">
            <v>0.24510000000000001</v>
          </cell>
        </row>
        <row r="385">
          <cell r="A385">
            <v>14410120</v>
          </cell>
          <cell r="B385" t="str">
            <v>Cheese, American, reduced fat</v>
          </cell>
          <cell r="I385">
            <v>30</v>
          </cell>
          <cell r="J385">
            <v>72</v>
          </cell>
          <cell r="K385">
            <v>2.4</v>
          </cell>
          <cell r="L385">
            <v>0</v>
          </cell>
          <cell r="M385">
            <v>2.6549999999999998</v>
          </cell>
          <cell r="N385">
            <v>0</v>
          </cell>
          <cell r="O385">
            <v>0.15870000000000001</v>
          </cell>
          <cell r="P385">
            <v>0</v>
          </cell>
          <cell r="Q385">
            <v>0.123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0.36030000000000001</v>
          </cell>
          <cell r="Y385">
            <v>0</v>
          </cell>
          <cell r="Z385">
            <v>0</v>
          </cell>
          <cell r="AA385">
            <v>0</v>
          </cell>
          <cell r="AB385">
            <v>9.9760000000000001E-2</v>
          </cell>
        </row>
        <row r="386">
          <cell r="A386">
            <v>14410130</v>
          </cell>
          <cell r="B386" t="str">
            <v>Cheese, American, nonfat or fat free</v>
          </cell>
          <cell r="I386">
            <v>30</v>
          </cell>
          <cell r="J386">
            <v>37.799999999999997</v>
          </cell>
          <cell r="K386">
            <v>1.26</v>
          </cell>
          <cell r="L386">
            <v>0</v>
          </cell>
          <cell r="M386">
            <v>0</v>
          </cell>
          <cell r="N386">
            <v>0</v>
          </cell>
          <cell r="O386">
            <v>0.23669999999999999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0.39479999999999998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</row>
        <row r="387">
          <cell r="A387">
            <v>14410210</v>
          </cell>
          <cell r="B387" t="str">
            <v>Cheese, American, reduced sodium</v>
          </cell>
          <cell r="I387">
            <v>30</v>
          </cell>
          <cell r="J387">
            <v>112.8</v>
          </cell>
          <cell r="K387">
            <v>3.76</v>
          </cell>
          <cell r="L387">
            <v>0</v>
          </cell>
          <cell r="M387">
            <v>5.8952999999999998</v>
          </cell>
          <cell r="N387">
            <v>0</v>
          </cell>
          <cell r="O387">
            <v>0.18479999999999999</v>
          </cell>
          <cell r="P387">
            <v>0</v>
          </cell>
          <cell r="Q387">
            <v>0.2964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2.0999999999999999E-3</v>
          </cell>
          <cell r="Y387">
            <v>0</v>
          </cell>
          <cell r="Z387">
            <v>0</v>
          </cell>
          <cell r="AA387">
            <v>0</v>
          </cell>
          <cell r="AB387">
            <v>0.21724299999999999</v>
          </cell>
        </row>
        <row r="388">
          <cell r="A388">
            <v>14410330</v>
          </cell>
          <cell r="B388" t="str">
            <v>Cheese spread, American or Cheddar cheese base, reduced fat</v>
          </cell>
          <cell r="I388">
            <v>30</v>
          </cell>
          <cell r="J388">
            <v>52.8</v>
          </cell>
          <cell r="K388">
            <v>1.76</v>
          </cell>
          <cell r="L388">
            <v>0</v>
          </cell>
          <cell r="M388">
            <v>1.6940999999999999</v>
          </cell>
          <cell r="N388">
            <v>0</v>
          </cell>
          <cell r="O388">
            <v>0.1671</v>
          </cell>
          <cell r="P388">
            <v>0</v>
          </cell>
          <cell r="Q388">
            <v>0.1245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0.3306</v>
          </cell>
          <cell r="Y388">
            <v>0</v>
          </cell>
          <cell r="Z388">
            <v>0</v>
          </cell>
          <cell r="AA388">
            <v>0</v>
          </cell>
          <cell r="AB388">
            <v>9.8100000000000007E-2</v>
          </cell>
        </row>
        <row r="389">
          <cell r="A389">
            <v>14410380</v>
          </cell>
          <cell r="B389" t="str">
            <v>Cheese, processed cream cheese product, nonfat or fat free</v>
          </cell>
          <cell r="I389">
            <v>30</v>
          </cell>
          <cell r="J389">
            <v>31.5</v>
          </cell>
          <cell r="K389">
            <v>1.05</v>
          </cell>
          <cell r="L389">
            <v>0</v>
          </cell>
          <cell r="M389">
            <v>0.19320000000000001</v>
          </cell>
          <cell r="N389">
            <v>0</v>
          </cell>
          <cell r="O389">
            <v>0.1053</v>
          </cell>
          <cell r="P389">
            <v>0</v>
          </cell>
          <cell r="Q389">
            <v>1.7100000000000001E-2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0.21060000000000001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</row>
        <row r="390">
          <cell r="A390">
            <v>14410500</v>
          </cell>
          <cell r="B390" t="str">
            <v>Cheese, processed cheese food</v>
          </cell>
          <cell r="I390">
            <v>30</v>
          </cell>
          <cell r="J390">
            <v>99</v>
          </cell>
          <cell r="K390">
            <v>3.3</v>
          </cell>
          <cell r="L390">
            <v>0</v>
          </cell>
          <cell r="M390">
            <v>4.5171000000000001</v>
          </cell>
          <cell r="N390">
            <v>0</v>
          </cell>
          <cell r="O390">
            <v>0.2046</v>
          </cell>
          <cell r="P390">
            <v>0</v>
          </cell>
          <cell r="Q390">
            <v>0.31469999999999998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0.40875</v>
          </cell>
          <cell r="Y390">
            <v>0</v>
          </cell>
          <cell r="Z390">
            <v>0</v>
          </cell>
          <cell r="AA390">
            <v>0</v>
          </cell>
          <cell r="AB390">
            <v>0.27510000000000001</v>
          </cell>
        </row>
        <row r="391">
          <cell r="A391">
            <v>14410600</v>
          </cell>
          <cell r="B391" t="str">
            <v>Cheese, processed, with vegetables</v>
          </cell>
          <cell r="I391">
            <v>30</v>
          </cell>
          <cell r="J391">
            <v>112.5</v>
          </cell>
          <cell r="K391">
            <v>3.75</v>
          </cell>
          <cell r="L391">
            <v>0.03</v>
          </cell>
          <cell r="M391">
            <v>5.8989000000000003</v>
          </cell>
          <cell r="N391">
            <v>0</v>
          </cell>
          <cell r="O391">
            <v>0.1842</v>
          </cell>
          <cell r="P391">
            <v>0</v>
          </cell>
          <cell r="Q391">
            <v>0.2964</v>
          </cell>
          <cell r="R391">
            <v>0</v>
          </cell>
          <cell r="S391">
            <v>0</v>
          </cell>
          <cell r="T391">
            <v>0</v>
          </cell>
          <cell r="U391">
            <v>0.56999999999999995</v>
          </cell>
          <cell r="V391">
            <v>0</v>
          </cell>
          <cell r="W391">
            <v>0</v>
          </cell>
          <cell r="X391">
            <v>0.27450000000000002</v>
          </cell>
          <cell r="Y391">
            <v>0</v>
          </cell>
          <cell r="Z391">
            <v>0</v>
          </cell>
          <cell r="AA391">
            <v>0</v>
          </cell>
          <cell r="AB391">
            <v>0.21921289999999999</v>
          </cell>
        </row>
        <row r="392">
          <cell r="A392">
            <v>14410620</v>
          </cell>
          <cell r="B392" t="str">
            <v>Cheese,  with wine</v>
          </cell>
          <cell r="I392">
            <v>30</v>
          </cell>
          <cell r="J392">
            <v>99</v>
          </cell>
          <cell r="K392">
            <v>3.3</v>
          </cell>
          <cell r="L392">
            <v>0</v>
          </cell>
          <cell r="M392">
            <v>4.5171000000000001</v>
          </cell>
          <cell r="N392">
            <v>0</v>
          </cell>
          <cell r="O392">
            <v>0.2046</v>
          </cell>
          <cell r="P392">
            <v>0</v>
          </cell>
          <cell r="Q392">
            <v>0.31469999999999998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0.38519999999999999</v>
          </cell>
          <cell r="Y392">
            <v>0</v>
          </cell>
          <cell r="Z392">
            <v>0</v>
          </cell>
          <cell r="AA392">
            <v>0</v>
          </cell>
          <cell r="AB392">
            <v>0.27510000000000001</v>
          </cell>
        </row>
        <row r="393">
          <cell r="A393">
            <v>14420100</v>
          </cell>
          <cell r="B393" t="str">
            <v>Cheese spread, American or Cheddar cheese base</v>
          </cell>
          <cell r="I393">
            <v>30</v>
          </cell>
          <cell r="J393">
            <v>87</v>
          </cell>
          <cell r="K393">
            <v>2.9</v>
          </cell>
          <cell r="L393">
            <v>0</v>
          </cell>
          <cell r="M393">
            <v>3.9981</v>
          </cell>
          <cell r="N393">
            <v>0</v>
          </cell>
          <cell r="O393">
            <v>0.1686</v>
          </cell>
          <cell r="P393">
            <v>0</v>
          </cell>
          <cell r="Q393">
            <v>0.18720000000000001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0.48749999999999999</v>
          </cell>
          <cell r="Y393">
            <v>0</v>
          </cell>
          <cell r="Z393">
            <v>0</v>
          </cell>
          <cell r="AA393">
            <v>0</v>
          </cell>
          <cell r="AB393">
            <v>0.1663067</v>
          </cell>
        </row>
        <row r="394">
          <cell r="A394">
            <v>14420160</v>
          </cell>
          <cell r="B394" t="str">
            <v>Cheese spread, Swiss cheese base</v>
          </cell>
          <cell r="I394">
            <v>30</v>
          </cell>
          <cell r="J394">
            <v>87</v>
          </cell>
          <cell r="K394">
            <v>2.9</v>
          </cell>
          <cell r="L394">
            <v>0</v>
          </cell>
          <cell r="M394">
            <v>3.9981</v>
          </cell>
          <cell r="N394">
            <v>0</v>
          </cell>
          <cell r="O394">
            <v>0.1686</v>
          </cell>
          <cell r="P394">
            <v>0</v>
          </cell>
          <cell r="Q394">
            <v>0.18720000000000001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0.48749999999999999</v>
          </cell>
          <cell r="Y394">
            <v>0</v>
          </cell>
          <cell r="Z394">
            <v>0</v>
          </cell>
          <cell r="AA394">
            <v>0</v>
          </cell>
          <cell r="AB394">
            <v>0.1663538</v>
          </cell>
        </row>
        <row r="395">
          <cell r="A395">
            <v>14420200</v>
          </cell>
          <cell r="B395" t="str">
            <v>Cheese spread, cream cheese, regular</v>
          </cell>
          <cell r="I395">
            <v>30</v>
          </cell>
          <cell r="J395">
            <v>88.5</v>
          </cell>
          <cell r="K395">
            <v>2.95</v>
          </cell>
          <cell r="L395">
            <v>0</v>
          </cell>
          <cell r="M395">
            <v>5.4059999999999997</v>
          </cell>
          <cell r="N395">
            <v>0</v>
          </cell>
          <cell r="O395">
            <v>2.1299999999999999E-2</v>
          </cell>
          <cell r="P395">
            <v>0</v>
          </cell>
          <cell r="Q395">
            <v>0.30990000000000001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0.1308</v>
          </cell>
          <cell r="Y395">
            <v>0</v>
          </cell>
          <cell r="Z395">
            <v>0</v>
          </cell>
          <cell r="AA395">
            <v>0</v>
          </cell>
          <cell r="AB395">
            <v>0.2566214</v>
          </cell>
        </row>
        <row r="396">
          <cell r="A396">
            <v>14420210</v>
          </cell>
          <cell r="B396" t="str">
            <v>Cheese spread, cream cheese, light or lite</v>
          </cell>
          <cell r="I396">
            <v>30</v>
          </cell>
          <cell r="J396">
            <v>60.3</v>
          </cell>
          <cell r="K396">
            <v>2.0099999999999998</v>
          </cell>
          <cell r="L396">
            <v>0</v>
          </cell>
          <cell r="M396">
            <v>2.7294</v>
          </cell>
          <cell r="N396">
            <v>0</v>
          </cell>
          <cell r="O396">
            <v>4.4400000000000002E-2</v>
          </cell>
          <cell r="P396">
            <v>0</v>
          </cell>
          <cell r="Q396">
            <v>0.19739999999999999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0.1077</v>
          </cell>
          <cell r="Y396">
            <v>0</v>
          </cell>
          <cell r="Z396">
            <v>0</v>
          </cell>
          <cell r="AA396">
            <v>0</v>
          </cell>
          <cell r="AB396">
            <v>0.18230740000000001</v>
          </cell>
        </row>
        <row r="397">
          <cell r="A397">
            <v>14420300</v>
          </cell>
          <cell r="B397" t="str">
            <v>Cheese spread, pressurized can</v>
          </cell>
          <cell r="I397">
            <v>30</v>
          </cell>
          <cell r="J397">
            <v>87</v>
          </cell>
          <cell r="K397">
            <v>2.9</v>
          </cell>
          <cell r="L397">
            <v>0</v>
          </cell>
          <cell r="M397">
            <v>3.9981</v>
          </cell>
          <cell r="N397">
            <v>0</v>
          </cell>
          <cell r="O397">
            <v>0.1686</v>
          </cell>
          <cell r="P397">
            <v>0</v>
          </cell>
          <cell r="Q397">
            <v>0.18720000000000001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0.48749999999999999</v>
          </cell>
          <cell r="Y397">
            <v>0</v>
          </cell>
          <cell r="Z397">
            <v>0</v>
          </cell>
          <cell r="AA397">
            <v>0</v>
          </cell>
          <cell r="AB397">
            <v>0.16629070000000001</v>
          </cell>
        </row>
        <row r="398">
          <cell r="A398">
            <v>14502000</v>
          </cell>
          <cell r="B398" t="str">
            <v>Imitation cheese</v>
          </cell>
          <cell r="I398">
            <v>30</v>
          </cell>
          <cell r="J398">
            <v>117</v>
          </cell>
          <cell r="K398">
            <v>3.9</v>
          </cell>
          <cell r="L398">
            <v>0</v>
          </cell>
          <cell r="M398">
            <v>1.7444999999999999</v>
          </cell>
          <cell r="N398">
            <v>0</v>
          </cell>
          <cell r="O398">
            <v>0.21149999999999999</v>
          </cell>
          <cell r="P398">
            <v>0</v>
          </cell>
          <cell r="Q398">
            <v>3.1844999999999999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0.20100000000000001</v>
          </cell>
          <cell r="Y398">
            <v>0</v>
          </cell>
          <cell r="Z398">
            <v>0</v>
          </cell>
          <cell r="AA398">
            <v>0</v>
          </cell>
          <cell r="AB398">
            <v>0.13851479999999999</v>
          </cell>
        </row>
        <row r="399">
          <cell r="A399">
            <v>14610210</v>
          </cell>
          <cell r="B399" t="str">
            <v>Cheese, cottage cheese, with gelatin dessert and fruit</v>
          </cell>
          <cell r="I399">
            <v>110</v>
          </cell>
          <cell r="J399">
            <v>86.544792000000001</v>
          </cell>
          <cell r="K399">
            <v>0.78677083636363643</v>
          </cell>
          <cell r="L399">
            <v>0.35520829999999998</v>
          </cell>
          <cell r="M399">
            <v>0.69254170000000004</v>
          </cell>
          <cell r="N399">
            <v>0</v>
          </cell>
          <cell r="O399">
            <v>3.6449000000000002E-2</v>
          </cell>
          <cell r="P399">
            <v>0</v>
          </cell>
          <cell r="Q399">
            <v>6.03396E-2</v>
          </cell>
          <cell r="R399">
            <v>0</v>
          </cell>
          <cell r="S399">
            <v>0</v>
          </cell>
          <cell r="T399">
            <v>23.088542</v>
          </cell>
          <cell r="U399">
            <v>0</v>
          </cell>
          <cell r="V399">
            <v>0</v>
          </cell>
          <cell r="W399">
            <v>0</v>
          </cell>
          <cell r="X399">
            <v>0.17389170000000001</v>
          </cell>
          <cell r="Y399">
            <v>0</v>
          </cell>
          <cell r="Z399">
            <v>0</v>
          </cell>
          <cell r="AA399">
            <v>0</v>
          </cell>
          <cell r="AB399">
            <v>0.1089828</v>
          </cell>
        </row>
        <row r="400">
          <cell r="A400">
            <v>14610520</v>
          </cell>
          <cell r="B400" t="str">
            <v>Cheese with nuts</v>
          </cell>
          <cell r="I400">
            <v>30</v>
          </cell>
          <cell r="J400">
            <v>127.19243</v>
          </cell>
          <cell r="K400">
            <v>4.2397476666666671</v>
          </cell>
          <cell r="L400">
            <v>2.59706E-2</v>
          </cell>
          <cell r="M400">
            <v>4.3429744000000001</v>
          </cell>
          <cell r="N400">
            <v>0</v>
          </cell>
          <cell r="O400">
            <v>0.1182995</v>
          </cell>
          <cell r="P400">
            <v>0.42182579999999997</v>
          </cell>
          <cell r="Q400">
            <v>3.3729694000000001</v>
          </cell>
          <cell r="R400">
            <v>0</v>
          </cell>
          <cell r="S400">
            <v>0</v>
          </cell>
          <cell r="T400">
            <v>0</v>
          </cell>
          <cell r="U400">
            <v>0.77905559999999996</v>
          </cell>
          <cell r="V400">
            <v>0</v>
          </cell>
          <cell r="W400">
            <v>0</v>
          </cell>
          <cell r="X400">
            <v>0.16376560000000001</v>
          </cell>
          <cell r="Y400">
            <v>6.2917366000000001</v>
          </cell>
          <cell r="Z400">
            <v>0</v>
          </cell>
          <cell r="AA400">
            <v>1.4243421000000001</v>
          </cell>
          <cell r="AB400">
            <v>0.2294486</v>
          </cell>
        </row>
        <row r="401">
          <cell r="A401">
            <v>14620100</v>
          </cell>
          <cell r="B401" t="str">
            <v>Dip, cream cheese base</v>
          </cell>
          <cell r="I401">
            <v>30</v>
          </cell>
          <cell r="J401">
            <v>105.35536999999999</v>
          </cell>
          <cell r="K401">
            <v>3.5118456666666664</v>
          </cell>
          <cell r="L401">
            <v>7.8545999999999998E-3</v>
          </cell>
          <cell r="M401">
            <v>5.2484677</v>
          </cell>
          <cell r="N401">
            <v>0</v>
          </cell>
          <cell r="O401">
            <v>2.6350800000000001E-2</v>
          </cell>
          <cell r="P401">
            <v>0</v>
          </cell>
          <cell r="Q401">
            <v>1.6391311</v>
          </cell>
          <cell r="R401">
            <v>0</v>
          </cell>
          <cell r="S401">
            <v>0</v>
          </cell>
          <cell r="T401">
            <v>0</v>
          </cell>
          <cell r="U401">
            <v>0.46203539999999998</v>
          </cell>
          <cell r="V401">
            <v>0</v>
          </cell>
          <cell r="W401">
            <v>0</v>
          </cell>
          <cell r="X401">
            <v>0.18186930000000001</v>
          </cell>
          <cell r="Y401">
            <v>0</v>
          </cell>
          <cell r="Z401">
            <v>0</v>
          </cell>
          <cell r="AA401">
            <v>0</v>
          </cell>
          <cell r="AB401">
            <v>0.33905469999999999</v>
          </cell>
        </row>
        <row r="402">
          <cell r="A402">
            <v>14620110</v>
          </cell>
          <cell r="B402" t="str">
            <v>Artichoke dip</v>
          </cell>
          <cell r="I402">
            <v>30</v>
          </cell>
          <cell r="J402">
            <v>99.099338000000003</v>
          </cell>
          <cell r="K402">
            <v>3.3033112666666669</v>
          </cell>
          <cell r="L402">
            <v>0.2384106</v>
          </cell>
          <cell r="M402">
            <v>2.4811787999999999</v>
          </cell>
          <cell r="N402">
            <v>0</v>
          </cell>
          <cell r="O402">
            <v>2.9531100000000001E-2</v>
          </cell>
          <cell r="P402">
            <v>0</v>
          </cell>
          <cell r="Q402">
            <v>4.5578940000000001</v>
          </cell>
          <cell r="R402">
            <v>0</v>
          </cell>
          <cell r="S402">
            <v>0</v>
          </cell>
          <cell r="T402">
            <v>0</v>
          </cell>
          <cell r="U402">
            <v>7.9470198999999999</v>
          </cell>
          <cell r="V402">
            <v>0</v>
          </cell>
          <cell r="W402">
            <v>0</v>
          </cell>
          <cell r="X402">
            <v>0.18122779999999999</v>
          </cell>
          <cell r="Y402">
            <v>0</v>
          </cell>
          <cell r="Z402">
            <v>0</v>
          </cell>
          <cell r="AA402">
            <v>0</v>
          </cell>
          <cell r="AB402">
            <v>0.115053</v>
          </cell>
        </row>
        <row r="403">
          <cell r="A403">
            <v>14620115</v>
          </cell>
          <cell r="B403" t="str">
            <v>Spinach and artichoke dip</v>
          </cell>
          <cell r="I403">
            <v>30</v>
          </cell>
          <cell r="J403">
            <v>98.701987000000003</v>
          </cell>
          <cell r="K403">
            <v>3.2900662333333335</v>
          </cell>
          <cell r="L403">
            <v>0.32980130000000002</v>
          </cell>
          <cell r="M403">
            <v>2.4861854000000001</v>
          </cell>
          <cell r="N403">
            <v>0</v>
          </cell>
          <cell r="O403">
            <v>3.4736400000000001E-2</v>
          </cell>
          <cell r="P403">
            <v>0</v>
          </cell>
          <cell r="Q403">
            <v>4.5697350999999999</v>
          </cell>
          <cell r="R403">
            <v>0</v>
          </cell>
          <cell r="S403">
            <v>0</v>
          </cell>
          <cell r="T403">
            <v>0</v>
          </cell>
          <cell r="U403">
            <v>7.9470198999999999</v>
          </cell>
          <cell r="V403">
            <v>0</v>
          </cell>
          <cell r="W403">
            <v>0</v>
          </cell>
          <cell r="X403">
            <v>0.18496290000000001</v>
          </cell>
          <cell r="Y403">
            <v>0</v>
          </cell>
          <cell r="Z403">
            <v>0</v>
          </cell>
          <cell r="AA403">
            <v>0</v>
          </cell>
          <cell r="AB403">
            <v>0.115053</v>
          </cell>
        </row>
        <row r="404">
          <cell r="A404">
            <v>14620120</v>
          </cell>
          <cell r="B404" t="str">
            <v>Shrimp dip, cream cheese base</v>
          </cell>
          <cell r="I404">
            <v>30</v>
          </cell>
          <cell r="J404">
            <v>77.721284999999995</v>
          </cell>
          <cell r="K404">
            <v>2.5907095</v>
          </cell>
          <cell r="L404">
            <v>8.7705099999999994E-2</v>
          </cell>
          <cell r="M404">
            <v>3.4185371999999998</v>
          </cell>
          <cell r="N404">
            <v>4.28493E-2</v>
          </cell>
          <cell r="O404">
            <v>2.8070899999999999E-2</v>
          </cell>
          <cell r="P404">
            <v>0</v>
          </cell>
          <cell r="Q404">
            <v>1.1420452999999999</v>
          </cell>
          <cell r="R404">
            <v>0</v>
          </cell>
          <cell r="S404">
            <v>0</v>
          </cell>
          <cell r="T404">
            <v>0</v>
          </cell>
          <cell r="U404">
            <v>4.4995979000000004</v>
          </cell>
          <cell r="V404">
            <v>0</v>
          </cell>
          <cell r="W404">
            <v>0</v>
          </cell>
          <cell r="X404">
            <v>0.13294829999999999</v>
          </cell>
          <cell r="Y404">
            <v>0</v>
          </cell>
          <cell r="Z404">
            <v>0</v>
          </cell>
          <cell r="AA404">
            <v>0</v>
          </cell>
          <cell r="AB404">
            <v>0.20660100000000001</v>
          </cell>
        </row>
        <row r="405">
          <cell r="A405">
            <v>14620130</v>
          </cell>
          <cell r="B405" t="str">
            <v>Seafood dip</v>
          </cell>
          <cell r="I405">
            <v>30</v>
          </cell>
          <cell r="J405">
            <v>101.28476999999999</v>
          </cell>
          <cell r="K405">
            <v>3.3761589999999999</v>
          </cell>
          <cell r="L405">
            <v>5.5629100000000001E-2</v>
          </cell>
          <cell r="M405">
            <v>2.4839205</v>
          </cell>
          <cell r="N405">
            <v>2.1655600000000001E-2</v>
          </cell>
          <cell r="O405">
            <v>3.4458299999999997E-2</v>
          </cell>
          <cell r="P405">
            <v>0</v>
          </cell>
          <cell r="Q405">
            <v>4.5764901</v>
          </cell>
          <cell r="R405">
            <v>0</v>
          </cell>
          <cell r="S405">
            <v>0</v>
          </cell>
          <cell r="T405">
            <v>0</v>
          </cell>
          <cell r="U405">
            <v>3.9735098999999998</v>
          </cell>
          <cell r="V405">
            <v>0</v>
          </cell>
          <cell r="W405">
            <v>0</v>
          </cell>
          <cell r="X405">
            <v>0.2136914</v>
          </cell>
          <cell r="Y405">
            <v>0</v>
          </cell>
          <cell r="Z405">
            <v>0</v>
          </cell>
          <cell r="AA405">
            <v>0</v>
          </cell>
          <cell r="AB405">
            <v>0.115053</v>
          </cell>
        </row>
        <row r="406">
          <cell r="A406">
            <v>14620150</v>
          </cell>
          <cell r="B406" t="str">
            <v>Cheese dip with chili pepper</v>
          </cell>
          <cell r="I406">
            <v>30</v>
          </cell>
          <cell r="J406">
            <v>42.9</v>
          </cell>
          <cell r="K406">
            <v>1.43</v>
          </cell>
          <cell r="L406">
            <v>0.21</v>
          </cell>
          <cell r="M406">
            <v>0.74729999999999996</v>
          </cell>
          <cell r="N406">
            <v>0</v>
          </cell>
          <cell r="O406">
            <v>2.9399999999999999E-2</v>
          </cell>
          <cell r="P406">
            <v>0</v>
          </cell>
          <cell r="Q406">
            <v>1.0929</v>
          </cell>
          <cell r="R406">
            <v>0</v>
          </cell>
          <cell r="S406">
            <v>0</v>
          </cell>
          <cell r="T406">
            <v>0</v>
          </cell>
          <cell r="U406">
            <v>7.35</v>
          </cell>
          <cell r="V406">
            <v>0</v>
          </cell>
          <cell r="W406">
            <v>0</v>
          </cell>
          <cell r="X406">
            <v>0.23880000000000001</v>
          </cell>
          <cell r="Y406">
            <v>0</v>
          </cell>
          <cell r="Z406">
            <v>0</v>
          </cell>
          <cell r="AA406">
            <v>0</v>
          </cell>
          <cell r="AB406">
            <v>2.9100000000000001E-2</v>
          </cell>
        </row>
        <row r="407">
          <cell r="A407">
            <v>14620200</v>
          </cell>
          <cell r="B407" t="str">
            <v>Cheese dip</v>
          </cell>
          <cell r="I407">
            <v>30</v>
          </cell>
          <cell r="J407">
            <v>48.030119999999997</v>
          </cell>
          <cell r="K407">
            <v>1.6010039999999999</v>
          </cell>
          <cell r="L407">
            <v>0</v>
          </cell>
          <cell r="M407">
            <v>0.92997569999999996</v>
          </cell>
          <cell r="N407">
            <v>0</v>
          </cell>
          <cell r="O407">
            <v>2.18695E-2</v>
          </cell>
          <cell r="P407">
            <v>7.8372200000000003E-2</v>
          </cell>
          <cell r="Q407">
            <v>1.3023343999999999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0.19551379999999999</v>
          </cell>
          <cell r="Y407">
            <v>0</v>
          </cell>
          <cell r="Z407">
            <v>0</v>
          </cell>
          <cell r="AA407">
            <v>0</v>
          </cell>
          <cell r="AB407">
            <v>0.1224184</v>
          </cell>
        </row>
        <row r="408">
          <cell r="A408">
            <v>14620300</v>
          </cell>
          <cell r="B408" t="str">
            <v>Topping from cheese pizza</v>
          </cell>
          <cell r="I408">
            <v>30</v>
          </cell>
          <cell r="J408">
            <v>54.835878000000001</v>
          </cell>
          <cell r="K408">
            <v>1.8278626</v>
          </cell>
          <cell r="L408">
            <v>0.2473282</v>
          </cell>
          <cell r="M408">
            <v>1.8664695</v>
          </cell>
          <cell r="N408">
            <v>0</v>
          </cell>
          <cell r="O408">
            <v>0.11690150000000001</v>
          </cell>
          <cell r="P408">
            <v>0</v>
          </cell>
          <cell r="Q408">
            <v>0.258158</v>
          </cell>
          <cell r="R408">
            <v>0</v>
          </cell>
          <cell r="S408">
            <v>0</v>
          </cell>
          <cell r="T408">
            <v>0</v>
          </cell>
          <cell r="U408">
            <v>13.544244000000001</v>
          </cell>
          <cell r="V408">
            <v>0</v>
          </cell>
          <cell r="W408">
            <v>0</v>
          </cell>
          <cell r="X408">
            <v>0.1683344</v>
          </cell>
          <cell r="Y408">
            <v>0</v>
          </cell>
          <cell r="Z408">
            <v>0</v>
          </cell>
          <cell r="AA408">
            <v>0</v>
          </cell>
          <cell r="AB408">
            <v>0.1180305</v>
          </cell>
        </row>
        <row r="409">
          <cell r="A409">
            <v>14620330</v>
          </cell>
          <cell r="B409" t="str">
            <v>Topping from meat and vegetable pizza</v>
          </cell>
          <cell r="I409">
            <v>30</v>
          </cell>
          <cell r="J409">
            <v>64.069317999999996</v>
          </cell>
          <cell r="K409">
            <v>2.1356439333333332</v>
          </cell>
          <cell r="L409">
            <v>0.2069318</v>
          </cell>
          <cell r="M409">
            <v>2.0348290000000002</v>
          </cell>
          <cell r="N409">
            <v>0</v>
          </cell>
          <cell r="O409">
            <v>6.0765300000000001E-2</v>
          </cell>
          <cell r="P409">
            <v>5.6249999999999998E-3</v>
          </cell>
          <cell r="Q409">
            <v>0.46603240000000001</v>
          </cell>
          <cell r="R409">
            <v>0</v>
          </cell>
          <cell r="S409">
            <v>0</v>
          </cell>
          <cell r="T409">
            <v>0</v>
          </cell>
          <cell r="U409">
            <v>13.198091</v>
          </cell>
          <cell r="V409">
            <v>0</v>
          </cell>
          <cell r="W409">
            <v>0</v>
          </cell>
          <cell r="X409">
            <v>0.173125</v>
          </cell>
          <cell r="Y409">
            <v>0</v>
          </cell>
          <cell r="Z409">
            <v>0</v>
          </cell>
          <cell r="AA409">
            <v>6.1696688000000002</v>
          </cell>
          <cell r="AB409">
            <v>0.17839859999999999</v>
          </cell>
        </row>
        <row r="410">
          <cell r="A410">
            <v>14630100</v>
          </cell>
          <cell r="B410" t="str">
            <v>Cheese fondue</v>
          </cell>
          <cell r="I410">
            <v>30</v>
          </cell>
          <cell r="J410">
            <v>78.718676000000002</v>
          </cell>
          <cell r="K410">
            <v>2.6239558666666669</v>
          </cell>
          <cell r="L410">
            <v>0</v>
          </cell>
          <cell r="M410">
            <v>3.5407315000000001</v>
          </cell>
          <cell r="N410">
            <v>0</v>
          </cell>
          <cell r="O410">
            <v>0.18220890000000001</v>
          </cell>
          <cell r="P410">
            <v>9.3092000000000001E-3</v>
          </cell>
          <cell r="Q410">
            <v>0.2944387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8.6631899999999998E-2</v>
          </cell>
          <cell r="Y410">
            <v>0</v>
          </cell>
          <cell r="Z410">
            <v>0</v>
          </cell>
          <cell r="AA410">
            <v>0</v>
          </cell>
          <cell r="AB410">
            <v>0.12903680000000001</v>
          </cell>
        </row>
        <row r="411">
          <cell r="A411">
            <v>14640002</v>
          </cell>
          <cell r="B411" t="str">
            <v>Cheese sandwich, American cheese, on white bread, no spread</v>
          </cell>
          <cell r="I411">
            <v>140</v>
          </cell>
          <cell r="J411">
            <v>396.03528999999997</v>
          </cell>
          <cell r="K411">
            <v>2.8288234999999999</v>
          </cell>
          <cell r="L411">
            <v>0</v>
          </cell>
          <cell r="M411">
            <v>8.0291647000000008</v>
          </cell>
          <cell r="N411">
            <v>0</v>
          </cell>
          <cell r="O411">
            <v>0.91123529999999997</v>
          </cell>
          <cell r="P411">
            <v>2.2235293999999999</v>
          </cell>
          <cell r="Q411">
            <v>1.89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1.1408353</v>
          </cell>
          <cell r="Y411">
            <v>0</v>
          </cell>
          <cell r="Z411">
            <v>0</v>
          </cell>
          <cell r="AA411">
            <v>0</v>
          </cell>
          <cell r="AB411">
            <v>0.49321179999999998</v>
          </cell>
        </row>
        <row r="412">
          <cell r="A412">
            <v>14640004</v>
          </cell>
          <cell r="B412" t="str">
            <v>Cheese sandwich, American cheese, on wheat bread, no spread</v>
          </cell>
          <cell r="I412">
            <v>140</v>
          </cell>
          <cell r="J412">
            <v>393.44117999999997</v>
          </cell>
          <cell r="K412">
            <v>2.8102941428571429</v>
          </cell>
          <cell r="L412">
            <v>3.3787698000000002</v>
          </cell>
          <cell r="M412">
            <v>8.0442765000000005</v>
          </cell>
          <cell r="N412">
            <v>0</v>
          </cell>
          <cell r="O412">
            <v>0.9250294</v>
          </cell>
          <cell r="P412">
            <v>1.0600537999999999</v>
          </cell>
          <cell r="Q412">
            <v>1.8552059000000001</v>
          </cell>
          <cell r="R412">
            <v>28.467765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1.1196294</v>
          </cell>
          <cell r="Y412">
            <v>8.1714700000000001E-2</v>
          </cell>
          <cell r="Z412">
            <v>0</v>
          </cell>
          <cell r="AA412">
            <v>0</v>
          </cell>
          <cell r="AB412">
            <v>0.57565949999999999</v>
          </cell>
        </row>
        <row r="413">
          <cell r="A413">
            <v>14640006</v>
          </cell>
          <cell r="B413" t="str">
            <v>Cheese sandwich, American cheese, on whole wheat bread, no spread</v>
          </cell>
          <cell r="I413">
            <v>140</v>
          </cell>
          <cell r="J413">
            <v>393.44117999999997</v>
          </cell>
          <cell r="K413">
            <v>2.8102941428571429</v>
          </cell>
          <cell r="L413">
            <v>3.3787698000000002</v>
          </cell>
          <cell r="M413">
            <v>8.0442765000000005</v>
          </cell>
          <cell r="N413">
            <v>0</v>
          </cell>
          <cell r="O413">
            <v>0.9250294</v>
          </cell>
          <cell r="P413">
            <v>1.0600537999999999</v>
          </cell>
          <cell r="Q413">
            <v>1.8552059000000001</v>
          </cell>
          <cell r="R413">
            <v>28.467765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1.1196294</v>
          </cell>
          <cell r="Y413">
            <v>8.1714700000000001E-2</v>
          </cell>
          <cell r="Z413">
            <v>0</v>
          </cell>
          <cell r="AA413">
            <v>0</v>
          </cell>
          <cell r="AB413">
            <v>0.57530669999999995</v>
          </cell>
        </row>
        <row r="414">
          <cell r="A414">
            <v>14640008</v>
          </cell>
          <cell r="B414" t="str">
            <v>Cheese sandwich, Cheddar cheese, on white bread, no spread</v>
          </cell>
          <cell r="I414">
            <v>140</v>
          </cell>
          <cell r="J414">
            <v>451.95294000000001</v>
          </cell>
          <cell r="K414">
            <v>3.2282352857142858</v>
          </cell>
          <cell r="L414">
            <v>0</v>
          </cell>
          <cell r="M414">
            <v>11.451093999999999</v>
          </cell>
          <cell r="N414">
            <v>0</v>
          </cell>
          <cell r="O414">
            <v>0.52788239999999997</v>
          </cell>
          <cell r="P414">
            <v>2.2235293999999999</v>
          </cell>
          <cell r="Q414">
            <v>2.1384588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0.77996469999999996</v>
          </cell>
          <cell r="Y414">
            <v>0</v>
          </cell>
          <cell r="Z414">
            <v>0</v>
          </cell>
          <cell r="AA414">
            <v>0</v>
          </cell>
          <cell r="AB414">
            <v>0.55085879999999998</v>
          </cell>
        </row>
        <row r="415">
          <cell r="A415">
            <v>14640010</v>
          </cell>
          <cell r="B415" t="str">
            <v>Cheese sandwich, Cheddar cheese, on wheat bread, no spread</v>
          </cell>
          <cell r="I415">
            <v>140</v>
          </cell>
          <cell r="J415">
            <v>449.35881999999998</v>
          </cell>
          <cell r="K415">
            <v>3.2097058571428572</v>
          </cell>
          <cell r="L415">
            <v>3.3787698000000002</v>
          </cell>
          <cell r="M415">
            <v>11.466206</v>
          </cell>
          <cell r="N415">
            <v>0</v>
          </cell>
          <cell r="O415">
            <v>0.54167650000000001</v>
          </cell>
          <cell r="P415">
            <v>1.0600537999999999</v>
          </cell>
          <cell r="Q415">
            <v>2.1036646999999999</v>
          </cell>
          <cell r="R415">
            <v>28.467765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0.75875879999999996</v>
          </cell>
          <cell r="Y415">
            <v>8.1714700000000001E-2</v>
          </cell>
          <cell r="Z415">
            <v>0</v>
          </cell>
          <cell r="AA415">
            <v>0</v>
          </cell>
          <cell r="AB415">
            <v>0.84361350000000002</v>
          </cell>
        </row>
        <row r="416">
          <cell r="A416">
            <v>14640012</v>
          </cell>
          <cell r="B416" t="str">
            <v>Cheese sandwich, Cheddar cheese, on whole wheat bread, no spread</v>
          </cell>
          <cell r="I416">
            <v>140</v>
          </cell>
          <cell r="J416">
            <v>449.35881999999998</v>
          </cell>
          <cell r="K416">
            <v>3.2097058571428572</v>
          </cell>
          <cell r="L416">
            <v>3.3787698000000002</v>
          </cell>
          <cell r="M416">
            <v>11.466206</v>
          </cell>
          <cell r="N416">
            <v>0</v>
          </cell>
          <cell r="O416">
            <v>0.54167650000000001</v>
          </cell>
          <cell r="P416">
            <v>1.0600537999999999</v>
          </cell>
          <cell r="Q416">
            <v>2.1036646999999999</v>
          </cell>
          <cell r="R416">
            <v>28.467765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0.75875879999999996</v>
          </cell>
          <cell r="Y416">
            <v>8.1714700000000001E-2</v>
          </cell>
          <cell r="Z416">
            <v>0</v>
          </cell>
          <cell r="AA416">
            <v>0</v>
          </cell>
          <cell r="AB416">
            <v>0.84384930000000002</v>
          </cell>
        </row>
        <row r="417">
          <cell r="A417">
            <v>14640014</v>
          </cell>
          <cell r="B417" t="str">
            <v>Cheese sandwich, reduced fat American cheese, on white bread, no spread</v>
          </cell>
          <cell r="I417">
            <v>140</v>
          </cell>
          <cell r="J417">
            <v>357.41176000000002</v>
          </cell>
          <cell r="K417">
            <v>2.5529411428571431</v>
          </cell>
          <cell r="L417">
            <v>0</v>
          </cell>
          <cell r="M417">
            <v>5.6765882000000003</v>
          </cell>
          <cell r="N417">
            <v>0</v>
          </cell>
          <cell r="O417">
            <v>0.42354120000000001</v>
          </cell>
          <cell r="P417">
            <v>2.2235293999999999</v>
          </cell>
          <cell r="Q417">
            <v>1.5556471000000001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1.0958706</v>
          </cell>
          <cell r="Y417">
            <v>0</v>
          </cell>
          <cell r="Z417">
            <v>0</v>
          </cell>
          <cell r="AA417">
            <v>0</v>
          </cell>
          <cell r="AB417">
            <v>0.21117610000000001</v>
          </cell>
        </row>
        <row r="418">
          <cell r="A418">
            <v>14640024</v>
          </cell>
          <cell r="B418" t="str">
            <v>Cheese sandwich, reduced fat Cheddar cheese, on whole wheat bread, no spread</v>
          </cell>
          <cell r="I418">
            <v>140</v>
          </cell>
          <cell r="J418">
            <v>394.59411999999998</v>
          </cell>
          <cell r="K418">
            <v>2.8185294285714284</v>
          </cell>
          <cell r="L418">
            <v>3.3787698000000002</v>
          </cell>
          <cell r="M418">
            <v>7.8546176000000001</v>
          </cell>
          <cell r="N418">
            <v>0</v>
          </cell>
          <cell r="O418">
            <v>0.57107649999999999</v>
          </cell>
          <cell r="P418">
            <v>1.0600537999999999</v>
          </cell>
          <cell r="Q418">
            <v>1.7992881999999999</v>
          </cell>
          <cell r="R418">
            <v>28.467765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0.74434710000000004</v>
          </cell>
          <cell r="Y418">
            <v>8.1714700000000001E-2</v>
          </cell>
          <cell r="Z418">
            <v>0</v>
          </cell>
          <cell r="AA418">
            <v>0</v>
          </cell>
          <cell r="AB418">
            <v>0.44182349999999998</v>
          </cell>
        </row>
        <row r="419">
          <cell r="A419">
            <v>14640026</v>
          </cell>
          <cell r="B419" t="str">
            <v>Cheese sandwich, American cheese, on white bread, with mayonnaise</v>
          </cell>
          <cell r="I419">
            <v>140</v>
          </cell>
          <cell r="J419">
            <v>463.13448</v>
          </cell>
          <cell r="K419">
            <v>3.3081034285714286</v>
          </cell>
          <cell r="L419">
            <v>-3.1100000000000002E-16</v>
          </cell>
          <cell r="M419">
            <v>9.0375309999999995</v>
          </cell>
          <cell r="N419">
            <v>0</v>
          </cell>
          <cell r="O419">
            <v>0.8026103</v>
          </cell>
          <cell r="P419">
            <v>1.9551723999999999</v>
          </cell>
          <cell r="Q419">
            <v>9.2129654999999993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1.1104414</v>
          </cell>
          <cell r="Y419">
            <v>0</v>
          </cell>
          <cell r="Z419">
            <v>0</v>
          </cell>
          <cell r="AA419">
            <v>0</v>
          </cell>
          <cell r="AB419">
            <v>0.4652828</v>
          </cell>
        </row>
        <row r="420">
          <cell r="A420">
            <v>14640032</v>
          </cell>
          <cell r="B420" t="str">
            <v>Cheese sandwich, Cheddar cheese, on white bread, with mayonnaise</v>
          </cell>
          <cell r="I420">
            <v>140</v>
          </cell>
          <cell r="J420">
            <v>512.30345</v>
          </cell>
          <cell r="K420">
            <v>3.6593103571428571</v>
          </cell>
          <cell r="L420">
            <v>-3.1100000000000002E-16</v>
          </cell>
          <cell r="M420">
            <v>12.046469</v>
          </cell>
          <cell r="N420">
            <v>0</v>
          </cell>
          <cell r="O420">
            <v>0.4655241</v>
          </cell>
          <cell r="P420">
            <v>1.9551723999999999</v>
          </cell>
          <cell r="Q420">
            <v>9.4314379000000006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0.7931241</v>
          </cell>
          <cell r="Y420">
            <v>0</v>
          </cell>
          <cell r="Z420">
            <v>0</v>
          </cell>
          <cell r="AA420">
            <v>0</v>
          </cell>
          <cell r="AB420">
            <v>0.5159724</v>
          </cell>
        </row>
        <row r="421">
          <cell r="A421">
            <v>14640034</v>
          </cell>
          <cell r="B421" t="str">
            <v>Cheese sandwich, Cheddar cheese, on wheat bread, with mayonnaise</v>
          </cell>
          <cell r="I421">
            <v>140</v>
          </cell>
          <cell r="J421">
            <v>510.02240999999998</v>
          </cell>
          <cell r="K421">
            <v>3.643017214285714</v>
          </cell>
          <cell r="L421">
            <v>2.9709872000000002</v>
          </cell>
          <cell r="M421">
            <v>12.059756999999999</v>
          </cell>
          <cell r="N421">
            <v>0</v>
          </cell>
          <cell r="O421">
            <v>0.47765340000000001</v>
          </cell>
          <cell r="P421">
            <v>0.93211619999999995</v>
          </cell>
          <cell r="Q421">
            <v>9.4008430999999995</v>
          </cell>
          <cell r="R421">
            <v>25.032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0.77447759999999999</v>
          </cell>
          <cell r="Y421">
            <v>7.1852600000000003E-2</v>
          </cell>
          <cell r="Z421">
            <v>0</v>
          </cell>
          <cell r="AA421">
            <v>0</v>
          </cell>
          <cell r="AB421">
            <v>0.72383350000000002</v>
          </cell>
        </row>
        <row r="422">
          <cell r="A422">
            <v>14640050</v>
          </cell>
          <cell r="B422" t="str">
            <v>Cheese sandwich, American cheese, on white bread, with butter</v>
          </cell>
          <cell r="I422">
            <v>140</v>
          </cell>
          <cell r="J422">
            <v>456.95033999999998</v>
          </cell>
          <cell r="K422">
            <v>3.2639309999999999</v>
          </cell>
          <cell r="L422">
            <v>-3.1100000000000002E-16</v>
          </cell>
          <cell r="M422">
            <v>13.084626999999999</v>
          </cell>
          <cell r="N422">
            <v>0</v>
          </cell>
          <cell r="O422">
            <v>0.80511100000000002</v>
          </cell>
          <cell r="P422">
            <v>1.9551723999999999</v>
          </cell>
          <cell r="Q422">
            <v>3.7598737999999998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1.1142093</v>
          </cell>
          <cell r="Y422">
            <v>0</v>
          </cell>
          <cell r="Z422">
            <v>0</v>
          </cell>
          <cell r="AA422">
            <v>0</v>
          </cell>
          <cell r="AB422">
            <v>1.0136434000000001</v>
          </cell>
        </row>
        <row r="423">
          <cell r="A423">
            <v>14640056</v>
          </cell>
          <cell r="B423" t="str">
            <v>Cheese sandwich, Cheddar cheese, on white bread, with butter</v>
          </cell>
          <cell r="I423">
            <v>140</v>
          </cell>
          <cell r="J423">
            <v>506.11930999999998</v>
          </cell>
          <cell r="K423">
            <v>3.6151379285714285</v>
          </cell>
          <cell r="L423">
            <v>-3.1100000000000002E-16</v>
          </cell>
          <cell r="M423">
            <v>16.093565000000002</v>
          </cell>
          <cell r="N423">
            <v>0</v>
          </cell>
          <cell r="O423">
            <v>0.46802480000000002</v>
          </cell>
          <cell r="P423">
            <v>1.9551723999999999</v>
          </cell>
          <cell r="Q423">
            <v>3.9783461999999998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0.79689209999999999</v>
          </cell>
          <cell r="Y423">
            <v>0</v>
          </cell>
          <cell r="Z423">
            <v>0</v>
          </cell>
          <cell r="AA423">
            <v>0</v>
          </cell>
          <cell r="AB423">
            <v>1.0643331</v>
          </cell>
        </row>
        <row r="424">
          <cell r="A424">
            <v>14640060</v>
          </cell>
          <cell r="B424" t="str">
            <v>Cheese sandwich, Cheddar cheese, on whole wheat bread, with butter</v>
          </cell>
          <cell r="I424">
            <v>140</v>
          </cell>
          <cell r="J424">
            <v>503.83828</v>
          </cell>
          <cell r="K424">
            <v>3.5988448571428573</v>
          </cell>
          <cell r="L424">
            <v>2.9709872000000002</v>
          </cell>
          <cell r="M424">
            <v>16.106853000000001</v>
          </cell>
          <cell r="N424">
            <v>0</v>
          </cell>
          <cell r="O424">
            <v>0.48015409999999997</v>
          </cell>
          <cell r="P424">
            <v>0.93211619999999995</v>
          </cell>
          <cell r="Q424">
            <v>3.9477514</v>
          </cell>
          <cell r="R424">
            <v>25.032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0.77824550000000003</v>
          </cell>
          <cell r="Y424">
            <v>7.1852600000000003E-2</v>
          </cell>
          <cell r="Z424">
            <v>0</v>
          </cell>
          <cell r="AA424">
            <v>0</v>
          </cell>
          <cell r="AB424">
            <v>1.2009662999999999</v>
          </cell>
        </row>
        <row r="425">
          <cell r="A425">
            <v>14640105</v>
          </cell>
          <cell r="B425" t="str">
            <v>Grilled cheese sandwich, American cheese, on white bread</v>
          </cell>
          <cell r="I425">
            <v>140</v>
          </cell>
          <cell r="J425">
            <v>456.95033999999998</v>
          </cell>
          <cell r="K425">
            <v>3.2639309999999999</v>
          </cell>
          <cell r="L425">
            <v>-3.1100000000000002E-16</v>
          </cell>
          <cell r="M425">
            <v>13.084626999999999</v>
          </cell>
          <cell r="N425">
            <v>0</v>
          </cell>
          <cell r="O425">
            <v>0.80511100000000002</v>
          </cell>
          <cell r="P425">
            <v>1.9551723999999999</v>
          </cell>
          <cell r="Q425">
            <v>3.7598737999999998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1.1142093</v>
          </cell>
          <cell r="Y425">
            <v>0</v>
          </cell>
          <cell r="Z425">
            <v>0</v>
          </cell>
          <cell r="AA425">
            <v>0</v>
          </cell>
          <cell r="AB425">
            <v>1.0136434000000001</v>
          </cell>
        </row>
        <row r="426">
          <cell r="A426">
            <v>14640110</v>
          </cell>
          <cell r="B426" t="str">
            <v>Grilled cheese sandwich, American cheese, on wheat bread</v>
          </cell>
          <cell r="I426">
            <v>140</v>
          </cell>
          <cell r="J426">
            <v>454.66931</v>
          </cell>
          <cell r="K426">
            <v>3.2476379285714287</v>
          </cell>
          <cell r="L426">
            <v>2.9709872000000002</v>
          </cell>
          <cell r="M426">
            <v>13.097915</v>
          </cell>
          <cell r="N426">
            <v>0</v>
          </cell>
          <cell r="O426">
            <v>0.81724030000000003</v>
          </cell>
          <cell r="P426">
            <v>0.93211619999999995</v>
          </cell>
          <cell r="Q426">
            <v>3.729279</v>
          </cell>
          <cell r="R426">
            <v>25.032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1.0955627999999999</v>
          </cell>
          <cell r="Y426">
            <v>7.1852600000000003E-2</v>
          </cell>
          <cell r="Z426">
            <v>0</v>
          </cell>
          <cell r="AA426">
            <v>0</v>
          </cell>
          <cell r="AB426">
            <v>1.0110366</v>
          </cell>
        </row>
        <row r="427">
          <cell r="A427">
            <v>14640115</v>
          </cell>
          <cell r="B427" t="str">
            <v>Grilled cheese sandwich, American cheese, on whole wheat bread</v>
          </cell>
          <cell r="I427">
            <v>140</v>
          </cell>
          <cell r="J427">
            <v>454.66931</v>
          </cell>
          <cell r="K427">
            <v>3.2476379285714287</v>
          </cell>
          <cell r="L427">
            <v>2.9709872000000002</v>
          </cell>
          <cell r="M427">
            <v>13.097915</v>
          </cell>
          <cell r="N427">
            <v>0</v>
          </cell>
          <cell r="O427">
            <v>0.81724030000000003</v>
          </cell>
          <cell r="P427">
            <v>0.93211619999999995</v>
          </cell>
          <cell r="Q427">
            <v>3.729279</v>
          </cell>
          <cell r="R427">
            <v>25.032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1.0955627999999999</v>
          </cell>
          <cell r="Y427">
            <v>7.1852600000000003E-2</v>
          </cell>
          <cell r="Z427">
            <v>0</v>
          </cell>
          <cell r="AA427">
            <v>0</v>
          </cell>
          <cell r="AB427">
            <v>1.0110366</v>
          </cell>
        </row>
        <row r="428">
          <cell r="A428">
            <v>14640125</v>
          </cell>
          <cell r="B428" t="str">
            <v>Grilled cheese sandwich, Cheddar cheese, on white bread</v>
          </cell>
          <cell r="I428">
            <v>140</v>
          </cell>
          <cell r="J428">
            <v>506.11930999999998</v>
          </cell>
          <cell r="K428">
            <v>3.6151379285714285</v>
          </cell>
          <cell r="L428">
            <v>-3.1100000000000002E-16</v>
          </cell>
          <cell r="M428">
            <v>16.093565000000002</v>
          </cell>
          <cell r="N428">
            <v>0</v>
          </cell>
          <cell r="O428">
            <v>0.46802480000000002</v>
          </cell>
          <cell r="P428">
            <v>1.9551723999999999</v>
          </cell>
          <cell r="Q428">
            <v>3.9783461999999998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0.79689209999999999</v>
          </cell>
          <cell r="Y428">
            <v>0</v>
          </cell>
          <cell r="Z428">
            <v>0</v>
          </cell>
          <cell r="AA428">
            <v>0</v>
          </cell>
          <cell r="AB428">
            <v>1.0643331</v>
          </cell>
        </row>
        <row r="429">
          <cell r="A429">
            <v>14640130</v>
          </cell>
          <cell r="B429" t="str">
            <v>Grilled cheese sandwich, Cheddar cheese, on wheat bread</v>
          </cell>
          <cell r="I429">
            <v>140</v>
          </cell>
          <cell r="J429">
            <v>503.83828</v>
          </cell>
          <cell r="K429">
            <v>3.5988448571428573</v>
          </cell>
          <cell r="L429">
            <v>2.9709872000000002</v>
          </cell>
          <cell r="M429">
            <v>16.106853000000001</v>
          </cell>
          <cell r="N429">
            <v>0</v>
          </cell>
          <cell r="O429">
            <v>0.48015409999999997</v>
          </cell>
          <cell r="P429">
            <v>0.93211619999999995</v>
          </cell>
          <cell r="Q429">
            <v>3.9477514</v>
          </cell>
          <cell r="R429">
            <v>25.032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0.77824550000000003</v>
          </cell>
          <cell r="Y429">
            <v>7.1852600000000003E-2</v>
          </cell>
          <cell r="Z429">
            <v>0</v>
          </cell>
          <cell r="AA429">
            <v>0</v>
          </cell>
          <cell r="AB429">
            <v>1.2013185</v>
          </cell>
        </row>
        <row r="430">
          <cell r="A430">
            <v>14640135</v>
          </cell>
          <cell r="B430" t="str">
            <v>Grilled cheese sandwich, Cheddar cheese, on whole wheat bread</v>
          </cell>
          <cell r="I430">
            <v>140</v>
          </cell>
          <cell r="J430">
            <v>503.83828</v>
          </cell>
          <cell r="K430">
            <v>3.5988448571428573</v>
          </cell>
          <cell r="L430">
            <v>2.9709872000000002</v>
          </cell>
          <cell r="M430">
            <v>16.106853000000001</v>
          </cell>
          <cell r="N430">
            <v>0</v>
          </cell>
          <cell r="O430">
            <v>0.48015409999999997</v>
          </cell>
          <cell r="P430">
            <v>0.93211619999999995</v>
          </cell>
          <cell r="Q430">
            <v>3.9477514</v>
          </cell>
          <cell r="R430">
            <v>25.032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0.77824550000000003</v>
          </cell>
          <cell r="Y430">
            <v>7.1852600000000003E-2</v>
          </cell>
          <cell r="Z430">
            <v>0</v>
          </cell>
          <cell r="AA430">
            <v>0</v>
          </cell>
          <cell r="AB430">
            <v>1.200923</v>
          </cell>
        </row>
        <row r="431">
          <cell r="A431">
            <v>14640165</v>
          </cell>
          <cell r="B431" t="str">
            <v>Grilled cheese sandwich, reduced fat American cheese, on whole wheat bread</v>
          </cell>
          <cell r="I431">
            <v>140</v>
          </cell>
          <cell r="J431">
            <v>420.70724000000001</v>
          </cell>
          <cell r="K431">
            <v>3.0050517142857145</v>
          </cell>
          <cell r="L431">
            <v>2.9709872000000002</v>
          </cell>
          <cell r="M431">
            <v>11.02927</v>
          </cell>
          <cell r="N431">
            <v>0</v>
          </cell>
          <cell r="O431">
            <v>0.38840590000000003</v>
          </cell>
          <cell r="P431">
            <v>0.93211619999999995</v>
          </cell>
          <cell r="Q431">
            <v>3.435279</v>
          </cell>
          <cell r="R431">
            <v>25.032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1.0560248000000001</v>
          </cell>
          <cell r="Y431">
            <v>7.1852600000000003E-2</v>
          </cell>
          <cell r="Z431">
            <v>0</v>
          </cell>
          <cell r="AA431">
            <v>0</v>
          </cell>
          <cell r="AB431">
            <v>0.69595280000000004</v>
          </cell>
        </row>
        <row r="432">
          <cell r="A432">
            <v>14640185</v>
          </cell>
          <cell r="B432" t="str">
            <v>Grilled cheese sandwich, reduced fat Cheddar cheese, on white bread</v>
          </cell>
          <cell r="I432">
            <v>140</v>
          </cell>
          <cell r="J432">
            <v>457.96413999999999</v>
          </cell>
          <cell r="K432">
            <v>3.2711724285714285</v>
          </cell>
          <cell r="L432">
            <v>-3.1100000000000002E-16</v>
          </cell>
          <cell r="M432">
            <v>12.917858000000001</v>
          </cell>
          <cell r="N432">
            <v>0</v>
          </cell>
          <cell r="O432">
            <v>0.4938766</v>
          </cell>
          <cell r="P432">
            <v>1.9551723999999999</v>
          </cell>
          <cell r="Q432">
            <v>3.7107047999999998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0.78421969999999996</v>
          </cell>
          <cell r="Y432">
            <v>0</v>
          </cell>
          <cell r="Z432">
            <v>0</v>
          </cell>
          <cell r="AA432">
            <v>0</v>
          </cell>
          <cell r="AB432">
            <v>0.97106409999999999</v>
          </cell>
        </row>
        <row r="433">
          <cell r="A433">
            <v>14650100</v>
          </cell>
          <cell r="B433" t="str">
            <v>Cheese sauce</v>
          </cell>
          <cell r="I433">
            <v>60.75</v>
          </cell>
          <cell r="J433">
            <v>97.260992000000002</v>
          </cell>
          <cell r="K433">
            <v>1.6010039835390948</v>
          </cell>
          <cell r="L433">
            <v>0</v>
          </cell>
          <cell r="M433">
            <v>1.8832008</v>
          </cell>
          <cell r="N433">
            <v>0</v>
          </cell>
          <cell r="O433">
            <v>4.42858E-2</v>
          </cell>
          <cell r="P433">
            <v>0.15870380000000001</v>
          </cell>
          <cell r="Q433">
            <v>2.6372271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0.39591549999999998</v>
          </cell>
          <cell r="Y433">
            <v>0</v>
          </cell>
          <cell r="Z433">
            <v>0</v>
          </cell>
          <cell r="AA433">
            <v>0</v>
          </cell>
          <cell r="AB433">
            <v>0.26778420000000003</v>
          </cell>
        </row>
        <row r="434">
          <cell r="A434">
            <v>14650150</v>
          </cell>
          <cell r="B434" t="str">
            <v>Cheese sauce made with lowfat cheese</v>
          </cell>
          <cell r="I434">
            <v>60.75</v>
          </cell>
          <cell r="J434">
            <v>75.868769</v>
          </cell>
          <cell r="K434">
            <v>1.2488686255144033</v>
          </cell>
          <cell r="L434">
            <v>0</v>
          </cell>
          <cell r="M434">
            <v>2.9307623999999999</v>
          </cell>
          <cell r="N434">
            <v>0</v>
          </cell>
          <cell r="O434">
            <v>0.12300129999999999</v>
          </cell>
          <cell r="P434">
            <v>6.8202899999999997E-2</v>
          </cell>
          <cell r="Q434">
            <v>0.1909488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0.3374472</v>
          </cell>
          <cell r="Y434">
            <v>0</v>
          </cell>
          <cell r="Z434">
            <v>0</v>
          </cell>
          <cell r="AA434">
            <v>0</v>
          </cell>
          <cell r="AB434">
            <v>0.15580920000000001</v>
          </cell>
        </row>
        <row r="435">
          <cell r="A435">
            <v>14650160</v>
          </cell>
          <cell r="B435" t="str">
            <v>Alfredo sauce</v>
          </cell>
          <cell r="I435">
            <v>60.75</v>
          </cell>
          <cell r="J435">
            <v>89.452659999999995</v>
          </cell>
          <cell r="K435">
            <v>1.4724717695473251</v>
          </cell>
          <cell r="L435">
            <v>0</v>
          </cell>
          <cell r="M435">
            <v>5.8100354999999997</v>
          </cell>
          <cell r="N435">
            <v>0</v>
          </cell>
          <cell r="O435">
            <v>4.9947600000000002E-2</v>
          </cell>
          <cell r="P435">
            <v>0</v>
          </cell>
          <cell r="Q435">
            <v>0.36950329999999998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0.32796310000000001</v>
          </cell>
          <cell r="Y435">
            <v>0</v>
          </cell>
          <cell r="Z435">
            <v>0</v>
          </cell>
          <cell r="AA435">
            <v>0</v>
          </cell>
          <cell r="AB435">
            <v>0.92894690000000002</v>
          </cell>
        </row>
        <row r="436">
          <cell r="A436">
            <v>14660200</v>
          </cell>
          <cell r="B436" t="str">
            <v>Mozzarella sticks, breaded, baked, or fried</v>
          </cell>
          <cell r="I436">
            <v>115</v>
          </cell>
          <cell r="J436">
            <v>373.75</v>
          </cell>
          <cell r="K436">
            <v>3.25</v>
          </cell>
          <cell r="L436">
            <v>0</v>
          </cell>
          <cell r="M436">
            <v>7.8752000000000004</v>
          </cell>
          <cell r="N436">
            <v>0</v>
          </cell>
          <cell r="O436">
            <v>0.3841</v>
          </cell>
          <cell r="P436">
            <v>2.2999999999999998</v>
          </cell>
          <cell r="Q436">
            <v>5.7293000000000003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0.99014999999999997</v>
          </cell>
          <cell r="Y436">
            <v>0</v>
          </cell>
          <cell r="Z436">
            <v>0</v>
          </cell>
          <cell r="AA436">
            <v>0</v>
          </cell>
          <cell r="AB436">
            <v>0.41284999999999999</v>
          </cell>
        </row>
        <row r="437">
          <cell r="A437">
            <v>14670000</v>
          </cell>
          <cell r="B437" t="str">
            <v>Mozzarella cheese, tomato, and basil, with oil and vinegar dressing</v>
          </cell>
          <cell r="I437">
            <v>115</v>
          </cell>
          <cell r="J437">
            <v>159.38386</v>
          </cell>
          <cell r="K437">
            <v>1.3859466086956522</v>
          </cell>
          <cell r="L437">
            <v>0.87091739999999995</v>
          </cell>
          <cell r="M437">
            <v>4.6781122999999996</v>
          </cell>
          <cell r="N437">
            <v>0</v>
          </cell>
          <cell r="O437">
            <v>0.23454630000000001</v>
          </cell>
          <cell r="P437">
            <v>0</v>
          </cell>
          <cell r="Q437">
            <v>3.2113130999999999</v>
          </cell>
          <cell r="R437">
            <v>0</v>
          </cell>
          <cell r="S437">
            <v>0</v>
          </cell>
          <cell r="T437">
            <v>0</v>
          </cell>
          <cell r="U437">
            <v>71.454131000000004</v>
          </cell>
          <cell r="V437">
            <v>0</v>
          </cell>
          <cell r="W437">
            <v>0</v>
          </cell>
          <cell r="X437">
            <v>0.23006119999999999</v>
          </cell>
          <cell r="Y437">
            <v>0</v>
          </cell>
          <cell r="Z437">
            <v>0</v>
          </cell>
          <cell r="AA437">
            <v>0</v>
          </cell>
          <cell r="AB437">
            <v>0.22908719999999999</v>
          </cell>
        </row>
        <row r="438">
          <cell r="A438">
            <v>14710100</v>
          </cell>
          <cell r="B438" t="str">
            <v>Cheddar cheese soup, home recipe, canned or ready-to-serve</v>
          </cell>
          <cell r="I438">
            <v>245</v>
          </cell>
          <cell r="J438">
            <v>163.02884</v>
          </cell>
          <cell r="K438">
            <v>0.66542383673469385</v>
          </cell>
          <cell r="L438">
            <v>0</v>
          </cell>
          <cell r="M438">
            <v>4.5269053000000001</v>
          </cell>
          <cell r="N438">
            <v>0</v>
          </cell>
          <cell r="O438">
            <v>0.18826129999999999</v>
          </cell>
          <cell r="P438">
            <v>2.7255753999999999</v>
          </cell>
          <cell r="Q438">
            <v>0.26420969999999999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0.91125979999999995</v>
          </cell>
          <cell r="Y438">
            <v>0</v>
          </cell>
          <cell r="Z438">
            <v>0</v>
          </cell>
          <cell r="AA438">
            <v>0</v>
          </cell>
          <cell r="AB438">
            <v>0.1727214</v>
          </cell>
        </row>
        <row r="439">
          <cell r="A439">
            <v>14710200</v>
          </cell>
          <cell r="B439" t="str">
            <v>Beer cheese soup, made with milk</v>
          </cell>
          <cell r="I439">
            <v>245</v>
          </cell>
          <cell r="J439">
            <v>470.40654999999998</v>
          </cell>
          <cell r="K439">
            <v>1.9200267346938775</v>
          </cell>
          <cell r="L439">
            <v>0.41230070000000002</v>
          </cell>
          <cell r="M439">
            <v>22.500585000000001</v>
          </cell>
          <cell r="N439">
            <v>0</v>
          </cell>
          <cell r="O439">
            <v>0.398586</v>
          </cell>
          <cell r="P439">
            <v>0.44123560000000001</v>
          </cell>
          <cell r="Q439">
            <v>1.63737</v>
          </cell>
          <cell r="R439">
            <v>0</v>
          </cell>
          <cell r="S439">
            <v>0</v>
          </cell>
          <cell r="T439">
            <v>0</v>
          </cell>
          <cell r="U439">
            <v>17.631281999999999</v>
          </cell>
          <cell r="V439">
            <v>0</v>
          </cell>
          <cell r="W439">
            <v>0</v>
          </cell>
          <cell r="X439">
            <v>0.74134060000000002</v>
          </cell>
          <cell r="Y439">
            <v>0</v>
          </cell>
          <cell r="Z439">
            <v>0</v>
          </cell>
          <cell r="AA439">
            <v>0</v>
          </cell>
          <cell r="AB439">
            <v>1.2230823</v>
          </cell>
        </row>
        <row r="440">
          <cell r="A440">
            <v>20000000</v>
          </cell>
          <cell r="B440" t="str">
            <v>Meat, NFS</v>
          </cell>
          <cell r="I440">
            <v>85</v>
          </cell>
          <cell r="J440">
            <v>171.11265</v>
          </cell>
          <cell r="K440">
            <v>2.01309</v>
          </cell>
          <cell r="L440">
            <v>0</v>
          </cell>
          <cell r="M440">
            <v>2.7369595000000002</v>
          </cell>
          <cell r="N440">
            <v>0</v>
          </cell>
          <cell r="O440">
            <v>1.19708E-2</v>
          </cell>
          <cell r="P440">
            <v>0</v>
          </cell>
          <cell r="Q440">
            <v>0.35318329999999998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0.32837379999999999</v>
          </cell>
          <cell r="Y440">
            <v>0</v>
          </cell>
          <cell r="Z440">
            <v>84.291948000000005</v>
          </cell>
          <cell r="AA440">
            <v>0</v>
          </cell>
          <cell r="AB440">
            <v>0.21831610000000001</v>
          </cell>
        </row>
        <row r="441">
          <cell r="A441">
            <v>20000200</v>
          </cell>
          <cell r="B441" t="str">
            <v>Ground meat, NFS</v>
          </cell>
          <cell r="I441">
            <v>85</v>
          </cell>
          <cell r="J441">
            <v>221.39279999999999</v>
          </cell>
          <cell r="K441">
            <v>2.6046211764705882</v>
          </cell>
          <cell r="L441">
            <v>0</v>
          </cell>
          <cell r="M441">
            <v>5.4847505999999999</v>
          </cell>
          <cell r="N441">
            <v>0</v>
          </cell>
          <cell r="O441">
            <v>2.0273599999999999E-2</v>
          </cell>
          <cell r="P441">
            <v>0</v>
          </cell>
          <cell r="Q441">
            <v>0.42049039999999999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0.337393</v>
          </cell>
          <cell r="Y441">
            <v>0</v>
          </cell>
          <cell r="Z441">
            <v>77.138763999999995</v>
          </cell>
          <cell r="AA441">
            <v>0</v>
          </cell>
          <cell r="AB441">
            <v>0.64116669999999998</v>
          </cell>
        </row>
        <row r="442">
          <cell r="A442">
            <v>21000100</v>
          </cell>
          <cell r="B442" t="str">
            <v>Beef, NS as to cut, cooked, NS as to fat eaten</v>
          </cell>
          <cell r="I442">
            <v>85</v>
          </cell>
          <cell r="J442">
            <v>156.15083000000001</v>
          </cell>
          <cell r="K442">
            <v>1.8370685882352942</v>
          </cell>
          <cell r="L442">
            <v>0</v>
          </cell>
          <cell r="M442">
            <v>2.2465910999999998</v>
          </cell>
          <cell r="N442">
            <v>0</v>
          </cell>
          <cell r="O442">
            <v>1.36566E-2</v>
          </cell>
          <cell r="P442">
            <v>0</v>
          </cell>
          <cell r="Q442">
            <v>0.28301019999999999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0.32900600000000002</v>
          </cell>
          <cell r="Y442">
            <v>0</v>
          </cell>
          <cell r="Z442">
            <v>84.009147999999996</v>
          </cell>
          <cell r="AA442">
            <v>0</v>
          </cell>
          <cell r="AB442">
            <v>0.32156889999999999</v>
          </cell>
        </row>
        <row r="443">
          <cell r="A443">
            <v>21000110</v>
          </cell>
          <cell r="B443" t="str">
            <v>Beef, NS as to cut, cooked, lean and fat eaten</v>
          </cell>
          <cell r="I443">
            <v>85</v>
          </cell>
          <cell r="J443">
            <v>199.77191999999999</v>
          </cell>
          <cell r="K443">
            <v>2.350257882352941</v>
          </cell>
          <cell r="L443">
            <v>0</v>
          </cell>
          <cell r="M443">
            <v>4.7393147999999998</v>
          </cell>
          <cell r="N443">
            <v>0</v>
          </cell>
          <cell r="O443">
            <v>1.44996E-2</v>
          </cell>
          <cell r="P443">
            <v>0</v>
          </cell>
          <cell r="Q443">
            <v>0.50575170000000003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0.32542359999999998</v>
          </cell>
          <cell r="Y443">
            <v>0</v>
          </cell>
          <cell r="Z443">
            <v>79.142131000000006</v>
          </cell>
          <cell r="AA443">
            <v>0</v>
          </cell>
          <cell r="AB443">
            <v>0.35929440000000001</v>
          </cell>
        </row>
        <row r="444">
          <cell r="A444">
            <v>21000120</v>
          </cell>
          <cell r="B444" t="str">
            <v>Beef, NS as to cut, cooked, lean only eaten</v>
          </cell>
          <cell r="I444">
            <v>85</v>
          </cell>
          <cell r="J444">
            <v>156.15083000000001</v>
          </cell>
          <cell r="K444">
            <v>1.8370685882352942</v>
          </cell>
          <cell r="L444">
            <v>0</v>
          </cell>
          <cell r="M444">
            <v>2.2465910999999998</v>
          </cell>
          <cell r="N444">
            <v>0</v>
          </cell>
          <cell r="O444">
            <v>1.36566E-2</v>
          </cell>
          <cell r="P444">
            <v>0</v>
          </cell>
          <cell r="Q444">
            <v>0.28301019999999999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0.32900600000000002</v>
          </cell>
          <cell r="Y444">
            <v>0</v>
          </cell>
          <cell r="Z444">
            <v>84.009147999999996</v>
          </cell>
          <cell r="AA444">
            <v>0</v>
          </cell>
          <cell r="AB444">
            <v>0.14919679999999999</v>
          </cell>
        </row>
        <row r="445">
          <cell r="A445">
            <v>21001000</v>
          </cell>
          <cell r="B445" t="str">
            <v>Steak, NS as to type of meat, cooked, NS as to fat eaten</v>
          </cell>
          <cell r="I445">
            <v>85</v>
          </cell>
          <cell r="J445">
            <v>156.15083000000001</v>
          </cell>
          <cell r="K445">
            <v>1.8370685882352942</v>
          </cell>
          <cell r="L445">
            <v>0</v>
          </cell>
          <cell r="M445">
            <v>2.2465910999999998</v>
          </cell>
          <cell r="N445">
            <v>0</v>
          </cell>
          <cell r="O445">
            <v>1.36566E-2</v>
          </cell>
          <cell r="P445">
            <v>0</v>
          </cell>
          <cell r="Q445">
            <v>0.28301019999999999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0.32900600000000002</v>
          </cell>
          <cell r="Y445">
            <v>0</v>
          </cell>
          <cell r="Z445">
            <v>84.009147999999996</v>
          </cell>
          <cell r="AA445">
            <v>0</v>
          </cell>
          <cell r="AB445">
            <v>0.19269069999999999</v>
          </cell>
        </row>
        <row r="446">
          <cell r="A446">
            <v>21001020</v>
          </cell>
          <cell r="B446" t="str">
            <v>Steak, NS as to type of meat, cooked, lean only eaten</v>
          </cell>
          <cell r="I446">
            <v>85</v>
          </cell>
          <cell r="J446">
            <v>156.15083000000001</v>
          </cell>
          <cell r="K446">
            <v>1.8370685882352942</v>
          </cell>
          <cell r="L446">
            <v>0</v>
          </cell>
          <cell r="M446">
            <v>2.2465910999999998</v>
          </cell>
          <cell r="N446">
            <v>0</v>
          </cell>
          <cell r="O446">
            <v>1.36566E-2</v>
          </cell>
          <cell r="P446">
            <v>0</v>
          </cell>
          <cell r="Q446">
            <v>0.28301019999999999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0.32900600000000002</v>
          </cell>
          <cell r="Y446">
            <v>0</v>
          </cell>
          <cell r="Z446">
            <v>84.009147999999996</v>
          </cell>
          <cell r="AA446">
            <v>0</v>
          </cell>
          <cell r="AB446">
            <v>0.14919679999999999</v>
          </cell>
        </row>
        <row r="447">
          <cell r="A447">
            <v>21002000</v>
          </cell>
          <cell r="B447" t="str">
            <v>Beef, pickled</v>
          </cell>
          <cell r="I447">
            <v>55</v>
          </cell>
          <cell r="J447">
            <v>138.05000000000001</v>
          </cell>
          <cell r="K447">
            <v>2.5100000000000002</v>
          </cell>
          <cell r="L447">
            <v>0</v>
          </cell>
          <cell r="M447">
            <v>3.4870000000000001</v>
          </cell>
          <cell r="N447">
            <v>0</v>
          </cell>
          <cell r="O447">
            <v>4.4000000000000003E-3</v>
          </cell>
          <cell r="P447">
            <v>0</v>
          </cell>
          <cell r="Q447">
            <v>0.36849999999999999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0.53515000000000001</v>
          </cell>
          <cell r="Y447">
            <v>0</v>
          </cell>
          <cell r="Z447">
            <v>0</v>
          </cell>
          <cell r="AA447">
            <v>49.116374999999998</v>
          </cell>
          <cell r="AB447">
            <v>2.5419299999999999E-2</v>
          </cell>
        </row>
        <row r="448">
          <cell r="A448">
            <v>21003000</v>
          </cell>
          <cell r="B448" t="str">
            <v>Beef, NS as to cut, fried, NS to fat eaten</v>
          </cell>
          <cell r="I448">
            <v>85</v>
          </cell>
          <cell r="J448">
            <v>156.15083000000001</v>
          </cell>
          <cell r="K448">
            <v>1.8370685882352942</v>
          </cell>
          <cell r="L448">
            <v>0</v>
          </cell>
          <cell r="M448">
            <v>2.2465910999999998</v>
          </cell>
          <cell r="N448">
            <v>0</v>
          </cell>
          <cell r="O448">
            <v>1.36566E-2</v>
          </cell>
          <cell r="P448">
            <v>0</v>
          </cell>
          <cell r="Q448">
            <v>0.28301019999999999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0.32900600000000002</v>
          </cell>
          <cell r="Y448">
            <v>0</v>
          </cell>
          <cell r="Z448">
            <v>84.009147999999996</v>
          </cell>
          <cell r="AA448">
            <v>0</v>
          </cell>
          <cell r="AB448">
            <v>0.22411249999999999</v>
          </cell>
        </row>
        <row r="449">
          <cell r="A449">
            <v>21101000</v>
          </cell>
          <cell r="B449" t="str">
            <v>Beef steak, NS as to cooking method, NS as to fat eaten</v>
          </cell>
          <cell r="I449">
            <v>85</v>
          </cell>
          <cell r="J449">
            <v>156.15083000000001</v>
          </cell>
          <cell r="K449">
            <v>1.8370685882352942</v>
          </cell>
          <cell r="L449">
            <v>0</v>
          </cell>
          <cell r="M449">
            <v>2.2465910999999998</v>
          </cell>
          <cell r="N449">
            <v>0</v>
          </cell>
          <cell r="O449">
            <v>1.36566E-2</v>
          </cell>
          <cell r="P449">
            <v>0</v>
          </cell>
          <cell r="Q449">
            <v>0.28301019999999999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0.32900600000000002</v>
          </cell>
          <cell r="Y449">
            <v>0</v>
          </cell>
          <cell r="Z449">
            <v>84.009147999999996</v>
          </cell>
          <cell r="AA449">
            <v>0</v>
          </cell>
          <cell r="AB449">
            <v>0.18972359999999999</v>
          </cell>
        </row>
        <row r="450">
          <cell r="A450">
            <v>21101010</v>
          </cell>
          <cell r="B450" t="str">
            <v>Beef steak, NS as to cooking method, lean and fat eaten</v>
          </cell>
          <cell r="I450">
            <v>85</v>
          </cell>
          <cell r="J450">
            <v>199.77191999999999</v>
          </cell>
          <cell r="K450">
            <v>2.350257882352941</v>
          </cell>
          <cell r="L450">
            <v>0</v>
          </cell>
          <cell r="M450">
            <v>4.7393147999999998</v>
          </cell>
          <cell r="N450">
            <v>0</v>
          </cell>
          <cell r="O450">
            <v>1.44996E-2</v>
          </cell>
          <cell r="P450">
            <v>0</v>
          </cell>
          <cell r="Q450">
            <v>0.50575170000000003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0.32542359999999998</v>
          </cell>
          <cell r="Y450">
            <v>0</v>
          </cell>
          <cell r="Z450">
            <v>79.142131000000006</v>
          </cell>
          <cell r="AA450">
            <v>0</v>
          </cell>
          <cell r="AB450">
            <v>0.35929440000000001</v>
          </cell>
        </row>
        <row r="451">
          <cell r="A451">
            <v>21101020</v>
          </cell>
          <cell r="B451" t="str">
            <v>Beef steak, NS as to cooking method, lean only eaten</v>
          </cell>
          <cell r="I451">
            <v>85</v>
          </cell>
          <cell r="J451">
            <v>156.15083000000001</v>
          </cell>
          <cell r="K451">
            <v>1.8370685882352942</v>
          </cell>
          <cell r="L451">
            <v>0</v>
          </cell>
          <cell r="M451">
            <v>2.2465910999999998</v>
          </cell>
          <cell r="N451">
            <v>0</v>
          </cell>
          <cell r="O451">
            <v>1.36566E-2</v>
          </cell>
          <cell r="P451">
            <v>0</v>
          </cell>
          <cell r="Q451">
            <v>0.28301019999999999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0.32900600000000002</v>
          </cell>
          <cell r="Y451">
            <v>0</v>
          </cell>
          <cell r="Z451">
            <v>84.009147999999996</v>
          </cell>
          <cell r="AA451">
            <v>0</v>
          </cell>
          <cell r="AB451">
            <v>0.14919679999999999</v>
          </cell>
        </row>
        <row r="452">
          <cell r="A452">
            <v>21101110</v>
          </cell>
          <cell r="B452" t="str">
            <v>Beef steak, broiled or baked, NS as to fat eaten</v>
          </cell>
          <cell r="I452">
            <v>85</v>
          </cell>
          <cell r="J452">
            <v>156.15083000000001</v>
          </cell>
          <cell r="K452">
            <v>1.8370685882352942</v>
          </cell>
          <cell r="L452">
            <v>0</v>
          </cell>
          <cell r="M452">
            <v>2.2465910999999998</v>
          </cell>
          <cell r="N452">
            <v>0</v>
          </cell>
          <cell r="O452">
            <v>1.36566E-2</v>
          </cell>
          <cell r="P452">
            <v>0</v>
          </cell>
          <cell r="Q452">
            <v>0.28301019999999999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0.32900600000000002</v>
          </cell>
          <cell r="Y452">
            <v>0</v>
          </cell>
          <cell r="Z452">
            <v>84.009147999999996</v>
          </cell>
          <cell r="AA452">
            <v>0</v>
          </cell>
          <cell r="AB452">
            <v>0.18475420000000001</v>
          </cell>
        </row>
        <row r="453">
          <cell r="A453">
            <v>21101120</v>
          </cell>
          <cell r="B453" t="str">
            <v>Beef steak, broiled or baked, lean and fat eaten</v>
          </cell>
          <cell r="I453">
            <v>85</v>
          </cell>
          <cell r="J453">
            <v>199.77191999999999</v>
          </cell>
          <cell r="K453">
            <v>2.350257882352941</v>
          </cell>
          <cell r="L453">
            <v>0</v>
          </cell>
          <cell r="M453">
            <v>4.7393147999999998</v>
          </cell>
          <cell r="N453">
            <v>0</v>
          </cell>
          <cell r="O453">
            <v>1.44996E-2</v>
          </cell>
          <cell r="P453">
            <v>0</v>
          </cell>
          <cell r="Q453">
            <v>0.50575170000000003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0.32542359999999998</v>
          </cell>
          <cell r="Y453">
            <v>0</v>
          </cell>
          <cell r="Z453">
            <v>79.142131000000006</v>
          </cell>
          <cell r="AA453">
            <v>0</v>
          </cell>
          <cell r="AB453">
            <v>0.35929440000000001</v>
          </cell>
        </row>
        <row r="454">
          <cell r="A454">
            <v>21101130</v>
          </cell>
          <cell r="B454" t="str">
            <v>Beef steak, broiled or baked, lean only eaten</v>
          </cell>
          <cell r="I454">
            <v>85</v>
          </cell>
          <cell r="J454">
            <v>156.15083000000001</v>
          </cell>
          <cell r="K454">
            <v>1.8370685882352942</v>
          </cell>
          <cell r="L454">
            <v>0</v>
          </cell>
          <cell r="M454">
            <v>2.2465910999999998</v>
          </cell>
          <cell r="N454">
            <v>0</v>
          </cell>
          <cell r="O454">
            <v>1.36566E-2</v>
          </cell>
          <cell r="P454">
            <v>0</v>
          </cell>
          <cell r="Q454">
            <v>0.28301019999999999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0.32900600000000002</v>
          </cell>
          <cell r="Y454">
            <v>0</v>
          </cell>
          <cell r="Z454">
            <v>84.009147999999996</v>
          </cell>
          <cell r="AA454">
            <v>0</v>
          </cell>
          <cell r="AB454">
            <v>0.14919679999999999</v>
          </cell>
        </row>
        <row r="455">
          <cell r="A455">
            <v>21102110</v>
          </cell>
          <cell r="B455" t="str">
            <v>Beef steak, fried, NS as to fat eaten</v>
          </cell>
          <cell r="I455">
            <v>85</v>
          </cell>
          <cell r="J455">
            <v>156.15083000000001</v>
          </cell>
          <cell r="K455">
            <v>1.8370685882352942</v>
          </cell>
          <cell r="L455">
            <v>0</v>
          </cell>
          <cell r="M455">
            <v>2.2465910999999998</v>
          </cell>
          <cell r="N455">
            <v>0</v>
          </cell>
          <cell r="O455">
            <v>1.36566E-2</v>
          </cell>
          <cell r="P455">
            <v>0</v>
          </cell>
          <cell r="Q455">
            <v>0.28301019999999999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0.32900600000000002</v>
          </cell>
          <cell r="Y455">
            <v>0</v>
          </cell>
          <cell r="Z455">
            <v>84.009147999999996</v>
          </cell>
          <cell r="AA455">
            <v>0</v>
          </cell>
          <cell r="AB455">
            <v>0.22805639999999999</v>
          </cell>
        </row>
        <row r="456">
          <cell r="A456">
            <v>21102120</v>
          </cell>
          <cell r="B456" t="str">
            <v>Beef steak, fried, lean and fat eaten</v>
          </cell>
          <cell r="I456">
            <v>85</v>
          </cell>
          <cell r="J456">
            <v>199.77191999999999</v>
          </cell>
          <cell r="K456">
            <v>2.350257882352941</v>
          </cell>
          <cell r="L456">
            <v>0</v>
          </cell>
          <cell r="M456">
            <v>4.7393147999999998</v>
          </cell>
          <cell r="N456">
            <v>0</v>
          </cell>
          <cell r="O456">
            <v>1.44996E-2</v>
          </cell>
          <cell r="P456">
            <v>0</v>
          </cell>
          <cell r="Q456">
            <v>0.50575170000000003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0.32542359999999998</v>
          </cell>
          <cell r="Y456">
            <v>0</v>
          </cell>
          <cell r="Z456">
            <v>79.142131000000006</v>
          </cell>
          <cell r="AA456">
            <v>0</v>
          </cell>
          <cell r="AB456">
            <v>0.35929440000000001</v>
          </cell>
        </row>
        <row r="457">
          <cell r="A457">
            <v>21102130</v>
          </cell>
          <cell r="B457" t="str">
            <v>Beef steak, fried, lean only eaten</v>
          </cell>
          <cell r="I457">
            <v>85</v>
          </cell>
          <cell r="J457">
            <v>156.15083000000001</v>
          </cell>
          <cell r="K457">
            <v>1.8370685882352942</v>
          </cell>
          <cell r="L457">
            <v>0</v>
          </cell>
          <cell r="M457">
            <v>2.2465910999999998</v>
          </cell>
          <cell r="N457">
            <v>0</v>
          </cell>
          <cell r="O457">
            <v>1.36566E-2</v>
          </cell>
          <cell r="P457">
            <v>0</v>
          </cell>
          <cell r="Q457">
            <v>0.28301019999999999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0.32900600000000002</v>
          </cell>
          <cell r="Y457">
            <v>0</v>
          </cell>
          <cell r="Z457">
            <v>84.009147999999996</v>
          </cell>
          <cell r="AA457">
            <v>0</v>
          </cell>
          <cell r="AB457">
            <v>0.14919679999999999</v>
          </cell>
        </row>
        <row r="458">
          <cell r="A458">
            <v>21103110</v>
          </cell>
          <cell r="B458" t="str">
            <v>Beef steak, breaded or floured, baked or fried, NS as to fat eaten</v>
          </cell>
          <cell r="I458">
            <v>85</v>
          </cell>
          <cell r="J458">
            <v>168.06849</v>
          </cell>
          <cell r="K458">
            <v>1.9772763529411765</v>
          </cell>
          <cell r="L458">
            <v>0</v>
          </cell>
          <cell r="M458">
            <v>2.118849</v>
          </cell>
          <cell r="N458">
            <v>0</v>
          </cell>
          <cell r="O458">
            <v>3.4917700000000003E-2</v>
          </cell>
          <cell r="P458">
            <v>0.50724460000000005</v>
          </cell>
          <cell r="Q458">
            <v>1.7364822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0.30885059999999998</v>
          </cell>
          <cell r="Y458">
            <v>0</v>
          </cell>
          <cell r="Z458">
            <v>50.183399000000001</v>
          </cell>
          <cell r="AA458">
            <v>0</v>
          </cell>
          <cell r="AB458">
            <v>0.28777219999999998</v>
          </cell>
        </row>
        <row r="459">
          <cell r="A459">
            <v>21103120</v>
          </cell>
          <cell r="B459" t="str">
            <v>Beef steak, breaded or floured, baked or fried, lean and fat eaten</v>
          </cell>
          <cell r="I459">
            <v>85</v>
          </cell>
          <cell r="J459">
            <v>181.42802</v>
          </cell>
          <cell r="K459">
            <v>2.1344472941176469</v>
          </cell>
          <cell r="L459">
            <v>0</v>
          </cell>
          <cell r="M459">
            <v>2.8756662999999998</v>
          </cell>
          <cell r="N459">
            <v>0</v>
          </cell>
          <cell r="O459">
            <v>3.4917700000000003E-2</v>
          </cell>
          <cell r="P459">
            <v>0.50724460000000005</v>
          </cell>
          <cell r="Q459">
            <v>1.8026118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0.30818269999999998</v>
          </cell>
          <cell r="Y459">
            <v>0</v>
          </cell>
          <cell r="Z459">
            <v>49.236542</v>
          </cell>
          <cell r="AA459">
            <v>0</v>
          </cell>
          <cell r="AB459">
            <v>0.32670359999999998</v>
          </cell>
        </row>
        <row r="460">
          <cell r="A460">
            <v>21103130</v>
          </cell>
          <cell r="B460" t="str">
            <v>Beef steak, breaded or floured, baked or fried, lean only eaten</v>
          </cell>
          <cell r="I460">
            <v>85</v>
          </cell>
          <cell r="J460">
            <v>168.06849</v>
          </cell>
          <cell r="K460">
            <v>1.9772763529411765</v>
          </cell>
          <cell r="L460">
            <v>0</v>
          </cell>
          <cell r="M460">
            <v>2.118849</v>
          </cell>
          <cell r="N460">
            <v>0</v>
          </cell>
          <cell r="O460">
            <v>3.4917700000000003E-2</v>
          </cell>
          <cell r="P460">
            <v>0.50724460000000005</v>
          </cell>
          <cell r="Q460">
            <v>1.7364822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0.30885059999999998</v>
          </cell>
          <cell r="Y460">
            <v>0</v>
          </cell>
          <cell r="Z460">
            <v>50.183399000000001</v>
          </cell>
          <cell r="AA460">
            <v>0</v>
          </cell>
          <cell r="AB460">
            <v>0.21047579999999999</v>
          </cell>
        </row>
        <row r="461">
          <cell r="A461">
            <v>21104110</v>
          </cell>
          <cell r="B461" t="str">
            <v>Beef steak, battered, fried, NS as to fat eaten</v>
          </cell>
          <cell r="I461">
            <v>85</v>
          </cell>
          <cell r="J461">
            <v>157.19408999999999</v>
          </cell>
          <cell r="K461">
            <v>1.8493422352941176</v>
          </cell>
          <cell r="L461">
            <v>0</v>
          </cell>
          <cell r="M461">
            <v>2.6476101999999999</v>
          </cell>
          <cell r="N461">
            <v>0</v>
          </cell>
          <cell r="O461">
            <v>1.6180099999999999E-2</v>
          </cell>
          <cell r="P461">
            <v>0.2336116</v>
          </cell>
          <cell r="Q461">
            <v>1.4412706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0.1893813</v>
          </cell>
          <cell r="Y461">
            <v>0</v>
          </cell>
          <cell r="Z461">
            <v>41.601546999999997</v>
          </cell>
          <cell r="AA461">
            <v>0</v>
          </cell>
          <cell r="AB461">
            <v>0.63253610000000005</v>
          </cell>
        </row>
        <row r="462">
          <cell r="A462">
            <v>21104120</v>
          </cell>
          <cell r="B462" t="str">
            <v>Beef steak, battered, fried, lean and fat eaten</v>
          </cell>
          <cell r="I462">
            <v>85</v>
          </cell>
          <cell r="J462">
            <v>171.22862000000001</v>
          </cell>
          <cell r="K462">
            <v>2.0144543529411765</v>
          </cell>
          <cell r="L462">
            <v>0</v>
          </cell>
          <cell r="M462">
            <v>3.3046232999999998</v>
          </cell>
          <cell r="N462">
            <v>0</v>
          </cell>
          <cell r="O462">
            <v>1.6555799999999999E-2</v>
          </cell>
          <cell r="P462">
            <v>0.25844590000000001</v>
          </cell>
          <cell r="Q462">
            <v>1.6111743000000001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0.25226700000000002</v>
          </cell>
          <cell r="Y462">
            <v>0</v>
          </cell>
          <cell r="Z462">
            <v>38.404902</v>
          </cell>
          <cell r="AA462">
            <v>0</v>
          </cell>
          <cell r="AB462">
            <v>0.76305330000000005</v>
          </cell>
        </row>
        <row r="463">
          <cell r="A463">
            <v>21105110</v>
          </cell>
          <cell r="B463" t="str">
            <v>Beef steak, braised, NS as to fat eaten</v>
          </cell>
          <cell r="I463">
            <v>85</v>
          </cell>
          <cell r="J463">
            <v>213.25863000000001</v>
          </cell>
          <cell r="K463">
            <v>2.5089250588235297</v>
          </cell>
          <cell r="L463">
            <v>0</v>
          </cell>
          <cell r="M463">
            <v>4.3494644999999998</v>
          </cell>
          <cell r="N463">
            <v>0</v>
          </cell>
          <cell r="O463">
            <v>1.11279E-2</v>
          </cell>
          <cell r="P463">
            <v>0</v>
          </cell>
          <cell r="Q463">
            <v>0.37088460000000001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0.33427420000000002</v>
          </cell>
          <cell r="Y463">
            <v>0</v>
          </cell>
          <cell r="Z463">
            <v>80.532105000000001</v>
          </cell>
          <cell r="AA463">
            <v>0</v>
          </cell>
          <cell r="AB463">
            <v>0.33910299999999999</v>
          </cell>
        </row>
        <row r="464">
          <cell r="A464">
            <v>21105120</v>
          </cell>
          <cell r="B464" t="str">
            <v>Beef steak, braised, lean and fat eaten</v>
          </cell>
          <cell r="I464">
            <v>85</v>
          </cell>
          <cell r="J464">
            <v>213.25863000000001</v>
          </cell>
          <cell r="K464">
            <v>2.5089250588235297</v>
          </cell>
          <cell r="L464">
            <v>0</v>
          </cell>
          <cell r="M464">
            <v>4.3494644999999998</v>
          </cell>
          <cell r="N464">
            <v>0</v>
          </cell>
          <cell r="O464">
            <v>1.11279E-2</v>
          </cell>
          <cell r="P464">
            <v>0</v>
          </cell>
          <cell r="Q464">
            <v>0.37088460000000001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0.33427420000000002</v>
          </cell>
          <cell r="Y464">
            <v>0</v>
          </cell>
          <cell r="Z464">
            <v>80.532105000000001</v>
          </cell>
          <cell r="AA464">
            <v>0</v>
          </cell>
          <cell r="AB464">
            <v>0.35115370000000001</v>
          </cell>
        </row>
        <row r="465">
          <cell r="A465">
            <v>21105130</v>
          </cell>
          <cell r="B465" t="str">
            <v>Beef steak, braised, lean only eaten</v>
          </cell>
          <cell r="I465">
            <v>85</v>
          </cell>
          <cell r="J465">
            <v>111.36476</v>
          </cell>
          <cell r="K465">
            <v>1.3101736470588237</v>
          </cell>
          <cell r="L465">
            <v>0</v>
          </cell>
          <cell r="M465">
            <v>1.4616625000000001</v>
          </cell>
          <cell r="N465">
            <v>0</v>
          </cell>
          <cell r="O465">
            <v>1.19633E-2</v>
          </cell>
          <cell r="P465">
            <v>0</v>
          </cell>
          <cell r="Q465">
            <v>0.25478909999999999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0.28742659999999998</v>
          </cell>
          <cell r="Y465">
            <v>0</v>
          </cell>
          <cell r="Z465">
            <v>63.383001999999998</v>
          </cell>
          <cell r="AA465">
            <v>0</v>
          </cell>
          <cell r="AB465">
            <v>0.18434239999999999</v>
          </cell>
        </row>
        <row r="466">
          <cell r="A466">
            <v>21301000</v>
          </cell>
          <cell r="B466" t="str">
            <v>Beef, oxtails, cooked</v>
          </cell>
          <cell r="I466">
            <v>85</v>
          </cell>
          <cell r="J466">
            <v>213.25863000000001</v>
          </cell>
          <cell r="K466">
            <v>2.5089250588235297</v>
          </cell>
          <cell r="L466">
            <v>0</v>
          </cell>
          <cell r="M466">
            <v>4.3494644999999998</v>
          </cell>
          <cell r="N466">
            <v>0</v>
          </cell>
          <cell r="O466">
            <v>1.11279E-2</v>
          </cell>
          <cell r="P466">
            <v>0</v>
          </cell>
          <cell r="Q466">
            <v>0.37088460000000001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0.33427420000000002</v>
          </cell>
          <cell r="Y466">
            <v>0</v>
          </cell>
          <cell r="Z466">
            <v>80.532105000000001</v>
          </cell>
          <cell r="AA466">
            <v>0</v>
          </cell>
          <cell r="AB466">
            <v>0.29504619999999998</v>
          </cell>
        </row>
        <row r="467">
          <cell r="A467">
            <v>21302000</v>
          </cell>
          <cell r="B467" t="str">
            <v>Beef, neck bones, cooked</v>
          </cell>
          <cell r="I467">
            <v>85</v>
          </cell>
          <cell r="J467">
            <v>254.56168</v>
          </cell>
          <cell r="K467">
            <v>2.994843294117647</v>
          </cell>
          <cell r="L467">
            <v>0</v>
          </cell>
          <cell r="M467">
            <v>6.4230463999999996</v>
          </cell>
          <cell r="N467">
            <v>0</v>
          </cell>
          <cell r="O467">
            <v>1.44996E-2</v>
          </cell>
          <cell r="P467">
            <v>0</v>
          </cell>
          <cell r="Q467">
            <v>0.61533119999999997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0.31657289999999999</v>
          </cell>
          <cell r="Y467">
            <v>0</v>
          </cell>
          <cell r="Z467">
            <v>75.035848999999999</v>
          </cell>
          <cell r="AA467">
            <v>0</v>
          </cell>
          <cell r="AB467">
            <v>0.323351</v>
          </cell>
        </row>
        <row r="468">
          <cell r="A468">
            <v>21304110</v>
          </cell>
          <cell r="B468" t="str">
            <v>Beef, shortribs, cooked, lean and fat eaten</v>
          </cell>
          <cell r="I468">
            <v>85</v>
          </cell>
          <cell r="J468">
            <v>397.01506999999998</v>
          </cell>
          <cell r="K468">
            <v>4.6707655294117645</v>
          </cell>
          <cell r="L468">
            <v>0</v>
          </cell>
          <cell r="M468">
            <v>15.003966999999999</v>
          </cell>
          <cell r="N468">
            <v>0</v>
          </cell>
          <cell r="O468">
            <v>1.0285000000000001E-2</v>
          </cell>
          <cell r="P468">
            <v>0</v>
          </cell>
          <cell r="Q468">
            <v>1.2896668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0.31657289999999999</v>
          </cell>
          <cell r="Y468">
            <v>0</v>
          </cell>
          <cell r="Z468">
            <v>54.006694000000003</v>
          </cell>
          <cell r="AA468">
            <v>0</v>
          </cell>
          <cell r="AB468">
            <v>1.0026542000000001</v>
          </cell>
        </row>
        <row r="469">
          <cell r="A469">
            <v>21304120</v>
          </cell>
          <cell r="B469" t="str">
            <v>Beef, shortribs, cooked, lean only eaten</v>
          </cell>
          <cell r="I469">
            <v>85</v>
          </cell>
          <cell r="J469">
            <v>248.66125</v>
          </cell>
          <cell r="K469">
            <v>2.9254264705882354</v>
          </cell>
          <cell r="L469">
            <v>0</v>
          </cell>
          <cell r="M469">
            <v>6.5241967000000001</v>
          </cell>
          <cell r="N469">
            <v>0</v>
          </cell>
          <cell r="O469">
            <v>9.4420000000000007E-3</v>
          </cell>
          <cell r="P469">
            <v>0</v>
          </cell>
          <cell r="Q469">
            <v>0.46360570000000001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0.3233163</v>
          </cell>
          <cell r="Y469">
            <v>0</v>
          </cell>
          <cell r="Z469">
            <v>75.991720000000001</v>
          </cell>
          <cell r="AA469">
            <v>0</v>
          </cell>
          <cell r="AB469">
            <v>0.47280850000000002</v>
          </cell>
        </row>
        <row r="470">
          <cell r="A470">
            <v>21304210</v>
          </cell>
          <cell r="B470" t="str">
            <v>Beef, shortribs, barbecued, with sauce, lean and fat eaten</v>
          </cell>
          <cell r="I470">
            <v>140</v>
          </cell>
          <cell r="J470">
            <v>533.82000000000005</v>
          </cell>
          <cell r="K470">
            <v>3.8130000000000002</v>
          </cell>
          <cell r="L470">
            <v>0.378</v>
          </cell>
          <cell r="M470">
            <v>17.462900000000001</v>
          </cell>
          <cell r="N470">
            <v>0</v>
          </cell>
          <cell r="O470">
            <v>2.562E-2</v>
          </cell>
          <cell r="P470">
            <v>0</v>
          </cell>
          <cell r="Q470">
            <v>1.54182</v>
          </cell>
          <cell r="R470">
            <v>0</v>
          </cell>
          <cell r="S470">
            <v>0</v>
          </cell>
          <cell r="T470">
            <v>0</v>
          </cell>
          <cell r="U470">
            <v>13.377000000000001</v>
          </cell>
          <cell r="V470">
            <v>0</v>
          </cell>
          <cell r="W470">
            <v>0</v>
          </cell>
          <cell r="X470">
            <v>0.48033999999999999</v>
          </cell>
          <cell r="Y470">
            <v>0</v>
          </cell>
          <cell r="Z470">
            <v>62.789580000000001</v>
          </cell>
          <cell r="AA470">
            <v>0</v>
          </cell>
          <cell r="AB470">
            <v>1.2656552000000001</v>
          </cell>
        </row>
        <row r="471">
          <cell r="A471">
            <v>21304220</v>
          </cell>
          <cell r="B471" t="str">
            <v>Beef, shortribs, barbecued, with sauce, lean only eaten</v>
          </cell>
          <cell r="I471">
            <v>140</v>
          </cell>
          <cell r="J471">
            <v>361.34</v>
          </cell>
          <cell r="K471">
            <v>2.581</v>
          </cell>
          <cell r="L471">
            <v>0.378</v>
          </cell>
          <cell r="M471">
            <v>7.6040999999999999</v>
          </cell>
          <cell r="N471">
            <v>0</v>
          </cell>
          <cell r="O471">
            <v>2.4639999999999999E-2</v>
          </cell>
          <cell r="P471">
            <v>0</v>
          </cell>
          <cell r="Q471">
            <v>0.58142000000000005</v>
          </cell>
          <cell r="R471">
            <v>0</v>
          </cell>
          <cell r="S471">
            <v>0</v>
          </cell>
          <cell r="T471">
            <v>0</v>
          </cell>
          <cell r="U471">
            <v>13.377000000000001</v>
          </cell>
          <cell r="V471">
            <v>0</v>
          </cell>
          <cell r="W471">
            <v>0</v>
          </cell>
          <cell r="X471">
            <v>0.48818</v>
          </cell>
          <cell r="Y471">
            <v>0</v>
          </cell>
          <cell r="Z471">
            <v>88.349940000000004</v>
          </cell>
          <cell r="AA471">
            <v>0</v>
          </cell>
          <cell r="AB471">
            <v>0.53861110000000001</v>
          </cell>
        </row>
        <row r="472">
          <cell r="A472">
            <v>21305000</v>
          </cell>
          <cell r="B472" t="str">
            <v>Beef, cow head, cooked</v>
          </cell>
          <cell r="I472">
            <v>85</v>
          </cell>
          <cell r="J472">
            <v>218.31613999999999</v>
          </cell>
          <cell r="K472">
            <v>2.5684251764705883</v>
          </cell>
          <cell r="L472">
            <v>0</v>
          </cell>
          <cell r="M472">
            <v>5.7166798999999999</v>
          </cell>
          <cell r="N472">
            <v>0</v>
          </cell>
          <cell r="O472">
            <v>1.11279E-2</v>
          </cell>
          <cell r="P472">
            <v>0</v>
          </cell>
          <cell r="Q472">
            <v>0.61785999999999996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0.31657289999999999</v>
          </cell>
          <cell r="Y472">
            <v>0</v>
          </cell>
          <cell r="Z472">
            <v>77.425526000000005</v>
          </cell>
          <cell r="AA472">
            <v>0</v>
          </cell>
          <cell r="AB472">
            <v>0.49900830000000002</v>
          </cell>
        </row>
        <row r="473">
          <cell r="A473">
            <v>21401000</v>
          </cell>
          <cell r="B473" t="str">
            <v>Beef, roast, roasted, NS as to fat eaten</v>
          </cell>
          <cell r="I473">
            <v>85</v>
          </cell>
          <cell r="J473">
            <v>141.61046999999999</v>
          </cell>
          <cell r="K473">
            <v>1.6660055294117646</v>
          </cell>
          <cell r="L473">
            <v>0</v>
          </cell>
          <cell r="M473">
            <v>1.5138834000000001</v>
          </cell>
          <cell r="N473">
            <v>0</v>
          </cell>
          <cell r="O473">
            <v>9.4420000000000007E-3</v>
          </cell>
          <cell r="P473">
            <v>0</v>
          </cell>
          <cell r="Q473">
            <v>0.220002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0.31783729999999999</v>
          </cell>
          <cell r="Y473">
            <v>0</v>
          </cell>
          <cell r="Z473">
            <v>84.291948000000005</v>
          </cell>
          <cell r="AA473">
            <v>0</v>
          </cell>
          <cell r="AB473">
            <v>0.2454916</v>
          </cell>
        </row>
        <row r="474">
          <cell r="A474">
            <v>21401110</v>
          </cell>
          <cell r="B474" t="str">
            <v>Beef, roast, roasted, lean and fat eaten</v>
          </cell>
          <cell r="I474">
            <v>85</v>
          </cell>
          <cell r="J474">
            <v>134.86712</v>
          </cell>
          <cell r="K474">
            <v>1.5866720000000001</v>
          </cell>
          <cell r="L474">
            <v>0</v>
          </cell>
          <cell r="M474">
            <v>1.4085183999999999</v>
          </cell>
          <cell r="N474">
            <v>0</v>
          </cell>
          <cell r="O474">
            <v>1.36566E-2</v>
          </cell>
          <cell r="P474">
            <v>0</v>
          </cell>
          <cell r="Q474">
            <v>0.25371880000000002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0.33090249999999999</v>
          </cell>
          <cell r="Y474">
            <v>0</v>
          </cell>
          <cell r="Z474">
            <v>84.291948000000005</v>
          </cell>
          <cell r="AA474">
            <v>0</v>
          </cell>
          <cell r="AB474">
            <v>0.18038480000000001</v>
          </cell>
        </row>
        <row r="475">
          <cell r="A475">
            <v>21401120</v>
          </cell>
          <cell r="B475" t="str">
            <v>Beef, roast, roasted, lean only eaten</v>
          </cell>
          <cell r="I475">
            <v>85</v>
          </cell>
          <cell r="J475">
            <v>102.08437000000001</v>
          </cell>
          <cell r="K475">
            <v>1.2009925882352941</v>
          </cell>
          <cell r="L475">
            <v>0</v>
          </cell>
          <cell r="M475">
            <v>0.93057069999999997</v>
          </cell>
          <cell r="N475">
            <v>0</v>
          </cell>
          <cell r="O475">
            <v>1.11196E-2</v>
          </cell>
          <cell r="P475">
            <v>0</v>
          </cell>
          <cell r="Q475">
            <v>0.19235730000000001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0.29037940000000001</v>
          </cell>
          <cell r="Y475">
            <v>0</v>
          </cell>
          <cell r="Z475">
            <v>63.383001999999998</v>
          </cell>
          <cell r="AA475">
            <v>0</v>
          </cell>
          <cell r="AB475">
            <v>0.1172705</v>
          </cell>
        </row>
        <row r="476">
          <cell r="A476">
            <v>21407000</v>
          </cell>
          <cell r="B476" t="str">
            <v>Beef, pot roast, braised or boiled, NS as to fat eaten</v>
          </cell>
          <cell r="I476">
            <v>85</v>
          </cell>
          <cell r="J476">
            <v>213.25863000000001</v>
          </cell>
          <cell r="K476">
            <v>2.5089250588235297</v>
          </cell>
          <cell r="L476">
            <v>0</v>
          </cell>
          <cell r="M476">
            <v>4.3494644999999998</v>
          </cell>
          <cell r="N476">
            <v>0</v>
          </cell>
          <cell r="O476">
            <v>1.11279E-2</v>
          </cell>
          <cell r="P476">
            <v>0</v>
          </cell>
          <cell r="Q476">
            <v>0.37088460000000001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0.33427420000000002</v>
          </cell>
          <cell r="Y476">
            <v>0</v>
          </cell>
          <cell r="Z476">
            <v>80.532105000000001</v>
          </cell>
          <cell r="AA476">
            <v>0</v>
          </cell>
          <cell r="AB476">
            <v>0.3573479</v>
          </cell>
        </row>
        <row r="477">
          <cell r="A477">
            <v>21407110</v>
          </cell>
          <cell r="B477" t="str">
            <v>Beef, pot roast, braised or boiled, lean and fat eaten</v>
          </cell>
          <cell r="I477">
            <v>85</v>
          </cell>
          <cell r="J477">
            <v>105.45905999999999</v>
          </cell>
          <cell r="K477">
            <v>1.2406948235294117</v>
          </cell>
          <cell r="L477">
            <v>0</v>
          </cell>
          <cell r="M477">
            <v>1.1414888000000001</v>
          </cell>
          <cell r="N477">
            <v>0</v>
          </cell>
          <cell r="O477">
            <v>1.11196E-2</v>
          </cell>
          <cell r="P477">
            <v>0</v>
          </cell>
          <cell r="Q477">
            <v>0.20585609999999999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0.29080119999999998</v>
          </cell>
          <cell r="Y477">
            <v>0</v>
          </cell>
          <cell r="Z477">
            <v>63.383001999999998</v>
          </cell>
          <cell r="AA477">
            <v>0</v>
          </cell>
          <cell r="AB477">
            <v>0.14595530000000001</v>
          </cell>
        </row>
        <row r="478">
          <cell r="A478">
            <v>21407120</v>
          </cell>
          <cell r="B478" t="str">
            <v>Beef, pot roast, braised or boiled, lean only eaten</v>
          </cell>
          <cell r="I478">
            <v>85</v>
          </cell>
          <cell r="J478">
            <v>213.25863000000001</v>
          </cell>
          <cell r="K478">
            <v>2.5089250588235297</v>
          </cell>
          <cell r="L478">
            <v>0</v>
          </cell>
          <cell r="M478">
            <v>4.3494644999999998</v>
          </cell>
          <cell r="N478">
            <v>0</v>
          </cell>
          <cell r="O478">
            <v>1.11279E-2</v>
          </cell>
          <cell r="P478">
            <v>0</v>
          </cell>
          <cell r="Q478">
            <v>0.37088460000000001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0.33427420000000002</v>
          </cell>
          <cell r="Y478">
            <v>0</v>
          </cell>
          <cell r="Z478">
            <v>80.532105000000001</v>
          </cell>
          <cell r="AA478">
            <v>0</v>
          </cell>
          <cell r="AB478">
            <v>0.2336877</v>
          </cell>
        </row>
        <row r="479">
          <cell r="A479">
            <v>21410000</v>
          </cell>
          <cell r="B479" t="str">
            <v>Beef, stew meat, cooked, NS as to fat eaten</v>
          </cell>
          <cell r="I479">
            <v>85</v>
          </cell>
          <cell r="J479">
            <v>213.25863000000001</v>
          </cell>
          <cell r="K479">
            <v>2.5089250588235297</v>
          </cell>
          <cell r="L479">
            <v>0</v>
          </cell>
          <cell r="M479">
            <v>4.3494644999999998</v>
          </cell>
          <cell r="N479">
            <v>0</v>
          </cell>
          <cell r="O479">
            <v>1.11279E-2</v>
          </cell>
          <cell r="P479">
            <v>0</v>
          </cell>
          <cell r="Q479">
            <v>0.37088460000000001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0.33427420000000002</v>
          </cell>
          <cell r="Y479">
            <v>0</v>
          </cell>
          <cell r="Z479">
            <v>80.532105000000001</v>
          </cell>
          <cell r="AA479">
            <v>0</v>
          </cell>
          <cell r="AB479">
            <v>0.38025930000000002</v>
          </cell>
        </row>
        <row r="480">
          <cell r="A480">
            <v>21410120</v>
          </cell>
          <cell r="B480" t="str">
            <v>Beef, stew meat, cooked, lean only eaten</v>
          </cell>
          <cell r="I480">
            <v>85</v>
          </cell>
          <cell r="J480">
            <v>213.25863000000001</v>
          </cell>
          <cell r="K480">
            <v>2.5089250588235297</v>
          </cell>
          <cell r="L480">
            <v>0</v>
          </cell>
          <cell r="M480">
            <v>4.3494644999999998</v>
          </cell>
          <cell r="N480">
            <v>0</v>
          </cell>
          <cell r="O480">
            <v>1.11279E-2</v>
          </cell>
          <cell r="P480">
            <v>0</v>
          </cell>
          <cell r="Q480">
            <v>0.37088460000000001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0.33427420000000002</v>
          </cell>
          <cell r="Y480">
            <v>0</v>
          </cell>
          <cell r="Z480">
            <v>80.532105000000001</v>
          </cell>
          <cell r="AA480">
            <v>0</v>
          </cell>
          <cell r="AB480">
            <v>0.20974180000000001</v>
          </cell>
        </row>
        <row r="481">
          <cell r="A481">
            <v>21416000</v>
          </cell>
          <cell r="B481" t="str">
            <v>Corned beef, cooked, NS as to fat eaten</v>
          </cell>
          <cell r="I481">
            <v>85</v>
          </cell>
          <cell r="J481">
            <v>213.35</v>
          </cell>
          <cell r="K481">
            <v>2.5099999999999998</v>
          </cell>
          <cell r="L481">
            <v>0</v>
          </cell>
          <cell r="M481">
            <v>5.3890000000000002</v>
          </cell>
          <cell r="N481">
            <v>0</v>
          </cell>
          <cell r="O481">
            <v>6.7999999999999996E-3</v>
          </cell>
          <cell r="P481">
            <v>0</v>
          </cell>
          <cell r="Q481">
            <v>0.56950000000000001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0.82704999999999995</v>
          </cell>
          <cell r="Y481">
            <v>0</v>
          </cell>
          <cell r="Z481">
            <v>0</v>
          </cell>
          <cell r="AA481">
            <v>75.907124999999994</v>
          </cell>
          <cell r="AB481">
            <v>3.9756899999999998E-2</v>
          </cell>
        </row>
        <row r="482">
          <cell r="A482">
            <v>21416110</v>
          </cell>
          <cell r="B482" t="str">
            <v>Corned beef, cooked, lean and fat eaten</v>
          </cell>
          <cell r="I482">
            <v>85</v>
          </cell>
          <cell r="J482">
            <v>213.35</v>
          </cell>
          <cell r="K482">
            <v>2.5099999999999998</v>
          </cell>
          <cell r="L482">
            <v>0</v>
          </cell>
          <cell r="M482">
            <v>5.3890000000000002</v>
          </cell>
          <cell r="N482">
            <v>0</v>
          </cell>
          <cell r="O482">
            <v>6.7999999999999996E-3</v>
          </cell>
          <cell r="P482">
            <v>0</v>
          </cell>
          <cell r="Q482">
            <v>0.56950000000000001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0.82704999999999995</v>
          </cell>
          <cell r="Y482">
            <v>0</v>
          </cell>
          <cell r="Z482">
            <v>0</v>
          </cell>
          <cell r="AA482">
            <v>75.907124999999994</v>
          </cell>
          <cell r="AB482">
            <v>3.9833300000000002E-2</v>
          </cell>
        </row>
        <row r="483">
          <cell r="A483">
            <v>21416120</v>
          </cell>
          <cell r="B483" t="str">
            <v>Corned beef, cooked, lean only eaten</v>
          </cell>
          <cell r="I483">
            <v>85</v>
          </cell>
          <cell r="J483">
            <v>212.5</v>
          </cell>
          <cell r="K483">
            <v>2.5</v>
          </cell>
          <cell r="L483">
            <v>0</v>
          </cell>
          <cell r="M483">
            <v>5.2530000000000001</v>
          </cell>
          <cell r="N483">
            <v>0</v>
          </cell>
          <cell r="O483">
            <v>1.0200000000000001E-2</v>
          </cell>
          <cell r="P483">
            <v>0</v>
          </cell>
          <cell r="Q483">
            <v>0.53549999999999998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0.76244999999999996</v>
          </cell>
          <cell r="Y483">
            <v>0</v>
          </cell>
          <cell r="Z483">
            <v>0</v>
          </cell>
          <cell r="AA483">
            <v>79.762725000000003</v>
          </cell>
          <cell r="AB483">
            <v>0.2058894</v>
          </cell>
        </row>
        <row r="484">
          <cell r="A484">
            <v>21416150</v>
          </cell>
          <cell r="B484" t="str">
            <v>Corned beef, canned, ready-to-eat</v>
          </cell>
          <cell r="I484">
            <v>55</v>
          </cell>
          <cell r="J484">
            <v>137.5</v>
          </cell>
          <cell r="K484">
            <v>2.5</v>
          </cell>
          <cell r="L484">
            <v>0</v>
          </cell>
          <cell r="M484">
            <v>3.399</v>
          </cell>
          <cell r="N484">
            <v>0</v>
          </cell>
          <cell r="O484">
            <v>6.6E-3</v>
          </cell>
          <cell r="P484">
            <v>0</v>
          </cell>
          <cell r="Q484">
            <v>0.34649999999999997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0.49335000000000001</v>
          </cell>
          <cell r="Y484">
            <v>0</v>
          </cell>
          <cell r="Z484">
            <v>0</v>
          </cell>
          <cell r="AA484">
            <v>51.611175000000003</v>
          </cell>
          <cell r="AB484">
            <v>0.13323180000000001</v>
          </cell>
        </row>
        <row r="485">
          <cell r="A485">
            <v>21417100</v>
          </cell>
          <cell r="B485" t="str">
            <v>Beef brisket, cooked, NS as to fat eaten</v>
          </cell>
          <cell r="I485">
            <v>85</v>
          </cell>
          <cell r="J485">
            <v>183.75645</v>
          </cell>
          <cell r="K485">
            <v>2.161840588235294</v>
          </cell>
          <cell r="L485">
            <v>0</v>
          </cell>
          <cell r="M485">
            <v>3.0597976999999998</v>
          </cell>
          <cell r="N485">
            <v>0</v>
          </cell>
          <cell r="O485">
            <v>5.2274000000000001E-3</v>
          </cell>
          <cell r="P485">
            <v>0</v>
          </cell>
          <cell r="Q485">
            <v>0.25287579999999998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0.33343129999999999</v>
          </cell>
          <cell r="Y485">
            <v>0</v>
          </cell>
          <cell r="Z485">
            <v>83.638684999999995</v>
          </cell>
          <cell r="AA485">
            <v>0</v>
          </cell>
          <cell r="AB485">
            <v>0.1712272</v>
          </cell>
        </row>
        <row r="486">
          <cell r="A486">
            <v>21417110</v>
          </cell>
          <cell r="B486" t="str">
            <v>Beef brisket, cooked, lean and fat eaten</v>
          </cell>
          <cell r="I486">
            <v>85</v>
          </cell>
          <cell r="J486">
            <v>245.28957</v>
          </cell>
          <cell r="K486">
            <v>2.8857596470588236</v>
          </cell>
          <cell r="L486">
            <v>0</v>
          </cell>
          <cell r="M486">
            <v>6.3471837000000004</v>
          </cell>
          <cell r="N486">
            <v>0</v>
          </cell>
          <cell r="O486">
            <v>6.0704000000000001E-3</v>
          </cell>
          <cell r="P486">
            <v>0</v>
          </cell>
          <cell r="Q486">
            <v>0.56475600000000004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0.32921669999999997</v>
          </cell>
          <cell r="Y486">
            <v>0</v>
          </cell>
          <cell r="Z486">
            <v>74.796880999999999</v>
          </cell>
          <cell r="AA486">
            <v>0</v>
          </cell>
          <cell r="AB486">
            <v>0.3987443</v>
          </cell>
        </row>
        <row r="487">
          <cell r="A487">
            <v>21417120</v>
          </cell>
          <cell r="B487" t="str">
            <v>Beef brisket, cooked, lean only eaten</v>
          </cell>
          <cell r="I487">
            <v>85</v>
          </cell>
          <cell r="J487">
            <v>183.75645</v>
          </cell>
          <cell r="K487">
            <v>2.161840588235294</v>
          </cell>
          <cell r="L487">
            <v>0</v>
          </cell>
          <cell r="M487">
            <v>3.0597976999999998</v>
          </cell>
          <cell r="N487">
            <v>0</v>
          </cell>
          <cell r="O487">
            <v>5.2274000000000001E-3</v>
          </cell>
          <cell r="P487">
            <v>0</v>
          </cell>
          <cell r="Q487">
            <v>0.25287579999999998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0.33343129999999999</v>
          </cell>
          <cell r="Y487">
            <v>0</v>
          </cell>
          <cell r="Z487">
            <v>83.638684999999995</v>
          </cell>
          <cell r="AA487">
            <v>0</v>
          </cell>
          <cell r="AB487">
            <v>8.1898100000000001E-2</v>
          </cell>
        </row>
        <row r="488">
          <cell r="A488">
            <v>21420100</v>
          </cell>
          <cell r="B488" t="str">
            <v>Beef, sandwich steak, flaked, formed, thinly sliced</v>
          </cell>
          <cell r="I488">
            <v>140</v>
          </cell>
          <cell r="J488">
            <v>460.74</v>
          </cell>
          <cell r="K488">
            <v>3.2909999999999999</v>
          </cell>
          <cell r="L488">
            <v>0</v>
          </cell>
          <cell r="M488">
            <v>16.366</v>
          </cell>
          <cell r="N488">
            <v>0</v>
          </cell>
          <cell r="O488">
            <v>1.183E-2</v>
          </cell>
          <cell r="P488">
            <v>0</v>
          </cell>
          <cell r="Q488">
            <v>1.3888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7.2520000000000001E-2</v>
          </cell>
          <cell r="Y488">
            <v>0</v>
          </cell>
          <cell r="Z488">
            <v>88.270560000000003</v>
          </cell>
          <cell r="AA488">
            <v>0</v>
          </cell>
          <cell r="AB488">
            <v>1.4858065</v>
          </cell>
        </row>
        <row r="489">
          <cell r="A489">
            <v>21500100</v>
          </cell>
          <cell r="B489" t="str">
            <v>Ground beef, cooked</v>
          </cell>
          <cell r="I489">
            <v>85</v>
          </cell>
          <cell r="J489">
            <v>221.39279999999999</v>
          </cell>
          <cell r="K489">
            <v>2.6046211764705882</v>
          </cell>
          <cell r="L489">
            <v>0</v>
          </cell>
          <cell r="M489">
            <v>5.4847505999999999</v>
          </cell>
          <cell r="N489">
            <v>0</v>
          </cell>
          <cell r="O489">
            <v>2.0273599999999999E-2</v>
          </cell>
          <cell r="P489">
            <v>0</v>
          </cell>
          <cell r="Q489">
            <v>0.42049039999999999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0.337393</v>
          </cell>
          <cell r="Y489">
            <v>0</v>
          </cell>
          <cell r="Z489">
            <v>77.138763999999995</v>
          </cell>
          <cell r="AA489">
            <v>0</v>
          </cell>
          <cell r="AB489">
            <v>0.64116669999999998</v>
          </cell>
        </row>
        <row r="490">
          <cell r="A490">
            <v>21500200</v>
          </cell>
          <cell r="B490" t="str">
            <v>Ground beef or patty, breaded, cooked</v>
          </cell>
          <cell r="I490">
            <v>85</v>
          </cell>
          <cell r="J490">
            <v>270.94862999999998</v>
          </cell>
          <cell r="K490">
            <v>3.1876309411764705</v>
          </cell>
          <cell r="L490">
            <v>-9.4400000000000003E-17</v>
          </cell>
          <cell r="M490">
            <v>4.5222332999999999</v>
          </cell>
          <cell r="N490">
            <v>0</v>
          </cell>
          <cell r="O490">
            <v>5.7994200000000003E-2</v>
          </cell>
          <cell r="P490">
            <v>0.76730189999999998</v>
          </cell>
          <cell r="Q490">
            <v>4.1919274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0.5020751</v>
          </cell>
          <cell r="Y490">
            <v>0</v>
          </cell>
          <cell r="Z490">
            <v>45.639021</v>
          </cell>
          <cell r="AA490">
            <v>0</v>
          </cell>
          <cell r="AB490">
            <v>0.55221019999999998</v>
          </cell>
        </row>
        <row r="491">
          <cell r="A491">
            <v>21500300</v>
          </cell>
          <cell r="B491" t="str">
            <v>Ground beef patty, cooked (for fast food sandwiches)</v>
          </cell>
          <cell r="I491">
            <v>85</v>
          </cell>
          <cell r="J491">
            <v>248.66125</v>
          </cell>
          <cell r="K491">
            <v>2.9254264705882354</v>
          </cell>
          <cell r="L491">
            <v>0</v>
          </cell>
          <cell r="M491">
            <v>7.4219059999999999</v>
          </cell>
          <cell r="N491">
            <v>0</v>
          </cell>
          <cell r="O491">
            <v>9.4420000000000007E-3</v>
          </cell>
          <cell r="P491">
            <v>0</v>
          </cell>
          <cell r="Q491">
            <v>0.55295519999999998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0.33933170000000001</v>
          </cell>
          <cell r="Y491">
            <v>0</v>
          </cell>
          <cell r="Z491">
            <v>72.646172000000007</v>
          </cell>
          <cell r="AA491">
            <v>0</v>
          </cell>
          <cell r="AB491">
            <v>0.76814300000000002</v>
          </cell>
        </row>
        <row r="492">
          <cell r="A492">
            <v>21500310</v>
          </cell>
          <cell r="B492" t="str">
            <v>Ground beef patty, cooked</v>
          </cell>
          <cell r="I492">
            <v>85</v>
          </cell>
          <cell r="J492">
            <v>231.47320999999999</v>
          </cell>
          <cell r="K492">
            <v>2.7232142352941175</v>
          </cell>
          <cell r="L492">
            <v>0</v>
          </cell>
          <cell r="M492">
            <v>5.9078372999999997</v>
          </cell>
          <cell r="N492">
            <v>0</v>
          </cell>
          <cell r="O492">
            <v>2.29298E-2</v>
          </cell>
          <cell r="P492">
            <v>0</v>
          </cell>
          <cell r="Q492">
            <v>0.43722719999999998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0.32597159999999997</v>
          </cell>
          <cell r="Y492">
            <v>0</v>
          </cell>
          <cell r="Z492">
            <v>75.902343999999999</v>
          </cell>
          <cell r="AA492">
            <v>0</v>
          </cell>
          <cell r="AB492">
            <v>0.73363100000000003</v>
          </cell>
        </row>
        <row r="493">
          <cell r="A493">
            <v>21501000</v>
          </cell>
          <cell r="B493" t="str">
            <v>Ground beef, less than 80% lean, cooked (formerly regular)</v>
          </cell>
          <cell r="I493">
            <v>85</v>
          </cell>
          <cell r="J493">
            <v>209.04402999999999</v>
          </cell>
          <cell r="K493">
            <v>2.4593415294117644</v>
          </cell>
          <cell r="L493">
            <v>0</v>
          </cell>
          <cell r="M493">
            <v>5.2943771999999996</v>
          </cell>
          <cell r="N493">
            <v>0</v>
          </cell>
          <cell r="O493">
            <v>2.7143400000000002E-2</v>
          </cell>
          <cell r="P493">
            <v>0</v>
          </cell>
          <cell r="Q493">
            <v>0.38015670000000001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0.34776089999999998</v>
          </cell>
          <cell r="Y493">
            <v>0</v>
          </cell>
          <cell r="Z493">
            <v>77.664492999999993</v>
          </cell>
          <cell r="AA493">
            <v>0</v>
          </cell>
          <cell r="AB493">
            <v>0.88675130000000002</v>
          </cell>
        </row>
        <row r="494">
          <cell r="A494">
            <v>21501200</v>
          </cell>
          <cell r="B494" t="str">
            <v>Ground beef, 80% - 84% lean, cooked (formerly lean)</v>
          </cell>
          <cell r="I494">
            <v>85</v>
          </cell>
          <cell r="J494">
            <v>207.35819000000001</v>
          </cell>
          <cell r="K494">
            <v>2.4395081176470588</v>
          </cell>
          <cell r="L494">
            <v>0</v>
          </cell>
          <cell r="M494">
            <v>5.0819615000000002</v>
          </cell>
          <cell r="N494">
            <v>0</v>
          </cell>
          <cell r="O494">
            <v>2.2085799999999999E-2</v>
          </cell>
          <cell r="P494">
            <v>0</v>
          </cell>
          <cell r="Q494">
            <v>0.38858589999999998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0.34438930000000001</v>
          </cell>
          <cell r="Y494">
            <v>0</v>
          </cell>
          <cell r="Z494">
            <v>78.142429000000007</v>
          </cell>
          <cell r="AA494">
            <v>0</v>
          </cell>
          <cell r="AB494">
            <v>0.70215190000000005</v>
          </cell>
        </row>
        <row r="495">
          <cell r="A495">
            <v>21501300</v>
          </cell>
          <cell r="B495" t="str">
            <v>Ground beef, 85% - 89% lean, cooked (formerly extra lean)</v>
          </cell>
          <cell r="I495">
            <v>85</v>
          </cell>
          <cell r="J495">
            <v>195.55732</v>
          </cell>
          <cell r="K495">
            <v>2.3006743529411766</v>
          </cell>
          <cell r="L495">
            <v>0</v>
          </cell>
          <cell r="M495">
            <v>4.4936037000000004</v>
          </cell>
          <cell r="N495">
            <v>0</v>
          </cell>
          <cell r="O495">
            <v>1.70283E-2</v>
          </cell>
          <cell r="P495">
            <v>0</v>
          </cell>
          <cell r="Q495">
            <v>0.36919869999999999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0.34101759999999998</v>
          </cell>
          <cell r="Y495">
            <v>0</v>
          </cell>
          <cell r="Z495">
            <v>79.815201999999999</v>
          </cell>
          <cell r="AA495">
            <v>0</v>
          </cell>
          <cell r="AB495">
            <v>0.51839550000000001</v>
          </cell>
        </row>
        <row r="496">
          <cell r="A496">
            <v>21501350</v>
          </cell>
          <cell r="B496" t="str">
            <v>Ground beef, 90% - 94% lean, cooked</v>
          </cell>
          <cell r="I496">
            <v>85</v>
          </cell>
          <cell r="J496">
            <v>171.95556999999999</v>
          </cell>
          <cell r="K496">
            <v>2.0230067058823531</v>
          </cell>
          <cell r="L496">
            <v>0</v>
          </cell>
          <cell r="M496">
            <v>3.5309897000000001</v>
          </cell>
          <cell r="N496">
            <v>0</v>
          </cell>
          <cell r="O496">
            <v>1.2813700000000001E-2</v>
          </cell>
          <cell r="P496">
            <v>0</v>
          </cell>
          <cell r="Q496">
            <v>0.3211523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0.3376459</v>
          </cell>
          <cell r="Y496">
            <v>0</v>
          </cell>
          <cell r="Z496">
            <v>82.921781999999993</v>
          </cell>
          <cell r="AA496">
            <v>0</v>
          </cell>
          <cell r="AB496">
            <v>0.33463900000000002</v>
          </cell>
        </row>
        <row r="497">
          <cell r="A497">
            <v>21501360</v>
          </cell>
          <cell r="B497" t="str">
            <v>Ground beef, 95% or more lean, cooked</v>
          </cell>
          <cell r="I497">
            <v>85</v>
          </cell>
          <cell r="J497">
            <v>138.23878999999999</v>
          </cell>
          <cell r="K497">
            <v>1.6263387058823529</v>
          </cell>
          <cell r="L497">
            <v>0</v>
          </cell>
          <cell r="M497">
            <v>2.1823185</v>
          </cell>
          <cell r="N497">
            <v>0</v>
          </cell>
          <cell r="O497">
            <v>7.7562000000000004E-3</v>
          </cell>
          <cell r="P497">
            <v>0</v>
          </cell>
          <cell r="Q497">
            <v>0.23938909999999999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0.33427420000000002</v>
          </cell>
          <cell r="Y497">
            <v>0</v>
          </cell>
          <cell r="Z497">
            <v>84.291948000000005</v>
          </cell>
          <cell r="AA497">
            <v>0</v>
          </cell>
          <cell r="AB497">
            <v>0.15088260000000001</v>
          </cell>
        </row>
        <row r="498">
          <cell r="A498">
            <v>21540100</v>
          </cell>
          <cell r="B498" t="str">
            <v>Ground beef with textured vegetable protein, cooked</v>
          </cell>
          <cell r="I498">
            <v>85</v>
          </cell>
          <cell r="J498">
            <v>207.20424</v>
          </cell>
          <cell r="K498">
            <v>2.4376969411764704</v>
          </cell>
          <cell r="L498">
            <v>0.83299999999999996</v>
          </cell>
          <cell r="M498">
            <v>4.6326004999999997</v>
          </cell>
          <cell r="N498">
            <v>0</v>
          </cell>
          <cell r="O498">
            <v>3.93388E-2</v>
          </cell>
          <cell r="P498">
            <v>0</v>
          </cell>
          <cell r="Q498">
            <v>0.68030230000000003</v>
          </cell>
          <cell r="R498">
            <v>0</v>
          </cell>
          <cell r="S498">
            <v>0</v>
          </cell>
          <cell r="T498">
            <v>0</v>
          </cell>
          <cell r="U498">
            <v>7.9050000000000002</v>
          </cell>
          <cell r="V498">
            <v>0</v>
          </cell>
          <cell r="W498">
            <v>0</v>
          </cell>
          <cell r="X498">
            <v>0.36664439999999998</v>
          </cell>
          <cell r="Y498">
            <v>0</v>
          </cell>
          <cell r="Z498">
            <v>61.711011999999997</v>
          </cell>
          <cell r="AA498">
            <v>0</v>
          </cell>
          <cell r="AB498">
            <v>0.51293339999999998</v>
          </cell>
        </row>
        <row r="499">
          <cell r="A499">
            <v>21601000</v>
          </cell>
          <cell r="B499" t="str">
            <v>Beef, bacon, cooked</v>
          </cell>
          <cell r="I499">
            <v>15</v>
          </cell>
          <cell r="J499">
            <v>67.349999999999994</v>
          </cell>
          <cell r="K499">
            <v>4.4899999999999993</v>
          </cell>
          <cell r="L499">
            <v>0</v>
          </cell>
          <cell r="M499">
            <v>2.1524999999999999</v>
          </cell>
          <cell r="N499">
            <v>0</v>
          </cell>
          <cell r="O499">
            <v>1.3500000000000001E-3</v>
          </cell>
          <cell r="P499">
            <v>0</v>
          </cell>
          <cell r="Q499">
            <v>0.23699999999999999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0.33794999999999997</v>
          </cell>
          <cell r="Y499">
            <v>0</v>
          </cell>
          <cell r="Z499">
            <v>0</v>
          </cell>
          <cell r="AA499">
            <v>10.843875000000001</v>
          </cell>
          <cell r="AB499">
            <v>0</v>
          </cell>
        </row>
        <row r="500">
          <cell r="A500">
            <v>21601010</v>
          </cell>
          <cell r="B500" t="str">
            <v>Beef, bacon, reduced sodium, cooked</v>
          </cell>
          <cell r="I500">
            <v>15</v>
          </cell>
          <cell r="J500">
            <v>81.150000000000006</v>
          </cell>
          <cell r="K500">
            <v>5.41</v>
          </cell>
          <cell r="L500">
            <v>0</v>
          </cell>
          <cell r="M500">
            <v>2.0608499999999998</v>
          </cell>
          <cell r="N500">
            <v>0</v>
          </cell>
          <cell r="O500">
            <v>1.65E-3</v>
          </cell>
          <cell r="P500">
            <v>0</v>
          </cell>
          <cell r="Q500">
            <v>0.68220000000000003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0.1545</v>
          </cell>
          <cell r="Y500">
            <v>0</v>
          </cell>
          <cell r="Z500">
            <v>0</v>
          </cell>
          <cell r="AA500">
            <v>9.6106499999999997</v>
          </cell>
          <cell r="AB500">
            <v>0</v>
          </cell>
        </row>
        <row r="501">
          <cell r="A501">
            <v>21602000</v>
          </cell>
          <cell r="B501" t="str">
            <v>Beef, dried, chipped, uncooked</v>
          </cell>
          <cell r="I501">
            <v>15</v>
          </cell>
          <cell r="J501">
            <v>22.95</v>
          </cell>
          <cell r="K501">
            <v>1.53</v>
          </cell>
          <cell r="L501">
            <v>0</v>
          </cell>
          <cell r="M501">
            <v>0.14249999999999999</v>
          </cell>
          <cell r="N501">
            <v>0</v>
          </cell>
          <cell r="O501">
            <v>1.1999999999999999E-3</v>
          </cell>
          <cell r="P501">
            <v>0</v>
          </cell>
          <cell r="Q501">
            <v>1.0500000000000001E-2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0.41849999999999998</v>
          </cell>
          <cell r="Y501">
            <v>0</v>
          </cell>
          <cell r="Z501">
            <v>0</v>
          </cell>
          <cell r="AA501">
            <v>14.586074999999999</v>
          </cell>
          <cell r="AB501">
            <v>0</v>
          </cell>
        </row>
        <row r="502">
          <cell r="A502">
            <v>21602100</v>
          </cell>
          <cell r="B502" t="str">
            <v>Beef jerky</v>
          </cell>
          <cell r="I502">
            <v>30</v>
          </cell>
          <cell r="J502">
            <v>123</v>
          </cell>
          <cell r="K502">
            <v>4.0999999999999996</v>
          </cell>
          <cell r="L502">
            <v>0</v>
          </cell>
          <cell r="M502">
            <v>3.2549999999999999</v>
          </cell>
          <cell r="N502">
            <v>0</v>
          </cell>
          <cell r="O502">
            <v>6.0000000000000001E-3</v>
          </cell>
          <cell r="P502">
            <v>0.54</v>
          </cell>
          <cell r="Q502">
            <v>0.30330000000000001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0.62429999999999997</v>
          </cell>
          <cell r="Y502">
            <v>0</v>
          </cell>
          <cell r="Z502">
            <v>0</v>
          </cell>
          <cell r="AA502">
            <v>21.602699999999999</v>
          </cell>
          <cell r="AB502">
            <v>0.21734490000000001</v>
          </cell>
        </row>
        <row r="503">
          <cell r="A503">
            <v>21603000</v>
          </cell>
          <cell r="B503" t="str">
            <v>Beef, pastrami (beef, smoked, spiced)</v>
          </cell>
          <cell r="I503">
            <v>55</v>
          </cell>
          <cell r="J503">
            <v>80.849999999999994</v>
          </cell>
          <cell r="K503">
            <v>1.47</v>
          </cell>
          <cell r="L503">
            <v>0</v>
          </cell>
          <cell r="M503">
            <v>1.47455</v>
          </cell>
          <cell r="N503">
            <v>0</v>
          </cell>
          <cell r="O503">
            <v>5.4999999999999997E-3</v>
          </cell>
          <cell r="P503">
            <v>0</v>
          </cell>
          <cell r="Q503">
            <v>7.9750000000000001E-2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0.59289999999999998</v>
          </cell>
          <cell r="Y503">
            <v>0</v>
          </cell>
          <cell r="Z503">
            <v>0</v>
          </cell>
          <cell r="AA503">
            <v>55</v>
          </cell>
          <cell r="AB503">
            <v>0</v>
          </cell>
        </row>
        <row r="504">
          <cell r="A504">
            <v>22000100</v>
          </cell>
          <cell r="B504" t="str">
            <v>Pork, NS as to cut, cooked, NS as to fat eaten</v>
          </cell>
          <cell r="I504">
            <v>85</v>
          </cell>
          <cell r="J504">
            <v>134.81886</v>
          </cell>
          <cell r="K504">
            <v>1.5861042352941177</v>
          </cell>
          <cell r="L504">
            <v>0</v>
          </cell>
          <cell r="M504">
            <v>2.0872457</v>
          </cell>
          <cell r="N504">
            <v>0</v>
          </cell>
          <cell r="O504">
            <v>6.5637999999999998E-3</v>
          </cell>
          <cell r="P504">
            <v>0</v>
          </cell>
          <cell r="Q504">
            <v>1.0057419000000001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0.3371189</v>
          </cell>
          <cell r="Y504">
            <v>0</v>
          </cell>
          <cell r="Z504">
            <v>62.450195999999998</v>
          </cell>
          <cell r="AA504">
            <v>0</v>
          </cell>
          <cell r="AB504">
            <v>7.0952899999999999E-2</v>
          </cell>
        </row>
        <row r="505">
          <cell r="A505">
            <v>22000110</v>
          </cell>
          <cell r="B505" t="str">
            <v>Pork, NS as to cut, cooked, lean and fat eaten</v>
          </cell>
          <cell r="I505">
            <v>85</v>
          </cell>
          <cell r="J505">
            <v>134.81886</v>
          </cell>
          <cell r="K505">
            <v>1.5861042352941177</v>
          </cell>
          <cell r="L505">
            <v>0</v>
          </cell>
          <cell r="M505">
            <v>2.0872457</v>
          </cell>
          <cell r="N505">
            <v>0</v>
          </cell>
          <cell r="O505">
            <v>6.5637999999999998E-3</v>
          </cell>
          <cell r="P505">
            <v>0</v>
          </cell>
          <cell r="Q505">
            <v>1.0057419000000001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0.3371189</v>
          </cell>
          <cell r="Y505">
            <v>0</v>
          </cell>
          <cell r="Z505">
            <v>62.450195999999998</v>
          </cell>
          <cell r="AA505">
            <v>0</v>
          </cell>
          <cell r="AB505">
            <v>7.0952899999999999E-2</v>
          </cell>
        </row>
        <row r="506">
          <cell r="A506">
            <v>22000120</v>
          </cell>
          <cell r="B506" t="str">
            <v>Pork, NS as to cut, cooked, lean only eaten</v>
          </cell>
          <cell r="I506">
            <v>85</v>
          </cell>
          <cell r="J506">
            <v>104.61538</v>
          </cell>
          <cell r="K506">
            <v>1.2307691764705884</v>
          </cell>
          <cell r="L506">
            <v>0</v>
          </cell>
          <cell r="M506">
            <v>0.97967249999999995</v>
          </cell>
          <cell r="N506">
            <v>0</v>
          </cell>
          <cell r="O506">
            <v>4.8764000000000004E-3</v>
          </cell>
          <cell r="P506">
            <v>0</v>
          </cell>
          <cell r="Q506">
            <v>0.31207439999999997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0.34454319999999999</v>
          </cell>
          <cell r="Y506">
            <v>0</v>
          </cell>
          <cell r="Z506">
            <v>63.383001999999998</v>
          </cell>
          <cell r="AA506">
            <v>0</v>
          </cell>
          <cell r="AB506">
            <v>1.6704699999999999E-2</v>
          </cell>
        </row>
        <row r="507">
          <cell r="A507">
            <v>22000200</v>
          </cell>
          <cell r="B507" t="str">
            <v>Pork, NS as to cut, fried, NS as to fat eaten</v>
          </cell>
          <cell r="I507">
            <v>85</v>
          </cell>
          <cell r="J507">
            <v>134.81886</v>
          </cell>
          <cell r="K507">
            <v>1.5861042352941177</v>
          </cell>
          <cell r="L507">
            <v>0</v>
          </cell>
          <cell r="M507">
            <v>2.0872457</v>
          </cell>
          <cell r="N507">
            <v>0</v>
          </cell>
          <cell r="O507">
            <v>6.5637999999999998E-3</v>
          </cell>
          <cell r="P507">
            <v>0</v>
          </cell>
          <cell r="Q507">
            <v>1.0057419000000001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0.3371189</v>
          </cell>
          <cell r="Y507">
            <v>0</v>
          </cell>
          <cell r="Z507">
            <v>62.450195999999998</v>
          </cell>
          <cell r="AA507">
            <v>0</v>
          </cell>
          <cell r="AB507">
            <v>7.0952899999999999E-2</v>
          </cell>
        </row>
        <row r="508">
          <cell r="A508">
            <v>22000210</v>
          </cell>
          <cell r="B508" t="str">
            <v>Pork, NS as to cut, fried, lean and fat eaten</v>
          </cell>
          <cell r="I508">
            <v>85</v>
          </cell>
          <cell r="J508">
            <v>134.81886</v>
          </cell>
          <cell r="K508">
            <v>1.5861042352941177</v>
          </cell>
          <cell r="L508">
            <v>0</v>
          </cell>
          <cell r="M508">
            <v>2.0872457</v>
          </cell>
          <cell r="N508">
            <v>0</v>
          </cell>
          <cell r="O508">
            <v>6.5637999999999998E-3</v>
          </cell>
          <cell r="P508">
            <v>0</v>
          </cell>
          <cell r="Q508">
            <v>1.0057419000000001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0.3371189</v>
          </cell>
          <cell r="Y508">
            <v>0</v>
          </cell>
          <cell r="Z508">
            <v>62.450195999999998</v>
          </cell>
          <cell r="AA508">
            <v>0</v>
          </cell>
          <cell r="AB508">
            <v>7.0952899999999999E-2</v>
          </cell>
        </row>
        <row r="509">
          <cell r="A509">
            <v>22000220</v>
          </cell>
          <cell r="B509" t="str">
            <v>Pork, NS as to cut, fried, lean only eaten</v>
          </cell>
          <cell r="I509">
            <v>85</v>
          </cell>
          <cell r="J509">
            <v>104.61538</v>
          </cell>
          <cell r="K509">
            <v>1.2307691764705884</v>
          </cell>
          <cell r="L509">
            <v>0</v>
          </cell>
          <cell r="M509">
            <v>0.97967249999999995</v>
          </cell>
          <cell r="N509">
            <v>0</v>
          </cell>
          <cell r="O509">
            <v>4.8764000000000004E-3</v>
          </cell>
          <cell r="P509">
            <v>0</v>
          </cell>
          <cell r="Q509">
            <v>0.31207439999999997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0.34454319999999999</v>
          </cell>
          <cell r="Y509">
            <v>0</v>
          </cell>
          <cell r="Z509">
            <v>63.383001999999998</v>
          </cell>
          <cell r="AA509">
            <v>0</v>
          </cell>
          <cell r="AB509">
            <v>1.6704699999999999E-2</v>
          </cell>
        </row>
        <row r="510">
          <cell r="A510">
            <v>22000310</v>
          </cell>
          <cell r="B510" t="str">
            <v>Pork, NS as to cut, breaded or floured, fried, lean and fat eaten</v>
          </cell>
          <cell r="I510">
            <v>85</v>
          </cell>
          <cell r="J510">
            <v>193.79321999999999</v>
          </cell>
          <cell r="K510">
            <v>2.2799202352941177</v>
          </cell>
          <cell r="L510">
            <v>0</v>
          </cell>
          <cell r="M510">
            <v>2.3572579999999999</v>
          </cell>
          <cell r="N510">
            <v>0</v>
          </cell>
          <cell r="O510">
            <v>3.4542299999999998E-2</v>
          </cell>
          <cell r="P510">
            <v>0.64320750000000004</v>
          </cell>
          <cell r="Q510">
            <v>2.6220462000000002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0.35382219999999998</v>
          </cell>
          <cell r="Y510">
            <v>0</v>
          </cell>
          <cell r="Z510">
            <v>44.437313000000003</v>
          </cell>
          <cell r="AA510">
            <v>0</v>
          </cell>
          <cell r="AB510">
            <v>0.24409069999999999</v>
          </cell>
        </row>
        <row r="511">
          <cell r="A511">
            <v>22001000</v>
          </cell>
          <cell r="B511" t="str">
            <v>Pork, pickled, NS as to cut</v>
          </cell>
          <cell r="I511">
            <v>55</v>
          </cell>
          <cell r="J511">
            <v>77</v>
          </cell>
          <cell r="K511">
            <v>1.4</v>
          </cell>
          <cell r="L511">
            <v>0</v>
          </cell>
          <cell r="M511">
            <v>1.61975</v>
          </cell>
          <cell r="N511">
            <v>0</v>
          </cell>
          <cell r="O511">
            <v>1.7600000000000001E-2</v>
          </cell>
          <cell r="P511">
            <v>0</v>
          </cell>
          <cell r="Q511">
            <v>0.43120000000000003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0.52029999999999998</v>
          </cell>
          <cell r="Y511">
            <v>0</v>
          </cell>
          <cell r="Z511">
            <v>0</v>
          </cell>
          <cell r="AA511">
            <v>54.573749999999997</v>
          </cell>
          <cell r="AB511">
            <v>3.5749999999999997E-2</v>
          </cell>
        </row>
        <row r="512">
          <cell r="A512">
            <v>22002000</v>
          </cell>
          <cell r="B512" t="str">
            <v>Pork, ground or patty, cooked</v>
          </cell>
          <cell r="I512">
            <v>85</v>
          </cell>
          <cell r="J512">
            <v>250.34708000000001</v>
          </cell>
          <cell r="K512">
            <v>2.9452597647058822</v>
          </cell>
          <cell r="L512">
            <v>0</v>
          </cell>
          <cell r="M512">
            <v>6.5073384000000001</v>
          </cell>
          <cell r="N512">
            <v>0</v>
          </cell>
          <cell r="O512">
            <v>1.87142E-2</v>
          </cell>
          <cell r="P512">
            <v>0</v>
          </cell>
          <cell r="Q512">
            <v>1.5762594000000001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0.33596009999999998</v>
          </cell>
          <cell r="Y512">
            <v>0</v>
          </cell>
          <cell r="Z512">
            <v>73.602042999999995</v>
          </cell>
          <cell r="AA512">
            <v>0</v>
          </cell>
          <cell r="AB512">
            <v>0.42762040000000001</v>
          </cell>
        </row>
        <row r="513">
          <cell r="A513">
            <v>22002100</v>
          </cell>
          <cell r="B513" t="str">
            <v>Pork, ground or patty, breaded, cooked</v>
          </cell>
          <cell r="I513">
            <v>85</v>
          </cell>
          <cell r="J513">
            <v>282.90370000000001</v>
          </cell>
          <cell r="K513">
            <v>3.3282788235294118</v>
          </cell>
          <cell r="L513">
            <v>0</v>
          </cell>
          <cell r="M513">
            <v>5.5973350000000002</v>
          </cell>
          <cell r="N513">
            <v>0</v>
          </cell>
          <cell r="O513">
            <v>4.28966E-2</v>
          </cell>
          <cell r="P513">
            <v>0.54086540000000005</v>
          </cell>
          <cell r="Q513">
            <v>4.0504031999999999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0.33011889999999999</v>
          </cell>
          <cell r="Y513">
            <v>0</v>
          </cell>
          <cell r="Z513">
            <v>52.474760000000003</v>
          </cell>
          <cell r="AA513">
            <v>0</v>
          </cell>
          <cell r="AB513">
            <v>0.3640215</v>
          </cell>
        </row>
        <row r="514">
          <cell r="A514">
            <v>22002800</v>
          </cell>
          <cell r="B514" t="str">
            <v>Pork jerky</v>
          </cell>
          <cell r="I514">
            <v>30</v>
          </cell>
          <cell r="J514">
            <v>123</v>
          </cell>
          <cell r="K514">
            <v>4.0999999999999996</v>
          </cell>
          <cell r="L514">
            <v>0</v>
          </cell>
          <cell r="M514">
            <v>3.2549999999999999</v>
          </cell>
          <cell r="N514">
            <v>0</v>
          </cell>
          <cell r="O514">
            <v>6.0000000000000001E-3</v>
          </cell>
          <cell r="P514">
            <v>0.54</v>
          </cell>
          <cell r="Q514">
            <v>0.30330000000000001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0.62429999999999997</v>
          </cell>
          <cell r="Y514">
            <v>0</v>
          </cell>
          <cell r="Z514">
            <v>0</v>
          </cell>
          <cell r="AA514">
            <v>21.602699999999999</v>
          </cell>
          <cell r="AB514">
            <v>0.21728629999999999</v>
          </cell>
        </row>
        <row r="515">
          <cell r="A515">
            <v>22101000</v>
          </cell>
          <cell r="B515" t="str">
            <v>Pork chop, NS as to cooking method, NS as to fat eaten</v>
          </cell>
          <cell r="I515">
            <v>85</v>
          </cell>
          <cell r="J515">
            <v>134.81886</v>
          </cell>
          <cell r="K515">
            <v>1.5861042352941177</v>
          </cell>
          <cell r="L515">
            <v>0</v>
          </cell>
          <cell r="M515">
            <v>2.0872457</v>
          </cell>
          <cell r="N515">
            <v>0</v>
          </cell>
          <cell r="O515">
            <v>6.5637999999999998E-3</v>
          </cell>
          <cell r="P515">
            <v>0</v>
          </cell>
          <cell r="Q515">
            <v>1.0057419000000001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0.3371189</v>
          </cell>
          <cell r="Y515">
            <v>0</v>
          </cell>
          <cell r="Z515">
            <v>62.450195999999998</v>
          </cell>
          <cell r="AA515">
            <v>0</v>
          </cell>
          <cell r="AB515">
            <v>7.0952899999999999E-2</v>
          </cell>
        </row>
        <row r="516">
          <cell r="A516">
            <v>22101010</v>
          </cell>
          <cell r="B516" t="str">
            <v>Pork chop, NS as to cooking method, lean and fat eaten</v>
          </cell>
          <cell r="I516">
            <v>85</v>
          </cell>
          <cell r="J516">
            <v>134.81886</v>
          </cell>
          <cell r="K516">
            <v>1.5861042352941177</v>
          </cell>
          <cell r="L516">
            <v>0</v>
          </cell>
          <cell r="M516">
            <v>2.0872457</v>
          </cell>
          <cell r="N516">
            <v>0</v>
          </cell>
          <cell r="O516">
            <v>6.5637999999999998E-3</v>
          </cell>
          <cell r="P516">
            <v>0</v>
          </cell>
          <cell r="Q516">
            <v>1.0057419000000001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0.3371189</v>
          </cell>
          <cell r="Y516">
            <v>0</v>
          </cell>
          <cell r="Z516">
            <v>62.450195999999998</v>
          </cell>
          <cell r="AA516">
            <v>0</v>
          </cell>
          <cell r="AB516">
            <v>7.0952899999999999E-2</v>
          </cell>
        </row>
        <row r="517">
          <cell r="A517">
            <v>22101020</v>
          </cell>
          <cell r="B517" t="str">
            <v>Pork chop, NS as to cooking method, lean only eaten</v>
          </cell>
          <cell r="I517">
            <v>85</v>
          </cell>
          <cell r="J517">
            <v>104.61538</v>
          </cell>
          <cell r="K517">
            <v>1.2307691764705884</v>
          </cell>
          <cell r="L517">
            <v>0</v>
          </cell>
          <cell r="M517">
            <v>0.97967249999999995</v>
          </cell>
          <cell r="N517">
            <v>0</v>
          </cell>
          <cell r="O517">
            <v>4.8764000000000004E-3</v>
          </cell>
          <cell r="P517">
            <v>0</v>
          </cell>
          <cell r="Q517">
            <v>0.31207439999999997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0.34454319999999999</v>
          </cell>
          <cell r="Y517">
            <v>0</v>
          </cell>
          <cell r="Z517">
            <v>63.383001999999998</v>
          </cell>
          <cell r="AA517">
            <v>0</v>
          </cell>
          <cell r="AB517">
            <v>1.6704699999999999E-2</v>
          </cell>
        </row>
        <row r="518">
          <cell r="A518">
            <v>22101100</v>
          </cell>
          <cell r="B518" t="str">
            <v>Pork chop, broiled or baked, NS as to fat eaten</v>
          </cell>
          <cell r="I518">
            <v>85</v>
          </cell>
          <cell r="J518">
            <v>134.81886</v>
          </cell>
          <cell r="K518">
            <v>1.5861042352941177</v>
          </cell>
          <cell r="L518">
            <v>0</v>
          </cell>
          <cell r="M518">
            <v>2.0872457</v>
          </cell>
          <cell r="N518">
            <v>0</v>
          </cell>
          <cell r="O518">
            <v>6.5637999999999998E-3</v>
          </cell>
          <cell r="P518">
            <v>0</v>
          </cell>
          <cell r="Q518">
            <v>1.0057419000000001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0.3371189</v>
          </cell>
          <cell r="Y518">
            <v>0</v>
          </cell>
          <cell r="Z518">
            <v>62.450195999999998</v>
          </cell>
          <cell r="AA518">
            <v>0</v>
          </cell>
          <cell r="AB518">
            <v>7.0952899999999999E-2</v>
          </cell>
        </row>
        <row r="519">
          <cell r="A519">
            <v>22101110</v>
          </cell>
          <cell r="B519" t="str">
            <v>Pork chop, broiled or baked, lean and fat eaten</v>
          </cell>
          <cell r="I519">
            <v>85</v>
          </cell>
          <cell r="J519">
            <v>134.81886</v>
          </cell>
          <cell r="K519">
            <v>1.5861042352941177</v>
          </cell>
          <cell r="L519">
            <v>0</v>
          </cell>
          <cell r="M519">
            <v>2.0872457</v>
          </cell>
          <cell r="N519">
            <v>0</v>
          </cell>
          <cell r="O519">
            <v>6.5637999999999998E-3</v>
          </cell>
          <cell r="P519">
            <v>0</v>
          </cell>
          <cell r="Q519">
            <v>1.0057419000000001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0.3371189</v>
          </cell>
          <cell r="Y519">
            <v>0</v>
          </cell>
          <cell r="Z519">
            <v>62.450195999999998</v>
          </cell>
          <cell r="AA519">
            <v>0</v>
          </cell>
          <cell r="AB519">
            <v>7.0952899999999999E-2</v>
          </cell>
        </row>
        <row r="520">
          <cell r="A520">
            <v>22101120</v>
          </cell>
          <cell r="B520" t="str">
            <v>Pork chop, broiled or baked, lean only eaten</v>
          </cell>
          <cell r="I520">
            <v>85</v>
          </cell>
          <cell r="J520">
            <v>104.61538</v>
          </cell>
          <cell r="K520">
            <v>1.2307691764705884</v>
          </cell>
          <cell r="L520">
            <v>0</v>
          </cell>
          <cell r="M520">
            <v>0.97967249999999995</v>
          </cell>
          <cell r="N520">
            <v>0</v>
          </cell>
          <cell r="O520">
            <v>4.8764000000000004E-3</v>
          </cell>
          <cell r="P520">
            <v>0</v>
          </cell>
          <cell r="Q520">
            <v>0.31207439999999997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0.34454319999999999</v>
          </cell>
          <cell r="Y520">
            <v>0</v>
          </cell>
          <cell r="Z520">
            <v>63.383001999999998</v>
          </cell>
          <cell r="AA520">
            <v>0</v>
          </cell>
          <cell r="AB520">
            <v>1.6704699999999999E-2</v>
          </cell>
        </row>
        <row r="521">
          <cell r="A521">
            <v>22101140</v>
          </cell>
          <cell r="B521" t="str">
            <v>Pork chop, breaded or floured, broiled or baked, lean and fat eaten</v>
          </cell>
          <cell r="I521">
            <v>85</v>
          </cell>
          <cell r="J521">
            <v>152.35339999999999</v>
          </cell>
          <cell r="K521">
            <v>1.7923929411764705</v>
          </cell>
          <cell r="L521">
            <v>0</v>
          </cell>
          <cell r="M521">
            <v>2.0040556</v>
          </cell>
          <cell r="N521">
            <v>0</v>
          </cell>
          <cell r="O521">
            <v>2.01824E-2</v>
          </cell>
          <cell r="P521">
            <v>0.38290220000000003</v>
          </cell>
          <cell r="Q521">
            <v>1.0930104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0.4105259</v>
          </cell>
          <cell r="Y521">
            <v>0</v>
          </cell>
          <cell r="Z521">
            <v>56.708942999999998</v>
          </cell>
          <cell r="AA521">
            <v>0</v>
          </cell>
          <cell r="AB521">
            <v>0.12910340000000001</v>
          </cell>
        </row>
        <row r="522">
          <cell r="A522">
            <v>22101150</v>
          </cell>
          <cell r="B522" t="str">
            <v>Pork chop, breaded or floured, broiled or baked, lean only eaten</v>
          </cell>
          <cell r="I522">
            <v>85</v>
          </cell>
          <cell r="J522">
            <v>124.92663</v>
          </cell>
          <cell r="K522">
            <v>1.4697250588235296</v>
          </cell>
          <cell r="L522">
            <v>0</v>
          </cell>
          <cell r="M522">
            <v>0.99830529999999995</v>
          </cell>
          <cell r="N522">
            <v>0</v>
          </cell>
          <cell r="O522">
            <v>1.8650199999999999E-2</v>
          </cell>
          <cell r="P522">
            <v>0.38290220000000003</v>
          </cell>
          <cell r="Q522">
            <v>0.46311400000000003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0.41726760000000002</v>
          </cell>
          <cell r="Y522">
            <v>0</v>
          </cell>
          <cell r="Z522">
            <v>57.555993999999998</v>
          </cell>
          <cell r="AA522">
            <v>0</v>
          </cell>
          <cell r="AB522">
            <v>1.5169E-2</v>
          </cell>
        </row>
        <row r="523">
          <cell r="A523">
            <v>22101200</v>
          </cell>
          <cell r="B523" t="str">
            <v>Pork chop, fried, NS as to fat eaten</v>
          </cell>
          <cell r="I523">
            <v>85</v>
          </cell>
          <cell r="J523">
            <v>134.81886</v>
          </cell>
          <cell r="K523">
            <v>1.5861042352941177</v>
          </cell>
          <cell r="L523">
            <v>0</v>
          </cell>
          <cell r="M523">
            <v>2.0872457</v>
          </cell>
          <cell r="N523">
            <v>0</v>
          </cell>
          <cell r="O523">
            <v>6.5637999999999998E-3</v>
          </cell>
          <cell r="P523">
            <v>0</v>
          </cell>
          <cell r="Q523">
            <v>1.0057419000000001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0.3371189</v>
          </cell>
          <cell r="Y523">
            <v>0</v>
          </cell>
          <cell r="Z523">
            <v>62.450195999999998</v>
          </cell>
          <cell r="AA523">
            <v>0</v>
          </cell>
          <cell r="AB523">
            <v>7.0952899999999999E-2</v>
          </cell>
        </row>
        <row r="524">
          <cell r="A524">
            <v>22101210</v>
          </cell>
          <cell r="B524" t="str">
            <v>Pork chop, fried, lean and fat eaten</v>
          </cell>
          <cell r="I524">
            <v>85</v>
          </cell>
          <cell r="J524">
            <v>134.81886</v>
          </cell>
          <cell r="K524">
            <v>1.5861042352941177</v>
          </cell>
          <cell r="L524">
            <v>0</v>
          </cell>
          <cell r="M524">
            <v>2.0872457</v>
          </cell>
          <cell r="N524">
            <v>0</v>
          </cell>
          <cell r="O524">
            <v>6.5637999999999998E-3</v>
          </cell>
          <cell r="P524">
            <v>0</v>
          </cell>
          <cell r="Q524">
            <v>1.0057419000000001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0.3371189</v>
          </cell>
          <cell r="Y524">
            <v>0</v>
          </cell>
          <cell r="Z524">
            <v>62.450195999999998</v>
          </cell>
          <cell r="AA524">
            <v>0</v>
          </cell>
          <cell r="AB524">
            <v>7.0952899999999999E-2</v>
          </cell>
        </row>
        <row r="525">
          <cell r="A525">
            <v>22101220</v>
          </cell>
          <cell r="B525" t="str">
            <v>Pork chop, fried, lean only eaten</v>
          </cell>
          <cell r="I525">
            <v>85</v>
          </cell>
          <cell r="J525">
            <v>104.61538</v>
          </cell>
          <cell r="K525">
            <v>1.2307691764705884</v>
          </cell>
          <cell r="L525">
            <v>0</v>
          </cell>
          <cell r="M525">
            <v>0.97967249999999995</v>
          </cell>
          <cell r="N525">
            <v>0</v>
          </cell>
          <cell r="O525">
            <v>4.8764000000000004E-3</v>
          </cell>
          <cell r="P525">
            <v>0</v>
          </cell>
          <cell r="Q525">
            <v>0.31207439999999997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0.34454319999999999</v>
          </cell>
          <cell r="Y525">
            <v>0</v>
          </cell>
          <cell r="Z525">
            <v>63.383001999999998</v>
          </cell>
          <cell r="AA525">
            <v>0</v>
          </cell>
          <cell r="AB525">
            <v>1.6704699999999999E-2</v>
          </cell>
        </row>
        <row r="526">
          <cell r="A526">
            <v>22101300</v>
          </cell>
          <cell r="B526" t="str">
            <v>Pork chop, breaded or floured, fried, NS as to fat eaten</v>
          </cell>
          <cell r="I526">
            <v>85</v>
          </cell>
          <cell r="J526">
            <v>193.79321999999999</v>
          </cell>
          <cell r="K526">
            <v>2.2799202352941177</v>
          </cell>
          <cell r="L526">
            <v>0</v>
          </cell>
          <cell r="M526">
            <v>2.3572579999999999</v>
          </cell>
          <cell r="N526">
            <v>0</v>
          </cell>
          <cell r="O526">
            <v>3.4542299999999998E-2</v>
          </cell>
          <cell r="P526">
            <v>0.64320750000000004</v>
          </cell>
          <cell r="Q526">
            <v>2.6220462000000002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0.35382219999999998</v>
          </cell>
          <cell r="Y526">
            <v>0</v>
          </cell>
          <cell r="Z526">
            <v>44.437313000000003</v>
          </cell>
          <cell r="AA526">
            <v>0</v>
          </cell>
          <cell r="AB526">
            <v>0.23951130000000001</v>
          </cell>
        </row>
        <row r="527">
          <cell r="A527">
            <v>22101310</v>
          </cell>
          <cell r="B527" t="str">
            <v>Pork chop, breaded or floured, fried, lean and fat eaten</v>
          </cell>
          <cell r="I527">
            <v>85</v>
          </cell>
          <cell r="J527">
            <v>193.79321999999999</v>
          </cell>
          <cell r="K527">
            <v>2.2799202352941177</v>
          </cell>
          <cell r="L527">
            <v>0</v>
          </cell>
          <cell r="M527">
            <v>2.3572579999999999</v>
          </cell>
          <cell r="N527">
            <v>0</v>
          </cell>
          <cell r="O527">
            <v>3.4542299999999998E-2</v>
          </cell>
          <cell r="P527">
            <v>0.64320750000000004</v>
          </cell>
          <cell r="Q527">
            <v>2.6220462000000002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0.35382219999999998</v>
          </cell>
          <cell r="Y527">
            <v>0</v>
          </cell>
          <cell r="Z527">
            <v>44.437313000000003</v>
          </cell>
          <cell r="AA527">
            <v>0</v>
          </cell>
          <cell r="AB527">
            <v>0.24606549999999999</v>
          </cell>
        </row>
        <row r="528">
          <cell r="A528">
            <v>22101320</v>
          </cell>
          <cell r="B528" t="str">
            <v>Pork chop, breaded or floured, fried, lean only eaten</v>
          </cell>
          <cell r="I528">
            <v>85</v>
          </cell>
          <cell r="J528">
            <v>172.30152000000001</v>
          </cell>
          <cell r="K528">
            <v>2.0270767058823531</v>
          </cell>
          <cell r="L528">
            <v>0</v>
          </cell>
          <cell r="M528">
            <v>1.5691487</v>
          </cell>
          <cell r="N528">
            <v>0</v>
          </cell>
          <cell r="O528">
            <v>3.3341700000000002E-2</v>
          </cell>
          <cell r="P528">
            <v>0.64320750000000004</v>
          </cell>
          <cell r="Q528">
            <v>2.1284573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0.35910500000000001</v>
          </cell>
          <cell r="Y528">
            <v>0</v>
          </cell>
          <cell r="Z528">
            <v>45.101064999999998</v>
          </cell>
          <cell r="AA528">
            <v>0</v>
          </cell>
          <cell r="AB528">
            <v>0.11410960000000001</v>
          </cell>
        </row>
        <row r="529">
          <cell r="A529">
            <v>22101410</v>
          </cell>
          <cell r="B529" t="str">
            <v>Pork chop, battered, fried, lean and fat eaten</v>
          </cell>
          <cell r="I529">
            <v>85</v>
          </cell>
          <cell r="J529">
            <v>179.03980000000001</v>
          </cell>
          <cell r="K529">
            <v>2.1063505882352942</v>
          </cell>
          <cell r="L529">
            <v>0</v>
          </cell>
          <cell r="M529">
            <v>2.694928</v>
          </cell>
          <cell r="N529">
            <v>0</v>
          </cell>
          <cell r="O529">
            <v>2.5651799999999999E-2</v>
          </cell>
          <cell r="P529">
            <v>0.25340679999999999</v>
          </cell>
          <cell r="Q529">
            <v>2.0363513000000002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0.27428350000000001</v>
          </cell>
          <cell r="Y529">
            <v>0</v>
          </cell>
          <cell r="Z529">
            <v>46.246653999999999</v>
          </cell>
          <cell r="AA529">
            <v>0</v>
          </cell>
          <cell r="AB529">
            <v>0.62873129999999999</v>
          </cell>
        </row>
        <row r="530">
          <cell r="A530">
            <v>22101420</v>
          </cell>
          <cell r="B530" t="str">
            <v>Pork chop, battered, fried, lean only eaten</v>
          </cell>
          <cell r="I530">
            <v>85</v>
          </cell>
          <cell r="J530">
            <v>156.67302000000001</v>
          </cell>
          <cell r="K530">
            <v>1.8432120000000001</v>
          </cell>
          <cell r="L530">
            <v>0</v>
          </cell>
          <cell r="M530">
            <v>1.8747294999999999</v>
          </cell>
          <cell r="N530">
            <v>0</v>
          </cell>
          <cell r="O530">
            <v>2.4402299999999998E-2</v>
          </cell>
          <cell r="P530">
            <v>0.25340679999999999</v>
          </cell>
          <cell r="Q530">
            <v>1.5226652000000001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0.27978150000000002</v>
          </cell>
          <cell r="Y530">
            <v>0</v>
          </cell>
          <cell r="Z530">
            <v>46.937430999999997</v>
          </cell>
          <cell r="AA530">
            <v>0</v>
          </cell>
          <cell r="AB530">
            <v>0.58855860000000004</v>
          </cell>
        </row>
        <row r="531">
          <cell r="A531">
            <v>22101500</v>
          </cell>
          <cell r="B531" t="str">
            <v>Pork chop, stewed, NS as to fat eaten</v>
          </cell>
          <cell r="I531">
            <v>85</v>
          </cell>
          <cell r="J531">
            <v>134.81886</v>
          </cell>
          <cell r="K531">
            <v>1.5861042352941177</v>
          </cell>
          <cell r="L531">
            <v>0</v>
          </cell>
          <cell r="M531">
            <v>2.0872457</v>
          </cell>
          <cell r="N531">
            <v>0</v>
          </cell>
          <cell r="O531">
            <v>6.5637999999999998E-3</v>
          </cell>
          <cell r="P531">
            <v>0</v>
          </cell>
          <cell r="Q531">
            <v>1.0057419000000001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0.3371189</v>
          </cell>
          <cell r="Y531">
            <v>0</v>
          </cell>
          <cell r="Z531">
            <v>62.450195999999998</v>
          </cell>
          <cell r="AA531">
            <v>0</v>
          </cell>
          <cell r="AB531">
            <v>7.0952899999999999E-2</v>
          </cell>
        </row>
        <row r="532">
          <cell r="A532">
            <v>22101510</v>
          </cell>
          <cell r="B532" t="str">
            <v>Pork chop, stewed, lean and fat eaten</v>
          </cell>
          <cell r="I532">
            <v>85</v>
          </cell>
          <cell r="J532">
            <v>134.81886</v>
          </cell>
          <cell r="K532">
            <v>1.5861042352941177</v>
          </cell>
          <cell r="L532">
            <v>0</v>
          </cell>
          <cell r="M532">
            <v>2.0872457</v>
          </cell>
          <cell r="N532">
            <v>0</v>
          </cell>
          <cell r="O532">
            <v>6.5637999999999998E-3</v>
          </cell>
          <cell r="P532">
            <v>0</v>
          </cell>
          <cell r="Q532">
            <v>1.0057419000000001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0.3371189</v>
          </cell>
          <cell r="Y532">
            <v>0</v>
          </cell>
          <cell r="Z532">
            <v>62.450195999999998</v>
          </cell>
          <cell r="AA532">
            <v>0</v>
          </cell>
          <cell r="AB532">
            <v>7.0952899999999999E-2</v>
          </cell>
        </row>
        <row r="533">
          <cell r="A533">
            <v>22101520</v>
          </cell>
          <cell r="B533" t="str">
            <v>Pork chop, stewed, lean only eaten</v>
          </cell>
          <cell r="I533">
            <v>85</v>
          </cell>
          <cell r="J533">
            <v>104.61538</v>
          </cell>
          <cell r="K533">
            <v>1.2307691764705884</v>
          </cell>
          <cell r="L533">
            <v>0</v>
          </cell>
          <cell r="M533">
            <v>0.97967249999999995</v>
          </cell>
          <cell r="N533">
            <v>0</v>
          </cell>
          <cell r="O533">
            <v>4.8764000000000004E-3</v>
          </cell>
          <cell r="P533">
            <v>0</v>
          </cell>
          <cell r="Q533">
            <v>0.31207439999999997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0.34454319999999999</v>
          </cell>
          <cell r="Y533">
            <v>0</v>
          </cell>
          <cell r="Z533">
            <v>63.383001999999998</v>
          </cell>
          <cell r="AA533">
            <v>0</v>
          </cell>
          <cell r="AB533">
            <v>1.6704699999999999E-2</v>
          </cell>
        </row>
        <row r="534">
          <cell r="A534">
            <v>22107000</v>
          </cell>
          <cell r="B534" t="str">
            <v>Pork chop, smoked or cured, cooked, NS as to fat eaten</v>
          </cell>
          <cell r="I534">
            <v>55</v>
          </cell>
          <cell r="J534">
            <v>154</v>
          </cell>
          <cell r="K534">
            <v>2.8</v>
          </cell>
          <cell r="L534">
            <v>0</v>
          </cell>
          <cell r="M534">
            <v>4.2184999999999997</v>
          </cell>
          <cell r="N534">
            <v>0</v>
          </cell>
          <cell r="O534">
            <v>5.4999999999999997E-3</v>
          </cell>
          <cell r="P534">
            <v>0</v>
          </cell>
          <cell r="Q534">
            <v>1.276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0.58960000000000001</v>
          </cell>
          <cell r="Y534">
            <v>0</v>
          </cell>
          <cell r="Z534">
            <v>0</v>
          </cell>
          <cell r="AA534">
            <v>47.713050000000003</v>
          </cell>
          <cell r="AB534">
            <v>0.31926559999999998</v>
          </cell>
        </row>
        <row r="535">
          <cell r="A535">
            <v>22107010</v>
          </cell>
          <cell r="B535" t="str">
            <v>Pork chop, smoked or cured, cooked, lean and fat eaten</v>
          </cell>
          <cell r="I535">
            <v>55</v>
          </cell>
          <cell r="J535">
            <v>154</v>
          </cell>
          <cell r="K535">
            <v>2.8</v>
          </cell>
          <cell r="L535">
            <v>0</v>
          </cell>
          <cell r="M535">
            <v>4.2184999999999997</v>
          </cell>
          <cell r="N535">
            <v>0</v>
          </cell>
          <cell r="O535">
            <v>5.4999999999999997E-3</v>
          </cell>
          <cell r="P535">
            <v>0</v>
          </cell>
          <cell r="Q535">
            <v>1.276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0.58960000000000001</v>
          </cell>
          <cell r="Y535">
            <v>0</v>
          </cell>
          <cell r="Z535">
            <v>0</v>
          </cell>
          <cell r="AA535">
            <v>47.713050000000003</v>
          </cell>
          <cell r="AB535">
            <v>0.31927440000000001</v>
          </cell>
        </row>
        <row r="536">
          <cell r="A536">
            <v>22107020</v>
          </cell>
          <cell r="B536" t="str">
            <v>Pork chop, smoked or cured, cooked, lean only eaten</v>
          </cell>
          <cell r="I536">
            <v>55</v>
          </cell>
          <cell r="J536">
            <v>93.5</v>
          </cell>
          <cell r="K536">
            <v>1.7</v>
          </cell>
          <cell r="L536">
            <v>0</v>
          </cell>
          <cell r="M536">
            <v>1.298</v>
          </cell>
          <cell r="N536">
            <v>0</v>
          </cell>
          <cell r="O536">
            <v>6.0499999999999998E-3</v>
          </cell>
          <cell r="P536">
            <v>0</v>
          </cell>
          <cell r="Q536">
            <v>0.44550000000000001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0.67705000000000004</v>
          </cell>
          <cell r="Y536">
            <v>0</v>
          </cell>
          <cell r="Z536">
            <v>0</v>
          </cell>
          <cell r="AA536">
            <v>55</v>
          </cell>
          <cell r="AB536">
            <v>0</v>
          </cell>
        </row>
        <row r="537">
          <cell r="A537">
            <v>22201010</v>
          </cell>
          <cell r="B537" t="str">
            <v>Pork steak or cutlet, NS as to cooking method, lean and fat eaten</v>
          </cell>
          <cell r="I537">
            <v>85</v>
          </cell>
          <cell r="J537">
            <v>152.62035</v>
          </cell>
          <cell r="K537">
            <v>1.7955335294117647</v>
          </cell>
          <cell r="L537">
            <v>0</v>
          </cell>
          <cell r="M537">
            <v>3.5579355000000001</v>
          </cell>
          <cell r="N537">
            <v>0</v>
          </cell>
          <cell r="O537">
            <v>1.33975E-2</v>
          </cell>
          <cell r="P537">
            <v>0</v>
          </cell>
          <cell r="Q537">
            <v>1.3060893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0.32049850000000002</v>
          </cell>
          <cell r="Y537">
            <v>0</v>
          </cell>
          <cell r="Z537">
            <v>58.647216</v>
          </cell>
          <cell r="AA537">
            <v>0</v>
          </cell>
          <cell r="AB537">
            <v>9.3985100000000002E-2</v>
          </cell>
        </row>
        <row r="538">
          <cell r="A538">
            <v>22201020</v>
          </cell>
          <cell r="B538" t="str">
            <v>Pork steak or cutlet, NS as to cooking method, lean only eaten</v>
          </cell>
          <cell r="I538">
            <v>85</v>
          </cell>
          <cell r="J538">
            <v>108.83374999999999</v>
          </cell>
          <cell r="K538">
            <v>1.2803970588235294</v>
          </cell>
          <cell r="L538">
            <v>0</v>
          </cell>
          <cell r="M538">
            <v>1.6540199</v>
          </cell>
          <cell r="N538">
            <v>0</v>
          </cell>
          <cell r="O538">
            <v>1.19633E-2</v>
          </cell>
          <cell r="P538">
            <v>0</v>
          </cell>
          <cell r="Q538">
            <v>0.51320600000000005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0.32539180000000001</v>
          </cell>
          <cell r="Y538">
            <v>0</v>
          </cell>
          <cell r="Z538">
            <v>63.383001999999998</v>
          </cell>
          <cell r="AA538">
            <v>0</v>
          </cell>
          <cell r="AB538">
            <v>3.1553299999999999E-2</v>
          </cell>
        </row>
        <row r="539">
          <cell r="A539">
            <v>22201060</v>
          </cell>
          <cell r="B539" t="str">
            <v>Pork steak or cutlet, battered, fried, lean and fat eaten</v>
          </cell>
          <cell r="I539">
            <v>85</v>
          </cell>
          <cell r="J539">
            <v>172.90062</v>
          </cell>
          <cell r="K539">
            <v>2.0341249411764708</v>
          </cell>
          <cell r="L539">
            <v>0</v>
          </cell>
          <cell r="M539">
            <v>3.6256298</v>
          </cell>
          <cell r="N539">
            <v>0</v>
          </cell>
          <cell r="O539">
            <v>2.8599800000000002E-2</v>
          </cell>
          <cell r="P539">
            <v>0.14071980000000001</v>
          </cell>
          <cell r="Q539">
            <v>1.9053291000000001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0.27606259999999999</v>
          </cell>
          <cell r="Y539">
            <v>0</v>
          </cell>
          <cell r="Z539">
            <v>46.961215000000003</v>
          </cell>
          <cell r="AA539">
            <v>0</v>
          </cell>
          <cell r="AB539">
            <v>0.53350850000000005</v>
          </cell>
        </row>
        <row r="540">
          <cell r="A540">
            <v>22201070</v>
          </cell>
          <cell r="B540" t="str">
            <v>Pork steak or cutlet, battered, fried, lean only eaten</v>
          </cell>
          <cell r="I540">
            <v>85</v>
          </cell>
          <cell r="J540">
            <v>137.83891</v>
          </cell>
          <cell r="K540">
            <v>1.6216342352941175</v>
          </cell>
          <cell r="L540">
            <v>0</v>
          </cell>
          <cell r="M540">
            <v>2.1010870000000001</v>
          </cell>
          <cell r="N540">
            <v>0</v>
          </cell>
          <cell r="O540">
            <v>2.7451300000000001E-2</v>
          </cell>
          <cell r="P540">
            <v>0.14071980000000001</v>
          </cell>
          <cell r="Q540">
            <v>1.2704351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0.27998089999999998</v>
          </cell>
          <cell r="Y540">
            <v>0</v>
          </cell>
          <cell r="Z540">
            <v>50.753352</v>
          </cell>
          <cell r="AA540">
            <v>0</v>
          </cell>
          <cell r="AB540">
            <v>0.40562989999999999</v>
          </cell>
        </row>
        <row r="541">
          <cell r="A541">
            <v>22201100</v>
          </cell>
          <cell r="B541" t="str">
            <v>Pork steak or cutlet, broiled or baked, NS as to fat eaten</v>
          </cell>
          <cell r="I541">
            <v>85</v>
          </cell>
          <cell r="J541">
            <v>152.62035</v>
          </cell>
          <cell r="K541">
            <v>1.7955335294117647</v>
          </cell>
          <cell r="L541">
            <v>0</v>
          </cell>
          <cell r="M541">
            <v>3.5579355000000001</v>
          </cell>
          <cell r="N541">
            <v>0</v>
          </cell>
          <cell r="O541">
            <v>1.33975E-2</v>
          </cell>
          <cell r="P541">
            <v>0</v>
          </cell>
          <cell r="Q541">
            <v>1.3060893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0.32049850000000002</v>
          </cell>
          <cell r="Y541">
            <v>0</v>
          </cell>
          <cell r="Z541">
            <v>58.647216</v>
          </cell>
          <cell r="AA541">
            <v>0</v>
          </cell>
          <cell r="AB541">
            <v>9.3985100000000002E-2</v>
          </cell>
        </row>
        <row r="542">
          <cell r="A542">
            <v>22201110</v>
          </cell>
          <cell r="B542" t="str">
            <v>Pork steak or cutlet, broiled or baked, lean and fat eaten</v>
          </cell>
          <cell r="I542">
            <v>85</v>
          </cell>
          <cell r="J542">
            <v>152.62035</v>
          </cell>
          <cell r="K542">
            <v>1.7955335294117647</v>
          </cell>
          <cell r="L542">
            <v>0</v>
          </cell>
          <cell r="M542">
            <v>3.5579355000000001</v>
          </cell>
          <cell r="N542">
            <v>0</v>
          </cell>
          <cell r="O542">
            <v>1.33975E-2</v>
          </cell>
          <cell r="P542">
            <v>0</v>
          </cell>
          <cell r="Q542">
            <v>1.3060893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0.32049850000000002</v>
          </cell>
          <cell r="Y542">
            <v>0</v>
          </cell>
          <cell r="Z542">
            <v>58.647216</v>
          </cell>
          <cell r="AA542">
            <v>0</v>
          </cell>
          <cell r="AB542">
            <v>9.3985100000000002E-2</v>
          </cell>
        </row>
        <row r="543">
          <cell r="A543">
            <v>22201120</v>
          </cell>
          <cell r="B543" t="str">
            <v>Pork steak or cutlet, broiled or baked, lean only eaten</v>
          </cell>
          <cell r="I543">
            <v>85</v>
          </cell>
          <cell r="J543">
            <v>108.83374999999999</v>
          </cell>
          <cell r="K543">
            <v>1.2803970588235294</v>
          </cell>
          <cell r="L543">
            <v>0</v>
          </cell>
          <cell r="M543">
            <v>1.6540199</v>
          </cell>
          <cell r="N543">
            <v>0</v>
          </cell>
          <cell r="O543">
            <v>1.19633E-2</v>
          </cell>
          <cell r="P543">
            <v>0</v>
          </cell>
          <cell r="Q543">
            <v>0.51320600000000005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0.32539180000000001</v>
          </cell>
          <cell r="Y543">
            <v>0</v>
          </cell>
          <cell r="Z543">
            <v>63.383001999999998</v>
          </cell>
          <cell r="AA543">
            <v>0</v>
          </cell>
          <cell r="AB543">
            <v>3.1553299999999999E-2</v>
          </cell>
        </row>
        <row r="544">
          <cell r="A544">
            <v>22201210</v>
          </cell>
          <cell r="B544" t="str">
            <v>Pork steak or cutlet, fried, lean and fat eaten</v>
          </cell>
          <cell r="I544">
            <v>85</v>
          </cell>
          <cell r="J544">
            <v>152.62035</v>
          </cell>
          <cell r="K544">
            <v>1.7955335294117647</v>
          </cell>
          <cell r="L544">
            <v>0</v>
          </cell>
          <cell r="M544">
            <v>3.5579355000000001</v>
          </cell>
          <cell r="N544">
            <v>0</v>
          </cell>
          <cell r="O544">
            <v>1.33975E-2</v>
          </cell>
          <cell r="P544">
            <v>0</v>
          </cell>
          <cell r="Q544">
            <v>1.3060893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0.32049850000000002</v>
          </cell>
          <cell r="Y544">
            <v>0</v>
          </cell>
          <cell r="Z544">
            <v>58.647216</v>
          </cell>
          <cell r="AA544">
            <v>0</v>
          </cell>
          <cell r="AB544">
            <v>9.3985100000000002E-2</v>
          </cell>
        </row>
        <row r="545">
          <cell r="A545">
            <v>22201220</v>
          </cell>
          <cell r="B545" t="str">
            <v>Pork steak or cutlet, fried, lean only eaten</v>
          </cell>
          <cell r="I545">
            <v>85</v>
          </cell>
          <cell r="J545">
            <v>108.83374999999999</v>
          </cell>
          <cell r="K545">
            <v>1.2803970588235294</v>
          </cell>
          <cell r="L545">
            <v>0</v>
          </cell>
          <cell r="M545">
            <v>1.6540199</v>
          </cell>
          <cell r="N545">
            <v>0</v>
          </cell>
          <cell r="O545">
            <v>1.19633E-2</v>
          </cell>
          <cell r="P545">
            <v>0</v>
          </cell>
          <cell r="Q545">
            <v>0.51320600000000005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0.32539180000000001</v>
          </cell>
          <cell r="Y545">
            <v>0</v>
          </cell>
          <cell r="Z545">
            <v>63.383001999999998</v>
          </cell>
          <cell r="AA545">
            <v>0</v>
          </cell>
          <cell r="AB545">
            <v>3.1553299999999999E-2</v>
          </cell>
        </row>
        <row r="546">
          <cell r="A546">
            <v>22201320</v>
          </cell>
          <cell r="B546" t="str">
            <v>Pork steak or cutlet, breaded or floured, broiled or baked, lean only eaten</v>
          </cell>
          <cell r="I546">
            <v>85</v>
          </cell>
          <cell r="J546">
            <v>128.48369</v>
          </cell>
          <cell r="K546">
            <v>1.5115728235294117</v>
          </cell>
          <cell r="L546">
            <v>0</v>
          </cell>
          <cell r="M546">
            <v>1.5550196000000001</v>
          </cell>
          <cell r="N546">
            <v>0</v>
          </cell>
          <cell r="O546">
            <v>1.8599600000000001E-2</v>
          </cell>
          <cell r="P546">
            <v>0.28131590000000001</v>
          </cell>
          <cell r="Q546">
            <v>0.56264939999999997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0.3241561</v>
          </cell>
          <cell r="Y546">
            <v>0</v>
          </cell>
          <cell r="Z546">
            <v>57.555993999999998</v>
          </cell>
          <cell r="AA546">
            <v>0</v>
          </cell>
          <cell r="AB546">
            <v>7.1101499999999998E-2</v>
          </cell>
        </row>
        <row r="547">
          <cell r="A547">
            <v>22201420</v>
          </cell>
          <cell r="B547" t="str">
            <v>Pork steak or cutlet, breaded or floured, fried, lean only eaten</v>
          </cell>
          <cell r="I547">
            <v>85</v>
          </cell>
          <cell r="J547">
            <v>175.30314999999999</v>
          </cell>
          <cell r="K547">
            <v>2.0623899999999997</v>
          </cell>
          <cell r="L547">
            <v>0</v>
          </cell>
          <cell r="M547">
            <v>2.0489901000000001</v>
          </cell>
          <cell r="N547">
            <v>0</v>
          </cell>
          <cell r="O547">
            <v>3.8384399999999999E-2</v>
          </cell>
          <cell r="P547">
            <v>0.64320750000000004</v>
          </cell>
          <cell r="Q547">
            <v>2.2715752999999999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0.3454776</v>
          </cell>
          <cell r="Y547">
            <v>0</v>
          </cell>
          <cell r="Z547">
            <v>45.101064999999998</v>
          </cell>
          <cell r="AA547">
            <v>0</v>
          </cell>
          <cell r="AB547">
            <v>0.1175576</v>
          </cell>
        </row>
        <row r="548">
          <cell r="A548">
            <v>22210300</v>
          </cell>
          <cell r="B548" t="str">
            <v>Pork, tenderloin, cooked, NS as to cooking method</v>
          </cell>
          <cell r="I548">
            <v>85</v>
          </cell>
          <cell r="J548">
            <v>97.899752000000007</v>
          </cell>
          <cell r="K548">
            <v>1.1517617882352942</v>
          </cell>
          <cell r="L548">
            <v>0</v>
          </cell>
          <cell r="M548">
            <v>0.9206491</v>
          </cell>
          <cell r="N548">
            <v>0</v>
          </cell>
          <cell r="O548">
            <v>4.6571E-3</v>
          </cell>
          <cell r="P548">
            <v>0</v>
          </cell>
          <cell r="Q548">
            <v>0.4412913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0.39323999999999998</v>
          </cell>
          <cell r="Y548">
            <v>0</v>
          </cell>
          <cell r="Z548">
            <v>63.383001999999998</v>
          </cell>
          <cell r="AA548">
            <v>0</v>
          </cell>
          <cell r="AB548">
            <v>2.81449E-2</v>
          </cell>
        </row>
        <row r="549">
          <cell r="A549">
            <v>22210310</v>
          </cell>
          <cell r="B549" t="str">
            <v>Pork, tenderloin, breaded, fried</v>
          </cell>
          <cell r="I549">
            <v>85</v>
          </cell>
          <cell r="J549">
            <v>187.20133000000001</v>
          </cell>
          <cell r="K549">
            <v>2.2023685882352941</v>
          </cell>
          <cell r="L549">
            <v>0</v>
          </cell>
          <cell r="M549">
            <v>1.8962011000000001</v>
          </cell>
          <cell r="N549">
            <v>0</v>
          </cell>
          <cell r="O549">
            <v>3.1209400000000002E-2</v>
          </cell>
          <cell r="P549">
            <v>0.60367110000000002</v>
          </cell>
          <cell r="Q549">
            <v>3.4781038999999998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0.36964330000000001</v>
          </cell>
          <cell r="Y549">
            <v>0</v>
          </cell>
          <cell r="Z549">
            <v>42.328816000000003</v>
          </cell>
          <cell r="AA549">
            <v>0</v>
          </cell>
          <cell r="AB549">
            <v>8.6427199999999996E-2</v>
          </cell>
        </row>
        <row r="550">
          <cell r="A550">
            <v>22210350</v>
          </cell>
          <cell r="B550" t="str">
            <v>Pork, tenderloin, braised</v>
          </cell>
          <cell r="I550">
            <v>85</v>
          </cell>
          <cell r="J550">
            <v>90.289826000000005</v>
          </cell>
          <cell r="K550">
            <v>1.0622332470588236</v>
          </cell>
          <cell r="L550">
            <v>0</v>
          </cell>
          <cell r="M550">
            <v>0.5738491</v>
          </cell>
          <cell r="N550">
            <v>0</v>
          </cell>
          <cell r="O550">
            <v>3.8134000000000002E-3</v>
          </cell>
          <cell r="P550">
            <v>0</v>
          </cell>
          <cell r="Q550">
            <v>0.30127540000000003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0.3957541</v>
          </cell>
          <cell r="Y550">
            <v>0</v>
          </cell>
          <cell r="Z550">
            <v>63.383001999999998</v>
          </cell>
          <cell r="AA550">
            <v>0</v>
          </cell>
          <cell r="AB550">
            <v>1.71603E-2</v>
          </cell>
        </row>
        <row r="551">
          <cell r="A551">
            <v>22210400</v>
          </cell>
          <cell r="B551" t="str">
            <v>Pork, tenderloin, baked</v>
          </cell>
          <cell r="I551">
            <v>85</v>
          </cell>
          <cell r="J551">
            <v>97.899752000000007</v>
          </cell>
          <cell r="K551">
            <v>1.1517617882352942</v>
          </cell>
          <cell r="L551">
            <v>0</v>
          </cell>
          <cell r="M551">
            <v>0.9206491</v>
          </cell>
          <cell r="N551">
            <v>0</v>
          </cell>
          <cell r="O551">
            <v>4.6571E-3</v>
          </cell>
          <cell r="P551">
            <v>0</v>
          </cell>
          <cell r="Q551">
            <v>0.4412913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0.39323999999999998</v>
          </cell>
          <cell r="Y551">
            <v>0</v>
          </cell>
          <cell r="Z551">
            <v>63.383001999999998</v>
          </cell>
          <cell r="AA551">
            <v>0</v>
          </cell>
          <cell r="AB551">
            <v>2.81449E-2</v>
          </cell>
        </row>
        <row r="552">
          <cell r="A552">
            <v>22300120</v>
          </cell>
          <cell r="B552" t="str">
            <v>Ham, fried, NS as to fat eaten</v>
          </cell>
          <cell r="I552">
            <v>85</v>
          </cell>
          <cell r="J552">
            <v>158.86001999999999</v>
          </cell>
          <cell r="K552">
            <v>1.8689414117647059</v>
          </cell>
          <cell r="L552">
            <v>0</v>
          </cell>
          <cell r="M552">
            <v>2.3884204000000002</v>
          </cell>
          <cell r="N552">
            <v>0</v>
          </cell>
          <cell r="O552">
            <v>6.1276000000000004E-3</v>
          </cell>
          <cell r="P552">
            <v>0</v>
          </cell>
          <cell r="Q552">
            <v>2.5035888000000002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0.95989349999999996</v>
          </cell>
          <cell r="Y552">
            <v>0</v>
          </cell>
          <cell r="Z552">
            <v>0</v>
          </cell>
          <cell r="AA552">
            <v>79.724136000000001</v>
          </cell>
          <cell r="AB552">
            <v>3.1294000000000002E-2</v>
          </cell>
        </row>
        <row r="553">
          <cell r="A553">
            <v>22300130</v>
          </cell>
          <cell r="B553" t="str">
            <v>Ham, fried, lean and fat eaten</v>
          </cell>
          <cell r="I553">
            <v>85</v>
          </cell>
          <cell r="J553">
            <v>158.86001999999999</v>
          </cell>
          <cell r="K553">
            <v>1.8689414117647059</v>
          </cell>
          <cell r="L553">
            <v>0</v>
          </cell>
          <cell r="M553">
            <v>2.3884204000000002</v>
          </cell>
          <cell r="N553">
            <v>0</v>
          </cell>
          <cell r="O553">
            <v>6.1276000000000004E-3</v>
          </cell>
          <cell r="P553">
            <v>0</v>
          </cell>
          <cell r="Q553">
            <v>2.5035888000000002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0.95989349999999996</v>
          </cell>
          <cell r="Y553">
            <v>0</v>
          </cell>
          <cell r="Z553">
            <v>0</v>
          </cell>
          <cell r="AA553">
            <v>79.724136000000001</v>
          </cell>
          <cell r="AB553">
            <v>3.3022799999999998E-2</v>
          </cell>
        </row>
        <row r="554">
          <cell r="A554">
            <v>22300140</v>
          </cell>
          <cell r="B554" t="str">
            <v>Ham, fried, lean only eaten</v>
          </cell>
          <cell r="I554">
            <v>85</v>
          </cell>
          <cell r="J554">
            <v>150.55985999999999</v>
          </cell>
          <cell r="K554">
            <v>1.7712924705882351</v>
          </cell>
          <cell r="L554">
            <v>0</v>
          </cell>
          <cell r="M554">
            <v>1.9274167</v>
          </cell>
          <cell r="N554">
            <v>0</v>
          </cell>
          <cell r="O554">
            <v>5.9012999999999999E-3</v>
          </cell>
          <cell r="P554">
            <v>0</v>
          </cell>
          <cell r="Q554">
            <v>2.2758436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1.0377491999999999</v>
          </cell>
          <cell r="Y554">
            <v>0</v>
          </cell>
          <cell r="Z554">
            <v>0</v>
          </cell>
          <cell r="AA554">
            <v>79.826463000000004</v>
          </cell>
          <cell r="AB554">
            <v>2.67674E-2</v>
          </cell>
        </row>
        <row r="555">
          <cell r="A555">
            <v>22300160</v>
          </cell>
          <cell r="B555" t="str">
            <v>Ham, breaded or floured, fried, lean and fat eaten</v>
          </cell>
          <cell r="I555">
            <v>85</v>
          </cell>
          <cell r="J555">
            <v>169.63088999999999</v>
          </cell>
          <cell r="K555">
            <v>1.9956575294117647</v>
          </cell>
          <cell r="L555">
            <v>0</v>
          </cell>
          <cell r="M555">
            <v>2.2349570999999999</v>
          </cell>
          <cell r="N555">
            <v>0</v>
          </cell>
          <cell r="O555">
            <v>1.7331200000000001E-2</v>
          </cell>
          <cell r="P555">
            <v>0.28776560000000001</v>
          </cell>
          <cell r="Q555">
            <v>2.2639399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0.88120299999999996</v>
          </cell>
          <cell r="Y555">
            <v>0</v>
          </cell>
          <cell r="Z555">
            <v>0</v>
          </cell>
          <cell r="AA555">
            <v>69.573130000000006</v>
          </cell>
          <cell r="AB555">
            <v>3.2800099999999999E-2</v>
          </cell>
        </row>
        <row r="556">
          <cell r="A556">
            <v>22311000</v>
          </cell>
          <cell r="B556" t="str">
            <v>Ham, smoked or cured, cooked, NS as to fat eaten</v>
          </cell>
          <cell r="I556">
            <v>55</v>
          </cell>
          <cell r="J556">
            <v>81.826250000000002</v>
          </cell>
          <cell r="K556">
            <v>1.4877500000000001</v>
          </cell>
          <cell r="L556">
            <v>0</v>
          </cell>
          <cell r="M556">
            <v>1.2554025</v>
          </cell>
          <cell r="N556">
            <v>0</v>
          </cell>
          <cell r="O556">
            <v>4.3175000000000002E-3</v>
          </cell>
          <cell r="P556">
            <v>0</v>
          </cell>
          <cell r="Q556">
            <v>0.53861499999999995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0.74119380000000001</v>
          </cell>
          <cell r="Y556">
            <v>0</v>
          </cell>
          <cell r="Z556">
            <v>0</v>
          </cell>
          <cell r="AA556">
            <v>54.410578999999998</v>
          </cell>
          <cell r="AB556">
            <v>8.25E-4</v>
          </cell>
        </row>
        <row r="557">
          <cell r="A557">
            <v>22311010</v>
          </cell>
          <cell r="B557" t="str">
            <v>Ham, smoked or cured, cooked, lean and fat eaten</v>
          </cell>
          <cell r="I557">
            <v>55</v>
          </cell>
          <cell r="J557">
            <v>81.826250000000002</v>
          </cell>
          <cell r="K557">
            <v>1.4877500000000001</v>
          </cell>
          <cell r="L557">
            <v>0</v>
          </cell>
          <cell r="M557">
            <v>1.2554025</v>
          </cell>
          <cell r="N557">
            <v>0</v>
          </cell>
          <cell r="O557">
            <v>4.3175000000000002E-3</v>
          </cell>
          <cell r="P557">
            <v>0</v>
          </cell>
          <cell r="Q557">
            <v>0.53861499999999995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0.74119380000000001</v>
          </cell>
          <cell r="Y557">
            <v>0</v>
          </cell>
          <cell r="Z557">
            <v>0</v>
          </cell>
          <cell r="AA557">
            <v>54.410578999999998</v>
          </cell>
          <cell r="AB557">
            <v>8.25E-4</v>
          </cell>
        </row>
        <row r="558">
          <cell r="A558">
            <v>22311020</v>
          </cell>
          <cell r="B558" t="str">
            <v>Ham, smoked or cured, cooked, lean only eaten</v>
          </cell>
          <cell r="I558">
            <v>55</v>
          </cell>
          <cell r="J558">
            <v>76.614999999999995</v>
          </cell>
          <cell r="K558">
            <v>1.393</v>
          </cell>
          <cell r="L558">
            <v>0</v>
          </cell>
          <cell r="M558">
            <v>0.91209249999999997</v>
          </cell>
          <cell r="N558">
            <v>0</v>
          </cell>
          <cell r="O558">
            <v>4.0150000000000003E-3</v>
          </cell>
          <cell r="P558">
            <v>0</v>
          </cell>
          <cell r="Q558">
            <v>0.34155000000000002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0.7073275</v>
          </cell>
          <cell r="Y558">
            <v>0</v>
          </cell>
          <cell r="Z558">
            <v>0</v>
          </cell>
          <cell r="AA558">
            <v>54.410578999999998</v>
          </cell>
          <cell r="AB558">
            <v>7.8375000000000007E-3</v>
          </cell>
        </row>
        <row r="559">
          <cell r="A559">
            <v>22311450</v>
          </cell>
          <cell r="B559" t="str">
            <v>Ham, prosciutto</v>
          </cell>
          <cell r="I559">
            <v>55</v>
          </cell>
          <cell r="J559">
            <v>107.25</v>
          </cell>
          <cell r="K559">
            <v>1.95</v>
          </cell>
          <cell r="L559">
            <v>0</v>
          </cell>
          <cell r="M559">
            <v>1.5289999999999999</v>
          </cell>
          <cell r="N559">
            <v>0</v>
          </cell>
          <cell r="O559">
            <v>5.4999999999999997E-3</v>
          </cell>
          <cell r="P559">
            <v>0</v>
          </cell>
          <cell r="Q559">
            <v>0.53349999999999997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1.4822500000000001</v>
          </cell>
          <cell r="Y559">
            <v>0</v>
          </cell>
          <cell r="Z559">
            <v>0</v>
          </cell>
          <cell r="AA559">
            <v>55</v>
          </cell>
          <cell r="AB559">
            <v>0</v>
          </cell>
        </row>
        <row r="560">
          <cell r="A560">
            <v>22311500</v>
          </cell>
          <cell r="B560" t="str">
            <v>Ham, smoked or cured, canned, NS as to fat eaten</v>
          </cell>
          <cell r="I560">
            <v>55</v>
          </cell>
          <cell r="J560">
            <v>72.435000000000002</v>
          </cell>
          <cell r="K560">
            <v>1.3169999999999999</v>
          </cell>
          <cell r="L560">
            <v>0</v>
          </cell>
          <cell r="M560">
            <v>1.1027225</v>
          </cell>
          <cell r="N560">
            <v>0</v>
          </cell>
          <cell r="O560">
            <v>3.63E-3</v>
          </cell>
          <cell r="P560">
            <v>0</v>
          </cell>
          <cell r="Q560">
            <v>0.38227749999999999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0.67721500000000001</v>
          </cell>
          <cell r="Y560">
            <v>0</v>
          </cell>
          <cell r="Z560">
            <v>0</v>
          </cell>
          <cell r="AA560">
            <v>54.457355999999997</v>
          </cell>
          <cell r="AB560">
            <v>6.0746999999999997E-3</v>
          </cell>
        </row>
        <row r="561">
          <cell r="A561">
            <v>22321110</v>
          </cell>
          <cell r="B561" t="str">
            <v>Ham, smoked or cured, ground patty</v>
          </cell>
          <cell r="I561">
            <v>55</v>
          </cell>
          <cell r="J561">
            <v>178.75</v>
          </cell>
          <cell r="K561">
            <v>3.25</v>
          </cell>
          <cell r="L561">
            <v>0</v>
          </cell>
          <cell r="M561">
            <v>4.8543000000000003</v>
          </cell>
          <cell r="N561">
            <v>0</v>
          </cell>
          <cell r="O561">
            <v>4.9500000000000004E-3</v>
          </cell>
          <cell r="P561">
            <v>0</v>
          </cell>
          <cell r="Q561">
            <v>2.81325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0.44769999999999999</v>
          </cell>
          <cell r="Y561">
            <v>0</v>
          </cell>
          <cell r="Z561">
            <v>0</v>
          </cell>
          <cell r="AA561">
            <v>43.503075000000003</v>
          </cell>
          <cell r="AB561">
            <v>6.6000000000000003E-2</v>
          </cell>
        </row>
        <row r="562">
          <cell r="A562">
            <v>22400100</v>
          </cell>
          <cell r="B562" t="str">
            <v>Pork roast, NS as to cut, cooked, NS as to fat eaten</v>
          </cell>
          <cell r="I562">
            <v>85</v>
          </cell>
          <cell r="J562">
            <v>209.04402999999999</v>
          </cell>
          <cell r="K562">
            <v>2.4593415294117644</v>
          </cell>
          <cell r="L562">
            <v>0</v>
          </cell>
          <cell r="M562">
            <v>4.5264775999999998</v>
          </cell>
          <cell r="N562">
            <v>0</v>
          </cell>
          <cell r="O562">
            <v>1.6185399999999999E-2</v>
          </cell>
          <cell r="P562">
            <v>0</v>
          </cell>
          <cell r="Q562">
            <v>1.0199326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0.32415919999999998</v>
          </cell>
          <cell r="Y562">
            <v>0</v>
          </cell>
          <cell r="Z562">
            <v>79.337266999999997</v>
          </cell>
          <cell r="AA562">
            <v>0</v>
          </cell>
          <cell r="AB562">
            <v>0.1776594</v>
          </cell>
        </row>
        <row r="563">
          <cell r="A563">
            <v>22400110</v>
          </cell>
          <cell r="B563" t="str">
            <v>Pork roast, NS as to cut, cooked, lean and fat eaten</v>
          </cell>
          <cell r="I563">
            <v>85</v>
          </cell>
          <cell r="J563">
            <v>209.04402999999999</v>
          </cell>
          <cell r="K563">
            <v>2.4593415294117644</v>
          </cell>
          <cell r="L563">
            <v>0</v>
          </cell>
          <cell r="M563">
            <v>4.5264775999999998</v>
          </cell>
          <cell r="N563">
            <v>0</v>
          </cell>
          <cell r="O563">
            <v>1.6185399999999999E-2</v>
          </cell>
          <cell r="P563">
            <v>0</v>
          </cell>
          <cell r="Q563">
            <v>1.0199326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0.32415919999999998</v>
          </cell>
          <cell r="Y563">
            <v>0</v>
          </cell>
          <cell r="Z563">
            <v>79.337266999999997</v>
          </cell>
          <cell r="AA563">
            <v>0</v>
          </cell>
          <cell r="AB563">
            <v>0.17720630000000001</v>
          </cell>
        </row>
        <row r="564">
          <cell r="A564">
            <v>22400120</v>
          </cell>
          <cell r="B564" t="str">
            <v>Pork roast, NS as to cut, cooked, lean only eaten</v>
          </cell>
          <cell r="I564">
            <v>85</v>
          </cell>
          <cell r="J564">
            <v>176.17017000000001</v>
          </cell>
          <cell r="K564">
            <v>2.0725902352941179</v>
          </cell>
          <cell r="L564">
            <v>0</v>
          </cell>
          <cell r="M564">
            <v>2.9586473999999998</v>
          </cell>
          <cell r="N564">
            <v>0</v>
          </cell>
          <cell r="O564">
            <v>1.53425E-2</v>
          </cell>
          <cell r="P564">
            <v>0</v>
          </cell>
          <cell r="Q564">
            <v>0.64061880000000004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0.3233163</v>
          </cell>
          <cell r="Y564">
            <v>0</v>
          </cell>
          <cell r="Z564">
            <v>83.877652999999995</v>
          </cell>
          <cell r="AA564">
            <v>0</v>
          </cell>
          <cell r="AB564">
            <v>0</v>
          </cell>
        </row>
        <row r="565">
          <cell r="A565">
            <v>22401010</v>
          </cell>
          <cell r="B565" t="str">
            <v>Pork roast, loin, cooked, lean and fat eaten</v>
          </cell>
          <cell r="I565">
            <v>85</v>
          </cell>
          <cell r="J565">
            <v>209.04402999999999</v>
          </cell>
          <cell r="K565">
            <v>2.4593415294117644</v>
          </cell>
          <cell r="L565">
            <v>0</v>
          </cell>
          <cell r="M565">
            <v>4.5264775999999998</v>
          </cell>
          <cell r="N565">
            <v>0</v>
          </cell>
          <cell r="O565">
            <v>1.6185399999999999E-2</v>
          </cell>
          <cell r="P565">
            <v>0</v>
          </cell>
          <cell r="Q565">
            <v>1.0199326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0.32415919999999998</v>
          </cell>
          <cell r="Y565">
            <v>0</v>
          </cell>
          <cell r="Z565">
            <v>79.337266999999997</v>
          </cell>
          <cell r="AA565">
            <v>0</v>
          </cell>
          <cell r="AB565">
            <v>0.1775371</v>
          </cell>
        </row>
        <row r="566">
          <cell r="A566">
            <v>22401020</v>
          </cell>
          <cell r="B566" t="str">
            <v>Pork roast, loin, cooked, lean only eaten</v>
          </cell>
          <cell r="I566">
            <v>85</v>
          </cell>
          <cell r="J566">
            <v>176.17017000000001</v>
          </cell>
          <cell r="K566">
            <v>2.0725902352941179</v>
          </cell>
          <cell r="L566">
            <v>0</v>
          </cell>
          <cell r="M566">
            <v>2.9586473999999998</v>
          </cell>
          <cell r="N566">
            <v>0</v>
          </cell>
          <cell r="O566">
            <v>1.53425E-2</v>
          </cell>
          <cell r="P566">
            <v>0</v>
          </cell>
          <cell r="Q566">
            <v>0.64061880000000004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0.3233163</v>
          </cell>
          <cell r="Y566">
            <v>0</v>
          </cell>
          <cell r="Z566">
            <v>83.877652999999995</v>
          </cell>
          <cell r="AA566">
            <v>0</v>
          </cell>
          <cell r="AB566">
            <v>0</v>
          </cell>
        </row>
        <row r="567">
          <cell r="A567">
            <v>22411010</v>
          </cell>
          <cell r="B567" t="str">
            <v>Pork roast, shoulder, cooked, lean and fat eaten</v>
          </cell>
          <cell r="I567">
            <v>85</v>
          </cell>
          <cell r="J567">
            <v>246.13248999999999</v>
          </cell>
          <cell r="K567">
            <v>2.8956763529411762</v>
          </cell>
          <cell r="L567">
            <v>0</v>
          </cell>
          <cell r="M567">
            <v>6.6253470999999999</v>
          </cell>
          <cell r="N567">
            <v>0</v>
          </cell>
          <cell r="O567">
            <v>2.0400000000000001E-2</v>
          </cell>
          <cell r="P567">
            <v>0</v>
          </cell>
          <cell r="Q567">
            <v>1.7279849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0.33174550000000003</v>
          </cell>
          <cell r="Y567">
            <v>0</v>
          </cell>
          <cell r="Z567">
            <v>73.124106999999995</v>
          </cell>
          <cell r="AA567">
            <v>0</v>
          </cell>
          <cell r="AB567">
            <v>0.45516190000000001</v>
          </cell>
        </row>
        <row r="568">
          <cell r="A568">
            <v>22411020</v>
          </cell>
          <cell r="B568" t="str">
            <v>Pork roast, shoulder, cooked, lean only eaten</v>
          </cell>
          <cell r="I568">
            <v>85</v>
          </cell>
          <cell r="J568">
            <v>193.87147999999999</v>
          </cell>
          <cell r="K568">
            <v>2.2808409411764705</v>
          </cell>
          <cell r="L568">
            <v>0</v>
          </cell>
          <cell r="M568">
            <v>4.0375842999999998</v>
          </cell>
          <cell r="N568">
            <v>0</v>
          </cell>
          <cell r="O568">
            <v>1.53425E-2</v>
          </cell>
          <cell r="P568">
            <v>0</v>
          </cell>
          <cell r="Q568">
            <v>1.0536493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0.3376459</v>
          </cell>
          <cell r="Y568">
            <v>0</v>
          </cell>
          <cell r="Z568">
            <v>80.293137999999999</v>
          </cell>
          <cell r="AA568">
            <v>0</v>
          </cell>
          <cell r="AB568">
            <v>0.15018580000000001</v>
          </cell>
        </row>
        <row r="569">
          <cell r="A569">
            <v>22421000</v>
          </cell>
          <cell r="B569" t="str">
            <v>Pork roast, smoked or cured, cooked, NS as to fat eaten</v>
          </cell>
          <cell r="I569">
            <v>85</v>
          </cell>
          <cell r="J569">
            <v>140.25</v>
          </cell>
          <cell r="K569">
            <v>1.65</v>
          </cell>
          <cell r="L569">
            <v>0</v>
          </cell>
          <cell r="M569">
            <v>2.2185000000000001</v>
          </cell>
          <cell r="N569">
            <v>0</v>
          </cell>
          <cell r="O569">
            <v>6.7999999999999996E-3</v>
          </cell>
          <cell r="P569">
            <v>0</v>
          </cell>
          <cell r="Q569">
            <v>0.90949999999999998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1.1772499999999999</v>
          </cell>
          <cell r="Y569">
            <v>0</v>
          </cell>
          <cell r="Z569">
            <v>0</v>
          </cell>
          <cell r="AA569">
            <v>85</v>
          </cell>
          <cell r="AB569">
            <v>0</v>
          </cell>
        </row>
        <row r="570">
          <cell r="A570">
            <v>22421010</v>
          </cell>
          <cell r="B570" t="str">
            <v>Pork roast, smoked or cured, cooked, lean and fat eaten</v>
          </cell>
          <cell r="I570">
            <v>85</v>
          </cell>
          <cell r="J570">
            <v>140.25</v>
          </cell>
          <cell r="K570">
            <v>1.65</v>
          </cell>
          <cell r="L570">
            <v>0</v>
          </cell>
          <cell r="M570">
            <v>2.2185000000000001</v>
          </cell>
          <cell r="N570">
            <v>0</v>
          </cell>
          <cell r="O570">
            <v>6.7999999999999996E-3</v>
          </cell>
          <cell r="P570">
            <v>0</v>
          </cell>
          <cell r="Q570">
            <v>0.90949999999999998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1.1772499999999999</v>
          </cell>
          <cell r="Y570">
            <v>0</v>
          </cell>
          <cell r="Z570">
            <v>0</v>
          </cell>
          <cell r="AA570">
            <v>85</v>
          </cell>
          <cell r="AB570">
            <v>0</v>
          </cell>
        </row>
        <row r="571">
          <cell r="A571">
            <v>22421020</v>
          </cell>
          <cell r="B571" t="str">
            <v>Pork roast, smoked or cured, cooked, lean only eaten</v>
          </cell>
          <cell r="I571">
            <v>85</v>
          </cell>
          <cell r="J571">
            <v>133.44999999999999</v>
          </cell>
          <cell r="K571">
            <v>1.5699999999999998</v>
          </cell>
          <cell r="L571">
            <v>0</v>
          </cell>
          <cell r="M571">
            <v>1.5640000000000001</v>
          </cell>
          <cell r="N571">
            <v>0</v>
          </cell>
          <cell r="O571">
            <v>5.9500000000000004E-3</v>
          </cell>
          <cell r="P571">
            <v>0</v>
          </cell>
          <cell r="Q571">
            <v>0.53549999999999998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1.12795</v>
          </cell>
          <cell r="Y571">
            <v>0</v>
          </cell>
          <cell r="Z571">
            <v>0</v>
          </cell>
          <cell r="AA571">
            <v>85</v>
          </cell>
          <cell r="AB571">
            <v>0</v>
          </cell>
        </row>
        <row r="572">
          <cell r="A572">
            <v>22431000</v>
          </cell>
          <cell r="B572" t="str">
            <v>Pork roll, cured, fried</v>
          </cell>
          <cell r="I572">
            <v>28.35</v>
          </cell>
          <cell r="J572">
            <v>93.236926999999994</v>
          </cell>
          <cell r="K572">
            <v>3.2887804938271601</v>
          </cell>
          <cell r="L572">
            <v>0</v>
          </cell>
          <cell r="M572">
            <v>2.9349856000000001</v>
          </cell>
          <cell r="N572">
            <v>0</v>
          </cell>
          <cell r="O572">
            <v>6.9145999999999998E-6</v>
          </cell>
          <cell r="P572">
            <v>0</v>
          </cell>
          <cell r="Q572">
            <v>0.75270630000000005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0.39028960000000001</v>
          </cell>
          <cell r="Y572">
            <v>0</v>
          </cell>
          <cell r="Z572">
            <v>0</v>
          </cell>
          <cell r="AA572">
            <v>22.347405999999999</v>
          </cell>
          <cell r="AB572">
            <v>0.30624509999999999</v>
          </cell>
        </row>
        <row r="573">
          <cell r="A573">
            <v>22501010</v>
          </cell>
          <cell r="B573" t="str">
            <v>Canadian bacon, cooked</v>
          </cell>
          <cell r="I573">
            <v>15</v>
          </cell>
          <cell r="J573">
            <v>21.9</v>
          </cell>
          <cell r="K573">
            <v>1.46</v>
          </cell>
          <cell r="L573">
            <v>0</v>
          </cell>
          <cell r="M573">
            <v>0.15584999999999999</v>
          </cell>
          <cell r="N573">
            <v>0</v>
          </cell>
          <cell r="O573">
            <v>1.0499999999999999E-3</v>
          </cell>
          <cell r="P573">
            <v>0</v>
          </cell>
          <cell r="Q573">
            <v>7.2749999999999995E-2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0.14895</v>
          </cell>
          <cell r="Y573">
            <v>0</v>
          </cell>
          <cell r="Z573">
            <v>0</v>
          </cell>
          <cell r="AA573">
            <v>15</v>
          </cell>
          <cell r="AB573">
            <v>1.1999999999999999E-3</v>
          </cell>
        </row>
        <row r="574">
          <cell r="A574">
            <v>22600100</v>
          </cell>
          <cell r="B574" t="str">
            <v>Bacon, NS as to type of meat, cooked</v>
          </cell>
          <cell r="I574">
            <v>15</v>
          </cell>
          <cell r="J574">
            <v>70.2</v>
          </cell>
          <cell r="K574">
            <v>4.6800000000000006</v>
          </cell>
          <cell r="L574">
            <v>0</v>
          </cell>
          <cell r="M574">
            <v>1.7946</v>
          </cell>
          <cell r="N574">
            <v>0</v>
          </cell>
          <cell r="O574">
            <v>1.65E-3</v>
          </cell>
          <cell r="P574">
            <v>0</v>
          </cell>
          <cell r="Q574">
            <v>0.91679999999999995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0.25259999999999999</v>
          </cell>
          <cell r="Y574">
            <v>0</v>
          </cell>
          <cell r="Z574">
            <v>0</v>
          </cell>
          <cell r="AA574">
            <v>10.7163</v>
          </cell>
          <cell r="AB574">
            <v>2.1600000000000001E-2</v>
          </cell>
        </row>
        <row r="575">
          <cell r="A575">
            <v>22600200</v>
          </cell>
          <cell r="B575" t="str">
            <v>Pork bacon, NS as to fresh, smoked or cured, cooked</v>
          </cell>
          <cell r="I575">
            <v>15</v>
          </cell>
          <cell r="J575">
            <v>70.2</v>
          </cell>
          <cell r="K575">
            <v>4.6800000000000006</v>
          </cell>
          <cell r="L575">
            <v>0</v>
          </cell>
          <cell r="M575">
            <v>1.7946</v>
          </cell>
          <cell r="N575">
            <v>0</v>
          </cell>
          <cell r="O575">
            <v>1.65E-3</v>
          </cell>
          <cell r="P575">
            <v>0</v>
          </cell>
          <cell r="Q575">
            <v>0.91679999999999995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0.25259999999999999</v>
          </cell>
          <cell r="Y575">
            <v>0</v>
          </cell>
          <cell r="Z575">
            <v>0</v>
          </cell>
          <cell r="AA575">
            <v>10.7163</v>
          </cell>
          <cell r="AB575">
            <v>2.1600000000000001E-2</v>
          </cell>
        </row>
        <row r="576">
          <cell r="A576">
            <v>22600210</v>
          </cell>
          <cell r="B576" t="str">
            <v>Pork bacon, NS as to fresh, smoked or cured, reduced sodium, cooked</v>
          </cell>
          <cell r="I576">
            <v>15</v>
          </cell>
          <cell r="J576">
            <v>81.150000000000006</v>
          </cell>
          <cell r="K576">
            <v>5.41</v>
          </cell>
          <cell r="L576">
            <v>0</v>
          </cell>
          <cell r="M576">
            <v>2.0608499999999998</v>
          </cell>
          <cell r="N576">
            <v>0</v>
          </cell>
          <cell r="O576">
            <v>1.65E-3</v>
          </cell>
          <cell r="P576">
            <v>0</v>
          </cell>
          <cell r="Q576">
            <v>0.68220000000000003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0.1545</v>
          </cell>
          <cell r="Y576">
            <v>0</v>
          </cell>
          <cell r="Z576">
            <v>0</v>
          </cell>
          <cell r="AA576">
            <v>9.6106499999999997</v>
          </cell>
          <cell r="AB576">
            <v>0</v>
          </cell>
        </row>
        <row r="577">
          <cell r="A577">
            <v>22601000</v>
          </cell>
          <cell r="B577" t="str">
            <v>Pork bacon, smoked or cured, cooked</v>
          </cell>
          <cell r="I577">
            <v>15</v>
          </cell>
          <cell r="J577">
            <v>70.2</v>
          </cell>
          <cell r="K577">
            <v>4.6800000000000006</v>
          </cell>
          <cell r="L577">
            <v>0</v>
          </cell>
          <cell r="M577">
            <v>1.7946</v>
          </cell>
          <cell r="N577">
            <v>0</v>
          </cell>
          <cell r="O577">
            <v>1.65E-3</v>
          </cell>
          <cell r="P577">
            <v>0</v>
          </cell>
          <cell r="Q577">
            <v>0.91679999999999995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0.25259999999999999</v>
          </cell>
          <cell r="Y577">
            <v>0</v>
          </cell>
          <cell r="Z577">
            <v>0</v>
          </cell>
          <cell r="AA577">
            <v>10.7163</v>
          </cell>
          <cell r="AB577">
            <v>2.1600000000000001E-2</v>
          </cell>
        </row>
        <row r="578">
          <cell r="A578">
            <v>22601040</v>
          </cell>
          <cell r="B578" t="str">
            <v>Bacon or side pork, fresh, cooked</v>
          </cell>
          <cell r="I578">
            <v>15</v>
          </cell>
          <cell r="J578">
            <v>70.2</v>
          </cell>
          <cell r="K578">
            <v>4.6800000000000006</v>
          </cell>
          <cell r="L578">
            <v>0</v>
          </cell>
          <cell r="M578">
            <v>1.7946</v>
          </cell>
          <cell r="N578">
            <v>0</v>
          </cell>
          <cell r="O578">
            <v>1.65E-3</v>
          </cell>
          <cell r="P578">
            <v>0</v>
          </cell>
          <cell r="Q578">
            <v>0.91679999999999995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0.25259999999999999</v>
          </cell>
          <cell r="Y578">
            <v>0</v>
          </cell>
          <cell r="Z578">
            <v>0</v>
          </cell>
          <cell r="AA578">
            <v>10.7163</v>
          </cell>
          <cell r="AB578">
            <v>2.1600000000000001E-2</v>
          </cell>
        </row>
        <row r="579">
          <cell r="A579">
            <v>22602010</v>
          </cell>
          <cell r="B579" t="str">
            <v>Pork bacon, smoked or cured, reduced sodium, cooked</v>
          </cell>
          <cell r="I579">
            <v>15</v>
          </cell>
          <cell r="J579">
            <v>81.150000000000006</v>
          </cell>
          <cell r="K579">
            <v>5.41</v>
          </cell>
          <cell r="L579">
            <v>0</v>
          </cell>
          <cell r="M579">
            <v>2.0608499999999998</v>
          </cell>
          <cell r="N579">
            <v>0</v>
          </cell>
          <cell r="O579">
            <v>1.65E-3</v>
          </cell>
          <cell r="P579">
            <v>0</v>
          </cell>
          <cell r="Q579">
            <v>0.68220000000000003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0.1545</v>
          </cell>
          <cell r="Y579">
            <v>0</v>
          </cell>
          <cell r="Z579">
            <v>0</v>
          </cell>
          <cell r="AA579">
            <v>9.6106499999999997</v>
          </cell>
          <cell r="AB579">
            <v>0</v>
          </cell>
        </row>
        <row r="580">
          <cell r="A580">
            <v>22621100</v>
          </cell>
          <cell r="B580" t="str">
            <v>Fat back, cooked</v>
          </cell>
          <cell r="I580">
            <v>15</v>
          </cell>
          <cell r="J580">
            <v>112.54976000000001</v>
          </cell>
          <cell r="K580">
            <v>7.5033173333333334</v>
          </cell>
          <cell r="L580">
            <v>0</v>
          </cell>
          <cell r="M580">
            <v>4.7008152000000001</v>
          </cell>
          <cell r="N580">
            <v>0</v>
          </cell>
          <cell r="O580">
            <v>1.4388999999999999E-3</v>
          </cell>
          <cell r="P580">
            <v>0</v>
          </cell>
          <cell r="Q580">
            <v>1.6116398000000001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0.3062687</v>
          </cell>
          <cell r="Y580">
            <v>0</v>
          </cell>
          <cell r="Z580">
            <v>0</v>
          </cell>
          <cell r="AA580">
            <v>0</v>
          </cell>
          <cell r="AB580">
            <v>0.45952929999999997</v>
          </cell>
        </row>
        <row r="581">
          <cell r="A581">
            <v>22701000</v>
          </cell>
          <cell r="B581" t="str">
            <v>Pork, spareribs, cooked, NS as to fat eaten</v>
          </cell>
          <cell r="I581">
            <v>85</v>
          </cell>
          <cell r="J581">
            <v>334.63902999999999</v>
          </cell>
          <cell r="K581">
            <v>3.9369297647058823</v>
          </cell>
          <cell r="L581">
            <v>0</v>
          </cell>
          <cell r="M581">
            <v>9.3732646000000006</v>
          </cell>
          <cell r="N581">
            <v>0</v>
          </cell>
          <cell r="O581">
            <v>3.9787099999999999E-2</v>
          </cell>
          <cell r="P581">
            <v>0</v>
          </cell>
          <cell r="Q581">
            <v>2.3011702000000001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0.35281839999999998</v>
          </cell>
          <cell r="Y581">
            <v>0</v>
          </cell>
          <cell r="Z581">
            <v>64.760238999999999</v>
          </cell>
          <cell r="AA581">
            <v>0</v>
          </cell>
          <cell r="AB581">
            <v>0.93105740000000003</v>
          </cell>
        </row>
        <row r="582">
          <cell r="A582">
            <v>22701010</v>
          </cell>
          <cell r="B582" t="str">
            <v>Pork, spareribs, cooked, lean and fat eaten</v>
          </cell>
          <cell r="I582">
            <v>85</v>
          </cell>
          <cell r="J582">
            <v>334.63902999999999</v>
          </cell>
          <cell r="K582">
            <v>3.9369297647058823</v>
          </cell>
          <cell r="L582">
            <v>0</v>
          </cell>
          <cell r="M582">
            <v>9.3732646000000006</v>
          </cell>
          <cell r="N582">
            <v>0</v>
          </cell>
          <cell r="O582">
            <v>3.9787099999999999E-2</v>
          </cell>
          <cell r="P582">
            <v>0</v>
          </cell>
          <cell r="Q582">
            <v>2.3011702000000001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0.35281839999999998</v>
          </cell>
          <cell r="Y582">
            <v>0</v>
          </cell>
          <cell r="Z582">
            <v>64.760238999999999</v>
          </cell>
          <cell r="AA582">
            <v>0</v>
          </cell>
          <cell r="AB582">
            <v>0.93010110000000001</v>
          </cell>
        </row>
        <row r="583">
          <cell r="A583">
            <v>22701020</v>
          </cell>
          <cell r="B583" t="str">
            <v>Pork, spareribs, cooked, lean only eaten</v>
          </cell>
          <cell r="I583">
            <v>85</v>
          </cell>
          <cell r="J583">
            <v>175.32724999999999</v>
          </cell>
          <cell r="K583">
            <v>2.0626735294117644</v>
          </cell>
          <cell r="L583">
            <v>0</v>
          </cell>
          <cell r="M583">
            <v>2.0137345999999998</v>
          </cell>
          <cell r="N583">
            <v>0</v>
          </cell>
          <cell r="O583">
            <v>4.3158799999999997E-2</v>
          </cell>
          <cell r="P583">
            <v>0</v>
          </cell>
          <cell r="Q583">
            <v>0.85050579999999998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0.3351171</v>
          </cell>
          <cell r="Y583">
            <v>0</v>
          </cell>
          <cell r="Z583">
            <v>84.291948000000005</v>
          </cell>
          <cell r="AA583">
            <v>0</v>
          </cell>
          <cell r="AB583">
            <v>3.62455E-2</v>
          </cell>
        </row>
        <row r="584">
          <cell r="A584">
            <v>22701030</v>
          </cell>
          <cell r="B584" t="str">
            <v>Pork, spareribs, barbecued, with sauce, NS as to fat eaten</v>
          </cell>
          <cell r="I584">
            <v>140</v>
          </cell>
          <cell r="J584">
            <v>461.3</v>
          </cell>
          <cell r="K584">
            <v>3.2949999999999999</v>
          </cell>
          <cell r="L584">
            <v>0.378</v>
          </cell>
          <cell r="M584">
            <v>10.916499999999999</v>
          </cell>
          <cell r="N584">
            <v>0</v>
          </cell>
          <cell r="O584">
            <v>5.9920000000000001E-2</v>
          </cell>
          <cell r="P584">
            <v>0</v>
          </cell>
          <cell r="Q584">
            <v>2.7178200000000001</v>
          </cell>
          <cell r="R584">
            <v>0</v>
          </cell>
          <cell r="S584">
            <v>0</v>
          </cell>
          <cell r="T584">
            <v>0</v>
          </cell>
          <cell r="U584">
            <v>13.377000000000001</v>
          </cell>
          <cell r="V584">
            <v>0</v>
          </cell>
          <cell r="W584">
            <v>0</v>
          </cell>
          <cell r="X584">
            <v>0.52248000000000006</v>
          </cell>
          <cell r="Y584">
            <v>0</v>
          </cell>
          <cell r="Z584">
            <v>75.291929999999994</v>
          </cell>
          <cell r="AA584">
            <v>0</v>
          </cell>
          <cell r="AB584">
            <v>1.1441473</v>
          </cell>
        </row>
        <row r="585">
          <cell r="A585">
            <v>22701040</v>
          </cell>
          <cell r="B585" t="str">
            <v>Pork, spareribs, barbecued, with sauce, lean and fat eaten</v>
          </cell>
          <cell r="I585">
            <v>140</v>
          </cell>
          <cell r="J585">
            <v>461.3</v>
          </cell>
          <cell r="K585">
            <v>3.2949999999999999</v>
          </cell>
          <cell r="L585">
            <v>0.378</v>
          </cell>
          <cell r="M585">
            <v>10.916499999999999</v>
          </cell>
          <cell r="N585">
            <v>0</v>
          </cell>
          <cell r="O585">
            <v>5.9920000000000001E-2</v>
          </cell>
          <cell r="P585">
            <v>0</v>
          </cell>
          <cell r="Q585">
            <v>2.7178200000000001</v>
          </cell>
          <cell r="R585">
            <v>0</v>
          </cell>
          <cell r="S585">
            <v>0</v>
          </cell>
          <cell r="T585">
            <v>0</v>
          </cell>
          <cell r="U585">
            <v>13.377000000000001</v>
          </cell>
          <cell r="V585">
            <v>0</v>
          </cell>
          <cell r="W585">
            <v>0</v>
          </cell>
          <cell r="X585">
            <v>0.52248000000000006</v>
          </cell>
          <cell r="Y585">
            <v>0</v>
          </cell>
          <cell r="Z585">
            <v>75.291929999999994</v>
          </cell>
          <cell r="AA585">
            <v>0</v>
          </cell>
          <cell r="AB585">
            <v>1.1412743000000001</v>
          </cell>
        </row>
        <row r="586">
          <cell r="A586">
            <v>22701050</v>
          </cell>
          <cell r="B586" t="str">
            <v>Pork, spareribs, barbecued, with sauce, lean only eaten</v>
          </cell>
          <cell r="I586">
            <v>140</v>
          </cell>
          <cell r="J586">
            <v>300.58</v>
          </cell>
          <cell r="K586">
            <v>2.1469999999999998</v>
          </cell>
          <cell r="L586">
            <v>0.378</v>
          </cell>
          <cell r="M586">
            <v>4.9414400000000001</v>
          </cell>
          <cell r="N586">
            <v>0</v>
          </cell>
          <cell r="O586">
            <v>3.8359999999999998E-2</v>
          </cell>
          <cell r="P586">
            <v>0</v>
          </cell>
          <cell r="Q586">
            <v>1.41638</v>
          </cell>
          <cell r="R586">
            <v>0</v>
          </cell>
          <cell r="S586">
            <v>0</v>
          </cell>
          <cell r="T586">
            <v>0</v>
          </cell>
          <cell r="U586">
            <v>13.377000000000001</v>
          </cell>
          <cell r="V586">
            <v>0</v>
          </cell>
          <cell r="W586">
            <v>0</v>
          </cell>
          <cell r="X586">
            <v>0.49014000000000002</v>
          </cell>
          <cell r="Y586">
            <v>0</v>
          </cell>
          <cell r="Z586">
            <v>93.628709999999998</v>
          </cell>
          <cell r="AA586">
            <v>0</v>
          </cell>
          <cell r="AB586">
            <v>9.9959999999999993E-2</v>
          </cell>
        </row>
        <row r="587">
          <cell r="A587">
            <v>22704010</v>
          </cell>
          <cell r="B587" t="str">
            <v>Pork, cracklings, cooked</v>
          </cell>
          <cell r="I587">
            <v>85</v>
          </cell>
          <cell r="J587">
            <v>397.8</v>
          </cell>
          <cell r="K587">
            <v>4.68</v>
          </cell>
          <cell r="L587">
            <v>0</v>
          </cell>
          <cell r="M587">
            <v>10.1694</v>
          </cell>
          <cell r="N587">
            <v>0</v>
          </cell>
          <cell r="O587">
            <v>9.3500000000000007E-3</v>
          </cell>
          <cell r="P587">
            <v>0</v>
          </cell>
          <cell r="Q587">
            <v>5.1951999999999998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1.4314</v>
          </cell>
          <cell r="Y587">
            <v>0</v>
          </cell>
          <cell r="Z587">
            <v>0</v>
          </cell>
          <cell r="AA587">
            <v>60.725700000000003</v>
          </cell>
          <cell r="AB587">
            <v>0.12239999999999999</v>
          </cell>
        </row>
        <row r="588">
          <cell r="A588">
            <v>22705010</v>
          </cell>
          <cell r="B588" t="str">
            <v>Pork ears, tail, head, snout, miscellaneous parts, cooked</v>
          </cell>
          <cell r="I588">
            <v>85</v>
          </cell>
          <cell r="J588">
            <v>200.61483999999999</v>
          </cell>
          <cell r="K588">
            <v>2.360174588235294</v>
          </cell>
          <cell r="L588">
            <v>0</v>
          </cell>
          <cell r="M588">
            <v>4.1244050000000003</v>
          </cell>
          <cell r="N588">
            <v>0</v>
          </cell>
          <cell r="O588">
            <v>1.70283E-2</v>
          </cell>
          <cell r="P588">
            <v>0</v>
          </cell>
          <cell r="Q588">
            <v>1.2803947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0.32247330000000002</v>
          </cell>
          <cell r="Y588">
            <v>0</v>
          </cell>
          <cell r="Z588">
            <v>80.054169999999999</v>
          </cell>
          <cell r="AA588">
            <v>0</v>
          </cell>
          <cell r="AB588">
            <v>6.8276500000000004E-2</v>
          </cell>
        </row>
        <row r="589">
          <cell r="A589">
            <v>22706010</v>
          </cell>
          <cell r="B589" t="str">
            <v>Pork, neck bones, cooked</v>
          </cell>
          <cell r="I589">
            <v>85</v>
          </cell>
          <cell r="J589">
            <v>154.69999999999999</v>
          </cell>
          <cell r="K589">
            <v>1.8199999999999998</v>
          </cell>
          <cell r="L589">
            <v>0</v>
          </cell>
          <cell r="M589">
            <v>2.2142499999999998</v>
          </cell>
          <cell r="N589">
            <v>0</v>
          </cell>
          <cell r="O589">
            <v>1.1475000000000001E-2</v>
          </cell>
          <cell r="P589">
            <v>0</v>
          </cell>
          <cell r="Q589">
            <v>1.134325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0.56567500000000004</v>
          </cell>
          <cell r="Y589">
            <v>0</v>
          </cell>
          <cell r="Z589">
            <v>42.5</v>
          </cell>
          <cell r="AA589">
            <v>42.5</v>
          </cell>
          <cell r="AB589">
            <v>6.3750000000000001E-2</v>
          </cell>
        </row>
        <row r="590">
          <cell r="A590">
            <v>22707010</v>
          </cell>
          <cell r="B590" t="str">
            <v>Pork, pig's feet, cooked</v>
          </cell>
          <cell r="I590">
            <v>85</v>
          </cell>
          <cell r="J590">
            <v>200.61483999999999</v>
          </cell>
          <cell r="K590">
            <v>2.360174588235294</v>
          </cell>
          <cell r="L590">
            <v>0</v>
          </cell>
          <cell r="M590">
            <v>3.6607992999999999</v>
          </cell>
          <cell r="N590">
            <v>0</v>
          </cell>
          <cell r="O590">
            <v>1.6990000000000001E-4</v>
          </cell>
          <cell r="P590">
            <v>0</v>
          </cell>
          <cell r="Q590">
            <v>1.2980959999999999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0.33596009999999998</v>
          </cell>
          <cell r="Y590">
            <v>0</v>
          </cell>
          <cell r="Z590">
            <v>77.903460999999993</v>
          </cell>
          <cell r="AA590">
            <v>0</v>
          </cell>
          <cell r="AB590">
            <v>0</v>
          </cell>
        </row>
        <row r="591">
          <cell r="A591">
            <v>22708010</v>
          </cell>
          <cell r="B591" t="str">
            <v>Pork, pig's hocks, cooked</v>
          </cell>
          <cell r="I591">
            <v>85</v>
          </cell>
          <cell r="J591">
            <v>198.08608000000001</v>
          </cell>
          <cell r="K591">
            <v>2.3304244705882353</v>
          </cell>
          <cell r="L591">
            <v>0</v>
          </cell>
          <cell r="M591">
            <v>4.0915311000000001</v>
          </cell>
          <cell r="N591">
            <v>0</v>
          </cell>
          <cell r="O591">
            <v>1.36566E-2</v>
          </cell>
          <cell r="P591">
            <v>0</v>
          </cell>
          <cell r="Q591">
            <v>2.3458448999999999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0.35534719999999997</v>
          </cell>
          <cell r="Y591">
            <v>0</v>
          </cell>
          <cell r="Z591">
            <v>79.576234999999997</v>
          </cell>
          <cell r="AA591">
            <v>0</v>
          </cell>
          <cell r="AB591">
            <v>0.15256839999999999</v>
          </cell>
        </row>
        <row r="592">
          <cell r="A592">
            <v>22709010</v>
          </cell>
          <cell r="B592" t="str">
            <v>Pork skin rinds</v>
          </cell>
          <cell r="I592">
            <v>30</v>
          </cell>
          <cell r="J592">
            <v>163.19999999999999</v>
          </cell>
          <cell r="K592">
            <v>5.4399999999999995</v>
          </cell>
          <cell r="L592">
            <v>0</v>
          </cell>
          <cell r="M592">
            <v>3.411</v>
          </cell>
          <cell r="N592">
            <v>0</v>
          </cell>
          <cell r="O592">
            <v>8.9999999999999993E-3</v>
          </cell>
          <cell r="P592">
            <v>0</v>
          </cell>
          <cell r="Q592">
            <v>1.0920000000000001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0.5454</v>
          </cell>
          <cell r="Y592">
            <v>0</v>
          </cell>
          <cell r="Z592">
            <v>0</v>
          </cell>
          <cell r="AA592">
            <v>0</v>
          </cell>
          <cell r="AB592">
            <v>0.32479669999999999</v>
          </cell>
        </row>
        <row r="593">
          <cell r="A593">
            <v>22709110</v>
          </cell>
          <cell r="B593" t="str">
            <v>Pork skin, boiled</v>
          </cell>
          <cell r="I593">
            <v>85</v>
          </cell>
          <cell r="J593">
            <v>527.66759000000002</v>
          </cell>
          <cell r="K593">
            <v>6.2078540000000002</v>
          </cell>
          <cell r="L593">
            <v>0</v>
          </cell>
          <cell r="M593">
            <v>20.108687</v>
          </cell>
          <cell r="N593">
            <v>0</v>
          </cell>
          <cell r="O593">
            <v>1.87142E-2</v>
          </cell>
          <cell r="P593">
            <v>0</v>
          </cell>
          <cell r="Q593">
            <v>9.7256049000000004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0.32163039999999998</v>
          </cell>
          <cell r="Y593">
            <v>0</v>
          </cell>
          <cell r="Z593">
            <v>0</v>
          </cell>
          <cell r="AA593">
            <v>0</v>
          </cell>
          <cell r="AB593">
            <v>0.40038679999999999</v>
          </cell>
        </row>
        <row r="594">
          <cell r="A594">
            <v>23000100</v>
          </cell>
          <cell r="B594" t="str">
            <v>Lamb, NS as to cut, cooked</v>
          </cell>
          <cell r="I594">
            <v>85</v>
          </cell>
          <cell r="J594">
            <v>247.81833</v>
          </cell>
          <cell r="K594">
            <v>2.9155097647058823</v>
          </cell>
          <cell r="L594">
            <v>0</v>
          </cell>
          <cell r="M594">
            <v>7.4429790000000002</v>
          </cell>
          <cell r="N594">
            <v>0</v>
          </cell>
          <cell r="O594">
            <v>1.44996E-2</v>
          </cell>
          <cell r="P594">
            <v>0</v>
          </cell>
          <cell r="Q594">
            <v>1.2728084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0.3351171</v>
          </cell>
          <cell r="Y594">
            <v>0</v>
          </cell>
          <cell r="Z594">
            <v>73.363074999999995</v>
          </cell>
          <cell r="AA594">
            <v>0</v>
          </cell>
          <cell r="AB594">
            <v>0.70348460000000002</v>
          </cell>
        </row>
        <row r="595">
          <cell r="A595">
            <v>23101000</v>
          </cell>
          <cell r="B595" t="str">
            <v>Lamb chop, NS as to cut, cooked, NS as to fat eaten</v>
          </cell>
          <cell r="I595">
            <v>85</v>
          </cell>
          <cell r="J595">
            <v>266.36255</v>
          </cell>
          <cell r="K595">
            <v>3.1336770588235292</v>
          </cell>
          <cell r="L595">
            <v>0</v>
          </cell>
          <cell r="M595">
            <v>8.2858985000000001</v>
          </cell>
          <cell r="N595">
            <v>0</v>
          </cell>
          <cell r="O595">
            <v>1.70283E-2</v>
          </cell>
          <cell r="P595">
            <v>0</v>
          </cell>
          <cell r="Q595">
            <v>1.4161047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0.33933170000000001</v>
          </cell>
          <cell r="Y595">
            <v>0</v>
          </cell>
          <cell r="Z595">
            <v>71.451334000000003</v>
          </cell>
          <cell r="AA595">
            <v>0</v>
          </cell>
          <cell r="AB595">
            <v>0.79761119999999996</v>
          </cell>
        </row>
        <row r="596">
          <cell r="A596">
            <v>23101010</v>
          </cell>
          <cell r="B596" t="str">
            <v>Lamb chop, NS as to cut, cooked, lean and fat eaten</v>
          </cell>
          <cell r="I596">
            <v>85</v>
          </cell>
          <cell r="J596">
            <v>266.36255</v>
          </cell>
          <cell r="K596">
            <v>3.1336770588235292</v>
          </cell>
          <cell r="L596">
            <v>0</v>
          </cell>
          <cell r="M596">
            <v>8.2858985000000001</v>
          </cell>
          <cell r="N596">
            <v>0</v>
          </cell>
          <cell r="O596">
            <v>1.70283E-2</v>
          </cell>
          <cell r="P596">
            <v>0</v>
          </cell>
          <cell r="Q596">
            <v>1.4161047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0.33933170000000001</v>
          </cell>
          <cell r="Y596">
            <v>0</v>
          </cell>
          <cell r="Z596">
            <v>71.451334000000003</v>
          </cell>
          <cell r="AA596">
            <v>0</v>
          </cell>
          <cell r="AB596">
            <v>0.85341400000000001</v>
          </cell>
        </row>
        <row r="597">
          <cell r="A597">
            <v>23101020</v>
          </cell>
          <cell r="B597" t="str">
            <v>Lamb chop, NS as to cut, cooked, lean only eaten</v>
          </cell>
          <cell r="I597">
            <v>85</v>
          </cell>
          <cell r="J597">
            <v>182.07060999999999</v>
          </cell>
          <cell r="K597">
            <v>2.1420071764705879</v>
          </cell>
          <cell r="L597">
            <v>0</v>
          </cell>
          <cell r="M597">
            <v>2.9333597999999999</v>
          </cell>
          <cell r="N597">
            <v>0</v>
          </cell>
          <cell r="O597">
            <v>1.6185399999999999E-2</v>
          </cell>
          <cell r="P597">
            <v>0</v>
          </cell>
          <cell r="Q597">
            <v>0.53946850000000002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0.34523219999999999</v>
          </cell>
          <cell r="Y597">
            <v>0</v>
          </cell>
          <cell r="Z597">
            <v>83.877652999999995</v>
          </cell>
          <cell r="AA597">
            <v>0</v>
          </cell>
          <cell r="AB597">
            <v>0.21537719999999999</v>
          </cell>
        </row>
        <row r="598">
          <cell r="A598">
            <v>23104020</v>
          </cell>
          <cell r="B598" t="str">
            <v>Lamb, loin chop, cooked, lean only eaten</v>
          </cell>
          <cell r="I598">
            <v>85</v>
          </cell>
          <cell r="J598">
            <v>182.07060999999999</v>
          </cell>
          <cell r="K598">
            <v>2.1420071764705879</v>
          </cell>
          <cell r="L598">
            <v>0</v>
          </cell>
          <cell r="M598">
            <v>2.9333597999999999</v>
          </cell>
          <cell r="N598">
            <v>0</v>
          </cell>
          <cell r="O598">
            <v>1.6185399999999999E-2</v>
          </cell>
          <cell r="P598">
            <v>0</v>
          </cell>
          <cell r="Q598">
            <v>0.53946850000000002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0.34523219999999999</v>
          </cell>
          <cell r="Y598">
            <v>0</v>
          </cell>
          <cell r="Z598">
            <v>83.877652999999995</v>
          </cell>
          <cell r="AA598">
            <v>0</v>
          </cell>
          <cell r="AB598">
            <v>0.18687699999999999</v>
          </cell>
        </row>
        <row r="599">
          <cell r="A599">
            <v>23110050</v>
          </cell>
          <cell r="B599" t="str">
            <v>Lamb, ribs, cooked, lean and fat eaten</v>
          </cell>
          <cell r="I599">
            <v>85</v>
          </cell>
          <cell r="J599">
            <v>304.29392999999999</v>
          </cell>
          <cell r="K599">
            <v>3.579928588235294</v>
          </cell>
          <cell r="L599">
            <v>0</v>
          </cell>
          <cell r="M599">
            <v>10.705076999999999</v>
          </cell>
          <cell r="N599">
            <v>0</v>
          </cell>
          <cell r="O599">
            <v>1.6185399999999999E-2</v>
          </cell>
          <cell r="P599">
            <v>0</v>
          </cell>
          <cell r="Q599">
            <v>1.9977191999999999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0.33848879999999998</v>
          </cell>
          <cell r="Y599">
            <v>0</v>
          </cell>
          <cell r="Z599">
            <v>65.477142000000001</v>
          </cell>
          <cell r="AA599">
            <v>0</v>
          </cell>
          <cell r="AB599">
            <v>1.1071645999999999</v>
          </cell>
        </row>
        <row r="600">
          <cell r="A600">
            <v>23120100</v>
          </cell>
          <cell r="B600" t="str">
            <v>Lamb, roast, cooked, NS as to fat eaten</v>
          </cell>
          <cell r="I600">
            <v>85</v>
          </cell>
          <cell r="J600">
            <v>225.05950000000001</v>
          </cell>
          <cell r="K600">
            <v>2.6477588235294118</v>
          </cell>
          <cell r="L600">
            <v>0</v>
          </cell>
          <cell r="M600">
            <v>6.4609778000000002</v>
          </cell>
          <cell r="N600">
            <v>0</v>
          </cell>
          <cell r="O600">
            <v>1.3235200000000001E-2</v>
          </cell>
          <cell r="P600">
            <v>0</v>
          </cell>
          <cell r="Q600">
            <v>1.1800873000000001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0.33005960000000001</v>
          </cell>
          <cell r="Y600">
            <v>0</v>
          </cell>
          <cell r="Z600">
            <v>75.991720000000001</v>
          </cell>
          <cell r="AA600">
            <v>0</v>
          </cell>
          <cell r="AB600">
            <v>0.56817150000000005</v>
          </cell>
        </row>
        <row r="601">
          <cell r="A601">
            <v>23120110</v>
          </cell>
          <cell r="B601" t="str">
            <v>Lamb, roast, cooked, lean and fat eaten</v>
          </cell>
          <cell r="I601">
            <v>85</v>
          </cell>
          <cell r="J601">
            <v>225.05950000000001</v>
          </cell>
          <cell r="K601">
            <v>2.6477588235294118</v>
          </cell>
          <cell r="L601">
            <v>0</v>
          </cell>
          <cell r="M601">
            <v>6.4609778000000002</v>
          </cell>
          <cell r="N601">
            <v>0</v>
          </cell>
          <cell r="O601">
            <v>1.3235200000000001E-2</v>
          </cell>
          <cell r="P601">
            <v>0</v>
          </cell>
          <cell r="Q601">
            <v>1.1800873000000001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0.33005960000000001</v>
          </cell>
          <cell r="Y601">
            <v>0</v>
          </cell>
          <cell r="Z601">
            <v>75.991720000000001</v>
          </cell>
          <cell r="AA601">
            <v>0</v>
          </cell>
          <cell r="AB601">
            <v>0.56779109999999999</v>
          </cell>
        </row>
        <row r="602">
          <cell r="A602">
            <v>23120120</v>
          </cell>
          <cell r="B602" t="str">
            <v>Lamb, roast, cooked, lean only eaten</v>
          </cell>
          <cell r="I602">
            <v>85</v>
          </cell>
          <cell r="J602">
            <v>166.47659999999999</v>
          </cell>
          <cell r="K602">
            <v>1.9585482352941175</v>
          </cell>
          <cell r="L602">
            <v>0</v>
          </cell>
          <cell r="M602">
            <v>2.8827845999999999</v>
          </cell>
          <cell r="N602">
            <v>0</v>
          </cell>
          <cell r="O602">
            <v>1.15493E-2</v>
          </cell>
          <cell r="P602">
            <v>0</v>
          </cell>
          <cell r="Q602">
            <v>0.61533119999999997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0.33174550000000003</v>
          </cell>
          <cell r="Y602">
            <v>0</v>
          </cell>
          <cell r="Z602">
            <v>83.606864999999999</v>
          </cell>
          <cell r="AA602">
            <v>0</v>
          </cell>
          <cell r="AB602">
            <v>0.1771017</v>
          </cell>
        </row>
        <row r="603">
          <cell r="A603">
            <v>23132000</v>
          </cell>
          <cell r="B603" t="str">
            <v>Lamb, ground or patty, cooked</v>
          </cell>
          <cell r="I603">
            <v>85</v>
          </cell>
          <cell r="J603">
            <v>238.54621</v>
          </cell>
          <cell r="K603">
            <v>2.8064260000000001</v>
          </cell>
          <cell r="L603">
            <v>0</v>
          </cell>
          <cell r="M603">
            <v>6.8445061000000003</v>
          </cell>
          <cell r="N603">
            <v>0</v>
          </cell>
          <cell r="O603">
            <v>1.87142E-2</v>
          </cell>
          <cell r="P603">
            <v>0</v>
          </cell>
          <cell r="Q603">
            <v>1.1800873000000001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0.34270339999999999</v>
          </cell>
          <cell r="Y603">
            <v>0</v>
          </cell>
          <cell r="Z603">
            <v>74.557913999999997</v>
          </cell>
          <cell r="AA603">
            <v>0</v>
          </cell>
          <cell r="AB603">
            <v>0.64968729999999997</v>
          </cell>
        </row>
        <row r="604">
          <cell r="A604">
            <v>23150100</v>
          </cell>
          <cell r="B604" t="str">
            <v>Goat, boiled</v>
          </cell>
          <cell r="I604">
            <v>85</v>
          </cell>
          <cell r="J604">
            <v>120.53749000000001</v>
          </cell>
          <cell r="K604">
            <v>1.4180881176470588</v>
          </cell>
          <cell r="L604">
            <v>0</v>
          </cell>
          <cell r="M604">
            <v>0.78391509999999998</v>
          </cell>
          <cell r="N604">
            <v>0</v>
          </cell>
          <cell r="O604">
            <v>1.44996E-2</v>
          </cell>
          <cell r="P604">
            <v>0</v>
          </cell>
          <cell r="Q604">
            <v>0.1938715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0.346918</v>
          </cell>
          <cell r="Y604">
            <v>0</v>
          </cell>
          <cell r="Z604">
            <v>84.291948000000005</v>
          </cell>
          <cell r="AA604">
            <v>0</v>
          </cell>
          <cell r="AB604">
            <v>0.1003357</v>
          </cell>
        </row>
        <row r="605">
          <cell r="A605">
            <v>23150200</v>
          </cell>
          <cell r="B605" t="str">
            <v>Goat, fried</v>
          </cell>
          <cell r="I605">
            <v>85</v>
          </cell>
          <cell r="J605">
            <v>130.39086</v>
          </cell>
          <cell r="K605">
            <v>1.5340101176470589</v>
          </cell>
          <cell r="L605">
            <v>0</v>
          </cell>
          <cell r="M605">
            <v>0.97944160000000002</v>
          </cell>
          <cell r="N605">
            <v>0</v>
          </cell>
          <cell r="O605">
            <v>1.42731E-2</v>
          </cell>
          <cell r="P605">
            <v>0</v>
          </cell>
          <cell r="Q605">
            <v>0.95740340000000002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0.34149950000000001</v>
          </cell>
          <cell r="Y605">
            <v>0</v>
          </cell>
          <cell r="Z605">
            <v>82.975399999999993</v>
          </cell>
          <cell r="AA605">
            <v>0</v>
          </cell>
          <cell r="AB605">
            <v>0.1010302</v>
          </cell>
        </row>
        <row r="606">
          <cell r="A606">
            <v>23150250</v>
          </cell>
          <cell r="B606" t="str">
            <v>Goat, baked</v>
          </cell>
          <cell r="I606">
            <v>85</v>
          </cell>
          <cell r="J606">
            <v>120.53749000000001</v>
          </cell>
          <cell r="K606">
            <v>1.4180881176470588</v>
          </cell>
          <cell r="L606">
            <v>0</v>
          </cell>
          <cell r="M606">
            <v>0.78391509999999998</v>
          </cell>
          <cell r="N606">
            <v>0</v>
          </cell>
          <cell r="O606">
            <v>1.44996E-2</v>
          </cell>
          <cell r="P606">
            <v>0</v>
          </cell>
          <cell r="Q606">
            <v>0.1938715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0.346918</v>
          </cell>
          <cell r="Y606">
            <v>0</v>
          </cell>
          <cell r="Z606">
            <v>84.291948000000005</v>
          </cell>
          <cell r="AA606">
            <v>0</v>
          </cell>
          <cell r="AB606">
            <v>0.1005114</v>
          </cell>
        </row>
        <row r="607">
          <cell r="A607">
            <v>23150300</v>
          </cell>
          <cell r="B607" t="str">
            <v>Goat ribs, cooked</v>
          </cell>
          <cell r="I607">
            <v>85</v>
          </cell>
          <cell r="J607">
            <v>120.53749000000001</v>
          </cell>
          <cell r="K607">
            <v>1.4180881176470588</v>
          </cell>
          <cell r="L607">
            <v>0</v>
          </cell>
          <cell r="M607">
            <v>0.78391509999999998</v>
          </cell>
          <cell r="N607">
            <v>0</v>
          </cell>
          <cell r="O607">
            <v>1.44996E-2</v>
          </cell>
          <cell r="P607">
            <v>0</v>
          </cell>
          <cell r="Q607">
            <v>0.1938715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0.346918</v>
          </cell>
          <cell r="Y607">
            <v>0</v>
          </cell>
          <cell r="Z607">
            <v>84.291948000000005</v>
          </cell>
          <cell r="AA607">
            <v>0</v>
          </cell>
          <cell r="AB607">
            <v>0.1004699</v>
          </cell>
        </row>
        <row r="608">
          <cell r="A608">
            <v>23203020</v>
          </cell>
          <cell r="B608" t="str">
            <v>Veal chop, fried, lean and fat eaten</v>
          </cell>
          <cell r="I608">
            <v>85</v>
          </cell>
          <cell r="J608">
            <v>202.3</v>
          </cell>
          <cell r="K608">
            <v>2.3800000000000003</v>
          </cell>
          <cell r="L608">
            <v>0</v>
          </cell>
          <cell r="M608">
            <v>2.601</v>
          </cell>
          <cell r="N608">
            <v>0</v>
          </cell>
          <cell r="O608">
            <v>3.3149999999999999E-2</v>
          </cell>
          <cell r="P608">
            <v>0.255</v>
          </cell>
          <cell r="Q608">
            <v>1.2665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0.38590000000000002</v>
          </cell>
          <cell r="Y608">
            <v>0</v>
          </cell>
          <cell r="Z608">
            <v>70.605675000000005</v>
          </cell>
          <cell r="AA608">
            <v>0</v>
          </cell>
          <cell r="AB608">
            <v>0.12534500000000001</v>
          </cell>
        </row>
        <row r="609">
          <cell r="A609">
            <v>23204010</v>
          </cell>
          <cell r="B609" t="str">
            <v>Veal cutlet or steak, NS as to cooking method, NS as to fat eaten</v>
          </cell>
          <cell r="I609">
            <v>85</v>
          </cell>
          <cell r="J609">
            <v>177.85601</v>
          </cell>
          <cell r="K609">
            <v>2.0924236470588236</v>
          </cell>
          <cell r="L609">
            <v>0</v>
          </cell>
          <cell r="M609">
            <v>2.3981059</v>
          </cell>
          <cell r="N609">
            <v>0</v>
          </cell>
          <cell r="O609">
            <v>6.0704000000000001E-3</v>
          </cell>
          <cell r="P609">
            <v>0</v>
          </cell>
          <cell r="Q609">
            <v>0.4425327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0.33469569999999998</v>
          </cell>
          <cell r="Y609">
            <v>0</v>
          </cell>
          <cell r="Z609">
            <v>84.291948000000005</v>
          </cell>
          <cell r="AA609">
            <v>0</v>
          </cell>
          <cell r="AB609">
            <v>5.45514E-2</v>
          </cell>
        </row>
        <row r="610">
          <cell r="A610">
            <v>23210030</v>
          </cell>
          <cell r="B610" t="str">
            <v>Veal, roasted, lean only eaten</v>
          </cell>
          <cell r="I610">
            <v>85</v>
          </cell>
          <cell r="J610">
            <v>147.51091</v>
          </cell>
          <cell r="K610">
            <v>1.7354224705882353</v>
          </cell>
          <cell r="L610">
            <v>0</v>
          </cell>
          <cell r="M610">
            <v>2.1747321999999998</v>
          </cell>
          <cell r="N610">
            <v>0</v>
          </cell>
          <cell r="O610">
            <v>1.78712E-2</v>
          </cell>
          <cell r="P610">
            <v>0</v>
          </cell>
          <cell r="Q610">
            <v>0.48046410000000001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0.35534719999999997</v>
          </cell>
          <cell r="Y610">
            <v>0</v>
          </cell>
          <cell r="Z610">
            <v>84.291948000000005</v>
          </cell>
          <cell r="AA610">
            <v>0</v>
          </cell>
          <cell r="AB610">
            <v>7.6997700000000002E-2</v>
          </cell>
        </row>
        <row r="611">
          <cell r="A611">
            <v>23220030</v>
          </cell>
          <cell r="B611" t="str">
            <v>Veal patty, breaded, cooked</v>
          </cell>
          <cell r="I611">
            <v>85</v>
          </cell>
          <cell r="J611">
            <v>192.60305</v>
          </cell>
          <cell r="K611">
            <v>2.2659182352941176</v>
          </cell>
          <cell r="L611">
            <v>-4.7200000000000002E-17</v>
          </cell>
          <cell r="M611">
            <v>3.6636188000000001</v>
          </cell>
          <cell r="N611">
            <v>0</v>
          </cell>
          <cell r="O611">
            <v>2.64677E-2</v>
          </cell>
          <cell r="P611">
            <v>0.36226900000000001</v>
          </cell>
          <cell r="Q611">
            <v>1.6475082000000001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0.304031</v>
          </cell>
          <cell r="Y611">
            <v>0</v>
          </cell>
          <cell r="Z611">
            <v>48.311608</v>
          </cell>
          <cell r="AA611">
            <v>0</v>
          </cell>
          <cell r="AB611">
            <v>0.81352400000000002</v>
          </cell>
        </row>
        <row r="612">
          <cell r="A612">
            <v>23310000</v>
          </cell>
          <cell r="B612" t="str">
            <v>Rabbit, NS as to domestic or wild, cooked</v>
          </cell>
          <cell r="I612">
            <v>85</v>
          </cell>
          <cell r="J612">
            <v>174.36766</v>
          </cell>
          <cell r="K612">
            <v>2.0513842352941176</v>
          </cell>
          <cell r="L612">
            <v>0</v>
          </cell>
          <cell r="M612">
            <v>2.1245767999999998</v>
          </cell>
          <cell r="N612">
            <v>0</v>
          </cell>
          <cell r="O612">
            <v>1.70142E-2</v>
          </cell>
          <cell r="P612">
            <v>0</v>
          </cell>
          <cell r="Q612">
            <v>1.3797052000000001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0.1691058</v>
          </cell>
          <cell r="Y612">
            <v>0</v>
          </cell>
          <cell r="Z612">
            <v>84.644492999999997</v>
          </cell>
          <cell r="AA612">
            <v>0</v>
          </cell>
          <cell r="AB612">
            <v>7.6347600000000002E-2</v>
          </cell>
        </row>
        <row r="613">
          <cell r="A613">
            <v>23321000</v>
          </cell>
          <cell r="B613" t="str">
            <v>Venison/deer, NFS</v>
          </cell>
          <cell r="I613">
            <v>85</v>
          </cell>
          <cell r="J613">
            <v>161.44589999999999</v>
          </cell>
          <cell r="K613">
            <v>1.8993635294117646</v>
          </cell>
          <cell r="L613">
            <v>0</v>
          </cell>
          <cell r="M613">
            <v>1.8925517000000001</v>
          </cell>
          <cell r="N613">
            <v>0</v>
          </cell>
          <cell r="O613">
            <v>5.1852000000000001E-3</v>
          </cell>
          <cell r="P613">
            <v>0</v>
          </cell>
          <cell r="Q613">
            <v>0.22145980000000001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0.22741459999999999</v>
          </cell>
          <cell r="Y613">
            <v>0</v>
          </cell>
          <cell r="Z613">
            <v>84.526651000000001</v>
          </cell>
          <cell r="AA613">
            <v>0</v>
          </cell>
          <cell r="AB613">
            <v>0.1592489</v>
          </cell>
        </row>
        <row r="614">
          <cell r="A614">
            <v>23321100</v>
          </cell>
          <cell r="B614" t="str">
            <v>Venison/deer, roasted</v>
          </cell>
          <cell r="I614">
            <v>85</v>
          </cell>
          <cell r="J614">
            <v>161.44589999999999</v>
          </cell>
          <cell r="K614">
            <v>1.8993635294117646</v>
          </cell>
          <cell r="L614">
            <v>0</v>
          </cell>
          <cell r="M614">
            <v>1.8925517000000001</v>
          </cell>
          <cell r="N614">
            <v>0</v>
          </cell>
          <cell r="O614">
            <v>5.1852000000000001E-3</v>
          </cell>
          <cell r="P614">
            <v>0</v>
          </cell>
          <cell r="Q614">
            <v>0.22145980000000001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0.22741459999999999</v>
          </cell>
          <cell r="Y614">
            <v>0</v>
          </cell>
          <cell r="Z614">
            <v>84.526651000000001</v>
          </cell>
          <cell r="AA614">
            <v>0</v>
          </cell>
          <cell r="AB614">
            <v>0.1570752</v>
          </cell>
        </row>
        <row r="615">
          <cell r="A615">
            <v>23321200</v>
          </cell>
          <cell r="B615" t="str">
            <v>Venison/deer steak, cooked, NS as to cooking method</v>
          </cell>
          <cell r="I615">
            <v>85</v>
          </cell>
          <cell r="J615">
            <v>127.76747</v>
          </cell>
          <cell r="K615">
            <v>1.5031467058823529</v>
          </cell>
          <cell r="L615">
            <v>0</v>
          </cell>
          <cell r="M615">
            <v>1.2188905999999999</v>
          </cell>
          <cell r="N615">
            <v>0</v>
          </cell>
          <cell r="O615">
            <v>5.2525999999999996E-3</v>
          </cell>
          <cell r="P615">
            <v>0</v>
          </cell>
          <cell r="Q615">
            <v>0.15705379999999999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0.40468969999999999</v>
          </cell>
          <cell r="Y615">
            <v>0</v>
          </cell>
          <cell r="Z615">
            <v>83.859943000000001</v>
          </cell>
          <cell r="AA615">
            <v>0</v>
          </cell>
          <cell r="AB615">
            <v>0.12576760000000001</v>
          </cell>
        </row>
        <row r="616">
          <cell r="A616">
            <v>23321250</v>
          </cell>
          <cell r="B616" t="str">
            <v>Venison/deer steak, breaded or floured, cooked, NS as to cooking method</v>
          </cell>
          <cell r="I616">
            <v>85</v>
          </cell>
          <cell r="J616">
            <v>188.90631999999999</v>
          </cell>
          <cell r="K616">
            <v>2.2224272941176468</v>
          </cell>
          <cell r="L616">
            <v>0</v>
          </cell>
          <cell r="M616">
            <v>1.6919919000000001</v>
          </cell>
          <cell r="N616">
            <v>0</v>
          </cell>
          <cell r="O616">
            <v>3.3737999999999997E-2</v>
          </cell>
          <cell r="P616">
            <v>0.64817080000000005</v>
          </cell>
          <cell r="Q616">
            <v>2.0162129000000002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0.18800159999999999</v>
          </cell>
          <cell r="Y616">
            <v>0</v>
          </cell>
          <cell r="Z616">
            <v>60.193463000000001</v>
          </cell>
          <cell r="AA616">
            <v>0</v>
          </cell>
          <cell r="AB616">
            <v>0.1614177</v>
          </cell>
        </row>
        <row r="617">
          <cell r="A617">
            <v>23321900</v>
          </cell>
          <cell r="B617" t="str">
            <v>Venison/deer jerky</v>
          </cell>
          <cell r="I617">
            <v>85</v>
          </cell>
          <cell r="J617">
            <v>185.10650000000001</v>
          </cell>
          <cell r="K617">
            <v>2.1777235294117649</v>
          </cell>
          <cell r="L617">
            <v>0</v>
          </cell>
          <cell r="M617">
            <v>4.4897967000000003</v>
          </cell>
          <cell r="N617">
            <v>0</v>
          </cell>
          <cell r="O617">
            <v>8.5000000000000006E-3</v>
          </cell>
          <cell r="P617">
            <v>0</v>
          </cell>
          <cell r="Q617">
            <v>0.89146340000000002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1.3910975999999999</v>
          </cell>
          <cell r="Y617">
            <v>0</v>
          </cell>
          <cell r="Z617">
            <v>51.721463</v>
          </cell>
          <cell r="AA617">
            <v>0</v>
          </cell>
          <cell r="AB617">
            <v>0.9833364</v>
          </cell>
        </row>
        <row r="618">
          <cell r="A618">
            <v>23322100</v>
          </cell>
          <cell r="B618" t="str">
            <v>Deer sausage</v>
          </cell>
          <cell r="I618">
            <v>85</v>
          </cell>
          <cell r="J618">
            <v>254.15</v>
          </cell>
          <cell r="K618">
            <v>2.99</v>
          </cell>
          <cell r="L618">
            <v>0</v>
          </cell>
          <cell r="M618">
            <v>8.9139499999999998</v>
          </cell>
          <cell r="N618">
            <v>0</v>
          </cell>
          <cell r="O618">
            <v>1.7850000000000001E-2</v>
          </cell>
          <cell r="P618">
            <v>0</v>
          </cell>
          <cell r="Q618">
            <v>1.0046999999999999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0.86104999999999998</v>
          </cell>
          <cell r="Y618">
            <v>0</v>
          </cell>
          <cell r="Z618">
            <v>0</v>
          </cell>
          <cell r="AA618">
            <v>67.232024999999993</v>
          </cell>
          <cell r="AB618">
            <v>1.1645000000000001</v>
          </cell>
        </row>
        <row r="619">
          <cell r="A619">
            <v>23322300</v>
          </cell>
          <cell r="B619" t="str">
            <v>Deer chop, cooked</v>
          </cell>
          <cell r="I619">
            <v>85</v>
          </cell>
          <cell r="J619">
            <v>164.08489</v>
          </cell>
          <cell r="K619">
            <v>1.9304104705882352</v>
          </cell>
          <cell r="L619">
            <v>0</v>
          </cell>
          <cell r="M619">
            <v>2.3562517999999999</v>
          </cell>
          <cell r="N619">
            <v>0</v>
          </cell>
          <cell r="O619">
            <v>4.9979999999999998E-3</v>
          </cell>
          <cell r="P619">
            <v>0</v>
          </cell>
          <cell r="Q619">
            <v>1.5750085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0.3813048</v>
          </cell>
          <cell r="Y619">
            <v>0</v>
          </cell>
          <cell r="Z619">
            <v>78.971338000000003</v>
          </cell>
          <cell r="AA619">
            <v>0</v>
          </cell>
          <cell r="AB619">
            <v>0.67946320000000004</v>
          </cell>
        </row>
        <row r="620">
          <cell r="A620">
            <v>23322350</v>
          </cell>
          <cell r="B620" t="str">
            <v>Venison/deer ribs, cooked</v>
          </cell>
          <cell r="I620">
            <v>85</v>
          </cell>
          <cell r="J620">
            <v>161.44589999999999</v>
          </cell>
          <cell r="K620">
            <v>1.8993635294117646</v>
          </cell>
          <cell r="L620">
            <v>0</v>
          </cell>
          <cell r="M620">
            <v>1.8925517000000001</v>
          </cell>
          <cell r="N620">
            <v>0</v>
          </cell>
          <cell r="O620">
            <v>5.1852000000000001E-3</v>
          </cell>
          <cell r="P620">
            <v>0</v>
          </cell>
          <cell r="Q620">
            <v>0.22145980000000001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0.22741459999999999</v>
          </cell>
          <cell r="Y620">
            <v>0</v>
          </cell>
          <cell r="Z620">
            <v>84.526651000000001</v>
          </cell>
          <cell r="AA620">
            <v>0</v>
          </cell>
          <cell r="AB620">
            <v>0.15533079999999999</v>
          </cell>
        </row>
        <row r="621">
          <cell r="A621">
            <v>23322400</v>
          </cell>
          <cell r="B621" t="str">
            <v>Venison/deer, stewed</v>
          </cell>
          <cell r="I621">
            <v>85</v>
          </cell>
          <cell r="J621">
            <v>161.44589999999999</v>
          </cell>
          <cell r="K621">
            <v>1.8993635294117646</v>
          </cell>
          <cell r="L621">
            <v>0</v>
          </cell>
          <cell r="M621">
            <v>1.8925517000000001</v>
          </cell>
          <cell r="N621">
            <v>0</v>
          </cell>
          <cell r="O621">
            <v>5.1852000000000001E-3</v>
          </cell>
          <cell r="P621">
            <v>0</v>
          </cell>
          <cell r="Q621">
            <v>0.22145980000000001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0.22741459999999999</v>
          </cell>
          <cell r="Y621">
            <v>0</v>
          </cell>
          <cell r="Z621">
            <v>84.526651000000001</v>
          </cell>
          <cell r="AA621">
            <v>0</v>
          </cell>
          <cell r="AB621">
            <v>0.15723899999999999</v>
          </cell>
        </row>
        <row r="622">
          <cell r="A622">
            <v>23326100</v>
          </cell>
          <cell r="B622" t="str">
            <v>Bison, cooked</v>
          </cell>
          <cell r="I622">
            <v>85</v>
          </cell>
          <cell r="J622">
            <v>121.04163</v>
          </cell>
          <cell r="K622">
            <v>1.4240191764705883</v>
          </cell>
          <cell r="L622">
            <v>0</v>
          </cell>
          <cell r="M622">
            <v>0.77026490000000003</v>
          </cell>
          <cell r="N622">
            <v>0</v>
          </cell>
          <cell r="O622">
            <v>6.8569E-3</v>
          </cell>
          <cell r="P622">
            <v>0</v>
          </cell>
          <cell r="Q622">
            <v>0.20314679999999999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0.1860347</v>
          </cell>
          <cell r="Y622">
            <v>0</v>
          </cell>
          <cell r="Z622">
            <v>84.644492999999997</v>
          </cell>
          <cell r="AA622">
            <v>0</v>
          </cell>
          <cell r="AB622">
            <v>4.1143899999999997E-2</v>
          </cell>
        </row>
        <row r="623">
          <cell r="A623">
            <v>23335100</v>
          </cell>
          <cell r="B623" t="str">
            <v>Raccoon, cooked</v>
          </cell>
          <cell r="I623">
            <v>85</v>
          </cell>
          <cell r="J623">
            <v>215.84345999999999</v>
          </cell>
          <cell r="K623">
            <v>2.5393348235294115</v>
          </cell>
          <cell r="L623">
            <v>0</v>
          </cell>
          <cell r="M623">
            <v>3.4450308999999999</v>
          </cell>
          <cell r="N623">
            <v>0</v>
          </cell>
          <cell r="O623">
            <v>1.1935599999999999E-2</v>
          </cell>
          <cell r="P623">
            <v>0</v>
          </cell>
          <cell r="Q623">
            <v>1.7690699000000001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0.20465649999999999</v>
          </cell>
          <cell r="Y623">
            <v>0</v>
          </cell>
          <cell r="Z623">
            <v>79.669089999999997</v>
          </cell>
          <cell r="AA623">
            <v>0</v>
          </cell>
          <cell r="AB623">
            <v>0</v>
          </cell>
        </row>
        <row r="624">
          <cell r="A624">
            <v>24100000</v>
          </cell>
          <cell r="B624" t="str">
            <v>Chicken, NS as to part and cooking method, NS as to skin eaten</v>
          </cell>
          <cell r="I624">
            <v>85</v>
          </cell>
          <cell r="J624">
            <v>139.655</v>
          </cell>
          <cell r="K624">
            <v>1.643</v>
          </cell>
          <cell r="L624">
            <v>0</v>
          </cell>
          <cell r="M624">
            <v>1.34232</v>
          </cell>
          <cell r="N624">
            <v>0</v>
          </cell>
          <cell r="O624">
            <v>1.2239999999999999E-2</v>
          </cell>
          <cell r="P624">
            <v>0</v>
          </cell>
          <cell r="Q624">
            <v>0.79653499999999999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0.29333500000000001</v>
          </cell>
          <cell r="Y624">
            <v>0</v>
          </cell>
          <cell r="Z624">
            <v>0</v>
          </cell>
          <cell r="AA624">
            <v>0</v>
          </cell>
          <cell r="AB624">
            <v>4.5880600000000001E-2</v>
          </cell>
        </row>
        <row r="625">
          <cell r="A625">
            <v>24100010</v>
          </cell>
          <cell r="B625" t="str">
            <v>Chicken, NS as to part and cooking method, skin eaten</v>
          </cell>
          <cell r="I625">
            <v>85</v>
          </cell>
          <cell r="J625">
            <v>167.02500000000001</v>
          </cell>
          <cell r="K625">
            <v>1.9650000000000001</v>
          </cell>
          <cell r="L625">
            <v>0</v>
          </cell>
          <cell r="M625">
            <v>2.3188849999999999</v>
          </cell>
          <cell r="N625">
            <v>0</v>
          </cell>
          <cell r="O625">
            <v>1.4619999999999999E-2</v>
          </cell>
          <cell r="P625">
            <v>0</v>
          </cell>
          <cell r="Q625">
            <v>1.1802250000000001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0.29188999999999998</v>
          </cell>
          <cell r="Y625">
            <v>0</v>
          </cell>
          <cell r="Z625">
            <v>0</v>
          </cell>
          <cell r="AA625">
            <v>0</v>
          </cell>
          <cell r="AB625">
            <v>5.6355000000000002E-2</v>
          </cell>
        </row>
        <row r="626">
          <cell r="A626">
            <v>24100020</v>
          </cell>
          <cell r="B626" t="str">
            <v>Chicken, NS as to part and cooking method, skin not eaten</v>
          </cell>
          <cell r="I626">
            <v>85</v>
          </cell>
          <cell r="J626">
            <v>139.655</v>
          </cell>
          <cell r="K626">
            <v>1.643</v>
          </cell>
          <cell r="L626">
            <v>0</v>
          </cell>
          <cell r="M626">
            <v>1.34232</v>
          </cell>
          <cell r="N626">
            <v>0</v>
          </cell>
          <cell r="O626">
            <v>1.2239999999999999E-2</v>
          </cell>
          <cell r="P626">
            <v>0</v>
          </cell>
          <cell r="Q626">
            <v>0.79653499999999999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0.29333500000000001</v>
          </cell>
          <cell r="Y626">
            <v>0</v>
          </cell>
          <cell r="Z626">
            <v>0</v>
          </cell>
          <cell r="AA626">
            <v>0</v>
          </cell>
          <cell r="AB626">
            <v>9.3687199999999998E-2</v>
          </cell>
        </row>
        <row r="627">
          <cell r="A627">
            <v>24102000</v>
          </cell>
          <cell r="B627" t="str">
            <v>Chicken, NS as to part, baked, broiled, or roasted, NS as to skin eaten</v>
          </cell>
          <cell r="I627">
            <v>85</v>
          </cell>
          <cell r="J627">
            <v>122.26143</v>
          </cell>
          <cell r="K627">
            <v>1.4383697647058824</v>
          </cell>
          <cell r="L627">
            <v>0</v>
          </cell>
          <cell r="M627">
            <v>1.0779622</v>
          </cell>
          <cell r="N627">
            <v>0</v>
          </cell>
          <cell r="O627">
            <v>6.3742E-3</v>
          </cell>
          <cell r="P627">
            <v>0</v>
          </cell>
          <cell r="Q627">
            <v>0.81189359999999999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0.26399679999999998</v>
          </cell>
          <cell r="Y627">
            <v>0</v>
          </cell>
          <cell r="Z627">
            <v>0</v>
          </cell>
          <cell r="AA627">
            <v>0</v>
          </cell>
          <cell r="AB627">
            <v>1.91799E-2</v>
          </cell>
        </row>
        <row r="628">
          <cell r="A628">
            <v>24102010</v>
          </cell>
          <cell r="B628" t="str">
            <v>Chicken, NS as to part, baked, broiled, or roasted, skin eaten</v>
          </cell>
          <cell r="I628">
            <v>85</v>
          </cell>
          <cell r="J628">
            <v>156.291</v>
          </cell>
          <cell r="K628">
            <v>1.8387176470588236</v>
          </cell>
          <cell r="L628">
            <v>0</v>
          </cell>
          <cell r="M628">
            <v>2.2826428999999999</v>
          </cell>
          <cell r="N628">
            <v>0</v>
          </cell>
          <cell r="O628">
            <v>6.7543999999999998E-3</v>
          </cell>
          <cell r="P628">
            <v>0</v>
          </cell>
          <cell r="Q628">
            <v>1.6944657000000001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0.26327859999999997</v>
          </cell>
          <cell r="Y628">
            <v>0</v>
          </cell>
          <cell r="Z628">
            <v>0</v>
          </cell>
          <cell r="AA628">
            <v>0</v>
          </cell>
          <cell r="AB628">
            <v>5.4455799999999999E-2</v>
          </cell>
        </row>
        <row r="629">
          <cell r="A629">
            <v>24102020</v>
          </cell>
          <cell r="B629" t="str">
            <v>Chicken, NS as to part, baked, broiled, or roasted, skin not eaten</v>
          </cell>
          <cell r="I629">
            <v>85</v>
          </cell>
          <cell r="J629">
            <v>122.26143</v>
          </cell>
          <cell r="K629">
            <v>1.4383697647058824</v>
          </cell>
          <cell r="L629">
            <v>0</v>
          </cell>
          <cell r="M629">
            <v>1.0779622</v>
          </cell>
          <cell r="N629">
            <v>0</v>
          </cell>
          <cell r="O629">
            <v>6.3742E-3</v>
          </cell>
          <cell r="P629">
            <v>0</v>
          </cell>
          <cell r="Q629">
            <v>0.81189359999999999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0.26399679999999998</v>
          </cell>
          <cell r="Y629">
            <v>0</v>
          </cell>
          <cell r="Z629">
            <v>0</v>
          </cell>
          <cell r="AA629">
            <v>0</v>
          </cell>
          <cell r="AB629">
            <v>1.91799E-2</v>
          </cell>
        </row>
        <row r="630">
          <cell r="A630">
            <v>24102060</v>
          </cell>
          <cell r="B630" t="str">
            <v>Chicken, NS as to part, rotisserie, skin eaten</v>
          </cell>
          <cell r="I630">
            <v>85</v>
          </cell>
          <cell r="J630">
            <v>167.02500000000001</v>
          </cell>
          <cell r="K630">
            <v>1.9650000000000001</v>
          </cell>
          <cell r="L630">
            <v>0</v>
          </cell>
          <cell r="M630">
            <v>2.3188849999999999</v>
          </cell>
          <cell r="N630">
            <v>0</v>
          </cell>
          <cell r="O630">
            <v>1.4619999999999999E-2</v>
          </cell>
          <cell r="P630">
            <v>0</v>
          </cell>
          <cell r="Q630">
            <v>1.1802250000000001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0.29188999999999998</v>
          </cell>
          <cell r="Y630">
            <v>0</v>
          </cell>
          <cell r="Z630">
            <v>0</v>
          </cell>
          <cell r="AA630">
            <v>0</v>
          </cell>
          <cell r="AB630">
            <v>5.6355000000000002E-2</v>
          </cell>
        </row>
        <row r="631">
          <cell r="A631">
            <v>24102070</v>
          </cell>
          <cell r="B631" t="str">
            <v>Chicken, NS as to part, rotisserie, skin not eaten</v>
          </cell>
          <cell r="I631">
            <v>85</v>
          </cell>
          <cell r="J631">
            <v>139.655</v>
          </cell>
          <cell r="K631">
            <v>1.643</v>
          </cell>
          <cell r="L631">
            <v>0</v>
          </cell>
          <cell r="M631">
            <v>1.34232</v>
          </cell>
          <cell r="N631">
            <v>0</v>
          </cell>
          <cell r="O631">
            <v>1.2239999999999999E-2</v>
          </cell>
          <cell r="P631">
            <v>0</v>
          </cell>
          <cell r="Q631">
            <v>0.79653499999999999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0.29333500000000001</v>
          </cell>
          <cell r="Y631">
            <v>0</v>
          </cell>
          <cell r="Z631">
            <v>0</v>
          </cell>
          <cell r="AA631">
            <v>0</v>
          </cell>
          <cell r="AB631">
            <v>7.0581400000000002E-2</v>
          </cell>
        </row>
        <row r="632">
          <cell r="A632">
            <v>24103000</v>
          </cell>
          <cell r="B632" t="str">
            <v>Chicken, NS as to part, stewed, NS as to skin eaten</v>
          </cell>
          <cell r="I632">
            <v>85</v>
          </cell>
          <cell r="J632">
            <v>120.3486</v>
          </cell>
          <cell r="K632">
            <v>1.4158658823529413</v>
          </cell>
          <cell r="L632">
            <v>0</v>
          </cell>
          <cell r="M632">
            <v>1.10134</v>
          </cell>
          <cell r="N632">
            <v>0</v>
          </cell>
          <cell r="O632">
            <v>7.3136E-3</v>
          </cell>
          <cell r="P632">
            <v>0</v>
          </cell>
          <cell r="Q632">
            <v>0.78862920000000003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0.28719699999999998</v>
          </cell>
          <cell r="Y632">
            <v>0</v>
          </cell>
          <cell r="Z632">
            <v>0</v>
          </cell>
          <cell r="AA632">
            <v>0</v>
          </cell>
          <cell r="AB632">
            <v>1.96537E-2</v>
          </cell>
        </row>
        <row r="633">
          <cell r="A633">
            <v>24103010</v>
          </cell>
          <cell r="B633" t="str">
            <v>Chicken, NS as to part, stewed, skin eaten</v>
          </cell>
          <cell r="I633">
            <v>85</v>
          </cell>
          <cell r="J633">
            <v>154.67675</v>
          </cell>
          <cell r="K633">
            <v>1.8197264705882352</v>
          </cell>
          <cell r="L633">
            <v>0</v>
          </cell>
          <cell r="M633">
            <v>2.3491407999999998</v>
          </cell>
          <cell r="N633">
            <v>0</v>
          </cell>
          <cell r="O633">
            <v>7.4409000000000003E-3</v>
          </cell>
          <cell r="P633">
            <v>0</v>
          </cell>
          <cell r="Q633">
            <v>1.7098017000000001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0.28707280000000002</v>
          </cell>
          <cell r="Y633">
            <v>0</v>
          </cell>
          <cell r="Z633">
            <v>0</v>
          </cell>
          <cell r="AA633">
            <v>0</v>
          </cell>
          <cell r="AB633">
            <v>5.46496E-2</v>
          </cell>
        </row>
        <row r="634">
          <cell r="A634">
            <v>24103020</v>
          </cell>
          <cell r="B634" t="str">
            <v>Chicken, NS as to part, stewed, skin not eaten</v>
          </cell>
          <cell r="I634">
            <v>85</v>
          </cell>
          <cell r="J634">
            <v>120.3486</v>
          </cell>
          <cell r="K634">
            <v>1.4158658823529413</v>
          </cell>
          <cell r="L634">
            <v>0</v>
          </cell>
          <cell r="M634">
            <v>1.10134</v>
          </cell>
          <cell r="N634">
            <v>0</v>
          </cell>
          <cell r="O634">
            <v>7.3136E-3</v>
          </cell>
          <cell r="P634">
            <v>0</v>
          </cell>
          <cell r="Q634">
            <v>0.78862920000000003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0.28719699999999998</v>
          </cell>
          <cell r="Y634">
            <v>0</v>
          </cell>
          <cell r="Z634">
            <v>0</v>
          </cell>
          <cell r="AA634">
            <v>0</v>
          </cell>
          <cell r="AB634">
            <v>1.96537E-2</v>
          </cell>
        </row>
        <row r="635">
          <cell r="A635">
            <v>24103050</v>
          </cell>
          <cell r="B635" t="str">
            <v>Chicken, NS as to part, grilled without sauce, NS as to skin eaten</v>
          </cell>
          <cell r="I635">
            <v>85</v>
          </cell>
          <cell r="J635">
            <v>134.67250000000001</v>
          </cell>
          <cell r="K635">
            <v>1.5843823529411767</v>
          </cell>
          <cell r="L635">
            <v>0</v>
          </cell>
          <cell r="M635">
            <v>1.2863481999999999</v>
          </cell>
          <cell r="N635">
            <v>0</v>
          </cell>
          <cell r="O635">
            <v>6.2642000000000002E-3</v>
          </cell>
          <cell r="P635">
            <v>0</v>
          </cell>
          <cell r="Q635">
            <v>1.4918724999999999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0.29308380000000001</v>
          </cell>
          <cell r="Y635">
            <v>0</v>
          </cell>
          <cell r="Z635">
            <v>0</v>
          </cell>
          <cell r="AA635">
            <v>0</v>
          </cell>
          <cell r="AB635">
            <v>0.13436129999999999</v>
          </cell>
        </row>
        <row r="636">
          <cell r="A636">
            <v>24103060</v>
          </cell>
          <cell r="B636" t="str">
            <v>Chicken, NS as to part, grilled without sauce, skin not eaten</v>
          </cell>
          <cell r="I636">
            <v>85</v>
          </cell>
          <cell r="J636">
            <v>134.67250000000001</v>
          </cell>
          <cell r="K636">
            <v>1.5843823529411767</v>
          </cell>
          <cell r="L636">
            <v>0</v>
          </cell>
          <cell r="M636">
            <v>1.2863481999999999</v>
          </cell>
          <cell r="N636">
            <v>0</v>
          </cell>
          <cell r="O636">
            <v>6.2642000000000002E-3</v>
          </cell>
          <cell r="P636">
            <v>0</v>
          </cell>
          <cell r="Q636">
            <v>1.4918724999999999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0.29308380000000001</v>
          </cell>
          <cell r="Y636">
            <v>0</v>
          </cell>
          <cell r="Z636">
            <v>0</v>
          </cell>
          <cell r="AA636">
            <v>0</v>
          </cell>
          <cell r="AB636">
            <v>0.13464889999999999</v>
          </cell>
        </row>
        <row r="637">
          <cell r="A637">
            <v>24103070</v>
          </cell>
          <cell r="B637" t="str">
            <v>Chicken, NS as to part, grilled with sauce, NS as to skin eaten</v>
          </cell>
          <cell r="I637">
            <v>85</v>
          </cell>
          <cell r="J637">
            <v>138.90258</v>
          </cell>
          <cell r="K637">
            <v>1.6341479999999999</v>
          </cell>
          <cell r="L637">
            <v>0.13715359999999999</v>
          </cell>
          <cell r="M637">
            <v>1.0994727</v>
          </cell>
          <cell r="N637">
            <v>0</v>
          </cell>
          <cell r="O637">
            <v>1.0158199999999999E-2</v>
          </cell>
          <cell r="P637">
            <v>0</v>
          </cell>
          <cell r="Q637">
            <v>1.3613493000000001</v>
          </cell>
          <cell r="R637">
            <v>0</v>
          </cell>
          <cell r="S637">
            <v>0</v>
          </cell>
          <cell r="T637">
            <v>0</v>
          </cell>
          <cell r="U637">
            <v>4.8537125000000003</v>
          </cell>
          <cell r="V637">
            <v>0</v>
          </cell>
          <cell r="W637">
            <v>0</v>
          </cell>
          <cell r="X637">
            <v>0.41977300000000001</v>
          </cell>
          <cell r="Y637">
            <v>0</v>
          </cell>
          <cell r="Z637">
            <v>0</v>
          </cell>
          <cell r="AA637">
            <v>0</v>
          </cell>
          <cell r="AB637">
            <v>0.15569230000000001</v>
          </cell>
        </row>
        <row r="638">
          <cell r="A638">
            <v>24103075</v>
          </cell>
          <cell r="B638" t="str">
            <v>Chicken, NS as to part, grilled with sauce, skin eaten</v>
          </cell>
          <cell r="I638">
            <v>85</v>
          </cell>
          <cell r="J638">
            <v>166.09524999999999</v>
          </cell>
          <cell r="K638">
            <v>1.9540617647058822</v>
          </cell>
          <cell r="L638">
            <v>0.13715359999999999</v>
          </cell>
          <cell r="M638">
            <v>2.0621616999999999</v>
          </cell>
          <cell r="N638">
            <v>0</v>
          </cell>
          <cell r="O638">
            <v>1.04624E-2</v>
          </cell>
          <cell r="P638">
            <v>0</v>
          </cell>
          <cell r="Q638">
            <v>2.0666484000000001</v>
          </cell>
          <cell r="R638">
            <v>0</v>
          </cell>
          <cell r="S638">
            <v>0</v>
          </cell>
          <cell r="T638">
            <v>0</v>
          </cell>
          <cell r="U638">
            <v>4.8537125000000003</v>
          </cell>
          <cell r="V638">
            <v>0</v>
          </cell>
          <cell r="W638">
            <v>0</v>
          </cell>
          <cell r="X638">
            <v>0.4192014</v>
          </cell>
          <cell r="Y638">
            <v>0</v>
          </cell>
          <cell r="Z638">
            <v>0</v>
          </cell>
          <cell r="AA638">
            <v>0</v>
          </cell>
          <cell r="AB638">
            <v>0.1093068</v>
          </cell>
        </row>
        <row r="639">
          <cell r="A639">
            <v>24103080</v>
          </cell>
          <cell r="B639" t="str">
            <v>Chicken, NS as to part, grilled with sauce, skin not eaten</v>
          </cell>
          <cell r="I639">
            <v>85</v>
          </cell>
          <cell r="J639">
            <v>138.90258</v>
          </cell>
          <cell r="K639">
            <v>1.6341479999999999</v>
          </cell>
          <cell r="L639">
            <v>0.13715359999999999</v>
          </cell>
          <cell r="M639">
            <v>1.0994727</v>
          </cell>
          <cell r="N639">
            <v>0</v>
          </cell>
          <cell r="O639">
            <v>1.0158199999999999E-2</v>
          </cell>
          <cell r="P639">
            <v>0</v>
          </cell>
          <cell r="Q639">
            <v>1.3613493000000001</v>
          </cell>
          <cell r="R639">
            <v>0</v>
          </cell>
          <cell r="S639">
            <v>0</v>
          </cell>
          <cell r="T639">
            <v>0</v>
          </cell>
          <cell r="U639">
            <v>4.8537125000000003</v>
          </cell>
          <cell r="V639">
            <v>0</v>
          </cell>
          <cell r="W639">
            <v>0</v>
          </cell>
          <cell r="X639">
            <v>0.41977300000000001</v>
          </cell>
          <cell r="Y639">
            <v>0</v>
          </cell>
          <cell r="Z639">
            <v>0</v>
          </cell>
          <cell r="AA639">
            <v>0</v>
          </cell>
          <cell r="AB639">
            <v>0.1557135</v>
          </cell>
        </row>
        <row r="640">
          <cell r="A640">
            <v>24104000</v>
          </cell>
          <cell r="B640" t="str">
            <v>Chicken, NS as to part, fried, no coating, NS as to skin eaten, fat added in cooking</v>
          </cell>
          <cell r="I640">
            <v>85</v>
          </cell>
          <cell r="J640">
            <v>111.21723</v>
          </cell>
          <cell r="K640">
            <v>1.308438</v>
          </cell>
          <cell r="L640">
            <v>0</v>
          </cell>
          <cell r="M640">
            <v>0.78607919999999998</v>
          </cell>
          <cell r="N640">
            <v>0</v>
          </cell>
          <cell r="O640">
            <v>4.7691000000000001E-3</v>
          </cell>
          <cell r="P640">
            <v>0</v>
          </cell>
          <cell r="Q640">
            <v>1.1202255000000001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0.31537690000000002</v>
          </cell>
          <cell r="Y640">
            <v>0</v>
          </cell>
          <cell r="Z640">
            <v>0</v>
          </cell>
          <cell r="AA640">
            <v>0</v>
          </cell>
          <cell r="AB640">
            <v>0.1324292</v>
          </cell>
        </row>
        <row r="641">
          <cell r="A641">
            <v>24104020</v>
          </cell>
          <cell r="B641" t="str">
            <v>Chicken, NS as to part, fried, no coating, skin not eaten, fat added in cooking</v>
          </cell>
          <cell r="I641">
            <v>85</v>
          </cell>
          <cell r="J641">
            <v>111.21723</v>
          </cell>
          <cell r="K641">
            <v>1.308438</v>
          </cell>
          <cell r="L641">
            <v>0</v>
          </cell>
          <cell r="M641">
            <v>0.78607919999999998</v>
          </cell>
          <cell r="N641">
            <v>0</v>
          </cell>
          <cell r="O641">
            <v>4.7691000000000001E-3</v>
          </cell>
          <cell r="P641">
            <v>0</v>
          </cell>
          <cell r="Q641">
            <v>1.1202255000000001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0.31537690000000002</v>
          </cell>
          <cell r="Y641">
            <v>0</v>
          </cell>
          <cell r="Z641">
            <v>0</v>
          </cell>
          <cell r="AA641">
            <v>0</v>
          </cell>
          <cell r="AB641">
            <v>0.35849379999999997</v>
          </cell>
        </row>
        <row r="642">
          <cell r="A642">
            <v>24104051</v>
          </cell>
          <cell r="B642" t="str">
            <v>Chicken, NS as to part, sauteed, skin not eaten</v>
          </cell>
          <cell r="I642">
            <v>85</v>
          </cell>
          <cell r="J642">
            <v>134.67250000000001</v>
          </cell>
          <cell r="K642">
            <v>1.5843823529411767</v>
          </cell>
          <cell r="L642">
            <v>0</v>
          </cell>
          <cell r="M642">
            <v>1.2863481999999999</v>
          </cell>
          <cell r="N642">
            <v>0</v>
          </cell>
          <cell r="O642">
            <v>6.2642000000000002E-3</v>
          </cell>
          <cell r="P642">
            <v>0</v>
          </cell>
          <cell r="Q642">
            <v>1.4918724999999999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0.29308380000000001</v>
          </cell>
          <cell r="Y642">
            <v>0</v>
          </cell>
          <cell r="Z642">
            <v>0</v>
          </cell>
          <cell r="AA642">
            <v>0</v>
          </cell>
          <cell r="AB642">
            <v>0.13446279999999999</v>
          </cell>
        </row>
        <row r="643">
          <cell r="A643">
            <v>24107000</v>
          </cell>
          <cell r="B643" t="str">
            <v>Chicken, NS as to part, coated, baked or fried, prepared with skin, NS as to skin/coating eaten, fat added in cooking</v>
          </cell>
          <cell r="I643">
            <v>85</v>
          </cell>
          <cell r="J643">
            <v>192.37360000000001</v>
          </cell>
          <cell r="K643">
            <v>2.2632188235294119</v>
          </cell>
          <cell r="L643">
            <v>0</v>
          </cell>
          <cell r="M643">
            <v>2.8762572999999998</v>
          </cell>
          <cell r="N643">
            <v>0</v>
          </cell>
          <cell r="O643">
            <v>1.42918E-2</v>
          </cell>
          <cell r="P643">
            <v>0.16168299999999999</v>
          </cell>
          <cell r="Q643">
            <v>3.5652550000000001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0.24496589999999999</v>
          </cell>
          <cell r="Y643">
            <v>0</v>
          </cell>
          <cell r="Z643">
            <v>0</v>
          </cell>
          <cell r="AA643">
            <v>0</v>
          </cell>
          <cell r="AB643">
            <v>0.4281935</v>
          </cell>
        </row>
        <row r="644">
          <cell r="A644">
            <v>24107001</v>
          </cell>
          <cell r="B644" t="str">
            <v>Chicken, NS as to part, coated, baked or fried, prepared with skin, NS as to skin/coating eaten, fat not added in cooking</v>
          </cell>
          <cell r="I644">
            <v>85</v>
          </cell>
          <cell r="J644">
            <v>159.88742999999999</v>
          </cell>
          <cell r="K644">
            <v>1.881028588235294</v>
          </cell>
          <cell r="L644">
            <v>0</v>
          </cell>
          <cell r="M644">
            <v>2.3690799</v>
          </cell>
          <cell r="N644">
            <v>0</v>
          </cell>
          <cell r="O644">
            <v>1.5108E-2</v>
          </cell>
          <cell r="P644">
            <v>0.17105590000000001</v>
          </cell>
          <cell r="Q644">
            <v>1.7422966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0.25914219999999999</v>
          </cell>
          <cell r="Y644">
            <v>0</v>
          </cell>
          <cell r="Z644">
            <v>0</v>
          </cell>
          <cell r="AA644">
            <v>0</v>
          </cell>
          <cell r="AB644">
            <v>7.3095099999999996E-2</v>
          </cell>
        </row>
        <row r="645">
          <cell r="A645">
            <v>24107010</v>
          </cell>
          <cell r="B645" t="str">
            <v>Chicken, NS as to part, coated, baked or fried, prepared with skin, skin/coating eaten, fat added in cooking</v>
          </cell>
          <cell r="I645">
            <v>85</v>
          </cell>
          <cell r="J645">
            <v>192.37360000000001</v>
          </cell>
          <cell r="K645">
            <v>2.2632188235294119</v>
          </cell>
          <cell r="L645">
            <v>0</v>
          </cell>
          <cell r="M645">
            <v>2.8762572999999998</v>
          </cell>
          <cell r="N645">
            <v>0</v>
          </cell>
          <cell r="O645">
            <v>1.42918E-2</v>
          </cell>
          <cell r="P645">
            <v>0.16168299999999999</v>
          </cell>
          <cell r="Q645">
            <v>3.5652550000000001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0.24496589999999999</v>
          </cell>
          <cell r="Y645">
            <v>0</v>
          </cell>
          <cell r="Z645">
            <v>0</v>
          </cell>
          <cell r="AA645">
            <v>0</v>
          </cell>
          <cell r="AB645">
            <v>0.3551687</v>
          </cell>
        </row>
        <row r="646">
          <cell r="A646">
            <v>24107020</v>
          </cell>
          <cell r="B646" t="str">
            <v>Chicken, NS as to part, coated, baked or fried, prepared with skin, skin/coating not eaten</v>
          </cell>
          <cell r="I646">
            <v>85</v>
          </cell>
          <cell r="J646">
            <v>119.18952</v>
          </cell>
          <cell r="K646">
            <v>1.4022296470588236</v>
          </cell>
          <cell r="L646">
            <v>0</v>
          </cell>
          <cell r="M646">
            <v>1.2262219999999999</v>
          </cell>
          <cell r="N646">
            <v>0</v>
          </cell>
          <cell r="O646">
            <v>4.7324000000000003E-3</v>
          </cell>
          <cell r="P646">
            <v>0</v>
          </cell>
          <cell r="Q646">
            <v>1.2467763999999999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0.31153619999999999</v>
          </cell>
          <cell r="Y646">
            <v>0</v>
          </cell>
          <cell r="Z646">
            <v>0</v>
          </cell>
          <cell r="AA646">
            <v>0</v>
          </cell>
          <cell r="AB646">
            <v>0.47906339999999997</v>
          </cell>
        </row>
        <row r="647">
          <cell r="A647">
            <v>24107040</v>
          </cell>
          <cell r="B647" t="str">
            <v>Chicken, NS as to part, coated, baked or fried, prepared skinless, NS as to coating eaten, fat added in cooking</v>
          </cell>
          <cell r="I647">
            <v>85</v>
          </cell>
          <cell r="J647">
            <v>147.44835</v>
          </cell>
          <cell r="K647">
            <v>1.7346864705882354</v>
          </cell>
          <cell r="L647">
            <v>0</v>
          </cell>
          <cell r="M647">
            <v>1.246586</v>
          </cell>
          <cell r="N647">
            <v>0</v>
          </cell>
          <cell r="O647">
            <v>1.1350900000000001E-2</v>
          </cell>
          <cell r="P647">
            <v>0.16168299999999999</v>
          </cell>
          <cell r="Q647">
            <v>2.3633516000000001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0.26029590000000002</v>
          </cell>
          <cell r="Y647">
            <v>0</v>
          </cell>
          <cell r="Z647">
            <v>0</v>
          </cell>
          <cell r="AA647">
            <v>0</v>
          </cell>
          <cell r="AB647">
            <v>0.69255820000000001</v>
          </cell>
        </row>
        <row r="648">
          <cell r="A648">
            <v>24107050</v>
          </cell>
          <cell r="B648" t="str">
            <v>Chicken, NS as to part, coated, baked or fried, prepared skinless, coating eaten, fat added in cooking</v>
          </cell>
          <cell r="I648">
            <v>85</v>
          </cell>
          <cell r="J648">
            <v>147.22878</v>
          </cell>
          <cell r="K648">
            <v>1.7321032941176471</v>
          </cell>
          <cell r="L648">
            <v>0</v>
          </cell>
          <cell r="M648">
            <v>1.1673414</v>
          </cell>
          <cell r="N648">
            <v>0</v>
          </cell>
          <cell r="O648">
            <v>1.0965000000000001E-2</v>
          </cell>
          <cell r="P648">
            <v>0.16168299999999999</v>
          </cell>
          <cell r="Q648">
            <v>2.2845993999999998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0.25554519999999997</v>
          </cell>
          <cell r="Y648">
            <v>0</v>
          </cell>
          <cell r="Z648">
            <v>0</v>
          </cell>
          <cell r="AA648">
            <v>0</v>
          </cell>
          <cell r="AB648">
            <v>0.70654640000000002</v>
          </cell>
        </row>
        <row r="649">
          <cell r="A649">
            <v>24107070</v>
          </cell>
          <cell r="B649" t="str">
            <v>Chicken, NS as to part, fried, coated, skin / coating eaten</v>
          </cell>
          <cell r="I649">
            <v>85</v>
          </cell>
          <cell r="J649">
            <v>213.01</v>
          </cell>
          <cell r="K649">
            <v>2.5059999999999998</v>
          </cell>
          <cell r="L649">
            <v>0</v>
          </cell>
          <cell r="M649">
            <v>3.3993199999999999</v>
          </cell>
          <cell r="N649">
            <v>0</v>
          </cell>
          <cell r="O649">
            <v>3.6975000000000001E-2</v>
          </cell>
          <cell r="P649">
            <v>0.153</v>
          </cell>
          <cell r="Q649">
            <v>2.3768549999999999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0.57018000000000002</v>
          </cell>
          <cell r="Y649">
            <v>0</v>
          </cell>
          <cell r="Z649">
            <v>0</v>
          </cell>
          <cell r="AA649">
            <v>0</v>
          </cell>
          <cell r="AB649">
            <v>0.18411</v>
          </cell>
        </row>
        <row r="650">
          <cell r="A650">
            <v>24107071</v>
          </cell>
          <cell r="B650" t="str">
            <v>Chicken, NS as to part, fried, coated, skin / coating not eaten</v>
          </cell>
          <cell r="I650">
            <v>85</v>
          </cell>
          <cell r="J650">
            <v>139.655</v>
          </cell>
          <cell r="K650">
            <v>1.643</v>
          </cell>
          <cell r="L650">
            <v>0</v>
          </cell>
          <cell r="M650">
            <v>1.4756</v>
          </cell>
          <cell r="N650">
            <v>0</v>
          </cell>
          <cell r="O650">
            <v>1.8615E-2</v>
          </cell>
          <cell r="P650">
            <v>0</v>
          </cell>
          <cell r="Q650">
            <v>1.022465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0.44837500000000002</v>
          </cell>
          <cell r="Y650">
            <v>0</v>
          </cell>
          <cell r="Z650">
            <v>0</v>
          </cell>
          <cell r="AA650">
            <v>0</v>
          </cell>
          <cell r="AB650">
            <v>4.7175000000000002E-2</v>
          </cell>
        </row>
        <row r="651">
          <cell r="A651">
            <v>24120100</v>
          </cell>
          <cell r="B651" t="str">
            <v>Chicken, breast, NS as to cooking method, NS as to skin eaten</v>
          </cell>
          <cell r="I651">
            <v>85</v>
          </cell>
          <cell r="J651">
            <v>98.203474</v>
          </cell>
          <cell r="K651">
            <v>1.1553349882352941</v>
          </cell>
          <cell r="L651">
            <v>0</v>
          </cell>
          <cell r="M651">
            <v>0.47043180000000001</v>
          </cell>
          <cell r="N651">
            <v>0</v>
          </cell>
          <cell r="O651">
            <v>4.3702000000000003E-3</v>
          </cell>
          <cell r="P651">
            <v>0</v>
          </cell>
          <cell r="Q651">
            <v>0.34759309999999999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0.31560519999999997</v>
          </cell>
          <cell r="Y651">
            <v>0</v>
          </cell>
          <cell r="Z651">
            <v>0</v>
          </cell>
          <cell r="AA651">
            <v>0</v>
          </cell>
          <cell r="AB651">
            <v>5.6525999999999998E-3</v>
          </cell>
        </row>
        <row r="652">
          <cell r="A652">
            <v>24120110</v>
          </cell>
          <cell r="B652" t="str">
            <v>Chicken breast, NS as to cooking method, skin eaten</v>
          </cell>
          <cell r="I652">
            <v>85</v>
          </cell>
          <cell r="J652">
            <v>148.75</v>
          </cell>
          <cell r="K652">
            <v>1.75</v>
          </cell>
          <cell r="L652">
            <v>0</v>
          </cell>
          <cell r="M652">
            <v>1.6642999999999999</v>
          </cell>
          <cell r="N652">
            <v>0</v>
          </cell>
          <cell r="O652">
            <v>1.3599999999999999E-2</v>
          </cell>
          <cell r="P652">
            <v>0</v>
          </cell>
          <cell r="Q652">
            <v>0.80325000000000002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0.27965000000000001</v>
          </cell>
          <cell r="Y652">
            <v>0</v>
          </cell>
          <cell r="Z652">
            <v>0</v>
          </cell>
          <cell r="AA652">
            <v>0</v>
          </cell>
          <cell r="AB652">
            <v>4.845E-2</v>
          </cell>
        </row>
        <row r="653">
          <cell r="A653">
            <v>24120120</v>
          </cell>
          <cell r="B653" t="str">
            <v>Chicken breast, NS as to cooking method, skin not eaten</v>
          </cell>
          <cell r="I653">
            <v>85</v>
          </cell>
          <cell r="J653">
            <v>122.4</v>
          </cell>
          <cell r="K653">
            <v>1.4400000000000002</v>
          </cell>
          <cell r="L653">
            <v>0</v>
          </cell>
          <cell r="M653">
            <v>0.73355000000000004</v>
          </cell>
          <cell r="N653">
            <v>0</v>
          </cell>
          <cell r="O653">
            <v>1.1050000000000001E-2</v>
          </cell>
          <cell r="P653">
            <v>0</v>
          </cell>
          <cell r="Q653">
            <v>0.41649999999999998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0.27879999999999999</v>
          </cell>
          <cell r="Y653">
            <v>0</v>
          </cell>
          <cell r="Z653">
            <v>0</v>
          </cell>
          <cell r="AA653">
            <v>0</v>
          </cell>
          <cell r="AB653">
            <v>0.1851004</v>
          </cell>
        </row>
        <row r="654">
          <cell r="A654">
            <v>24122100</v>
          </cell>
          <cell r="B654" t="str">
            <v>Chicken, breast, roasted, broiled, or baked, NS as to skin eaten</v>
          </cell>
          <cell r="I654">
            <v>85</v>
          </cell>
          <cell r="J654">
            <v>98.203474</v>
          </cell>
          <cell r="K654">
            <v>1.1553349882352941</v>
          </cell>
          <cell r="L654">
            <v>0</v>
          </cell>
          <cell r="M654">
            <v>0.47043180000000001</v>
          </cell>
          <cell r="N654">
            <v>0</v>
          </cell>
          <cell r="O654">
            <v>4.3702000000000003E-3</v>
          </cell>
          <cell r="P654">
            <v>0</v>
          </cell>
          <cell r="Q654">
            <v>0.34759309999999999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0.31560519999999997</v>
          </cell>
          <cell r="Y654">
            <v>0</v>
          </cell>
          <cell r="Z654">
            <v>0</v>
          </cell>
          <cell r="AA654">
            <v>0</v>
          </cell>
          <cell r="AB654">
            <v>5.6525999999999998E-3</v>
          </cell>
        </row>
        <row r="655">
          <cell r="A655">
            <v>24122110</v>
          </cell>
          <cell r="B655" t="str">
            <v>Chicken, breast, roasted, broiled, or baked, skin eaten</v>
          </cell>
          <cell r="I655">
            <v>85</v>
          </cell>
          <cell r="J655">
            <v>166.05513999999999</v>
          </cell>
          <cell r="K655">
            <v>1.9535898823529412</v>
          </cell>
          <cell r="L655">
            <v>0</v>
          </cell>
          <cell r="M655">
            <v>1.8459937</v>
          </cell>
          <cell r="N655">
            <v>0</v>
          </cell>
          <cell r="O655">
            <v>1.19708E-2</v>
          </cell>
          <cell r="P655">
            <v>0</v>
          </cell>
          <cell r="Q655">
            <v>1.3992462999999999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0.33427420000000002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</row>
        <row r="656">
          <cell r="A656">
            <v>24122120</v>
          </cell>
          <cell r="B656" t="str">
            <v>Chicken, breast, roasted, broiled, or baked, skin not eaten</v>
          </cell>
          <cell r="I656">
            <v>85</v>
          </cell>
          <cell r="J656">
            <v>98.203474</v>
          </cell>
          <cell r="K656">
            <v>1.1553349882352941</v>
          </cell>
          <cell r="L656">
            <v>0</v>
          </cell>
          <cell r="M656">
            <v>0.47043180000000001</v>
          </cell>
          <cell r="N656">
            <v>0</v>
          </cell>
          <cell r="O656">
            <v>4.3702000000000003E-3</v>
          </cell>
          <cell r="P656">
            <v>0</v>
          </cell>
          <cell r="Q656">
            <v>0.34759309999999999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0.31560519999999997</v>
          </cell>
          <cell r="Y656">
            <v>0</v>
          </cell>
          <cell r="Z656">
            <v>0</v>
          </cell>
          <cell r="AA656">
            <v>0</v>
          </cell>
          <cell r="AB656">
            <v>5.6525999999999998E-3</v>
          </cell>
        </row>
        <row r="657">
          <cell r="A657">
            <v>24122130</v>
          </cell>
          <cell r="B657" t="str">
            <v>Chicken breast, baked, broiled, or roasted, skin eaten, from raw</v>
          </cell>
          <cell r="I657">
            <v>85</v>
          </cell>
          <cell r="J657">
            <v>130.41501</v>
          </cell>
          <cell r="K657">
            <v>1.5342942352941176</v>
          </cell>
          <cell r="L657">
            <v>0</v>
          </cell>
          <cell r="M657">
            <v>1.5551367</v>
          </cell>
          <cell r="N657">
            <v>0</v>
          </cell>
          <cell r="O657">
            <v>5.1067999999999999E-3</v>
          </cell>
          <cell r="P657">
            <v>0</v>
          </cell>
          <cell r="Q657">
            <v>1.1676093000000001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0.2367901</v>
          </cell>
          <cell r="Y657">
            <v>0</v>
          </cell>
          <cell r="Z657">
            <v>0</v>
          </cell>
          <cell r="AA657">
            <v>0</v>
          </cell>
          <cell r="AB657">
            <v>4.9259400000000002E-2</v>
          </cell>
        </row>
        <row r="658">
          <cell r="A658">
            <v>24122131</v>
          </cell>
          <cell r="B658" t="str">
            <v>Chicken breast, baked, broiled, or roasted, skin not eaten, from raw</v>
          </cell>
          <cell r="I658">
            <v>85</v>
          </cell>
          <cell r="J658">
            <v>101.39165</v>
          </cell>
          <cell r="K658">
            <v>1.1928429411764705</v>
          </cell>
          <cell r="L658">
            <v>0</v>
          </cell>
          <cell r="M658">
            <v>0.4756958</v>
          </cell>
          <cell r="N658">
            <v>0</v>
          </cell>
          <cell r="O658">
            <v>4.3463E-3</v>
          </cell>
          <cell r="P658">
            <v>0</v>
          </cell>
          <cell r="Q658">
            <v>0.35825050000000003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0.23450869999999999</v>
          </cell>
          <cell r="Y658">
            <v>0</v>
          </cell>
          <cell r="Z658">
            <v>0</v>
          </cell>
          <cell r="AA658">
            <v>0</v>
          </cell>
          <cell r="AB658">
            <v>5.9144999999999996E-3</v>
          </cell>
        </row>
        <row r="659">
          <cell r="A659">
            <v>24122140</v>
          </cell>
          <cell r="B659" t="str">
            <v>Chicken breast, baked or broiled, skin eaten, from pre-cooked</v>
          </cell>
          <cell r="I659">
            <v>85</v>
          </cell>
          <cell r="J659">
            <v>148.75</v>
          </cell>
          <cell r="K659">
            <v>1.75</v>
          </cell>
          <cell r="L659">
            <v>0</v>
          </cell>
          <cell r="M659">
            <v>1.6642999999999999</v>
          </cell>
          <cell r="N659">
            <v>0</v>
          </cell>
          <cell r="O659">
            <v>1.3599999999999999E-2</v>
          </cell>
          <cell r="P659">
            <v>0</v>
          </cell>
          <cell r="Q659">
            <v>0.80325000000000002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0.27965000000000001</v>
          </cell>
          <cell r="Y659">
            <v>0</v>
          </cell>
          <cell r="Z659">
            <v>0</v>
          </cell>
          <cell r="AA659">
            <v>0</v>
          </cell>
          <cell r="AB659">
            <v>4.845E-2</v>
          </cell>
        </row>
        <row r="660">
          <cell r="A660">
            <v>24122141</v>
          </cell>
          <cell r="B660" t="str">
            <v>Chicken breast, baked or broiled, skin not eaten, from pre-cooked</v>
          </cell>
          <cell r="I660">
            <v>85</v>
          </cell>
          <cell r="J660">
            <v>116.45</v>
          </cell>
          <cell r="K660">
            <v>1.37</v>
          </cell>
          <cell r="L660">
            <v>0</v>
          </cell>
          <cell r="M660">
            <v>0.65874999999999995</v>
          </cell>
          <cell r="N660">
            <v>0</v>
          </cell>
          <cell r="O660">
            <v>1.1050000000000001E-2</v>
          </cell>
          <cell r="P660">
            <v>0</v>
          </cell>
          <cell r="Q660">
            <v>0.46325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0.26605000000000001</v>
          </cell>
          <cell r="Y660">
            <v>0</v>
          </cell>
          <cell r="Z660">
            <v>0</v>
          </cell>
          <cell r="AA660">
            <v>0</v>
          </cell>
          <cell r="AB660">
            <v>7.6499999999999997E-3</v>
          </cell>
        </row>
        <row r="661">
          <cell r="A661">
            <v>24122150</v>
          </cell>
          <cell r="B661" t="str">
            <v>Chicken breast, baked or broiled, skin eaten, from fast food / restaurant</v>
          </cell>
          <cell r="I661">
            <v>85</v>
          </cell>
          <cell r="J661">
            <v>142.57676000000001</v>
          </cell>
          <cell r="K661">
            <v>1.6773736470588236</v>
          </cell>
          <cell r="L661">
            <v>0</v>
          </cell>
          <cell r="M661">
            <v>1.7530292000000001</v>
          </cell>
          <cell r="N661">
            <v>0</v>
          </cell>
          <cell r="O661">
            <v>5.0396E-3</v>
          </cell>
          <cell r="P661">
            <v>0</v>
          </cell>
          <cell r="Q661">
            <v>1.8408013000000001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0.29735660000000003</v>
          </cell>
          <cell r="Y661">
            <v>0</v>
          </cell>
          <cell r="Z661">
            <v>0</v>
          </cell>
          <cell r="AA661">
            <v>0</v>
          </cell>
          <cell r="AB661">
            <v>0.19037889999999999</v>
          </cell>
        </row>
        <row r="662">
          <cell r="A662">
            <v>24122151</v>
          </cell>
          <cell r="B662" t="str">
            <v>Chicken breast, baked or broiled, skin not eaten, from fast food / restaurant</v>
          </cell>
          <cell r="I662">
            <v>85</v>
          </cell>
          <cell r="J662">
            <v>114.19064</v>
          </cell>
          <cell r="K662">
            <v>1.343419294117647</v>
          </cell>
          <cell r="L662">
            <v>0</v>
          </cell>
          <cell r="M662">
            <v>0.69728869999999998</v>
          </cell>
          <cell r="N662">
            <v>0</v>
          </cell>
          <cell r="O662">
            <v>4.2959000000000001E-3</v>
          </cell>
          <cell r="P662">
            <v>0</v>
          </cell>
          <cell r="Q662">
            <v>1.0492128000000001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0.29512539999999998</v>
          </cell>
          <cell r="Y662">
            <v>0</v>
          </cell>
          <cell r="Z662">
            <v>0</v>
          </cell>
          <cell r="AA662">
            <v>0</v>
          </cell>
          <cell r="AB662">
            <v>0.24726590000000001</v>
          </cell>
        </row>
        <row r="663">
          <cell r="A663">
            <v>24122161</v>
          </cell>
          <cell r="B663" t="str">
            <v>Chicken breast, baked, broiled, or roasted with marinade, skin not eaten, from raw</v>
          </cell>
          <cell r="I663">
            <v>85</v>
          </cell>
          <cell r="J663">
            <v>113.90418</v>
          </cell>
          <cell r="K663">
            <v>1.3400491764705882</v>
          </cell>
          <cell r="L663">
            <v>0</v>
          </cell>
          <cell r="M663">
            <v>0.68916929999999998</v>
          </cell>
          <cell r="N663">
            <v>0</v>
          </cell>
          <cell r="O663">
            <v>4.6017000000000002E-3</v>
          </cell>
          <cell r="P663">
            <v>1.6999999999999999E-3</v>
          </cell>
          <cell r="Q663">
            <v>1.0441461999999999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0.2902979</v>
          </cell>
          <cell r="Y663">
            <v>0</v>
          </cell>
          <cell r="Z663">
            <v>0</v>
          </cell>
          <cell r="AA663">
            <v>0</v>
          </cell>
          <cell r="AB663">
            <v>0.2454385</v>
          </cell>
        </row>
        <row r="664">
          <cell r="A664">
            <v>24122170</v>
          </cell>
          <cell r="B664" t="str">
            <v>Chicken breast, rotisserie, skin eaten</v>
          </cell>
          <cell r="I664">
            <v>85</v>
          </cell>
          <cell r="J664">
            <v>148.75</v>
          </cell>
          <cell r="K664">
            <v>1.75</v>
          </cell>
          <cell r="L664">
            <v>0</v>
          </cell>
          <cell r="M664">
            <v>1.6642999999999999</v>
          </cell>
          <cell r="N664">
            <v>0</v>
          </cell>
          <cell r="O664">
            <v>1.3599999999999999E-2</v>
          </cell>
          <cell r="P664">
            <v>0</v>
          </cell>
          <cell r="Q664">
            <v>0.80325000000000002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0.27965000000000001</v>
          </cell>
          <cell r="Y664">
            <v>0</v>
          </cell>
          <cell r="Z664">
            <v>0</v>
          </cell>
          <cell r="AA664">
            <v>0</v>
          </cell>
          <cell r="AB664">
            <v>4.845E-2</v>
          </cell>
        </row>
        <row r="665">
          <cell r="A665">
            <v>24122171</v>
          </cell>
          <cell r="B665" t="str">
            <v>Chicken breast, rotisserie, skin not eaten</v>
          </cell>
          <cell r="I665">
            <v>85</v>
          </cell>
          <cell r="J665">
            <v>122.4</v>
          </cell>
          <cell r="K665">
            <v>1.4400000000000002</v>
          </cell>
          <cell r="L665">
            <v>0</v>
          </cell>
          <cell r="M665">
            <v>0.73355000000000004</v>
          </cell>
          <cell r="N665">
            <v>0</v>
          </cell>
          <cell r="O665">
            <v>1.1050000000000001E-2</v>
          </cell>
          <cell r="P665">
            <v>0</v>
          </cell>
          <cell r="Q665">
            <v>0.41649999999999998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0.27879999999999999</v>
          </cell>
          <cell r="Y665">
            <v>0</v>
          </cell>
          <cell r="Z665">
            <v>0</v>
          </cell>
          <cell r="AA665">
            <v>0</v>
          </cell>
          <cell r="AB665">
            <v>0.14458090000000001</v>
          </cell>
        </row>
        <row r="666">
          <cell r="A666">
            <v>24123100</v>
          </cell>
          <cell r="B666" t="str">
            <v>Chicken, breast, stewed, NS as to skin eaten</v>
          </cell>
          <cell r="I666">
            <v>85</v>
          </cell>
          <cell r="J666">
            <v>98.203474</v>
          </cell>
          <cell r="K666">
            <v>1.1553349882352941</v>
          </cell>
          <cell r="L666">
            <v>0</v>
          </cell>
          <cell r="M666">
            <v>0.47043180000000001</v>
          </cell>
          <cell r="N666">
            <v>0</v>
          </cell>
          <cell r="O666">
            <v>4.3702000000000003E-3</v>
          </cell>
          <cell r="P666">
            <v>0</v>
          </cell>
          <cell r="Q666">
            <v>0.34759309999999999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0.31560519999999997</v>
          </cell>
          <cell r="Y666">
            <v>0</v>
          </cell>
          <cell r="Z666">
            <v>0</v>
          </cell>
          <cell r="AA666">
            <v>0</v>
          </cell>
          <cell r="AB666">
            <v>5.6525999999999998E-3</v>
          </cell>
        </row>
        <row r="667">
          <cell r="A667">
            <v>24123110</v>
          </cell>
          <cell r="B667" t="str">
            <v>Chicken breast, stewed, skin eaten</v>
          </cell>
          <cell r="I667">
            <v>85</v>
          </cell>
          <cell r="J667">
            <v>130.41501</v>
          </cell>
          <cell r="K667">
            <v>1.5342942352941176</v>
          </cell>
          <cell r="L667">
            <v>0</v>
          </cell>
          <cell r="M667">
            <v>1.5551367</v>
          </cell>
          <cell r="N667">
            <v>0</v>
          </cell>
          <cell r="O667">
            <v>5.1067999999999999E-3</v>
          </cell>
          <cell r="P667">
            <v>0</v>
          </cell>
          <cell r="Q667">
            <v>1.1676093000000001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0.2367901</v>
          </cell>
          <cell r="Y667">
            <v>0</v>
          </cell>
          <cell r="Z667">
            <v>0</v>
          </cell>
          <cell r="AA667">
            <v>0</v>
          </cell>
          <cell r="AB667">
            <v>4.9259400000000002E-2</v>
          </cell>
        </row>
        <row r="668">
          <cell r="A668">
            <v>24123120</v>
          </cell>
          <cell r="B668" t="str">
            <v>Chicken breast, stewed, skin not eaten</v>
          </cell>
          <cell r="I668">
            <v>85</v>
          </cell>
          <cell r="J668">
            <v>101.39165</v>
          </cell>
          <cell r="K668">
            <v>1.1928429411764705</v>
          </cell>
          <cell r="L668">
            <v>0</v>
          </cell>
          <cell r="M668">
            <v>0.4756958</v>
          </cell>
          <cell r="N668">
            <v>0</v>
          </cell>
          <cell r="O668">
            <v>4.3463E-3</v>
          </cell>
          <cell r="P668">
            <v>0</v>
          </cell>
          <cell r="Q668">
            <v>0.35825050000000003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0.23450869999999999</v>
          </cell>
          <cell r="Y668">
            <v>0</v>
          </cell>
          <cell r="Z668">
            <v>0</v>
          </cell>
          <cell r="AA668">
            <v>0</v>
          </cell>
          <cell r="AB668">
            <v>5.9144999999999996E-3</v>
          </cell>
        </row>
        <row r="669">
          <cell r="A669">
            <v>24123300</v>
          </cell>
          <cell r="B669" t="str">
            <v>Chicken breast, grilled without sauce, skin eaten</v>
          </cell>
          <cell r="I669">
            <v>85</v>
          </cell>
          <cell r="J669">
            <v>142.86190999999999</v>
          </cell>
          <cell r="K669">
            <v>1.6807283529411765</v>
          </cell>
          <cell r="L669">
            <v>0</v>
          </cell>
          <cell r="M669">
            <v>1.7565352999999999</v>
          </cell>
          <cell r="N669">
            <v>0</v>
          </cell>
          <cell r="O669">
            <v>5.0089000000000002E-3</v>
          </cell>
          <cell r="P669">
            <v>0</v>
          </cell>
          <cell r="Q669">
            <v>1.8444829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0.23206280000000001</v>
          </cell>
          <cell r="Y669">
            <v>0</v>
          </cell>
          <cell r="Z669">
            <v>0</v>
          </cell>
          <cell r="AA669">
            <v>0</v>
          </cell>
          <cell r="AB669">
            <v>0.19032099999999999</v>
          </cell>
        </row>
        <row r="670">
          <cell r="A670">
            <v>24123301</v>
          </cell>
          <cell r="B670" t="str">
            <v>Chicken breast, grilled without sauce, skin not eaten</v>
          </cell>
          <cell r="I670">
            <v>85</v>
          </cell>
          <cell r="J670">
            <v>114.41902</v>
          </cell>
          <cell r="K670">
            <v>1.3461061176470588</v>
          </cell>
          <cell r="L670">
            <v>0</v>
          </cell>
          <cell r="M670">
            <v>0.69868330000000001</v>
          </cell>
          <cell r="N670">
            <v>0</v>
          </cell>
          <cell r="O670">
            <v>4.2636000000000002E-3</v>
          </cell>
          <cell r="P670">
            <v>0</v>
          </cell>
          <cell r="Q670">
            <v>1.0513112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0.22982710000000001</v>
          </cell>
          <cell r="Y670">
            <v>0</v>
          </cell>
          <cell r="Z670">
            <v>0</v>
          </cell>
          <cell r="AA670">
            <v>0</v>
          </cell>
          <cell r="AB670">
            <v>0.24698519999999999</v>
          </cell>
        </row>
        <row r="671">
          <cell r="A671">
            <v>24123311</v>
          </cell>
          <cell r="B671" t="str">
            <v>Chicken breast, grilled with sauce, skin not eaten</v>
          </cell>
          <cell r="I671">
            <v>85</v>
          </cell>
          <cell r="J671">
            <v>122.48452</v>
          </cell>
          <cell r="K671">
            <v>1.4409943529411766</v>
          </cell>
          <cell r="L671">
            <v>0.13769999999999999</v>
          </cell>
          <cell r="M671">
            <v>0.61994300000000002</v>
          </cell>
          <cell r="N671">
            <v>0</v>
          </cell>
          <cell r="O671">
            <v>8.5302999999999993E-3</v>
          </cell>
          <cell r="P671">
            <v>0</v>
          </cell>
          <cell r="Q671">
            <v>1.0022791</v>
          </cell>
          <cell r="R671">
            <v>0</v>
          </cell>
          <cell r="S671">
            <v>0</v>
          </cell>
          <cell r="T671">
            <v>0</v>
          </cell>
          <cell r="U671">
            <v>4.8730500000000001</v>
          </cell>
          <cell r="V671">
            <v>0</v>
          </cell>
          <cell r="W671">
            <v>0</v>
          </cell>
          <cell r="X671">
            <v>0.34474650000000001</v>
          </cell>
          <cell r="Y671">
            <v>0</v>
          </cell>
          <cell r="Z671">
            <v>0</v>
          </cell>
          <cell r="AA671">
            <v>0</v>
          </cell>
          <cell r="AB671">
            <v>0.2473447</v>
          </cell>
        </row>
        <row r="672">
          <cell r="A672">
            <v>24124100</v>
          </cell>
          <cell r="B672" t="str">
            <v>Chicken, breast, fried, no coating, NS as to skin eaten, fat added in cooking</v>
          </cell>
          <cell r="I672">
            <v>85</v>
          </cell>
          <cell r="J672">
            <v>110.94423</v>
          </cell>
          <cell r="K672">
            <v>1.3052262352941177</v>
          </cell>
          <cell r="L672">
            <v>0</v>
          </cell>
          <cell r="M672">
            <v>0.68755359999999999</v>
          </cell>
          <cell r="N672">
            <v>0</v>
          </cell>
          <cell r="O672">
            <v>4.2893000000000002E-3</v>
          </cell>
          <cell r="P672">
            <v>0</v>
          </cell>
          <cell r="Q672">
            <v>1.0223122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0.30947029999999998</v>
          </cell>
          <cell r="Y672">
            <v>0</v>
          </cell>
          <cell r="Z672">
            <v>0</v>
          </cell>
          <cell r="AA672">
            <v>0</v>
          </cell>
          <cell r="AB672">
            <v>6.9686300000000007E-2</v>
          </cell>
        </row>
        <row r="673">
          <cell r="A673">
            <v>24124110</v>
          </cell>
          <cell r="B673" t="str">
            <v>Chicken, breast, fried, no coating, skin eaten, NS as to type of fat added in cooking</v>
          </cell>
          <cell r="I673">
            <v>85</v>
          </cell>
          <cell r="J673">
            <v>156.93937</v>
          </cell>
          <cell r="K673">
            <v>1.8463455294117648</v>
          </cell>
          <cell r="L673">
            <v>0</v>
          </cell>
          <cell r="M673">
            <v>2.4267653</v>
          </cell>
          <cell r="N673">
            <v>0</v>
          </cell>
          <cell r="O673">
            <v>9.2528000000000003E-3</v>
          </cell>
          <cell r="P673">
            <v>0</v>
          </cell>
          <cell r="Q673">
            <v>2.3028960999999999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0.29259439999999998</v>
          </cell>
          <cell r="Y673">
            <v>0</v>
          </cell>
          <cell r="Z673">
            <v>0</v>
          </cell>
          <cell r="AA673">
            <v>0</v>
          </cell>
          <cell r="AB673">
            <v>9.2724000000000001E-2</v>
          </cell>
        </row>
        <row r="674">
          <cell r="A674">
            <v>24124113</v>
          </cell>
          <cell r="B674" t="str">
            <v>Chicken, breast, fried, no coating, skin eaten, made with oil</v>
          </cell>
          <cell r="I674">
            <v>85</v>
          </cell>
          <cell r="J674">
            <v>156.93937</v>
          </cell>
          <cell r="K674">
            <v>1.8463455294117648</v>
          </cell>
          <cell r="L674">
            <v>0</v>
          </cell>
          <cell r="M674">
            <v>2.4267653</v>
          </cell>
          <cell r="N674">
            <v>0</v>
          </cell>
          <cell r="O674">
            <v>9.2528000000000003E-3</v>
          </cell>
          <cell r="P674">
            <v>0</v>
          </cell>
          <cell r="Q674">
            <v>2.3028960999999999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0.29259439999999998</v>
          </cell>
          <cell r="Y674">
            <v>0</v>
          </cell>
          <cell r="Z674">
            <v>0</v>
          </cell>
          <cell r="AA674">
            <v>0</v>
          </cell>
          <cell r="AB674">
            <v>9.2724000000000001E-2</v>
          </cell>
        </row>
        <row r="675">
          <cell r="A675">
            <v>24124120</v>
          </cell>
          <cell r="B675" t="str">
            <v>Chicken, breast, fried, no coating, skin not eaten, NS as to type of fat added in cooking</v>
          </cell>
          <cell r="I675">
            <v>85</v>
          </cell>
          <cell r="J675">
            <v>110.94423</v>
          </cell>
          <cell r="K675">
            <v>1.3052262352941177</v>
          </cell>
          <cell r="L675">
            <v>0</v>
          </cell>
          <cell r="M675">
            <v>0.68755359999999999</v>
          </cell>
          <cell r="N675">
            <v>0</v>
          </cell>
          <cell r="O675">
            <v>4.2893000000000002E-3</v>
          </cell>
          <cell r="P675">
            <v>0</v>
          </cell>
          <cell r="Q675">
            <v>1.0223122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0.30947029999999998</v>
          </cell>
          <cell r="Y675">
            <v>0</v>
          </cell>
          <cell r="Z675">
            <v>0</v>
          </cell>
          <cell r="AA675">
            <v>0</v>
          </cell>
          <cell r="AB675">
            <v>0.2822733</v>
          </cell>
        </row>
        <row r="676">
          <cell r="A676">
            <v>24124121</v>
          </cell>
          <cell r="B676" t="str">
            <v>Chicken, breast, fried, no coating, skin not eaten, made with shortening</v>
          </cell>
          <cell r="I676">
            <v>85</v>
          </cell>
          <cell r="J676">
            <v>110.91776</v>
          </cell>
          <cell r="K676">
            <v>1.3049148235294117</v>
          </cell>
          <cell r="L676">
            <v>0</v>
          </cell>
          <cell r="M676">
            <v>0.87456929999999999</v>
          </cell>
          <cell r="N676">
            <v>0</v>
          </cell>
          <cell r="O676">
            <v>4.3017000000000003E-3</v>
          </cell>
          <cell r="P676">
            <v>0</v>
          </cell>
          <cell r="Q676">
            <v>0.80569250000000003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0.30952819999999998</v>
          </cell>
          <cell r="Y676">
            <v>0</v>
          </cell>
          <cell r="Z676">
            <v>0</v>
          </cell>
          <cell r="AA676">
            <v>0</v>
          </cell>
          <cell r="AB676">
            <v>0.22334109999999999</v>
          </cell>
        </row>
        <row r="677">
          <cell r="A677">
            <v>24124122</v>
          </cell>
          <cell r="B677" t="str">
            <v>Chicken, breast, fried, no coating, skin not eaten, made with butter</v>
          </cell>
          <cell r="I677">
            <v>85</v>
          </cell>
          <cell r="J677">
            <v>108.15474</v>
          </cell>
          <cell r="K677">
            <v>1.272408705882353</v>
          </cell>
          <cell r="L677">
            <v>0</v>
          </cell>
          <cell r="M677">
            <v>1.3111591</v>
          </cell>
          <cell r="N677">
            <v>0</v>
          </cell>
          <cell r="O677">
            <v>4.6822000000000001E-3</v>
          </cell>
          <cell r="P677">
            <v>0</v>
          </cell>
          <cell r="Q677">
            <v>0.39117370000000001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0.32010050000000001</v>
          </cell>
          <cell r="Y677">
            <v>0</v>
          </cell>
          <cell r="Z677">
            <v>0</v>
          </cell>
          <cell r="AA677">
            <v>0</v>
          </cell>
          <cell r="AB677">
            <v>5.97771E-2</v>
          </cell>
        </row>
        <row r="678">
          <cell r="A678">
            <v>24124123</v>
          </cell>
          <cell r="B678" t="str">
            <v>Chicken, breast, fried, no coating, skin not eaten, made with oil</v>
          </cell>
          <cell r="I678">
            <v>85</v>
          </cell>
          <cell r="J678">
            <v>110.94423</v>
          </cell>
          <cell r="K678">
            <v>1.3052262352941177</v>
          </cell>
          <cell r="L678">
            <v>0</v>
          </cell>
          <cell r="M678">
            <v>0.68755359999999999</v>
          </cell>
          <cell r="N678">
            <v>0</v>
          </cell>
          <cell r="O678">
            <v>4.2893000000000002E-3</v>
          </cell>
          <cell r="P678">
            <v>0</v>
          </cell>
          <cell r="Q678">
            <v>1.0223122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0.30947029999999998</v>
          </cell>
          <cell r="Y678">
            <v>0</v>
          </cell>
          <cell r="Z678">
            <v>0</v>
          </cell>
          <cell r="AA678">
            <v>0</v>
          </cell>
          <cell r="AB678">
            <v>0.2773756</v>
          </cell>
        </row>
        <row r="679">
          <cell r="A679">
            <v>24124124</v>
          </cell>
          <cell r="B679" t="str">
            <v>Chicken, breast, fried, no coating, skin not eaten, made with cooking spray</v>
          </cell>
          <cell r="I679">
            <v>85</v>
          </cell>
          <cell r="J679">
            <v>101.6075</v>
          </cell>
          <cell r="K679">
            <v>1.1953823529411765</v>
          </cell>
          <cell r="L679">
            <v>0</v>
          </cell>
          <cell r="M679">
            <v>0.49293290000000001</v>
          </cell>
          <cell r="N679">
            <v>0</v>
          </cell>
          <cell r="O679">
            <v>4.3444E-3</v>
          </cell>
          <cell r="P679">
            <v>0</v>
          </cell>
          <cell r="Q679">
            <v>0.4569704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0.31403370000000003</v>
          </cell>
          <cell r="Y679">
            <v>0</v>
          </cell>
          <cell r="Z679">
            <v>0</v>
          </cell>
          <cell r="AA679">
            <v>0</v>
          </cell>
          <cell r="AB679">
            <v>5.6191000000000001E-3</v>
          </cell>
        </row>
        <row r="680">
          <cell r="A680">
            <v>24124200</v>
          </cell>
          <cell r="B680" t="str">
            <v>Chicken breast, sauteed, skin eaten</v>
          </cell>
          <cell r="I680">
            <v>85</v>
          </cell>
          <cell r="J680">
            <v>142.86190999999999</v>
          </cell>
          <cell r="K680">
            <v>1.6807283529411765</v>
          </cell>
          <cell r="L680">
            <v>0</v>
          </cell>
          <cell r="M680">
            <v>1.7565352999999999</v>
          </cell>
          <cell r="N680">
            <v>0</v>
          </cell>
          <cell r="O680">
            <v>5.0089000000000002E-3</v>
          </cell>
          <cell r="P680">
            <v>0</v>
          </cell>
          <cell r="Q680">
            <v>1.8444829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0.23206280000000001</v>
          </cell>
          <cell r="Y680">
            <v>0</v>
          </cell>
          <cell r="Z680">
            <v>0</v>
          </cell>
          <cell r="AA680">
            <v>0</v>
          </cell>
          <cell r="AB680">
            <v>0.18997249999999999</v>
          </cell>
        </row>
        <row r="681">
          <cell r="A681">
            <v>24124201</v>
          </cell>
          <cell r="B681" t="str">
            <v>Chicken breast, sauteed, skin not eaten</v>
          </cell>
          <cell r="I681">
            <v>85</v>
          </cell>
          <cell r="J681">
            <v>114.41902</v>
          </cell>
          <cell r="K681">
            <v>1.3461061176470588</v>
          </cell>
          <cell r="L681">
            <v>0</v>
          </cell>
          <cell r="M681">
            <v>0.69868330000000001</v>
          </cell>
          <cell r="N681">
            <v>0</v>
          </cell>
          <cell r="O681">
            <v>4.2636000000000002E-3</v>
          </cell>
          <cell r="P681">
            <v>0</v>
          </cell>
          <cell r="Q681">
            <v>1.0513112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0.22982710000000001</v>
          </cell>
          <cell r="Y681">
            <v>0</v>
          </cell>
          <cell r="Z681">
            <v>0</v>
          </cell>
          <cell r="AA681">
            <v>0</v>
          </cell>
          <cell r="AB681">
            <v>0.247033</v>
          </cell>
        </row>
        <row r="682">
          <cell r="A682">
            <v>24127110</v>
          </cell>
          <cell r="B682" t="str">
            <v>Chicken, breast, coated, baked or fried, prepared with skin, skin/coating eaten, NS as to type of fat added in cooking</v>
          </cell>
          <cell r="I682">
            <v>85</v>
          </cell>
          <cell r="J682">
            <v>184.22291000000001</v>
          </cell>
          <cell r="K682">
            <v>2.1673283529411767</v>
          </cell>
          <cell r="L682">
            <v>0</v>
          </cell>
          <cell r="M682">
            <v>2.5661985999999999</v>
          </cell>
          <cell r="N682">
            <v>0</v>
          </cell>
          <cell r="O682">
            <v>1.4957099999999999E-2</v>
          </cell>
          <cell r="P682">
            <v>0.16168299999999999</v>
          </cell>
          <cell r="Q682">
            <v>3.3145798000000002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0.24197179999999999</v>
          </cell>
          <cell r="Y682">
            <v>0</v>
          </cell>
          <cell r="Z682">
            <v>0</v>
          </cell>
          <cell r="AA682">
            <v>0</v>
          </cell>
          <cell r="AB682">
            <v>0.4803405</v>
          </cell>
        </row>
        <row r="683">
          <cell r="A683">
            <v>24127112</v>
          </cell>
          <cell r="B683" t="str">
            <v>Chicken, breast, coated, baked or fried, prepared with skin, skin/coating eaten, made with butter</v>
          </cell>
          <cell r="I683">
            <v>85</v>
          </cell>
          <cell r="J683">
            <v>176.37030999999999</v>
          </cell>
          <cell r="K683">
            <v>2.0749448235294117</v>
          </cell>
          <cell r="L683">
            <v>0</v>
          </cell>
          <cell r="M683">
            <v>4.3216907999999998</v>
          </cell>
          <cell r="N683">
            <v>0</v>
          </cell>
          <cell r="O683">
            <v>1.6063299999999999E-2</v>
          </cell>
          <cell r="P683">
            <v>0.16168299999999999</v>
          </cell>
          <cell r="Q683">
            <v>1.5378818999999999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0.27189649999999999</v>
          </cell>
          <cell r="Y683">
            <v>0</v>
          </cell>
          <cell r="Z683">
            <v>0</v>
          </cell>
          <cell r="AA683">
            <v>0</v>
          </cell>
          <cell r="AB683">
            <v>0.2468929</v>
          </cell>
        </row>
        <row r="684">
          <cell r="A684">
            <v>24127113</v>
          </cell>
          <cell r="B684" t="str">
            <v>Chicken, breast, coated, baked or fried, prepared with skin, skin/coating eaten, made with oil</v>
          </cell>
          <cell r="I684">
            <v>85</v>
          </cell>
          <cell r="J684">
            <v>184.22291000000001</v>
          </cell>
          <cell r="K684">
            <v>2.1673283529411767</v>
          </cell>
          <cell r="L684">
            <v>0</v>
          </cell>
          <cell r="M684">
            <v>2.5661985999999999</v>
          </cell>
          <cell r="N684">
            <v>0</v>
          </cell>
          <cell r="O684">
            <v>1.4957099999999999E-2</v>
          </cell>
          <cell r="P684">
            <v>0.16168299999999999</v>
          </cell>
          <cell r="Q684">
            <v>3.3145798000000002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0.24197179999999999</v>
          </cell>
          <cell r="Y684">
            <v>0</v>
          </cell>
          <cell r="Z684">
            <v>0</v>
          </cell>
          <cell r="AA684">
            <v>0</v>
          </cell>
          <cell r="AB684">
            <v>8.8920600000000002E-2</v>
          </cell>
        </row>
        <row r="685">
          <cell r="A685">
            <v>24127115</v>
          </cell>
          <cell r="B685" t="str">
            <v>Chicken, breast, coated, baked or fried, prepared with skin, skin/coating eaten, made without fat</v>
          </cell>
          <cell r="I685">
            <v>85</v>
          </cell>
          <cell r="J685">
            <v>152.05125000000001</v>
          </cell>
          <cell r="K685">
            <v>1.7888382352941177</v>
          </cell>
          <cell r="L685">
            <v>0</v>
          </cell>
          <cell r="M685">
            <v>2.0516660999999998</v>
          </cell>
          <cell r="N685">
            <v>0</v>
          </cell>
          <cell r="O685">
            <v>1.5788E-2</v>
          </cell>
          <cell r="P685">
            <v>0.17194590000000001</v>
          </cell>
          <cell r="Q685">
            <v>1.4847747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8.5900000000000004E-2</v>
          </cell>
          <cell r="Y685">
            <v>0</v>
          </cell>
          <cell r="Z685">
            <v>0</v>
          </cell>
          <cell r="AA685">
            <v>0</v>
          </cell>
          <cell r="AB685">
            <v>7.7013399999999996E-2</v>
          </cell>
        </row>
        <row r="686">
          <cell r="A686">
            <v>24127120</v>
          </cell>
          <cell r="B686" t="str">
            <v>Chicken, breast, coated, baked or fried, prepared with skin, skin/coating not eaten, NS as to type of fat added in cooking</v>
          </cell>
          <cell r="I686">
            <v>85</v>
          </cell>
          <cell r="J686">
            <v>110.94423</v>
          </cell>
          <cell r="K686">
            <v>1.3052262352941177</v>
          </cell>
          <cell r="L686">
            <v>0</v>
          </cell>
          <cell r="M686">
            <v>0.68755359999999999</v>
          </cell>
          <cell r="N686">
            <v>0</v>
          </cell>
          <cell r="O686">
            <v>4.2893000000000002E-3</v>
          </cell>
          <cell r="P686">
            <v>0</v>
          </cell>
          <cell r="Q686">
            <v>1.0223122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0.30947029999999998</v>
          </cell>
          <cell r="Y686">
            <v>0</v>
          </cell>
          <cell r="Z686">
            <v>0</v>
          </cell>
          <cell r="AA686">
            <v>0</v>
          </cell>
          <cell r="AB686">
            <v>0.38328830000000003</v>
          </cell>
        </row>
        <row r="687">
          <cell r="A687">
            <v>24127130</v>
          </cell>
          <cell r="B687" t="str">
            <v>Chicken, breast, from fast food, coated, baked or fried, prepared with skin, skin/coating eaten</v>
          </cell>
          <cell r="I687">
            <v>85</v>
          </cell>
          <cell r="J687">
            <v>195.5</v>
          </cell>
          <cell r="K687">
            <v>2.2999999999999998</v>
          </cell>
          <cell r="L687">
            <v>0</v>
          </cell>
          <cell r="M687">
            <v>2.8186</v>
          </cell>
          <cell r="N687">
            <v>0</v>
          </cell>
          <cell r="O687">
            <v>3.8249999999999999E-2</v>
          </cell>
          <cell r="P687">
            <v>8.5000000000000006E-2</v>
          </cell>
          <cell r="Q687">
            <v>1.7561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0.55845</v>
          </cell>
          <cell r="Y687">
            <v>0</v>
          </cell>
          <cell r="Z687">
            <v>0</v>
          </cell>
          <cell r="AA687">
            <v>0</v>
          </cell>
          <cell r="AB687">
            <v>0.16320000000000001</v>
          </cell>
        </row>
        <row r="688">
          <cell r="A688">
            <v>24127135</v>
          </cell>
          <cell r="B688" t="str">
            <v>Chicken, breast, from fast food, coated, baked or fried, prepared with skin, skin/coating not eaten</v>
          </cell>
          <cell r="I688">
            <v>85</v>
          </cell>
          <cell r="J688">
            <v>130.05000000000001</v>
          </cell>
          <cell r="K688">
            <v>1.53</v>
          </cell>
          <cell r="L688">
            <v>0</v>
          </cell>
          <cell r="M688">
            <v>1.0029999999999999</v>
          </cell>
          <cell r="N688">
            <v>0</v>
          </cell>
          <cell r="O688">
            <v>1.9550000000000001E-2</v>
          </cell>
          <cell r="P688">
            <v>0</v>
          </cell>
          <cell r="Q688">
            <v>0.6885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0.43519999999999998</v>
          </cell>
          <cell r="Y688">
            <v>0</v>
          </cell>
          <cell r="Z688">
            <v>0</v>
          </cell>
          <cell r="AA688">
            <v>0</v>
          </cell>
          <cell r="AB688">
            <v>3.9100000000000003E-2</v>
          </cell>
        </row>
        <row r="689">
          <cell r="A689">
            <v>24127140</v>
          </cell>
          <cell r="B689" t="str">
            <v>Chicken, breast, coated, baked or fried, prepared skinless, NS as to coating eaten, fat added in cooking</v>
          </cell>
          <cell r="I689">
            <v>85</v>
          </cell>
          <cell r="J689">
            <v>147.22878</v>
          </cell>
          <cell r="K689">
            <v>1.7321032941176471</v>
          </cell>
          <cell r="L689">
            <v>0</v>
          </cell>
          <cell r="M689">
            <v>1.1673414</v>
          </cell>
          <cell r="N689">
            <v>0</v>
          </cell>
          <cell r="O689">
            <v>1.0965000000000001E-2</v>
          </cell>
          <cell r="P689">
            <v>0.16168299999999999</v>
          </cell>
          <cell r="Q689">
            <v>2.2845993999999998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0.25554519999999997</v>
          </cell>
          <cell r="Y689">
            <v>0</v>
          </cell>
          <cell r="Z689">
            <v>0</v>
          </cell>
          <cell r="AA689">
            <v>0</v>
          </cell>
          <cell r="AB689">
            <v>0.59911519999999996</v>
          </cell>
        </row>
        <row r="690">
          <cell r="A690">
            <v>24127141</v>
          </cell>
          <cell r="B690" t="str">
            <v>Chicken, breast, coated, baked or fried, prepared skinless, NS as to coating eaten, fat not added in cooking</v>
          </cell>
          <cell r="I690">
            <v>85</v>
          </cell>
          <cell r="J690">
            <v>112.12551999999999</v>
          </cell>
          <cell r="K690">
            <v>1.3191237647058822</v>
          </cell>
          <cell r="L690">
            <v>0</v>
          </cell>
          <cell r="M690">
            <v>0.56109640000000005</v>
          </cell>
          <cell r="N690">
            <v>0</v>
          </cell>
          <cell r="O690">
            <v>1.1588299999999999E-2</v>
          </cell>
          <cell r="P690">
            <v>0.17105590000000001</v>
          </cell>
          <cell r="Q690">
            <v>0.38740010000000002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0.27033479999999999</v>
          </cell>
          <cell r="Y690">
            <v>0</v>
          </cell>
          <cell r="Z690">
            <v>0</v>
          </cell>
          <cell r="AA690">
            <v>0</v>
          </cell>
          <cell r="AB690">
            <v>0.27140059999999999</v>
          </cell>
        </row>
        <row r="691">
          <cell r="A691">
            <v>24127150</v>
          </cell>
          <cell r="B691" t="str">
            <v>Chicken, breast, coated, baked or fried, prepared skinless, coating eaten, NS as to type of fat added in cooking</v>
          </cell>
          <cell r="I691">
            <v>85</v>
          </cell>
          <cell r="J691">
            <v>147.22878</v>
          </cell>
          <cell r="K691">
            <v>1.7321032941176471</v>
          </cell>
          <cell r="L691">
            <v>0</v>
          </cell>
          <cell r="M691">
            <v>1.1673414</v>
          </cell>
          <cell r="N691">
            <v>0</v>
          </cell>
          <cell r="O691">
            <v>1.0965000000000001E-2</v>
          </cell>
          <cell r="P691">
            <v>0.16168299999999999</v>
          </cell>
          <cell r="Q691">
            <v>2.2845993999999998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0.25554519999999997</v>
          </cell>
          <cell r="Y691">
            <v>0</v>
          </cell>
          <cell r="Z691">
            <v>0</v>
          </cell>
          <cell r="AA691">
            <v>0</v>
          </cell>
          <cell r="AB691">
            <v>0.51114939999999998</v>
          </cell>
        </row>
        <row r="692">
          <cell r="A692">
            <v>24127151</v>
          </cell>
          <cell r="B692" t="str">
            <v>Chicken, breast, coated, baked or fried, prepared skinless, coating eaten, made with shortening</v>
          </cell>
          <cell r="I692">
            <v>85</v>
          </cell>
          <cell r="J692">
            <v>147.15425999999999</v>
          </cell>
          <cell r="K692">
            <v>1.731226588235294</v>
          </cell>
          <cell r="L692">
            <v>0</v>
          </cell>
          <cell r="M692">
            <v>1.6938035</v>
          </cell>
          <cell r="N692">
            <v>0</v>
          </cell>
          <cell r="O692">
            <v>1.09999E-2</v>
          </cell>
          <cell r="P692">
            <v>0.16168299999999999</v>
          </cell>
          <cell r="Q692">
            <v>1.6748000999999999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0.2557082</v>
          </cell>
          <cell r="Y692">
            <v>0</v>
          </cell>
          <cell r="Z692">
            <v>0</v>
          </cell>
          <cell r="AA692">
            <v>0</v>
          </cell>
          <cell r="AB692">
            <v>0.80922640000000001</v>
          </cell>
        </row>
        <row r="693">
          <cell r="A693">
            <v>24127152</v>
          </cell>
          <cell r="B693" t="str">
            <v>Chicken, breast, coated, baked or fried, prepared skinless, coating eaten, made with butter</v>
          </cell>
          <cell r="I693">
            <v>85</v>
          </cell>
          <cell r="J693">
            <v>139.37618000000001</v>
          </cell>
          <cell r="K693">
            <v>1.6397197647058823</v>
          </cell>
          <cell r="L693">
            <v>0</v>
          </cell>
          <cell r="M693">
            <v>2.9228336000000001</v>
          </cell>
          <cell r="N693">
            <v>0</v>
          </cell>
          <cell r="O693">
            <v>1.20711E-2</v>
          </cell>
          <cell r="P693">
            <v>0.16168299999999999</v>
          </cell>
          <cell r="Q693">
            <v>0.50790139999999995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0.2854699</v>
          </cell>
          <cell r="Y693">
            <v>0</v>
          </cell>
          <cell r="Z693">
            <v>0</v>
          </cell>
          <cell r="AA693">
            <v>0</v>
          </cell>
          <cell r="AB693">
            <v>0.47648580000000001</v>
          </cell>
        </row>
        <row r="694">
          <cell r="A694">
            <v>24127153</v>
          </cell>
          <cell r="B694" t="str">
            <v>Chicken, breast, coated, baked or fried, prepared skinless, coating eaten, made with oil</v>
          </cell>
          <cell r="I694">
            <v>85</v>
          </cell>
          <cell r="J694">
            <v>147.22878</v>
          </cell>
          <cell r="K694">
            <v>1.7321032941176471</v>
          </cell>
          <cell r="L694">
            <v>0</v>
          </cell>
          <cell r="M694">
            <v>1.1673414</v>
          </cell>
          <cell r="N694">
            <v>0</v>
          </cell>
          <cell r="O694">
            <v>1.0965000000000001E-2</v>
          </cell>
          <cell r="P694">
            <v>0.16168299999999999</v>
          </cell>
          <cell r="Q694">
            <v>2.2845993999999998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0.25554519999999997</v>
          </cell>
          <cell r="Y694">
            <v>0</v>
          </cell>
          <cell r="Z694">
            <v>0</v>
          </cell>
          <cell r="AA694">
            <v>0</v>
          </cell>
          <cell r="AB694">
            <v>0.29409800000000003</v>
          </cell>
        </row>
        <row r="695">
          <cell r="A695">
            <v>24127155</v>
          </cell>
          <cell r="B695" t="str">
            <v>Chicken, breast, coated, baked or fried, prepared skinless, coating eaten, made without fat</v>
          </cell>
          <cell r="I695">
            <v>85</v>
          </cell>
          <cell r="J695">
            <v>112.12551999999999</v>
          </cell>
          <cell r="K695">
            <v>1.3191237647058822</v>
          </cell>
          <cell r="L695">
            <v>0</v>
          </cell>
          <cell r="M695">
            <v>0.56109640000000005</v>
          </cell>
          <cell r="N695">
            <v>0</v>
          </cell>
          <cell r="O695">
            <v>1.1588299999999999E-2</v>
          </cell>
          <cell r="P695">
            <v>0.17105590000000001</v>
          </cell>
          <cell r="Q695">
            <v>0.38740010000000002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0.27033479999999999</v>
          </cell>
          <cell r="Y695">
            <v>0</v>
          </cell>
          <cell r="Z695">
            <v>0</v>
          </cell>
          <cell r="AA695">
            <v>0</v>
          </cell>
          <cell r="AB695">
            <v>0.27187790000000001</v>
          </cell>
        </row>
        <row r="696">
          <cell r="A696">
            <v>24127160</v>
          </cell>
          <cell r="B696" t="str">
            <v>Chicken, breast, coated, baked or fried, prepared skinless, coating not eaten, NS as to type of fat added in cooking</v>
          </cell>
          <cell r="I696">
            <v>85</v>
          </cell>
          <cell r="J696">
            <v>110.94423</v>
          </cell>
          <cell r="K696">
            <v>1.3052262352941177</v>
          </cell>
          <cell r="L696">
            <v>0</v>
          </cell>
          <cell r="M696">
            <v>0.68755359999999999</v>
          </cell>
          <cell r="N696">
            <v>0</v>
          </cell>
          <cell r="O696">
            <v>4.2893000000000002E-3</v>
          </cell>
          <cell r="P696">
            <v>0</v>
          </cell>
          <cell r="Q696">
            <v>1.0223122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0.30947029999999998</v>
          </cell>
          <cell r="Y696">
            <v>0</v>
          </cell>
          <cell r="Z696">
            <v>0</v>
          </cell>
          <cell r="AA696">
            <v>0</v>
          </cell>
          <cell r="AB696">
            <v>0.3282641</v>
          </cell>
        </row>
        <row r="697">
          <cell r="A697">
            <v>24127165</v>
          </cell>
          <cell r="B697" t="str">
            <v>Chicken, breast, coated, baked or fried, prepared skinless, coating not eaten, made without fat</v>
          </cell>
          <cell r="I697">
            <v>85</v>
          </cell>
          <cell r="J697">
            <v>98.203474</v>
          </cell>
          <cell r="K697">
            <v>1.1553349882352941</v>
          </cell>
          <cell r="L697">
            <v>0</v>
          </cell>
          <cell r="M697">
            <v>0.47043180000000001</v>
          </cell>
          <cell r="N697">
            <v>0</v>
          </cell>
          <cell r="O697">
            <v>4.3702000000000003E-3</v>
          </cell>
          <cell r="P697">
            <v>0</v>
          </cell>
          <cell r="Q697">
            <v>0.34759309999999999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0.31560519999999997</v>
          </cell>
          <cell r="Y697">
            <v>0</v>
          </cell>
          <cell r="Z697">
            <v>0</v>
          </cell>
          <cell r="AA697">
            <v>0</v>
          </cell>
          <cell r="AB697">
            <v>5.6525999999999998E-3</v>
          </cell>
        </row>
        <row r="698">
          <cell r="A698">
            <v>24127200</v>
          </cell>
          <cell r="B698" t="str">
            <v>Chicken breast, fried, coated, skin / coating eaten, from raw</v>
          </cell>
          <cell r="I698">
            <v>85</v>
          </cell>
          <cell r="J698">
            <v>179.99376000000001</v>
          </cell>
          <cell r="K698">
            <v>2.1175736470588236</v>
          </cell>
          <cell r="L698">
            <v>0</v>
          </cell>
          <cell r="M698">
            <v>2.0695605000000001</v>
          </cell>
          <cell r="N698">
            <v>0</v>
          </cell>
          <cell r="O698">
            <v>1.0017699999999999E-2</v>
          </cell>
          <cell r="P698">
            <v>0.2000017</v>
          </cell>
          <cell r="Q698">
            <v>3.4200732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0.21605369999999999</v>
          </cell>
          <cell r="Y698">
            <v>0</v>
          </cell>
          <cell r="Z698">
            <v>0</v>
          </cell>
          <cell r="AA698">
            <v>0</v>
          </cell>
          <cell r="AB698">
            <v>0.21893380000000001</v>
          </cell>
        </row>
        <row r="699">
          <cell r="A699">
            <v>24127201</v>
          </cell>
          <cell r="B699" t="str">
            <v>Chicken breast, fried, coated, skin / coating not eaten, from raw</v>
          </cell>
          <cell r="I699">
            <v>85</v>
          </cell>
          <cell r="J699">
            <v>114.41902</v>
          </cell>
          <cell r="K699">
            <v>1.3461061176470588</v>
          </cell>
          <cell r="L699">
            <v>0</v>
          </cell>
          <cell r="M699">
            <v>0.69868330000000001</v>
          </cell>
          <cell r="N699">
            <v>0</v>
          </cell>
          <cell r="O699">
            <v>4.2636000000000002E-3</v>
          </cell>
          <cell r="P699">
            <v>0</v>
          </cell>
          <cell r="Q699">
            <v>1.0513112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0.22982710000000001</v>
          </cell>
          <cell r="Y699">
            <v>0</v>
          </cell>
          <cell r="Z699">
            <v>0</v>
          </cell>
          <cell r="AA699">
            <v>0</v>
          </cell>
          <cell r="AB699">
            <v>0.24700929999999999</v>
          </cell>
        </row>
        <row r="700">
          <cell r="A700">
            <v>24127202</v>
          </cell>
          <cell r="B700" t="str">
            <v>Chicken breast, fried, coated, prepared skinless, coating eaten, from raw</v>
          </cell>
          <cell r="I700">
            <v>85</v>
          </cell>
          <cell r="J700">
            <v>157.35553999999999</v>
          </cell>
          <cell r="K700">
            <v>1.8512416470588233</v>
          </cell>
          <cell r="L700">
            <v>0</v>
          </cell>
          <cell r="M700">
            <v>1.2275966</v>
          </cell>
          <cell r="N700">
            <v>0</v>
          </cell>
          <cell r="O700">
            <v>9.4246E-3</v>
          </cell>
          <cell r="P700">
            <v>0.2000017</v>
          </cell>
          <cell r="Q700">
            <v>2.7887732999999999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0.2142743</v>
          </cell>
          <cell r="Y700">
            <v>0</v>
          </cell>
          <cell r="Z700">
            <v>0</v>
          </cell>
          <cell r="AA700">
            <v>0</v>
          </cell>
          <cell r="AB700">
            <v>0.26160850000000002</v>
          </cell>
        </row>
        <row r="701">
          <cell r="A701">
            <v>24127210</v>
          </cell>
          <cell r="B701" t="str">
            <v>Chicken breast, fried, coated, skin / coating eaten, from pre-cooked</v>
          </cell>
          <cell r="I701">
            <v>85</v>
          </cell>
          <cell r="J701">
            <v>187.2329</v>
          </cell>
          <cell r="K701">
            <v>2.2027399999999999</v>
          </cell>
          <cell r="L701">
            <v>0</v>
          </cell>
          <cell r="M701">
            <v>2.1300355</v>
          </cell>
          <cell r="N701">
            <v>0</v>
          </cell>
          <cell r="O701">
            <v>1.1028899999999999E-2</v>
          </cell>
          <cell r="P701">
            <v>0.23976230000000001</v>
          </cell>
          <cell r="Q701">
            <v>3.7314598000000001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0.24555060000000001</v>
          </cell>
          <cell r="Y701">
            <v>0</v>
          </cell>
          <cell r="Z701">
            <v>0</v>
          </cell>
          <cell r="AA701">
            <v>0</v>
          </cell>
          <cell r="AB701">
            <v>0.22507450000000001</v>
          </cell>
        </row>
        <row r="702">
          <cell r="A702">
            <v>24127211</v>
          </cell>
          <cell r="B702" t="str">
            <v>Chicken breast, fried, coated, skin / coating not eaten, from pre-cooked</v>
          </cell>
          <cell r="I702">
            <v>85</v>
          </cell>
          <cell r="J702">
            <v>114.41902</v>
          </cell>
          <cell r="K702">
            <v>1.3461061176470588</v>
          </cell>
          <cell r="L702">
            <v>0</v>
          </cell>
          <cell r="M702">
            <v>0.69868330000000001</v>
          </cell>
          <cell r="N702">
            <v>0</v>
          </cell>
          <cell r="O702">
            <v>4.2636000000000002E-3</v>
          </cell>
          <cell r="P702">
            <v>0</v>
          </cell>
          <cell r="Q702">
            <v>1.0513112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0.22982710000000001</v>
          </cell>
          <cell r="Y702">
            <v>0</v>
          </cell>
          <cell r="Z702">
            <v>0</v>
          </cell>
          <cell r="AA702">
            <v>0</v>
          </cell>
          <cell r="AB702">
            <v>0.24736759999999999</v>
          </cell>
        </row>
        <row r="703">
          <cell r="A703">
            <v>24127220</v>
          </cell>
          <cell r="B703" t="str">
            <v>Chicken breast, fried, coated, skin / coating eaten, from fast food / restaurant</v>
          </cell>
          <cell r="I703">
            <v>85</v>
          </cell>
          <cell r="J703">
            <v>230.76006000000001</v>
          </cell>
          <cell r="K703">
            <v>2.7148242352941176</v>
          </cell>
          <cell r="L703">
            <v>-4.7200000000000002E-17</v>
          </cell>
          <cell r="M703">
            <v>3.0550619000000001</v>
          </cell>
          <cell r="N703">
            <v>0</v>
          </cell>
          <cell r="O703">
            <v>3.5869499999999999E-2</v>
          </cell>
          <cell r="P703">
            <v>0.26630169999999997</v>
          </cell>
          <cell r="Q703">
            <v>3.8790958999999998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0.46694839999999999</v>
          </cell>
          <cell r="Y703">
            <v>0</v>
          </cell>
          <cell r="Z703">
            <v>0</v>
          </cell>
          <cell r="AA703">
            <v>0</v>
          </cell>
          <cell r="AB703">
            <v>0.14863299999999999</v>
          </cell>
        </row>
        <row r="704">
          <cell r="A704">
            <v>24127221</v>
          </cell>
          <cell r="B704" t="str">
            <v>Chicken breast, fried, coated, skin / coating not eaten, from fast food / restaurant</v>
          </cell>
          <cell r="I704">
            <v>85</v>
          </cell>
          <cell r="J704">
            <v>179.70905999999999</v>
          </cell>
          <cell r="K704">
            <v>2.1142242352941176</v>
          </cell>
          <cell r="L704">
            <v>-2.3600000000000001E-17</v>
          </cell>
          <cell r="M704">
            <v>1.6388939</v>
          </cell>
          <cell r="N704">
            <v>0</v>
          </cell>
          <cell r="O704">
            <v>2.12835E-2</v>
          </cell>
          <cell r="P704">
            <v>0.2000017</v>
          </cell>
          <cell r="Q704">
            <v>3.0463678999999999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0.37081340000000002</v>
          </cell>
          <cell r="Y704">
            <v>0</v>
          </cell>
          <cell r="Z704">
            <v>0</v>
          </cell>
          <cell r="AA704">
            <v>0</v>
          </cell>
          <cell r="AB704">
            <v>0.17325989999999999</v>
          </cell>
        </row>
        <row r="705">
          <cell r="A705">
            <v>24127500</v>
          </cell>
          <cell r="B705" t="str">
            <v>Chicken breast, baked, coated, skin / coating eaten</v>
          </cell>
          <cell r="I705">
            <v>85</v>
          </cell>
          <cell r="J705">
            <v>146.87164999999999</v>
          </cell>
          <cell r="K705">
            <v>1.7279017647058823</v>
          </cell>
          <cell r="L705">
            <v>0</v>
          </cell>
          <cell r="M705">
            <v>1.6295544</v>
          </cell>
          <cell r="N705">
            <v>0</v>
          </cell>
          <cell r="O705">
            <v>8.5112999999999994E-3</v>
          </cell>
          <cell r="P705">
            <v>0.13333449999999999</v>
          </cell>
          <cell r="Q705">
            <v>1.7667539000000001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0.2292689</v>
          </cell>
          <cell r="Y705">
            <v>0</v>
          </cell>
          <cell r="Z705">
            <v>0</v>
          </cell>
          <cell r="AA705">
            <v>0</v>
          </cell>
          <cell r="AB705">
            <v>0.19662579999999999</v>
          </cell>
        </row>
        <row r="706">
          <cell r="A706">
            <v>24127501</v>
          </cell>
          <cell r="B706" t="str">
            <v>Chicken breast, baked, coated, skin / coating not eaten</v>
          </cell>
          <cell r="I706">
            <v>85</v>
          </cell>
          <cell r="J706">
            <v>114.41902</v>
          </cell>
          <cell r="K706">
            <v>1.3461061176470588</v>
          </cell>
          <cell r="L706">
            <v>0</v>
          </cell>
          <cell r="M706">
            <v>0.69868330000000001</v>
          </cell>
          <cell r="N706">
            <v>0</v>
          </cell>
          <cell r="O706">
            <v>4.2636000000000002E-3</v>
          </cell>
          <cell r="P706">
            <v>0</v>
          </cell>
          <cell r="Q706">
            <v>1.0513112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0.22982710000000001</v>
          </cell>
          <cell r="Y706">
            <v>0</v>
          </cell>
          <cell r="Z706">
            <v>0</v>
          </cell>
          <cell r="AA706">
            <v>0</v>
          </cell>
          <cell r="AB706">
            <v>0.24724769999999999</v>
          </cell>
        </row>
        <row r="707">
          <cell r="A707">
            <v>24130210</v>
          </cell>
          <cell r="B707" t="str">
            <v>Chicken leg, drumstick and thigh, NS as to cooking method, skin eaten</v>
          </cell>
          <cell r="I707">
            <v>85</v>
          </cell>
          <cell r="J707">
            <v>185.3</v>
          </cell>
          <cell r="K707">
            <v>2.1800000000000002</v>
          </cell>
          <cell r="L707">
            <v>0</v>
          </cell>
          <cell r="M707">
            <v>2.9734699999999998</v>
          </cell>
          <cell r="N707">
            <v>0</v>
          </cell>
          <cell r="O707">
            <v>1.5640000000000001E-2</v>
          </cell>
          <cell r="P707">
            <v>0</v>
          </cell>
          <cell r="Q707">
            <v>1.5571999999999999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0.30413000000000001</v>
          </cell>
          <cell r="Y707">
            <v>0</v>
          </cell>
          <cell r="Z707">
            <v>0</v>
          </cell>
          <cell r="AA707">
            <v>0</v>
          </cell>
          <cell r="AB707">
            <v>6.4259999999999998E-2</v>
          </cell>
        </row>
        <row r="708">
          <cell r="A708">
            <v>24132210</v>
          </cell>
          <cell r="B708" t="str">
            <v>Chicken, leg (drumstick and thigh), roasted, broiled, or baked, skin eaten</v>
          </cell>
          <cell r="I708">
            <v>85</v>
          </cell>
          <cell r="J708">
            <v>174.62263999999999</v>
          </cell>
          <cell r="K708">
            <v>2.0543839999999998</v>
          </cell>
          <cell r="L708">
            <v>0</v>
          </cell>
          <cell r="M708">
            <v>2.8814209000000002</v>
          </cell>
          <cell r="N708">
            <v>0</v>
          </cell>
          <cell r="O708">
            <v>9.1041000000000004E-3</v>
          </cell>
          <cell r="P708">
            <v>0</v>
          </cell>
          <cell r="Q708">
            <v>2.1870579000000001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0.38616709999999999</v>
          </cell>
          <cell r="Y708">
            <v>0</v>
          </cell>
          <cell r="Z708">
            <v>0</v>
          </cell>
          <cell r="AA708">
            <v>0</v>
          </cell>
          <cell r="AB708">
            <v>5.9093800000000002E-2</v>
          </cell>
        </row>
        <row r="709">
          <cell r="A709">
            <v>24132220</v>
          </cell>
          <cell r="B709" t="str">
            <v>Chicken, leg (drumstick and thigh), roasted, broiled, or baked, skin not eaten</v>
          </cell>
          <cell r="I709">
            <v>85</v>
          </cell>
          <cell r="J709">
            <v>137.73303999999999</v>
          </cell>
          <cell r="K709">
            <v>1.6203887058823527</v>
          </cell>
          <cell r="L709">
            <v>0</v>
          </cell>
          <cell r="M709">
            <v>1.6117041999999999</v>
          </cell>
          <cell r="N709">
            <v>0</v>
          </cell>
          <cell r="O709">
            <v>8.8520000000000005E-3</v>
          </cell>
          <cell r="P709">
            <v>0</v>
          </cell>
          <cell r="Q709">
            <v>1.2423369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0.38986480000000001</v>
          </cell>
          <cell r="Y709">
            <v>0</v>
          </cell>
          <cell r="Z709">
            <v>0</v>
          </cell>
          <cell r="AA709">
            <v>0</v>
          </cell>
          <cell r="AB709">
            <v>3.1188E-2</v>
          </cell>
        </row>
        <row r="710">
          <cell r="A710">
            <v>24132230</v>
          </cell>
          <cell r="B710" t="str">
            <v>Chicken leg, drumstick and thigh, baked or broiled, skin eaten</v>
          </cell>
          <cell r="I710">
            <v>85</v>
          </cell>
          <cell r="J710">
            <v>182.167</v>
          </cell>
          <cell r="K710">
            <v>2.1431411764705883</v>
          </cell>
          <cell r="L710">
            <v>0</v>
          </cell>
          <cell r="M710">
            <v>3.0101491</v>
          </cell>
          <cell r="N710">
            <v>0</v>
          </cell>
          <cell r="O710">
            <v>8.4019999999999997E-3</v>
          </cell>
          <cell r="P710">
            <v>0</v>
          </cell>
          <cell r="Q710">
            <v>2.2213221000000001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0.2897672</v>
          </cell>
          <cell r="Y710">
            <v>0</v>
          </cell>
          <cell r="Z710">
            <v>0</v>
          </cell>
          <cell r="AA710">
            <v>0</v>
          </cell>
          <cell r="AB710">
            <v>5.96521E-2</v>
          </cell>
        </row>
        <row r="711">
          <cell r="A711">
            <v>24132231</v>
          </cell>
          <cell r="B711" t="str">
            <v>Chicken leg, drumstick and thigh, baked or broiled, skin not eaten</v>
          </cell>
          <cell r="I711">
            <v>85</v>
          </cell>
          <cell r="J711">
            <v>143.13121000000001</v>
          </cell>
          <cell r="K711">
            <v>1.6838965882352943</v>
          </cell>
          <cell r="L711">
            <v>0</v>
          </cell>
          <cell r="M711">
            <v>1.6802286</v>
          </cell>
          <cell r="N711">
            <v>0</v>
          </cell>
          <cell r="O711">
            <v>8.4019999999999997E-3</v>
          </cell>
          <cell r="P711">
            <v>0</v>
          </cell>
          <cell r="Q711">
            <v>1.2655368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0.29348489999999999</v>
          </cell>
          <cell r="Y711">
            <v>0</v>
          </cell>
          <cell r="Z711">
            <v>0</v>
          </cell>
          <cell r="AA711">
            <v>0</v>
          </cell>
          <cell r="AB711">
            <v>3.2445300000000003E-2</v>
          </cell>
        </row>
        <row r="712">
          <cell r="A712">
            <v>24132240</v>
          </cell>
          <cell r="B712" t="str">
            <v>Chicken leg, drumstick and thigh, rotisserie, skin eaten</v>
          </cell>
          <cell r="I712">
            <v>85</v>
          </cell>
          <cell r="J712">
            <v>185.3</v>
          </cell>
          <cell r="K712">
            <v>2.1800000000000002</v>
          </cell>
          <cell r="L712">
            <v>0</v>
          </cell>
          <cell r="M712">
            <v>2.9734699999999998</v>
          </cell>
          <cell r="N712">
            <v>0</v>
          </cell>
          <cell r="O712">
            <v>1.5640000000000001E-2</v>
          </cell>
          <cell r="P712">
            <v>0</v>
          </cell>
          <cell r="Q712">
            <v>1.5571999999999999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0.30413000000000001</v>
          </cell>
          <cell r="Y712">
            <v>0</v>
          </cell>
          <cell r="Z712">
            <v>0</v>
          </cell>
          <cell r="AA712">
            <v>0</v>
          </cell>
          <cell r="AB712">
            <v>6.4259999999999998E-2</v>
          </cell>
        </row>
        <row r="713">
          <cell r="A713">
            <v>24133210</v>
          </cell>
          <cell r="B713" t="str">
            <v>Chicken leg, drumstick and thigh, stewed, skin eaten</v>
          </cell>
          <cell r="I713">
            <v>85</v>
          </cell>
          <cell r="J713">
            <v>178.93849</v>
          </cell>
          <cell r="K713">
            <v>2.1051587058823529</v>
          </cell>
          <cell r="L713">
            <v>0</v>
          </cell>
          <cell r="M713">
            <v>3.1431448</v>
          </cell>
          <cell r="N713">
            <v>0</v>
          </cell>
          <cell r="O713">
            <v>9.7750000000000007E-3</v>
          </cell>
          <cell r="P713">
            <v>0</v>
          </cell>
          <cell r="Q713">
            <v>2.2519939999999998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0.33735559999999998</v>
          </cell>
          <cell r="Y713">
            <v>0</v>
          </cell>
          <cell r="Z713">
            <v>0</v>
          </cell>
          <cell r="AA713">
            <v>0</v>
          </cell>
          <cell r="AB713">
            <v>6.0039700000000001E-2</v>
          </cell>
        </row>
        <row r="714">
          <cell r="A714">
            <v>24133220</v>
          </cell>
          <cell r="B714" t="str">
            <v>Chicken leg, drumstick and thigh, stewed, skin not eaten</v>
          </cell>
          <cell r="I714">
            <v>85</v>
          </cell>
          <cell r="J714">
            <v>139.30556000000001</v>
          </cell>
          <cell r="K714">
            <v>1.6388889411764707</v>
          </cell>
          <cell r="L714">
            <v>0</v>
          </cell>
          <cell r="M714">
            <v>1.7269840999999999</v>
          </cell>
          <cell r="N714">
            <v>0</v>
          </cell>
          <cell r="O714">
            <v>1.0281E-2</v>
          </cell>
          <cell r="P714">
            <v>0</v>
          </cell>
          <cell r="Q714">
            <v>1.2190079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0.3398853</v>
          </cell>
          <cell r="Y714">
            <v>0</v>
          </cell>
          <cell r="Z714">
            <v>0</v>
          </cell>
          <cell r="AA714">
            <v>0</v>
          </cell>
          <cell r="AB714">
            <v>3.3392900000000003E-2</v>
          </cell>
        </row>
        <row r="715">
          <cell r="A715">
            <v>24134100</v>
          </cell>
          <cell r="B715" t="str">
            <v>Chicken leg, drumstick and thigh, grilled without sauce, skin eaten</v>
          </cell>
          <cell r="I715">
            <v>85</v>
          </cell>
          <cell r="J715">
            <v>193.17430999999999</v>
          </cell>
          <cell r="K715">
            <v>2.2726389411764707</v>
          </cell>
          <cell r="L715">
            <v>0</v>
          </cell>
          <cell r="M715">
            <v>3.1770613999999999</v>
          </cell>
          <cell r="N715">
            <v>0</v>
          </cell>
          <cell r="O715">
            <v>8.2614000000000003E-3</v>
          </cell>
          <cell r="P715">
            <v>0</v>
          </cell>
          <cell r="Q715">
            <v>2.8687795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0.35266900000000001</v>
          </cell>
          <cell r="Y715">
            <v>0</v>
          </cell>
          <cell r="Z715">
            <v>0</v>
          </cell>
          <cell r="AA715">
            <v>0</v>
          </cell>
          <cell r="AB715">
            <v>6.4363000000000004E-2</v>
          </cell>
        </row>
        <row r="716">
          <cell r="A716">
            <v>24134101</v>
          </cell>
          <cell r="B716" t="str">
            <v>Chicken leg, drumstick and thigh, grilled without sauce, skin not eaten</v>
          </cell>
          <cell r="I716">
            <v>85</v>
          </cell>
          <cell r="J716">
            <v>154.96646999999999</v>
          </cell>
          <cell r="K716">
            <v>1.8231349411764703</v>
          </cell>
          <cell r="L716">
            <v>0</v>
          </cell>
          <cell r="M716">
            <v>1.8753724000000001</v>
          </cell>
          <cell r="N716">
            <v>0</v>
          </cell>
          <cell r="O716">
            <v>8.2614000000000003E-3</v>
          </cell>
          <cell r="P716">
            <v>0</v>
          </cell>
          <cell r="Q716">
            <v>1.9332651000000001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0.3563035</v>
          </cell>
          <cell r="Y716">
            <v>0</v>
          </cell>
          <cell r="Z716">
            <v>0</v>
          </cell>
          <cell r="AA716">
            <v>0</v>
          </cell>
          <cell r="AB716">
            <v>3.7733099999999999E-2</v>
          </cell>
        </row>
        <row r="717">
          <cell r="A717">
            <v>24134150</v>
          </cell>
          <cell r="B717" t="str">
            <v>Chicken leg, drumstick and thigh, grilled with sauce, skin eaten</v>
          </cell>
          <cell r="I717">
            <v>85</v>
          </cell>
          <cell r="J717">
            <v>186.4873</v>
          </cell>
          <cell r="K717">
            <v>2.1939682352941179</v>
          </cell>
          <cell r="L717">
            <v>0.13660710000000001</v>
          </cell>
          <cell r="M717">
            <v>2.6408277</v>
          </cell>
          <cell r="N717">
            <v>0</v>
          </cell>
          <cell r="O717">
            <v>1.17862E-2</v>
          </cell>
          <cell r="P717">
            <v>0</v>
          </cell>
          <cell r="Q717">
            <v>2.4835305000000001</v>
          </cell>
          <cell r="R717">
            <v>0</v>
          </cell>
          <cell r="S717">
            <v>0</v>
          </cell>
          <cell r="T717">
            <v>0</v>
          </cell>
          <cell r="U717">
            <v>4.8343749999999996</v>
          </cell>
          <cell r="V717">
            <v>0</v>
          </cell>
          <cell r="W717">
            <v>0</v>
          </cell>
          <cell r="X717">
            <v>0.49183130000000003</v>
          </cell>
          <cell r="Y717">
            <v>0</v>
          </cell>
          <cell r="Z717">
            <v>0</v>
          </cell>
          <cell r="AA717">
            <v>0</v>
          </cell>
          <cell r="AB717">
            <v>5.3603100000000001E-2</v>
          </cell>
        </row>
        <row r="718">
          <cell r="A718">
            <v>24134151</v>
          </cell>
          <cell r="B718" t="str">
            <v>Chicken leg, drumstick and thigh, grilled with sauce, skin not eaten</v>
          </cell>
          <cell r="I718">
            <v>85</v>
          </cell>
          <cell r="J718">
            <v>155.32062999999999</v>
          </cell>
          <cell r="K718">
            <v>1.8273015294117647</v>
          </cell>
          <cell r="L718">
            <v>0.13660710000000001</v>
          </cell>
          <cell r="M718">
            <v>1.5790023</v>
          </cell>
          <cell r="N718">
            <v>0</v>
          </cell>
          <cell r="O718">
            <v>1.17862E-2</v>
          </cell>
          <cell r="P718">
            <v>0</v>
          </cell>
          <cell r="Q718">
            <v>1.7204193999999999</v>
          </cell>
          <cell r="R718">
            <v>0</v>
          </cell>
          <cell r="S718">
            <v>0</v>
          </cell>
          <cell r="T718">
            <v>0</v>
          </cell>
          <cell r="U718">
            <v>4.8343749999999996</v>
          </cell>
          <cell r="V718">
            <v>0</v>
          </cell>
          <cell r="W718">
            <v>0</v>
          </cell>
          <cell r="X718">
            <v>0.4947995</v>
          </cell>
          <cell r="Y718">
            <v>0</v>
          </cell>
          <cell r="Z718">
            <v>0</v>
          </cell>
          <cell r="AA718">
            <v>0</v>
          </cell>
          <cell r="AB718">
            <v>6.2959600000000004E-2</v>
          </cell>
        </row>
        <row r="719">
          <cell r="A719">
            <v>24134210</v>
          </cell>
          <cell r="B719" t="str">
            <v>Chicken, leg (drumstick and thigh), fried, no coating, skin eaten, fat added in cooking</v>
          </cell>
          <cell r="I719">
            <v>85</v>
          </cell>
          <cell r="J719">
            <v>167.81771000000001</v>
          </cell>
          <cell r="K719">
            <v>1.974326</v>
          </cell>
          <cell r="L719">
            <v>0</v>
          </cell>
          <cell r="M719">
            <v>3.0309891000000002</v>
          </cell>
          <cell r="N719">
            <v>0</v>
          </cell>
          <cell r="O719">
            <v>6.4815000000000003E-3</v>
          </cell>
          <cell r="P719">
            <v>0</v>
          </cell>
          <cell r="Q719">
            <v>2.8740713000000002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0.33197149999999997</v>
          </cell>
          <cell r="Y719">
            <v>0</v>
          </cell>
          <cell r="Z719">
            <v>0</v>
          </cell>
          <cell r="AA719">
            <v>0</v>
          </cell>
          <cell r="AB719">
            <v>0.11395039999999999</v>
          </cell>
        </row>
        <row r="720">
          <cell r="A720">
            <v>24134220</v>
          </cell>
          <cell r="B720" t="str">
            <v>Chicken, leg (drumstick and thigh), fried, no coating, skin not eaten, fat added in cooking</v>
          </cell>
          <cell r="I720">
            <v>85</v>
          </cell>
          <cell r="J720">
            <v>110.07562</v>
          </cell>
          <cell r="K720">
            <v>1.2950072941176471</v>
          </cell>
          <cell r="L720">
            <v>0</v>
          </cell>
          <cell r="M720">
            <v>1.0486072</v>
          </cell>
          <cell r="N720">
            <v>0</v>
          </cell>
          <cell r="O720">
            <v>6.8951000000000004E-3</v>
          </cell>
          <cell r="P720">
            <v>0</v>
          </cell>
          <cell r="Q720">
            <v>1.3956090000000001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0.33921000000000001</v>
          </cell>
          <cell r="Y720">
            <v>0</v>
          </cell>
          <cell r="Z720">
            <v>0</v>
          </cell>
          <cell r="AA720">
            <v>0</v>
          </cell>
          <cell r="AB720">
            <v>0.17073930000000001</v>
          </cell>
        </row>
        <row r="721">
          <cell r="A721">
            <v>24134300</v>
          </cell>
          <cell r="B721" t="str">
            <v>Chicken leg, drumstick and thigh, sauteed, skin eaten</v>
          </cell>
          <cell r="I721">
            <v>85</v>
          </cell>
          <cell r="J721">
            <v>193.17430999999999</v>
          </cell>
          <cell r="K721">
            <v>2.2726389411764707</v>
          </cell>
          <cell r="L721">
            <v>0</v>
          </cell>
          <cell r="M721">
            <v>3.1770613999999999</v>
          </cell>
          <cell r="N721">
            <v>0</v>
          </cell>
          <cell r="O721">
            <v>8.2614000000000003E-3</v>
          </cell>
          <cell r="P721">
            <v>0</v>
          </cell>
          <cell r="Q721">
            <v>2.8687795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0.35266900000000001</v>
          </cell>
          <cell r="Y721">
            <v>0</v>
          </cell>
          <cell r="Z721">
            <v>0</v>
          </cell>
          <cell r="AA721">
            <v>0</v>
          </cell>
          <cell r="AB721">
            <v>6.4363000000000004E-2</v>
          </cell>
        </row>
        <row r="722">
          <cell r="A722">
            <v>24134301</v>
          </cell>
          <cell r="B722" t="str">
            <v>Chicken leg, drumstick and thigh, sauteed, skin not eaten</v>
          </cell>
          <cell r="I722">
            <v>85</v>
          </cell>
          <cell r="J722">
            <v>154.96646999999999</v>
          </cell>
          <cell r="K722">
            <v>1.8231349411764703</v>
          </cell>
          <cell r="L722">
            <v>0</v>
          </cell>
          <cell r="M722">
            <v>1.8753724000000001</v>
          </cell>
          <cell r="N722">
            <v>0</v>
          </cell>
          <cell r="O722">
            <v>8.2614000000000003E-3</v>
          </cell>
          <cell r="P722">
            <v>0</v>
          </cell>
          <cell r="Q722">
            <v>1.9332651000000001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0.3563035</v>
          </cell>
          <cell r="Y722">
            <v>0</v>
          </cell>
          <cell r="Z722">
            <v>0</v>
          </cell>
          <cell r="AA722">
            <v>0</v>
          </cell>
          <cell r="AB722">
            <v>3.7733099999999999E-2</v>
          </cell>
        </row>
        <row r="723">
          <cell r="A723">
            <v>24137210</v>
          </cell>
          <cell r="B723" t="str">
            <v>Chicken, leg (drumstick and thigh), coated, baked or fried, prepared with skin, skin/coating eaten, fat added in cooking</v>
          </cell>
          <cell r="I723">
            <v>85</v>
          </cell>
          <cell r="J723">
            <v>192.97242</v>
          </cell>
          <cell r="K723">
            <v>2.2702637647058825</v>
          </cell>
          <cell r="L723">
            <v>0</v>
          </cell>
          <cell r="M723">
            <v>3.0521790000000002</v>
          </cell>
          <cell r="N723">
            <v>0</v>
          </cell>
          <cell r="O723">
            <v>1.27282E-2</v>
          </cell>
          <cell r="P723">
            <v>0.16168299999999999</v>
          </cell>
          <cell r="Q723">
            <v>3.7739790000000002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0.27364300000000003</v>
          </cell>
          <cell r="Y723">
            <v>0</v>
          </cell>
          <cell r="Z723">
            <v>0</v>
          </cell>
          <cell r="AA723">
            <v>0</v>
          </cell>
          <cell r="AB723">
            <v>0.3949705</v>
          </cell>
        </row>
        <row r="724">
          <cell r="A724">
            <v>24137220</v>
          </cell>
          <cell r="B724" t="str">
            <v>Chicken, leg (drumstick and thigh), coated, baked or fried, prepared with skin, skin/coating not eaten, fat added in cooking</v>
          </cell>
          <cell r="I724">
            <v>85</v>
          </cell>
          <cell r="J724">
            <v>110.07562</v>
          </cell>
          <cell r="K724">
            <v>1.2950072941176471</v>
          </cell>
          <cell r="L724">
            <v>0</v>
          </cell>
          <cell r="M724">
            <v>1.0486072</v>
          </cell>
          <cell r="N724">
            <v>0</v>
          </cell>
          <cell r="O724">
            <v>6.8951000000000004E-3</v>
          </cell>
          <cell r="P724">
            <v>0</v>
          </cell>
          <cell r="Q724">
            <v>1.3956090000000001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0.33921000000000001</v>
          </cell>
          <cell r="Y724">
            <v>0</v>
          </cell>
          <cell r="Z724">
            <v>0</v>
          </cell>
          <cell r="AA724">
            <v>0</v>
          </cell>
          <cell r="AB724">
            <v>0.3231347</v>
          </cell>
        </row>
        <row r="725">
          <cell r="A725">
            <v>24137250</v>
          </cell>
          <cell r="B725" t="str">
            <v>Chicken, leg (drumstick and thigh), coated, baked or fried, prepared skinless, coating eaten, fat added in cooking</v>
          </cell>
          <cell r="I725">
            <v>85</v>
          </cell>
          <cell r="J725">
            <v>147.25056000000001</v>
          </cell>
          <cell r="K725">
            <v>1.7323595294117649</v>
          </cell>
          <cell r="L725">
            <v>2.3589999999999999E-17</v>
          </cell>
          <cell r="M725">
            <v>1.4649055</v>
          </cell>
          <cell r="N725">
            <v>0</v>
          </cell>
          <cell r="O725">
            <v>1.30248E-2</v>
          </cell>
          <cell r="P725">
            <v>0.16247790000000001</v>
          </cell>
          <cell r="Q725">
            <v>2.5975522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0.1188709</v>
          </cell>
          <cell r="Y725">
            <v>0</v>
          </cell>
          <cell r="Z725">
            <v>0</v>
          </cell>
          <cell r="AA725">
            <v>0</v>
          </cell>
          <cell r="AB725">
            <v>0.36476229999999998</v>
          </cell>
        </row>
        <row r="726">
          <cell r="A726">
            <v>24137300</v>
          </cell>
          <cell r="B726" t="str">
            <v>Chicken leg, drumstick and thigh, fried, coated, skin / coating eaten</v>
          </cell>
          <cell r="I726">
            <v>85</v>
          </cell>
          <cell r="J726">
            <v>219.96278000000001</v>
          </cell>
          <cell r="K726">
            <v>2.587797411764706</v>
          </cell>
          <cell r="L726">
            <v>0</v>
          </cell>
          <cell r="M726">
            <v>3.2016783000000002</v>
          </cell>
          <cell r="N726">
            <v>0</v>
          </cell>
          <cell r="O726">
            <v>1.25754E-2</v>
          </cell>
          <cell r="P726">
            <v>0.19880890000000001</v>
          </cell>
          <cell r="Q726">
            <v>4.2285406999999999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0.30038049999999999</v>
          </cell>
          <cell r="Y726">
            <v>0</v>
          </cell>
          <cell r="Z726">
            <v>0</v>
          </cell>
          <cell r="AA726">
            <v>0</v>
          </cell>
          <cell r="AB726">
            <v>6.7782400000000007E-2</v>
          </cell>
        </row>
        <row r="727">
          <cell r="A727">
            <v>24137301</v>
          </cell>
          <cell r="B727" t="str">
            <v>Chicken leg, drumstick and thigh, fried, coated, skin / coating not eaten</v>
          </cell>
          <cell r="I727">
            <v>85</v>
          </cell>
          <cell r="J727">
            <v>155.27455</v>
          </cell>
          <cell r="K727">
            <v>1.8267594117647059</v>
          </cell>
          <cell r="L727">
            <v>0</v>
          </cell>
          <cell r="M727">
            <v>1.8791007</v>
          </cell>
          <cell r="N727">
            <v>0</v>
          </cell>
          <cell r="O727">
            <v>8.2372000000000001E-3</v>
          </cell>
          <cell r="P727">
            <v>0</v>
          </cell>
          <cell r="Q727">
            <v>1.9371086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0.2915162</v>
          </cell>
          <cell r="Y727">
            <v>0</v>
          </cell>
          <cell r="Z727">
            <v>0</v>
          </cell>
          <cell r="AA727">
            <v>0</v>
          </cell>
          <cell r="AB727">
            <v>3.7808099999999997E-2</v>
          </cell>
        </row>
        <row r="728">
          <cell r="A728">
            <v>24137310</v>
          </cell>
          <cell r="B728" t="str">
            <v>Chicken leg, drumstick and thigh, baked, coated, skin / coating eaten</v>
          </cell>
          <cell r="I728">
            <v>85</v>
          </cell>
          <cell r="J728">
            <v>191.90966</v>
          </cell>
          <cell r="K728">
            <v>2.2577607058823528</v>
          </cell>
          <cell r="L728">
            <v>0</v>
          </cell>
          <cell r="M728">
            <v>2.9049499999999999</v>
          </cell>
          <cell r="N728">
            <v>0</v>
          </cell>
          <cell r="O728">
            <v>1.14162E-2</v>
          </cell>
          <cell r="P728">
            <v>0.13227630000000001</v>
          </cell>
          <cell r="Q728">
            <v>2.6858102000000001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0.36407889999999998</v>
          </cell>
          <cell r="Y728">
            <v>0</v>
          </cell>
          <cell r="Z728">
            <v>0</v>
          </cell>
          <cell r="AA728">
            <v>0</v>
          </cell>
          <cell r="AB728">
            <v>5.85771E-2</v>
          </cell>
        </row>
        <row r="729">
          <cell r="A729">
            <v>24137311</v>
          </cell>
          <cell r="B729" t="str">
            <v>Chicken leg, drumstick and thigh, baked, coated, skin / coating not eaten</v>
          </cell>
          <cell r="I729">
            <v>85</v>
          </cell>
          <cell r="J729">
            <v>154.96646999999999</v>
          </cell>
          <cell r="K729">
            <v>1.8231349411764703</v>
          </cell>
          <cell r="L729">
            <v>0</v>
          </cell>
          <cell r="M729">
            <v>1.8753724000000001</v>
          </cell>
          <cell r="N729">
            <v>0</v>
          </cell>
          <cell r="O729">
            <v>8.2614000000000003E-3</v>
          </cell>
          <cell r="P729">
            <v>0</v>
          </cell>
          <cell r="Q729">
            <v>1.9332651000000001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0.3563035</v>
          </cell>
          <cell r="Y729">
            <v>0</v>
          </cell>
          <cell r="Z729">
            <v>0</v>
          </cell>
          <cell r="AA729">
            <v>0</v>
          </cell>
          <cell r="AB729">
            <v>3.7733099999999999E-2</v>
          </cell>
        </row>
        <row r="730">
          <cell r="A730">
            <v>24140200</v>
          </cell>
          <cell r="B730" t="str">
            <v>Chicken, drumstick, NS as to cooking method, NS as to skin eaten</v>
          </cell>
          <cell r="I730">
            <v>85</v>
          </cell>
          <cell r="J730">
            <v>128.37664000000001</v>
          </cell>
          <cell r="K730">
            <v>1.5103134117647059</v>
          </cell>
          <cell r="L730">
            <v>0</v>
          </cell>
          <cell r="M730">
            <v>1.2516510999999999</v>
          </cell>
          <cell r="N730">
            <v>0</v>
          </cell>
          <cell r="O730">
            <v>9.6948999999999994E-3</v>
          </cell>
          <cell r="P730">
            <v>0</v>
          </cell>
          <cell r="Q730">
            <v>1.0134421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0.39799889999999999</v>
          </cell>
          <cell r="Y730">
            <v>0</v>
          </cell>
          <cell r="Z730">
            <v>0</v>
          </cell>
          <cell r="AA730">
            <v>0</v>
          </cell>
          <cell r="AB730">
            <v>2.47818E-2</v>
          </cell>
        </row>
        <row r="731">
          <cell r="A731">
            <v>24140210</v>
          </cell>
          <cell r="B731" t="str">
            <v>Chicken drumstick, NS as to cooking method, skin eaten</v>
          </cell>
          <cell r="I731">
            <v>85</v>
          </cell>
          <cell r="J731">
            <v>175.1</v>
          </cell>
          <cell r="K731">
            <v>2.06</v>
          </cell>
          <cell r="L731">
            <v>0</v>
          </cell>
          <cell r="M731">
            <v>2.4267500000000002</v>
          </cell>
          <cell r="N731">
            <v>0</v>
          </cell>
          <cell r="O731">
            <v>1.8700000000000001E-2</v>
          </cell>
          <cell r="P731">
            <v>0</v>
          </cell>
          <cell r="Q731">
            <v>1.2945500000000001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0.3332</v>
          </cell>
          <cell r="Y731">
            <v>0</v>
          </cell>
          <cell r="Z731">
            <v>0</v>
          </cell>
          <cell r="AA731">
            <v>0</v>
          </cell>
          <cell r="AB731">
            <v>6.1199999999999997E-2</v>
          </cell>
        </row>
        <row r="732">
          <cell r="A732">
            <v>24140220</v>
          </cell>
          <cell r="B732" t="str">
            <v>Chicken drumstick, NS as to cooking method, skin not eaten</v>
          </cell>
          <cell r="I732">
            <v>85</v>
          </cell>
          <cell r="J732">
            <v>146.19999999999999</v>
          </cell>
          <cell r="K732">
            <v>1.72</v>
          </cell>
          <cell r="L732">
            <v>0</v>
          </cell>
          <cell r="M732">
            <v>1.3370500000000001</v>
          </cell>
          <cell r="N732">
            <v>0</v>
          </cell>
          <cell r="O732">
            <v>1.7000000000000001E-2</v>
          </cell>
          <cell r="P732">
            <v>0</v>
          </cell>
          <cell r="Q732">
            <v>0.87465000000000004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0.34255000000000002</v>
          </cell>
          <cell r="Y732">
            <v>0</v>
          </cell>
          <cell r="Z732">
            <v>0</v>
          </cell>
          <cell r="AA732">
            <v>0</v>
          </cell>
          <cell r="AB732">
            <v>9.8625099999999993E-2</v>
          </cell>
        </row>
        <row r="733">
          <cell r="A733">
            <v>24142210</v>
          </cell>
          <cell r="B733" t="str">
            <v>Chicken, drumstick, roasted, broiled, or baked, skin eaten</v>
          </cell>
          <cell r="I733">
            <v>85</v>
          </cell>
          <cell r="J733">
            <v>158.21599000000001</v>
          </cell>
          <cell r="K733">
            <v>1.8613645882352943</v>
          </cell>
          <cell r="L733">
            <v>0</v>
          </cell>
          <cell r="M733">
            <v>2.2883578</v>
          </cell>
          <cell r="N733">
            <v>0</v>
          </cell>
          <cell r="O733">
            <v>9.9477999999999997E-3</v>
          </cell>
          <cell r="P733">
            <v>0</v>
          </cell>
          <cell r="Q733">
            <v>1.7795715999999999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0.39403719999999998</v>
          </cell>
          <cell r="Y733">
            <v>0</v>
          </cell>
          <cell r="Z733">
            <v>0</v>
          </cell>
          <cell r="AA733">
            <v>0</v>
          </cell>
          <cell r="AB733">
            <v>4.73721E-2</v>
          </cell>
        </row>
        <row r="734">
          <cell r="A734">
            <v>24142220</v>
          </cell>
          <cell r="B734" t="str">
            <v>Chicken, drumstick, roasted, broiled, or baked, skin not eaten</v>
          </cell>
          <cell r="I734">
            <v>85</v>
          </cell>
          <cell r="J734">
            <v>128.37664000000001</v>
          </cell>
          <cell r="K734">
            <v>1.5103134117647059</v>
          </cell>
          <cell r="L734">
            <v>0</v>
          </cell>
          <cell r="M734">
            <v>1.2516510999999999</v>
          </cell>
          <cell r="N734">
            <v>0</v>
          </cell>
          <cell r="O734">
            <v>9.6948999999999994E-3</v>
          </cell>
          <cell r="P734">
            <v>0</v>
          </cell>
          <cell r="Q734">
            <v>1.0134421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0.39799889999999999</v>
          </cell>
          <cell r="Y734">
            <v>0</v>
          </cell>
          <cell r="Z734">
            <v>0</v>
          </cell>
          <cell r="AA734">
            <v>0</v>
          </cell>
          <cell r="AB734">
            <v>2.47818E-2</v>
          </cell>
        </row>
        <row r="735">
          <cell r="A735">
            <v>24142300</v>
          </cell>
          <cell r="B735" t="str">
            <v>Chicken drumstick, baked, broiled, or roasted, skin eaten, from raw</v>
          </cell>
          <cell r="I735">
            <v>85</v>
          </cell>
          <cell r="J735">
            <v>161.38171</v>
          </cell>
          <cell r="K735">
            <v>1.8986083529411764</v>
          </cell>
          <cell r="L735">
            <v>0</v>
          </cell>
          <cell r="M735">
            <v>2.3151093</v>
          </cell>
          <cell r="N735">
            <v>0</v>
          </cell>
          <cell r="O735">
            <v>9.4158999999999996E-3</v>
          </cell>
          <cell r="P735">
            <v>0</v>
          </cell>
          <cell r="Q735">
            <v>1.7599901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0.30041329999999999</v>
          </cell>
          <cell r="Y735">
            <v>0</v>
          </cell>
          <cell r="Z735">
            <v>0</v>
          </cell>
          <cell r="AA735">
            <v>0</v>
          </cell>
          <cell r="AB735">
            <v>4.6471199999999997E-2</v>
          </cell>
        </row>
        <row r="736">
          <cell r="A736">
            <v>24142301</v>
          </cell>
          <cell r="B736" t="str">
            <v>Chicken drumstick, baked, broiled, or roasted, skin not eaten, from raw</v>
          </cell>
          <cell r="I736">
            <v>85</v>
          </cell>
          <cell r="J736">
            <v>130.96421000000001</v>
          </cell>
          <cell r="K736">
            <v>1.540755411764706</v>
          </cell>
          <cell r="L736">
            <v>0</v>
          </cell>
          <cell r="M736">
            <v>1.2716202999999999</v>
          </cell>
          <cell r="N736">
            <v>0</v>
          </cell>
          <cell r="O736">
            <v>9.4158999999999996E-3</v>
          </cell>
          <cell r="P736">
            <v>0</v>
          </cell>
          <cell r="Q736">
            <v>1.0156064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0.30463800000000002</v>
          </cell>
          <cell r="Y736">
            <v>0</v>
          </cell>
          <cell r="Z736">
            <v>0</v>
          </cell>
          <cell r="AA736">
            <v>0</v>
          </cell>
          <cell r="AB736">
            <v>2.53479E-2</v>
          </cell>
        </row>
        <row r="737">
          <cell r="A737">
            <v>24142310</v>
          </cell>
          <cell r="B737" t="str">
            <v>Chicken drumstick, baked or broiled, skin eaten, from pre-cooked</v>
          </cell>
          <cell r="I737">
            <v>85</v>
          </cell>
          <cell r="J737">
            <v>175.1</v>
          </cell>
          <cell r="K737">
            <v>2.06</v>
          </cell>
          <cell r="L737">
            <v>0</v>
          </cell>
          <cell r="M737">
            <v>2.4267500000000002</v>
          </cell>
          <cell r="N737">
            <v>0</v>
          </cell>
          <cell r="O737">
            <v>1.8700000000000001E-2</v>
          </cell>
          <cell r="P737">
            <v>0</v>
          </cell>
          <cell r="Q737">
            <v>1.2945500000000001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0.3332</v>
          </cell>
          <cell r="Y737">
            <v>0</v>
          </cell>
          <cell r="Z737">
            <v>0</v>
          </cell>
          <cell r="AA737">
            <v>0</v>
          </cell>
          <cell r="AB737">
            <v>6.1199999999999997E-2</v>
          </cell>
        </row>
        <row r="738">
          <cell r="A738">
            <v>24142311</v>
          </cell>
          <cell r="B738" t="str">
            <v>Chicken drumstick, baked or broiled, skin not eaten, from pre-cooked</v>
          </cell>
          <cell r="I738">
            <v>85</v>
          </cell>
          <cell r="J738">
            <v>146.19999999999999</v>
          </cell>
          <cell r="K738">
            <v>1.72</v>
          </cell>
          <cell r="L738">
            <v>0</v>
          </cell>
          <cell r="M738">
            <v>1.3370500000000001</v>
          </cell>
          <cell r="N738">
            <v>0</v>
          </cell>
          <cell r="O738">
            <v>1.7000000000000001E-2</v>
          </cell>
          <cell r="P738">
            <v>0</v>
          </cell>
          <cell r="Q738">
            <v>0.87465000000000004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0.34255000000000002</v>
          </cell>
          <cell r="Y738">
            <v>0</v>
          </cell>
          <cell r="Z738">
            <v>0</v>
          </cell>
          <cell r="AA738">
            <v>0</v>
          </cell>
          <cell r="AB738">
            <v>4.2945499999999998E-2</v>
          </cell>
        </row>
        <row r="739">
          <cell r="A739">
            <v>24142320</v>
          </cell>
          <cell r="B739" t="str">
            <v>Chicken drumstick, baked or broiled, skin eaten, from fast food / restaurant</v>
          </cell>
          <cell r="I739">
            <v>85</v>
          </cell>
          <cell r="J739">
            <v>172.43386000000001</v>
          </cell>
          <cell r="K739">
            <v>2.0286336470588235</v>
          </cell>
          <cell r="L739">
            <v>0</v>
          </cell>
          <cell r="M739">
            <v>2.4900210999999999</v>
          </cell>
          <cell r="N739">
            <v>0</v>
          </cell>
          <cell r="O739">
            <v>9.2785000000000003E-3</v>
          </cell>
          <cell r="P739">
            <v>0</v>
          </cell>
          <cell r="Q739">
            <v>2.4112521999999998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0.42763420000000002</v>
          </cell>
          <cell r="Y739">
            <v>0</v>
          </cell>
          <cell r="Z739">
            <v>0</v>
          </cell>
          <cell r="AA739">
            <v>0</v>
          </cell>
          <cell r="AB739">
            <v>5.1325700000000002E-2</v>
          </cell>
        </row>
        <row r="740">
          <cell r="A740">
            <v>24142321</v>
          </cell>
          <cell r="B740" t="str">
            <v>Chicken drumstick, baked or broiled, skin not eaten, from fast food / restaurant</v>
          </cell>
          <cell r="I740">
            <v>85</v>
          </cell>
          <cell r="J740">
            <v>142.74277000000001</v>
          </cell>
          <cell r="K740">
            <v>1.6793267058823531</v>
          </cell>
          <cell r="L740">
            <v>0</v>
          </cell>
          <cell r="M740">
            <v>1.4714518000000001</v>
          </cell>
          <cell r="N740">
            <v>0</v>
          </cell>
          <cell r="O740">
            <v>9.2785000000000003E-3</v>
          </cell>
          <cell r="P740">
            <v>0</v>
          </cell>
          <cell r="Q740">
            <v>1.6846452999999999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0.43175789999999997</v>
          </cell>
          <cell r="Y740">
            <v>0</v>
          </cell>
          <cell r="Z740">
            <v>0</v>
          </cell>
          <cell r="AA740">
            <v>0</v>
          </cell>
          <cell r="AB740">
            <v>7.7435199999999996E-2</v>
          </cell>
        </row>
        <row r="741">
          <cell r="A741">
            <v>24142400</v>
          </cell>
          <cell r="B741" t="str">
            <v>Chicken drumstick, rotisserie, skin eaten</v>
          </cell>
          <cell r="I741">
            <v>85</v>
          </cell>
          <cell r="J741">
            <v>175.1</v>
          </cell>
          <cell r="K741">
            <v>2.06</v>
          </cell>
          <cell r="L741">
            <v>0</v>
          </cell>
          <cell r="M741">
            <v>2.4267500000000002</v>
          </cell>
          <cell r="N741">
            <v>0</v>
          </cell>
          <cell r="O741">
            <v>1.8700000000000001E-2</v>
          </cell>
          <cell r="P741">
            <v>0</v>
          </cell>
          <cell r="Q741">
            <v>1.2945500000000001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0.3332</v>
          </cell>
          <cell r="Y741">
            <v>0</v>
          </cell>
          <cell r="Z741">
            <v>0</v>
          </cell>
          <cell r="AA741">
            <v>0</v>
          </cell>
          <cell r="AB741">
            <v>6.1199999999999997E-2</v>
          </cell>
        </row>
        <row r="742">
          <cell r="A742">
            <v>24142401</v>
          </cell>
          <cell r="B742" t="str">
            <v>Chicken drumstick, rotisserie, skin not eaten</v>
          </cell>
          <cell r="I742">
            <v>85</v>
          </cell>
          <cell r="J742">
            <v>146.19999999999999</v>
          </cell>
          <cell r="K742">
            <v>1.72</v>
          </cell>
          <cell r="L742">
            <v>0</v>
          </cell>
          <cell r="M742">
            <v>1.3370500000000001</v>
          </cell>
          <cell r="N742">
            <v>0</v>
          </cell>
          <cell r="O742">
            <v>1.7000000000000001E-2</v>
          </cell>
          <cell r="P742">
            <v>0</v>
          </cell>
          <cell r="Q742">
            <v>0.87465000000000004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0.34255000000000002</v>
          </cell>
          <cell r="Y742">
            <v>0</v>
          </cell>
          <cell r="Z742">
            <v>0</v>
          </cell>
          <cell r="AA742">
            <v>0</v>
          </cell>
          <cell r="AB742">
            <v>4.2515200000000003E-2</v>
          </cell>
        </row>
        <row r="743">
          <cell r="A743">
            <v>24142500</v>
          </cell>
          <cell r="B743" t="str">
            <v>Chicken drumstick, grilled without sauce, skin eaten</v>
          </cell>
          <cell r="I743">
            <v>85</v>
          </cell>
          <cell r="J743">
            <v>172.77599000000001</v>
          </cell>
          <cell r="K743">
            <v>2.0326587058823531</v>
          </cell>
          <cell r="L743">
            <v>0</v>
          </cell>
          <cell r="M743">
            <v>2.4949617000000002</v>
          </cell>
          <cell r="N743">
            <v>0</v>
          </cell>
          <cell r="O743">
            <v>9.2563999999999997E-3</v>
          </cell>
          <cell r="P743">
            <v>0</v>
          </cell>
          <cell r="Q743">
            <v>2.4160365000000001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0.36311700000000002</v>
          </cell>
          <cell r="Y743">
            <v>0</v>
          </cell>
          <cell r="Z743">
            <v>0</v>
          </cell>
          <cell r="AA743">
            <v>0</v>
          </cell>
          <cell r="AB743">
            <v>5.1427500000000001E-2</v>
          </cell>
        </row>
        <row r="744">
          <cell r="A744">
            <v>24142501</v>
          </cell>
          <cell r="B744" t="str">
            <v>Chicken drumstick, grilled without sauce, skin not eaten</v>
          </cell>
          <cell r="I744">
            <v>85</v>
          </cell>
          <cell r="J744">
            <v>143.02599000000001</v>
          </cell>
          <cell r="K744">
            <v>1.682658705882353</v>
          </cell>
          <cell r="L744">
            <v>0</v>
          </cell>
          <cell r="M744">
            <v>1.4743714000000001</v>
          </cell>
          <cell r="N744">
            <v>0</v>
          </cell>
          <cell r="O744">
            <v>9.2563999999999997E-3</v>
          </cell>
          <cell r="P744">
            <v>0</v>
          </cell>
          <cell r="Q744">
            <v>1.6879877999999999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0.36724889999999999</v>
          </cell>
          <cell r="Y744">
            <v>0</v>
          </cell>
          <cell r="Z744">
            <v>0</v>
          </cell>
          <cell r="AA744">
            <v>0</v>
          </cell>
          <cell r="AB744">
            <v>7.6662099999999997E-2</v>
          </cell>
        </row>
        <row r="745">
          <cell r="A745">
            <v>24142510</v>
          </cell>
          <cell r="B745" t="str">
            <v>Chicken drumstick, grilled with sauce, skin eaten</v>
          </cell>
          <cell r="I745">
            <v>85</v>
          </cell>
          <cell r="J745">
            <v>169.89205999999999</v>
          </cell>
          <cell r="K745">
            <v>1.9987301176470587</v>
          </cell>
          <cell r="L745">
            <v>0.13660710000000001</v>
          </cell>
          <cell r="M745">
            <v>2.0858992000000001</v>
          </cell>
          <cell r="N745">
            <v>0</v>
          </cell>
          <cell r="O745">
            <v>1.25957E-2</v>
          </cell>
          <cell r="P745">
            <v>0</v>
          </cell>
          <cell r="Q745">
            <v>2.1151971999999999</v>
          </cell>
          <cell r="R745">
            <v>0</v>
          </cell>
          <cell r="S745">
            <v>0</v>
          </cell>
          <cell r="T745">
            <v>0</v>
          </cell>
          <cell r="U745">
            <v>4.8343749999999996</v>
          </cell>
          <cell r="V745">
            <v>0</v>
          </cell>
          <cell r="W745">
            <v>0</v>
          </cell>
          <cell r="X745">
            <v>0.50033130000000003</v>
          </cell>
          <cell r="Y745">
            <v>0</v>
          </cell>
          <cell r="Z745">
            <v>0</v>
          </cell>
          <cell r="AA745">
            <v>0</v>
          </cell>
          <cell r="AB745">
            <v>4.3079300000000001E-2</v>
          </cell>
        </row>
        <row r="746">
          <cell r="A746">
            <v>24142511</v>
          </cell>
          <cell r="B746" t="str">
            <v>Chicken drumstick, grilled with sauce, skin not eaten</v>
          </cell>
          <cell r="I746">
            <v>85</v>
          </cell>
          <cell r="J746">
            <v>145.60634999999999</v>
          </cell>
          <cell r="K746">
            <v>1.7130158823529411</v>
          </cell>
          <cell r="L746">
            <v>0.13660710000000001</v>
          </cell>
          <cell r="M746">
            <v>1.2527642000000001</v>
          </cell>
          <cell r="N746">
            <v>0</v>
          </cell>
          <cell r="O746">
            <v>1.25957E-2</v>
          </cell>
          <cell r="P746">
            <v>0</v>
          </cell>
          <cell r="Q746">
            <v>1.5208718000000001</v>
          </cell>
          <cell r="R746">
            <v>0</v>
          </cell>
          <cell r="S746">
            <v>0</v>
          </cell>
          <cell r="T746">
            <v>0</v>
          </cell>
          <cell r="U746">
            <v>4.8343749999999996</v>
          </cell>
          <cell r="V746">
            <v>0</v>
          </cell>
          <cell r="W746">
            <v>0</v>
          </cell>
          <cell r="X746">
            <v>0.50370429999999999</v>
          </cell>
          <cell r="Y746">
            <v>0</v>
          </cell>
          <cell r="Z746">
            <v>0</v>
          </cell>
          <cell r="AA746">
            <v>0</v>
          </cell>
          <cell r="AB746">
            <v>0.1086828</v>
          </cell>
        </row>
        <row r="747">
          <cell r="A747">
            <v>24143210</v>
          </cell>
          <cell r="B747" t="str">
            <v>Chicken drumstick, stewed, skin eaten</v>
          </cell>
          <cell r="I747">
            <v>85</v>
          </cell>
          <cell r="J747">
            <v>157.68849</v>
          </cell>
          <cell r="K747">
            <v>1.8551587058823529</v>
          </cell>
          <cell r="L747">
            <v>0</v>
          </cell>
          <cell r="M747">
            <v>2.4783233999999998</v>
          </cell>
          <cell r="N747">
            <v>0</v>
          </cell>
          <cell r="O747">
            <v>1.0281E-2</v>
          </cell>
          <cell r="P747">
            <v>0</v>
          </cell>
          <cell r="Q747">
            <v>1.8821429000000001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0.35506389999999999</v>
          </cell>
          <cell r="Y747">
            <v>0</v>
          </cell>
          <cell r="Z747">
            <v>0</v>
          </cell>
          <cell r="AA747">
            <v>0</v>
          </cell>
          <cell r="AB747">
            <v>4.6378999999999997E-2</v>
          </cell>
        </row>
        <row r="748">
          <cell r="A748">
            <v>24143220</v>
          </cell>
          <cell r="B748" t="str">
            <v>Chicken drumstick, stewed, skin not eaten</v>
          </cell>
          <cell r="I748">
            <v>85</v>
          </cell>
          <cell r="J748">
            <v>125.64484</v>
          </cell>
          <cell r="K748">
            <v>1.4781745882352941</v>
          </cell>
          <cell r="L748">
            <v>0</v>
          </cell>
          <cell r="M748">
            <v>1.3500496</v>
          </cell>
          <cell r="N748">
            <v>0</v>
          </cell>
          <cell r="O748">
            <v>1.0281E-2</v>
          </cell>
          <cell r="P748">
            <v>0</v>
          </cell>
          <cell r="Q748">
            <v>1.0793651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0.36012339999999998</v>
          </cell>
          <cell r="Y748">
            <v>0</v>
          </cell>
          <cell r="Z748">
            <v>0</v>
          </cell>
          <cell r="AA748">
            <v>0</v>
          </cell>
          <cell r="AB748">
            <v>2.52976E-2</v>
          </cell>
        </row>
        <row r="749">
          <cell r="A749">
            <v>24144210</v>
          </cell>
          <cell r="B749" t="str">
            <v>Chicken, drumstick, fried, no coating, skin eaten, NS as to type of fat added in cooking</v>
          </cell>
          <cell r="I749">
            <v>85</v>
          </cell>
          <cell r="J749">
            <v>144.11698000000001</v>
          </cell>
          <cell r="K749">
            <v>1.6954938823529413</v>
          </cell>
          <cell r="L749">
            <v>0</v>
          </cell>
          <cell r="M749">
            <v>2.2294659999999999</v>
          </cell>
          <cell r="N749">
            <v>0</v>
          </cell>
          <cell r="O749">
            <v>6.7710000000000001E-3</v>
          </cell>
          <cell r="P749">
            <v>0</v>
          </cell>
          <cell r="Q749">
            <v>2.2819666999999999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0.3390859</v>
          </cell>
          <cell r="Y749">
            <v>0</v>
          </cell>
          <cell r="Z749">
            <v>0</v>
          </cell>
          <cell r="AA749">
            <v>0</v>
          </cell>
          <cell r="AB749">
            <v>0.14042569999999999</v>
          </cell>
        </row>
        <row r="750">
          <cell r="A750">
            <v>24144212</v>
          </cell>
          <cell r="B750" t="str">
            <v>Chicken, drumstick, fried, no coating, skin eaten, made with butter</v>
          </cell>
          <cell r="I750">
            <v>85</v>
          </cell>
          <cell r="J750">
            <v>141.32749000000001</v>
          </cell>
          <cell r="K750">
            <v>1.6626763529411765</v>
          </cell>
          <cell r="L750">
            <v>0</v>
          </cell>
          <cell r="M750">
            <v>2.8530715</v>
          </cell>
          <cell r="N750">
            <v>0</v>
          </cell>
          <cell r="O750">
            <v>7.1640000000000002E-3</v>
          </cell>
          <cell r="P750">
            <v>0</v>
          </cell>
          <cell r="Q750">
            <v>1.6508282000000001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0.34971609999999997</v>
          </cell>
          <cell r="Y750">
            <v>0</v>
          </cell>
          <cell r="Z750">
            <v>0</v>
          </cell>
          <cell r="AA750">
            <v>0</v>
          </cell>
          <cell r="AB750">
            <v>9.4107999999999997E-2</v>
          </cell>
        </row>
        <row r="751">
          <cell r="A751">
            <v>24144213</v>
          </cell>
          <cell r="B751" t="str">
            <v>Chicken, drumstick, fried, no coating, skin eaten, made with oil</v>
          </cell>
          <cell r="I751">
            <v>85</v>
          </cell>
          <cell r="J751">
            <v>144.11698000000001</v>
          </cell>
          <cell r="K751">
            <v>1.6954938823529413</v>
          </cell>
          <cell r="L751">
            <v>0</v>
          </cell>
          <cell r="M751">
            <v>2.2294659999999999</v>
          </cell>
          <cell r="N751">
            <v>0</v>
          </cell>
          <cell r="O751">
            <v>6.7710000000000001E-3</v>
          </cell>
          <cell r="P751">
            <v>0</v>
          </cell>
          <cell r="Q751">
            <v>2.2819666999999999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0.3390859</v>
          </cell>
          <cell r="Y751">
            <v>0</v>
          </cell>
          <cell r="Z751">
            <v>0</v>
          </cell>
          <cell r="AA751">
            <v>0</v>
          </cell>
          <cell r="AB751">
            <v>4.5736199999999998E-2</v>
          </cell>
        </row>
        <row r="752">
          <cell r="A752">
            <v>24144220</v>
          </cell>
          <cell r="B752" t="str">
            <v>Chicken, drumstick, fried, no coating, skin not eaten, NS as to type of fat added in cooking</v>
          </cell>
          <cell r="I752">
            <v>85</v>
          </cell>
          <cell r="J752">
            <v>108.13158</v>
          </cell>
          <cell r="K752">
            <v>1.2721362352941177</v>
          </cell>
          <cell r="L752">
            <v>0</v>
          </cell>
          <cell r="M752">
            <v>1.0125804</v>
          </cell>
          <cell r="N752">
            <v>0</v>
          </cell>
          <cell r="O752">
            <v>7.5982999999999997E-3</v>
          </cell>
          <cell r="P752">
            <v>0</v>
          </cell>
          <cell r="Q752">
            <v>1.3750518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0.34421479999999999</v>
          </cell>
          <cell r="Y752">
            <v>0</v>
          </cell>
          <cell r="Z752">
            <v>0</v>
          </cell>
          <cell r="AA752">
            <v>0</v>
          </cell>
          <cell r="AB752">
            <v>0.18174999999999999</v>
          </cell>
        </row>
        <row r="753">
          <cell r="A753">
            <v>24144221</v>
          </cell>
          <cell r="B753" t="str">
            <v>Chicken, drumstick, fried, no coating, skin not eaten, made with shortening</v>
          </cell>
          <cell r="I753">
            <v>85</v>
          </cell>
          <cell r="J753">
            <v>108.10511</v>
          </cell>
          <cell r="K753">
            <v>1.2718248235294116</v>
          </cell>
          <cell r="L753">
            <v>0</v>
          </cell>
          <cell r="M753">
            <v>1.1995960999999999</v>
          </cell>
          <cell r="N753">
            <v>0</v>
          </cell>
          <cell r="O753">
            <v>7.6106999999999998E-3</v>
          </cell>
          <cell r="P753">
            <v>0</v>
          </cell>
          <cell r="Q753">
            <v>1.1584321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0.34427269999999999</v>
          </cell>
          <cell r="Y753">
            <v>0</v>
          </cell>
          <cell r="Z753">
            <v>0</v>
          </cell>
          <cell r="AA753">
            <v>0</v>
          </cell>
          <cell r="AB753">
            <v>0.23343359999999999</v>
          </cell>
        </row>
        <row r="754">
          <cell r="A754">
            <v>24144223</v>
          </cell>
          <cell r="B754" t="str">
            <v>Chicken, drumstick, fried, no coating, skin not eaten, made with oil</v>
          </cell>
          <cell r="I754">
            <v>85</v>
          </cell>
          <cell r="J754">
            <v>108.13158</v>
          </cell>
          <cell r="K754">
            <v>1.2721362352941177</v>
          </cell>
          <cell r="L754">
            <v>0</v>
          </cell>
          <cell r="M754">
            <v>1.0125804</v>
          </cell>
          <cell r="N754">
            <v>0</v>
          </cell>
          <cell r="O754">
            <v>7.5982999999999997E-3</v>
          </cell>
          <cell r="P754">
            <v>0</v>
          </cell>
          <cell r="Q754">
            <v>1.3750518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0.34421479999999999</v>
          </cell>
          <cell r="Y754">
            <v>0</v>
          </cell>
          <cell r="Z754">
            <v>0</v>
          </cell>
          <cell r="AA754">
            <v>0</v>
          </cell>
          <cell r="AB754">
            <v>7.6978199999999997E-2</v>
          </cell>
        </row>
        <row r="755">
          <cell r="A755">
            <v>24144300</v>
          </cell>
          <cell r="B755" t="str">
            <v>Chicken drumstick, sauteed, skin eaten</v>
          </cell>
          <cell r="I755">
            <v>85</v>
          </cell>
          <cell r="J755">
            <v>172.77599000000001</v>
          </cell>
          <cell r="K755">
            <v>2.0326587058823531</v>
          </cell>
          <cell r="L755">
            <v>0</v>
          </cell>
          <cell r="M755">
            <v>2.4949617000000002</v>
          </cell>
          <cell r="N755">
            <v>0</v>
          </cell>
          <cell r="O755">
            <v>9.2563999999999997E-3</v>
          </cell>
          <cell r="P755">
            <v>0</v>
          </cell>
          <cell r="Q755">
            <v>2.4160365000000001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0.36311700000000002</v>
          </cell>
          <cell r="Y755">
            <v>0</v>
          </cell>
          <cell r="Z755">
            <v>0</v>
          </cell>
          <cell r="AA755">
            <v>0</v>
          </cell>
          <cell r="AB755">
            <v>5.1427500000000001E-2</v>
          </cell>
        </row>
        <row r="756">
          <cell r="A756">
            <v>24144301</v>
          </cell>
          <cell r="B756" t="str">
            <v>Chicken drumstick, sauteed, skin not eaten</v>
          </cell>
          <cell r="I756">
            <v>85</v>
          </cell>
          <cell r="J756">
            <v>143.02599000000001</v>
          </cell>
          <cell r="K756">
            <v>1.682658705882353</v>
          </cell>
          <cell r="L756">
            <v>0</v>
          </cell>
          <cell r="M756">
            <v>1.4743714000000001</v>
          </cell>
          <cell r="N756">
            <v>0</v>
          </cell>
          <cell r="O756">
            <v>9.2563999999999997E-3</v>
          </cell>
          <cell r="P756">
            <v>0</v>
          </cell>
          <cell r="Q756">
            <v>1.6879877999999999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0.36724889999999999</v>
          </cell>
          <cell r="Y756">
            <v>0</v>
          </cell>
          <cell r="Z756">
            <v>0</v>
          </cell>
          <cell r="AA756">
            <v>0</v>
          </cell>
          <cell r="AB756">
            <v>7.6798500000000006E-2</v>
          </cell>
        </row>
        <row r="757">
          <cell r="A757">
            <v>24147210</v>
          </cell>
          <cell r="B757" t="str">
            <v>Chicken, drumstick, coated, baked or fried, prepared with skin, skin/coating eaten, NS as to type of fat added in cooking</v>
          </cell>
          <cell r="I757">
            <v>85</v>
          </cell>
          <cell r="J757">
            <v>173.90979999999999</v>
          </cell>
          <cell r="K757">
            <v>2.0459976470588233</v>
          </cell>
          <cell r="L757">
            <v>0</v>
          </cell>
          <cell r="M757">
            <v>2.4075096999999999</v>
          </cell>
          <cell r="N757">
            <v>0</v>
          </cell>
          <cell r="O757">
            <v>1.29611E-2</v>
          </cell>
          <cell r="P757">
            <v>0.16168299999999999</v>
          </cell>
          <cell r="Q757">
            <v>3.2977462000000002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0.27936519999999998</v>
          </cell>
          <cell r="Y757">
            <v>0</v>
          </cell>
          <cell r="Z757">
            <v>0</v>
          </cell>
          <cell r="AA757">
            <v>0</v>
          </cell>
          <cell r="AB757">
            <v>0.41145700000000002</v>
          </cell>
        </row>
        <row r="758">
          <cell r="A758">
            <v>24147212</v>
          </cell>
          <cell r="B758" t="str">
            <v>Chicken, drumstick, coated, baked or fried, prepared with skin, skin/coating eaten, made with butter</v>
          </cell>
          <cell r="I758">
            <v>85</v>
          </cell>
          <cell r="J758">
            <v>166.05719999999999</v>
          </cell>
          <cell r="K758">
            <v>1.9536141176470587</v>
          </cell>
          <cell r="L758">
            <v>0</v>
          </cell>
          <cell r="M758">
            <v>4.1630019000000003</v>
          </cell>
          <cell r="N758">
            <v>0</v>
          </cell>
          <cell r="O758">
            <v>1.40672E-2</v>
          </cell>
          <cell r="P758">
            <v>0.16168299999999999</v>
          </cell>
          <cell r="Q758">
            <v>1.5210482000000001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0.3092898</v>
          </cell>
          <cell r="Y758">
            <v>0</v>
          </cell>
          <cell r="Z758">
            <v>0</v>
          </cell>
          <cell r="AA758">
            <v>0</v>
          </cell>
          <cell r="AB758">
            <v>0.24274899999999999</v>
          </cell>
        </row>
        <row r="759">
          <cell r="A759">
            <v>24147213</v>
          </cell>
          <cell r="B759" t="str">
            <v>Chicken, drumstick, coated, baked or fried, prepared with skin, skin/coating eaten, made with oil</v>
          </cell>
          <cell r="I759">
            <v>85</v>
          </cell>
          <cell r="J759">
            <v>173.90979999999999</v>
          </cell>
          <cell r="K759">
            <v>2.0459976470588233</v>
          </cell>
          <cell r="L759">
            <v>0</v>
          </cell>
          <cell r="M759">
            <v>2.4075096999999999</v>
          </cell>
          <cell r="N759">
            <v>0</v>
          </cell>
          <cell r="O759">
            <v>1.29611E-2</v>
          </cell>
          <cell r="P759">
            <v>0.16168299999999999</v>
          </cell>
          <cell r="Q759">
            <v>3.2977462000000002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0.27936519999999998</v>
          </cell>
          <cell r="Y759">
            <v>0</v>
          </cell>
          <cell r="Z759">
            <v>0</v>
          </cell>
          <cell r="AA759">
            <v>0</v>
          </cell>
          <cell r="AB759">
            <v>5.5725499999999997E-2</v>
          </cell>
        </row>
        <row r="760">
          <cell r="A760">
            <v>24147220</v>
          </cell>
          <cell r="B760" t="str">
            <v>Chicken, drumstick, coated, baked or fried, prepared with skin, skin/coating not eaten, NS as to type of fat added in cooking</v>
          </cell>
          <cell r="I760">
            <v>85</v>
          </cell>
          <cell r="J760">
            <v>108.13158</v>
          </cell>
          <cell r="K760">
            <v>1.2721362352941177</v>
          </cell>
          <cell r="L760">
            <v>0</v>
          </cell>
          <cell r="M760">
            <v>1.0125804</v>
          </cell>
          <cell r="N760">
            <v>0</v>
          </cell>
          <cell r="O760">
            <v>7.5982999999999997E-3</v>
          </cell>
          <cell r="P760">
            <v>0</v>
          </cell>
          <cell r="Q760">
            <v>1.3750518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0.34421479999999999</v>
          </cell>
          <cell r="Y760">
            <v>0</v>
          </cell>
          <cell r="Z760">
            <v>0</v>
          </cell>
          <cell r="AA760">
            <v>0</v>
          </cell>
          <cell r="AB760">
            <v>0.27485179999999998</v>
          </cell>
        </row>
        <row r="761">
          <cell r="A761">
            <v>24147223</v>
          </cell>
          <cell r="B761" t="str">
            <v>Chicken, drumstick, coated, baked or fried, prepared with skin, skin/coating not eaten, made with oil</v>
          </cell>
          <cell r="I761">
            <v>85</v>
          </cell>
          <cell r="J761">
            <v>108.13158</v>
          </cell>
          <cell r="K761">
            <v>1.2721362352941177</v>
          </cell>
          <cell r="L761">
            <v>0</v>
          </cell>
          <cell r="M761">
            <v>1.0125804</v>
          </cell>
          <cell r="N761">
            <v>0</v>
          </cell>
          <cell r="O761">
            <v>7.5982999999999997E-3</v>
          </cell>
          <cell r="P761">
            <v>0</v>
          </cell>
          <cell r="Q761">
            <v>1.3750518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0.34421479999999999</v>
          </cell>
          <cell r="Y761">
            <v>0</v>
          </cell>
          <cell r="Z761">
            <v>0</v>
          </cell>
          <cell r="AA761">
            <v>0</v>
          </cell>
          <cell r="AB761">
            <v>7.6826400000000003E-2</v>
          </cell>
        </row>
        <row r="762">
          <cell r="A762">
            <v>24147230</v>
          </cell>
          <cell r="B762" t="str">
            <v>Chicken, drumstick, from fast food, coated, baked or fried, prepared with skin, skin/coating eaten</v>
          </cell>
          <cell r="I762">
            <v>85</v>
          </cell>
          <cell r="J762">
            <v>226.95</v>
          </cell>
          <cell r="K762">
            <v>2.67</v>
          </cell>
          <cell r="L762">
            <v>0</v>
          </cell>
          <cell r="M762">
            <v>3.7892999999999999</v>
          </cell>
          <cell r="N762">
            <v>0</v>
          </cell>
          <cell r="O762">
            <v>2.0400000000000001E-2</v>
          </cell>
          <cell r="P762">
            <v>0.42499999999999999</v>
          </cell>
          <cell r="Q762">
            <v>3.7467999999999999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0.50234999999999996</v>
          </cell>
          <cell r="Y762">
            <v>0</v>
          </cell>
          <cell r="Z762">
            <v>0</v>
          </cell>
          <cell r="AA762">
            <v>0</v>
          </cell>
          <cell r="AB762">
            <v>0.19125</v>
          </cell>
        </row>
        <row r="763">
          <cell r="A763">
            <v>24147235</v>
          </cell>
          <cell r="B763" t="str">
            <v>Chicken, drumstick, from fast food, coated, baked or fried, prepared with skin, skin/coating not eaten</v>
          </cell>
          <cell r="I763">
            <v>85</v>
          </cell>
          <cell r="J763">
            <v>146.19999999999999</v>
          </cell>
          <cell r="K763">
            <v>1.72</v>
          </cell>
          <cell r="L763">
            <v>0</v>
          </cell>
          <cell r="M763">
            <v>1.7034</v>
          </cell>
          <cell r="N763">
            <v>0</v>
          </cell>
          <cell r="O763">
            <v>1.3599999999999999E-2</v>
          </cell>
          <cell r="P763">
            <v>0</v>
          </cell>
          <cell r="Q763">
            <v>1.4237500000000001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0.41820000000000002</v>
          </cell>
          <cell r="Y763">
            <v>0</v>
          </cell>
          <cell r="Z763">
            <v>0</v>
          </cell>
          <cell r="AA763">
            <v>0</v>
          </cell>
          <cell r="AB763">
            <v>6.2899999999999998E-2</v>
          </cell>
        </row>
        <row r="764">
          <cell r="A764">
            <v>24147250</v>
          </cell>
          <cell r="B764" t="str">
            <v>Chicken, drumstick, coated, baked or fried, prepared skinless, coating eaten, NS as to type of fat added in cooking</v>
          </cell>
          <cell r="I764">
            <v>85</v>
          </cell>
          <cell r="J764">
            <v>144.96655000000001</v>
          </cell>
          <cell r="K764">
            <v>1.7054888235294119</v>
          </cell>
          <cell r="L764">
            <v>0</v>
          </cell>
          <cell r="M764">
            <v>1.4287622</v>
          </cell>
          <cell r="N764">
            <v>0</v>
          </cell>
          <cell r="O764">
            <v>1.36264E-2</v>
          </cell>
          <cell r="P764">
            <v>0.16168299999999999</v>
          </cell>
          <cell r="Q764">
            <v>2.5683098000000002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0.28349039999999998</v>
          </cell>
          <cell r="Y764">
            <v>0</v>
          </cell>
          <cell r="Z764">
            <v>0</v>
          </cell>
          <cell r="AA764">
            <v>0</v>
          </cell>
          <cell r="AB764">
            <v>0.38115179999999999</v>
          </cell>
        </row>
        <row r="765">
          <cell r="A765">
            <v>24147251</v>
          </cell>
          <cell r="B765" t="str">
            <v>Chicken, drumstick, coated, baked or fried, prepared skinless, coating eaten, made with shortening</v>
          </cell>
          <cell r="I765">
            <v>85</v>
          </cell>
          <cell r="J765">
            <v>144.89203000000001</v>
          </cell>
          <cell r="K765">
            <v>1.7046121176470588</v>
          </cell>
          <cell r="L765">
            <v>0</v>
          </cell>
          <cell r="M765">
            <v>1.9552242</v>
          </cell>
          <cell r="N765">
            <v>0</v>
          </cell>
          <cell r="O765">
            <v>1.3661299999999999E-2</v>
          </cell>
          <cell r="P765">
            <v>0.16168299999999999</v>
          </cell>
          <cell r="Q765">
            <v>1.9585105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0.2836534</v>
          </cell>
          <cell r="Y765">
            <v>0</v>
          </cell>
          <cell r="Z765">
            <v>0</v>
          </cell>
          <cell r="AA765">
            <v>0</v>
          </cell>
          <cell r="AB765">
            <v>0.64886259999999996</v>
          </cell>
        </row>
        <row r="766">
          <cell r="A766">
            <v>24147252</v>
          </cell>
          <cell r="B766" t="str">
            <v>Chicken, drumstick, coated, baked or fried, prepared skinless, coating eaten, made with butter</v>
          </cell>
          <cell r="I766">
            <v>85</v>
          </cell>
          <cell r="J766">
            <v>137.11394999999999</v>
          </cell>
          <cell r="K766">
            <v>1.6131052941176469</v>
          </cell>
          <cell r="L766">
            <v>0</v>
          </cell>
          <cell r="M766">
            <v>3.1842543999999999</v>
          </cell>
          <cell r="N766">
            <v>0</v>
          </cell>
          <cell r="O766">
            <v>1.47326E-2</v>
          </cell>
          <cell r="P766">
            <v>0.16168299999999999</v>
          </cell>
          <cell r="Q766">
            <v>0.79161179999999998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0.3134151</v>
          </cell>
          <cell r="Y766">
            <v>0</v>
          </cell>
          <cell r="Z766">
            <v>0</v>
          </cell>
          <cell r="AA766">
            <v>0</v>
          </cell>
          <cell r="AB766">
            <v>0.3173356</v>
          </cell>
        </row>
        <row r="767">
          <cell r="A767">
            <v>24147253</v>
          </cell>
          <cell r="B767" t="str">
            <v>Chicken, drumstick, coated, baked or fried, prepared skinless, coating eaten, made with oil</v>
          </cell>
          <cell r="I767">
            <v>85</v>
          </cell>
          <cell r="J767">
            <v>144.96655000000001</v>
          </cell>
          <cell r="K767">
            <v>1.7054888235294119</v>
          </cell>
          <cell r="L767">
            <v>0</v>
          </cell>
          <cell r="M767">
            <v>1.4287622</v>
          </cell>
          <cell r="N767">
            <v>0</v>
          </cell>
          <cell r="O767">
            <v>1.36264E-2</v>
          </cell>
          <cell r="P767">
            <v>0.16168299999999999</v>
          </cell>
          <cell r="Q767">
            <v>2.5683098000000002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0.28349039999999998</v>
          </cell>
          <cell r="Y767">
            <v>0</v>
          </cell>
          <cell r="Z767">
            <v>0</v>
          </cell>
          <cell r="AA767">
            <v>0</v>
          </cell>
          <cell r="AB767">
            <v>0.13273409999999999</v>
          </cell>
        </row>
        <row r="768">
          <cell r="A768">
            <v>24147300</v>
          </cell>
          <cell r="B768" t="str">
            <v>Chicken drumstick, fried, coated, skin / coating eaten, from raw</v>
          </cell>
          <cell r="I768">
            <v>85</v>
          </cell>
          <cell r="J768">
            <v>203.68097</v>
          </cell>
          <cell r="K768">
            <v>2.3962467058823531</v>
          </cell>
          <cell r="L768">
            <v>0</v>
          </cell>
          <cell r="M768">
            <v>2.6572304999999998</v>
          </cell>
          <cell r="N768">
            <v>0</v>
          </cell>
          <cell r="O768">
            <v>1.33697E-2</v>
          </cell>
          <cell r="P768">
            <v>0.19880890000000001</v>
          </cell>
          <cell r="Q768">
            <v>3.8671639999999998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0.30871989999999999</v>
          </cell>
          <cell r="Y768">
            <v>0</v>
          </cell>
          <cell r="Z768">
            <v>0</v>
          </cell>
          <cell r="AA768">
            <v>0</v>
          </cell>
          <cell r="AB768">
            <v>5.7457300000000003E-2</v>
          </cell>
        </row>
        <row r="769">
          <cell r="A769">
            <v>24147301</v>
          </cell>
          <cell r="B769" t="str">
            <v>Chicken drumstick, fried, coated, skin / coating not eaten, from raw</v>
          </cell>
          <cell r="I769">
            <v>85</v>
          </cell>
          <cell r="J769">
            <v>143.31034</v>
          </cell>
          <cell r="K769">
            <v>1.6860040000000001</v>
          </cell>
          <cell r="L769">
            <v>0</v>
          </cell>
          <cell r="M769">
            <v>1.4773025</v>
          </cell>
          <cell r="N769">
            <v>0</v>
          </cell>
          <cell r="O769">
            <v>9.2341999999999997E-3</v>
          </cell>
          <cell r="P769">
            <v>0</v>
          </cell>
          <cell r="Q769">
            <v>1.6913437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0.30248340000000001</v>
          </cell>
          <cell r="Y769">
            <v>0</v>
          </cell>
          <cell r="Z769">
            <v>0</v>
          </cell>
          <cell r="AA769">
            <v>0</v>
          </cell>
          <cell r="AB769">
            <v>7.6830399999999993E-2</v>
          </cell>
        </row>
        <row r="770">
          <cell r="A770">
            <v>24147310</v>
          </cell>
          <cell r="B770" t="str">
            <v>Chicken drumstick, fried, coated, skin / coating eaten, from pre-cooked</v>
          </cell>
          <cell r="I770">
            <v>85</v>
          </cell>
          <cell r="J770">
            <v>209.1695</v>
          </cell>
          <cell r="K770">
            <v>2.4608176470588234</v>
          </cell>
          <cell r="L770">
            <v>0</v>
          </cell>
          <cell r="M770">
            <v>2.6806980999999999</v>
          </cell>
          <cell r="N770">
            <v>0</v>
          </cell>
          <cell r="O770">
            <v>1.4215200000000001E-2</v>
          </cell>
          <cell r="P770">
            <v>0.2378613</v>
          </cell>
          <cell r="Q770">
            <v>4.1440707999999997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0.40782249999999998</v>
          </cell>
          <cell r="Y770">
            <v>0</v>
          </cell>
          <cell r="Z770">
            <v>0</v>
          </cell>
          <cell r="AA770">
            <v>0</v>
          </cell>
          <cell r="AB770">
            <v>5.8468399999999997E-2</v>
          </cell>
        </row>
        <row r="771">
          <cell r="A771">
            <v>24147320</v>
          </cell>
          <cell r="B771" t="str">
            <v>Chicken drumstick, fried, coated, skin / coating eaten, from fast food / restaurant</v>
          </cell>
          <cell r="I771">
            <v>85</v>
          </cell>
          <cell r="J771">
            <v>244.39049</v>
          </cell>
          <cell r="K771">
            <v>2.8751822352941176</v>
          </cell>
          <cell r="L771">
            <v>0</v>
          </cell>
          <cell r="M771">
            <v>3.6416138999999998</v>
          </cell>
          <cell r="N771">
            <v>0</v>
          </cell>
          <cell r="O771">
            <v>2.2384000000000001E-2</v>
          </cell>
          <cell r="P771">
            <v>0.54069350000000005</v>
          </cell>
          <cell r="Q771">
            <v>4.8134448000000001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0.53104260000000003</v>
          </cell>
          <cell r="Y771">
            <v>0</v>
          </cell>
          <cell r="Z771">
            <v>0</v>
          </cell>
          <cell r="AA771">
            <v>0</v>
          </cell>
          <cell r="AB771">
            <v>0.1673328</v>
          </cell>
        </row>
        <row r="772">
          <cell r="A772">
            <v>24147321</v>
          </cell>
          <cell r="B772" t="str">
            <v>Chicken drumstick, fried, coated, skin / coating not eaten, from fast food / restaurant</v>
          </cell>
          <cell r="I772">
            <v>85</v>
          </cell>
          <cell r="J772">
            <v>180.31622999999999</v>
          </cell>
          <cell r="K772">
            <v>2.1213674117647057</v>
          </cell>
          <cell r="L772">
            <v>0</v>
          </cell>
          <cell r="M772">
            <v>1.9864746</v>
          </cell>
          <cell r="N772">
            <v>0</v>
          </cell>
          <cell r="O772">
            <v>1.6988199999999998E-2</v>
          </cell>
          <cell r="P772">
            <v>0.20346059999999999</v>
          </cell>
          <cell r="Q772">
            <v>2.9701293999999998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0.46427040000000003</v>
          </cell>
          <cell r="Y772">
            <v>0</v>
          </cell>
          <cell r="Z772">
            <v>0</v>
          </cell>
          <cell r="AA772">
            <v>0</v>
          </cell>
          <cell r="AB772">
            <v>7.5861499999999998E-2</v>
          </cell>
        </row>
        <row r="773">
          <cell r="A773">
            <v>24147400</v>
          </cell>
          <cell r="B773" t="str">
            <v>Chicken drumstick, baked, coated, skin / coating eaten</v>
          </cell>
          <cell r="I773">
            <v>85</v>
          </cell>
          <cell r="J773">
            <v>173.58574999999999</v>
          </cell>
          <cell r="K773">
            <v>2.042185294117647</v>
          </cell>
          <cell r="L773">
            <v>0</v>
          </cell>
          <cell r="M773">
            <v>2.2922164</v>
          </cell>
          <cell r="N773">
            <v>0</v>
          </cell>
          <cell r="O773">
            <v>1.231E-2</v>
          </cell>
          <cell r="P773">
            <v>0.13227630000000001</v>
          </cell>
          <cell r="Q773">
            <v>2.2791087999999999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0.37346430000000003</v>
          </cell>
          <cell r="Y773">
            <v>0</v>
          </cell>
          <cell r="Z773">
            <v>0</v>
          </cell>
          <cell r="AA773">
            <v>0</v>
          </cell>
          <cell r="AB773">
            <v>4.6957100000000002E-2</v>
          </cell>
        </row>
        <row r="774">
          <cell r="A774">
            <v>24150210</v>
          </cell>
          <cell r="B774" t="str">
            <v>Chicken thigh, NS as to cooking method, skin eaten</v>
          </cell>
          <cell r="I774">
            <v>85</v>
          </cell>
          <cell r="J774">
            <v>192.1</v>
          </cell>
          <cell r="K774">
            <v>2.2599999999999998</v>
          </cell>
          <cell r="L774">
            <v>0</v>
          </cell>
          <cell r="M774">
            <v>3.3379500000000002</v>
          </cell>
          <cell r="N774">
            <v>0</v>
          </cell>
          <cell r="O774">
            <v>1.3599999999999999E-2</v>
          </cell>
          <cell r="P774">
            <v>0</v>
          </cell>
          <cell r="Q774">
            <v>1.7323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0.28475</v>
          </cell>
          <cell r="Y774">
            <v>0</v>
          </cell>
          <cell r="Z774">
            <v>0</v>
          </cell>
          <cell r="AA774">
            <v>0</v>
          </cell>
          <cell r="AB774">
            <v>6.6299999999999998E-2</v>
          </cell>
        </row>
        <row r="775">
          <cell r="A775">
            <v>24150220</v>
          </cell>
          <cell r="B775" t="str">
            <v>Chicken thigh, NS as to cooking method, skin not eaten</v>
          </cell>
          <cell r="I775">
            <v>85</v>
          </cell>
          <cell r="J775">
            <v>164.05</v>
          </cell>
          <cell r="K775">
            <v>1.9300000000000002</v>
          </cell>
          <cell r="L775">
            <v>0</v>
          </cell>
          <cell r="M775">
            <v>2.3604500000000002</v>
          </cell>
          <cell r="N775">
            <v>0</v>
          </cell>
          <cell r="O775">
            <v>1.1050000000000001E-2</v>
          </cell>
          <cell r="P775">
            <v>0</v>
          </cell>
          <cell r="Q775">
            <v>1.37785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0.28475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</row>
        <row r="776">
          <cell r="A776">
            <v>24152200</v>
          </cell>
          <cell r="B776" t="str">
            <v>Chicken, thigh, roasted, broiled, or baked,  NS as to skin eaten</v>
          </cell>
          <cell r="I776">
            <v>85</v>
          </cell>
          <cell r="J776">
            <v>191.0282</v>
          </cell>
          <cell r="K776">
            <v>2.247390588235294</v>
          </cell>
          <cell r="L776">
            <v>0</v>
          </cell>
          <cell r="M776">
            <v>3.4739146999999999</v>
          </cell>
          <cell r="N776">
            <v>0</v>
          </cell>
          <cell r="O776">
            <v>8.2597E-3</v>
          </cell>
          <cell r="P776">
            <v>0</v>
          </cell>
          <cell r="Q776">
            <v>2.5939858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0.37754460000000001</v>
          </cell>
          <cell r="Y776">
            <v>0</v>
          </cell>
          <cell r="Z776">
            <v>0</v>
          </cell>
          <cell r="AA776">
            <v>0</v>
          </cell>
          <cell r="AB776">
            <v>3.7594200000000001E-2</v>
          </cell>
        </row>
        <row r="777">
          <cell r="A777">
            <v>24152210</v>
          </cell>
          <cell r="B777" t="str">
            <v>Chicken, thigh, roasted, broiled, or baked, skin eaten</v>
          </cell>
          <cell r="I777">
            <v>85</v>
          </cell>
          <cell r="J777">
            <v>191.0282</v>
          </cell>
          <cell r="K777">
            <v>2.247390588235294</v>
          </cell>
          <cell r="L777">
            <v>0</v>
          </cell>
          <cell r="M777">
            <v>3.4739146999999999</v>
          </cell>
          <cell r="N777">
            <v>0</v>
          </cell>
          <cell r="O777">
            <v>8.2597E-3</v>
          </cell>
          <cell r="P777">
            <v>0</v>
          </cell>
          <cell r="Q777">
            <v>2.5939858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0.37754460000000001</v>
          </cell>
          <cell r="Y777">
            <v>0</v>
          </cell>
          <cell r="Z777">
            <v>0</v>
          </cell>
          <cell r="AA777">
            <v>0</v>
          </cell>
          <cell r="AB777">
            <v>7.0798100000000003E-2</v>
          </cell>
        </row>
        <row r="778">
          <cell r="A778">
            <v>24152220</v>
          </cell>
          <cell r="B778" t="str">
            <v>Chicken, thigh, roasted, broiled, or baked, skin not eaten</v>
          </cell>
          <cell r="I778">
            <v>85</v>
          </cell>
          <cell r="J778">
            <v>147.08945</v>
          </cell>
          <cell r="K778">
            <v>1.7304641176470588</v>
          </cell>
          <cell r="L778">
            <v>0</v>
          </cell>
          <cell r="M778">
            <v>1.9717572000000001</v>
          </cell>
          <cell r="N778">
            <v>0</v>
          </cell>
          <cell r="O778">
            <v>8.0090999999999999E-3</v>
          </cell>
          <cell r="P778">
            <v>0</v>
          </cell>
          <cell r="Q778">
            <v>1.4712316999999999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0.38173059999999998</v>
          </cell>
          <cell r="Y778">
            <v>0</v>
          </cell>
          <cell r="Z778">
            <v>0</v>
          </cell>
          <cell r="AA778">
            <v>0</v>
          </cell>
          <cell r="AB778">
            <v>3.7594200000000001E-2</v>
          </cell>
        </row>
        <row r="779">
          <cell r="A779">
            <v>24152230</v>
          </cell>
          <cell r="B779" t="str">
            <v>Chicken thigh, baked, broiled, or roasted, skin eaten, from raw</v>
          </cell>
          <cell r="I779">
            <v>85</v>
          </cell>
          <cell r="J779">
            <v>196.02386000000001</v>
          </cell>
          <cell r="K779">
            <v>2.3061630588235298</v>
          </cell>
          <cell r="L779">
            <v>0</v>
          </cell>
          <cell r="M779">
            <v>3.4735089000000001</v>
          </cell>
          <cell r="N779">
            <v>0</v>
          </cell>
          <cell r="O779">
            <v>7.7260000000000002E-3</v>
          </cell>
          <cell r="P779">
            <v>0</v>
          </cell>
          <cell r="Q779">
            <v>2.5288767000000001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0.28266980000000003</v>
          </cell>
          <cell r="Y779">
            <v>0</v>
          </cell>
          <cell r="Z779">
            <v>0</v>
          </cell>
          <cell r="AA779">
            <v>0</v>
          </cell>
          <cell r="AB779">
            <v>6.8439399999999997E-2</v>
          </cell>
        </row>
        <row r="780">
          <cell r="A780">
            <v>24152231</v>
          </cell>
          <cell r="B780" t="str">
            <v>Chicken thigh, baked, broiled, or roasted, skin not eaten, from raw</v>
          </cell>
          <cell r="I780">
            <v>85</v>
          </cell>
          <cell r="J780">
            <v>151.24253999999999</v>
          </cell>
          <cell r="K780">
            <v>1.7793239999999999</v>
          </cell>
          <cell r="L780">
            <v>0</v>
          </cell>
          <cell r="M780">
            <v>1.9526342000000001</v>
          </cell>
          <cell r="N780">
            <v>0</v>
          </cell>
          <cell r="O780">
            <v>7.7260000000000002E-3</v>
          </cell>
          <cell r="P780">
            <v>0</v>
          </cell>
          <cell r="Q780">
            <v>1.4321571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0.28604950000000001</v>
          </cell>
          <cell r="Y780">
            <v>0</v>
          </cell>
          <cell r="Z780">
            <v>0</v>
          </cell>
          <cell r="AA780">
            <v>0</v>
          </cell>
          <cell r="AB780">
            <v>3.7176899999999999E-2</v>
          </cell>
        </row>
        <row r="781">
          <cell r="A781">
            <v>24152240</v>
          </cell>
          <cell r="B781" t="str">
            <v>Chicken thigh, baked or broiled, skin eaten, from pre-cooked</v>
          </cell>
          <cell r="I781">
            <v>85</v>
          </cell>
          <cell r="J781">
            <v>192.1</v>
          </cell>
          <cell r="K781">
            <v>2.2599999999999998</v>
          </cell>
          <cell r="L781">
            <v>0</v>
          </cell>
          <cell r="M781">
            <v>3.3379500000000002</v>
          </cell>
          <cell r="N781">
            <v>0</v>
          </cell>
          <cell r="O781">
            <v>1.3599999999999999E-2</v>
          </cell>
          <cell r="P781">
            <v>0</v>
          </cell>
          <cell r="Q781">
            <v>1.7323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0.28475</v>
          </cell>
          <cell r="Y781">
            <v>0</v>
          </cell>
          <cell r="Z781">
            <v>0</v>
          </cell>
          <cell r="AA781">
            <v>0</v>
          </cell>
          <cell r="AB781">
            <v>6.6299999999999998E-2</v>
          </cell>
        </row>
        <row r="782">
          <cell r="A782">
            <v>24152241</v>
          </cell>
          <cell r="B782" t="str">
            <v>Chicken thigh, baked or broiled, skin not eaten, from pre-cooked</v>
          </cell>
          <cell r="I782">
            <v>85</v>
          </cell>
          <cell r="J782">
            <v>164.05</v>
          </cell>
          <cell r="K782">
            <v>1.9300000000000002</v>
          </cell>
          <cell r="L782">
            <v>0</v>
          </cell>
          <cell r="M782">
            <v>2.3604500000000002</v>
          </cell>
          <cell r="N782">
            <v>0</v>
          </cell>
          <cell r="O782">
            <v>1.1050000000000001E-2</v>
          </cell>
          <cell r="P782">
            <v>0</v>
          </cell>
          <cell r="Q782">
            <v>1.37785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0.28475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</row>
        <row r="783">
          <cell r="A783">
            <v>24152250</v>
          </cell>
          <cell r="B783" t="str">
            <v>Chicken thigh, baked or broiled, skin eaten, from fast food / restaurant</v>
          </cell>
          <cell r="I783">
            <v>85</v>
          </cell>
          <cell r="J783">
            <v>206.24870999999999</v>
          </cell>
          <cell r="K783">
            <v>2.4264554117647057</v>
          </cell>
          <cell r="L783">
            <v>0</v>
          </cell>
          <cell r="M783">
            <v>3.6207568000000001</v>
          </cell>
          <cell r="N783">
            <v>0</v>
          </cell>
          <cell r="O783">
            <v>7.6290000000000004E-3</v>
          </cell>
          <cell r="P783">
            <v>0</v>
          </cell>
          <cell r="Q783">
            <v>3.1617769999999998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0.41031440000000002</v>
          </cell>
          <cell r="Y783">
            <v>0</v>
          </cell>
          <cell r="Z783">
            <v>0</v>
          </cell>
          <cell r="AA783">
            <v>0</v>
          </cell>
          <cell r="AB783">
            <v>7.2769299999999995E-2</v>
          </cell>
        </row>
        <row r="784">
          <cell r="A784">
            <v>24152251</v>
          </cell>
          <cell r="B784" t="str">
            <v>Chicken thigh, baked or broiled, skin not eaten, from fast food / restaurant</v>
          </cell>
          <cell r="I784">
            <v>85</v>
          </cell>
          <cell r="J784">
            <v>162.53683000000001</v>
          </cell>
          <cell r="K784">
            <v>1.9121980000000001</v>
          </cell>
          <cell r="L784">
            <v>0</v>
          </cell>
          <cell r="M784">
            <v>2.1362022999999999</v>
          </cell>
          <cell r="N784">
            <v>0</v>
          </cell>
          <cell r="O784">
            <v>7.6290000000000004E-3</v>
          </cell>
          <cell r="P784">
            <v>0</v>
          </cell>
          <cell r="Q784">
            <v>2.0912483000000002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0.41361340000000002</v>
          </cell>
          <cell r="Y784">
            <v>0</v>
          </cell>
          <cell r="Z784">
            <v>0</v>
          </cell>
          <cell r="AA784">
            <v>0</v>
          </cell>
          <cell r="AB784">
            <v>4.2253400000000003E-2</v>
          </cell>
        </row>
        <row r="785">
          <cell r="A785">
            <v>24152300</v>
          </cell>
          <cell r="B785" t="str">
            <v>Chicken thigh, rotisserie, skin eaten</v>
          </cell>
          <cell r="I785">
            <v>85</v>
          </cell>
          <cell r="J785">
            <v>192.1</v>
          </cell>
          <cell r="K785">
            <v>2.2599999999999998</v>
          </cell>
          <cell r="L785">
            <v>0</v>
          </cell>
          <cell r="M785">
            <v>3.3379500000000002</v>
          </cell>
          <cell r="N785">
            <v>0</v>
          </cell>
          <cell r="O785">
            <v>1.3599999999999999E-2</v>
          </cell>
          <cell r="P785">
            <v>0</v>
          </cell>
          <cell r="Q785">
            <v>1.7323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0.28475</v>
          </cell>
          <cell r="Y785">
            <v>0</v>
          </cell>
          <cell r="Z785">
            <v>0</v>
          </cell>
          <cell r="AA785">
            <v>0</v>
          </cell>
          <cell r="AB785">
            <v>6.6299999999999998E-2</v>
          </cell>
        </row>
        <row r="786">
          <cell r="A786">
            <v>24152301</v>
          </cell>
          <cell r="B786" t="str">
            <v>Chicken thigh, rotisserie, skin not eaten</v>
          </cell>
          <cell r="I786">
            <v>85</v>
          </cell>
          <cell r="J786">
            <v>164.05</v>
          </cell>
          <cell r="K786">
            <v>1.9300000000000002</v>
          </cell>
          <cell r="L786">
            <v>0</v>
          </cell>
          <cell r="M786">
            <v>2.3604500000000002</v>
          </cell>
          <cell r="N786">
            <v>0</v>
          </cell>
          <cell r="O786">
            <v>1.1050000000000001E-2</v>
          </cell>
          <cell r="P786">
            <v>0</v>
          </cell>
          <cell r="Q786">
            <v>1.37785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0.28475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</row>
        <row r="787">
          <cell r="A787">
            <v>24153210</v>
          </cell>
          <cell r="B787" t="str">
            <v>Chicken thigh, stewed, skin eaten</v>
          </cell>
          <cell r="I787">
            <v>85</v>
          </cell>
          <cell r="J787">
            <v>193.10516000000001</v>
          </cell>
          <cell r="K787">
            <v>2.2718254117647061</v>
          </cell>
          <cell r="L787">
            <v>0</v>
          </cell>
          <cell r="M787">
            <v>3.5863591000000001</v>
          </cell>
          <cell r="N787">
            <v>0</v>
          </cell>
          <cell r="O787">
            <v>9.4377000000000003E-3</v>
          </cell>
          <cell r="P787">
            <v>0</v>
          </cell>
          <cell r="Q787">
            <v>2.4985615000000001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0.32555000000000001</v>
          </cell>
          <cell r="Y787">
            <v>0</v>
          </cell>
          <cell r="Z787">
            <v>0</v>
          </cell>
          <cell r="AA787">
            <v>0</v>
          </cell>
          <cell r="AB787">
            <v>6.9146799999999994E-2</v>
          </cell>
        </row>
        <row r="788">
          <cell r="A788">
            <v>24153220</v>
          </cell>
          <cell r="B788" t="str">
            <v>Chicken thigh, stewed, skin not eaten</v>
          </cell>
          <cell r="I788">
            <v>85</v>
          </cell>
          <cell r="J788">
            <v>148.4127</v>
          </cell>
          <cell r="K788">
            <v>1.7460317647058823</v>
          </cell>
          <cell r="L788">
            <v>0</v>
          </cell>
          <cell r="M788">
            <v>1.9782738</v>
          </cell>
          <cell r="N788">
            <v>0</v>
          </cell>
          <cell r="O788">
            <v>1.0281E-2</v>
          </cell>
          <cell r="P788">
            <v>0</v>
          </cell>
          <cell r="Q788">
            <v>1.3121031999999999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0.3263933</v>
          </cell>
          <cell r="Y788">
            <v>0</v>
          </cell>
          <cell r="Z788">
            <v>0</v>
          </cell>
          <cell r="AA788">
            <v>0</v>
          </cell>
          <cell r="AB788">
            <v>3.8789700000000003E-2</v>
          </cell>
        </row>
        <row r="789">
          <cell r="A789">
            <v>24154010</v>
          </cell>
          <cell r="B789" t="str">
            <v>Chicken thigh, grilled without sauce, skin eaten</v>
          </cell>
          <cell r="I789">
            <v>85</v>
          </cell>
          <cell r="J789">
            <v>206.65794</v>
          </cell>
          <cell r="K789">
            <v>2.4312698823529413</v>
          </cell>
          <cell r="L789">
            <v>0</v>
          </cell>
          <cell r="M789">
            <v>3.6279408000000002</v>
          </cell>
          <cell r="N789">
            <v>0</v>
          </cell>
          <cell r="O789">
            <v>7.6036000000000003E-3</v>
          </cell>
          <cell r="P789">
            <v>0</v>
          </cell>
          <cell r="Q789">
            <v>3.1680503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0.34576279999999998</v>
          </cell>
          <cell r="Y789">
            <v>0</v>
          </cell>
          <cell r="Z789">
            <v>0</v>
          </cell>
          <cell r="AA789">
            <v>0</v>
          </cell>
          <cell r="AB789">
            <v>7.2913599999999995E-2</v>
          </cell>
        </row>
        <row r="790">
          <cell r="A790">
            <v>24154011</v>
          </cell>
          <cell r="B790" t="str">
            <v>Chicken thigh, grilled without sauce, skin not eaten</v>
          </cell>
          <cell r="I790">
            <v>85</v>
          </cell>
          <cell r="J790">
            <v>162.85933</v>
          </cell>
          <cell r="K790">
            <v>1.9159921176470589</v>
          </cell>
          <cell r="L790">
            <v>0</v>
          </cell>
          <cell r="M790">
            <v>2.1404407999999999</v>
          </cell>
          <cell r="N790">
            <v>0</v>
          </cell>
          <cell r="O790">
            <v>7.6036000000000003E-3</v>
          </cell>
          <cell r="P790">
            <v>0</v>
          </cell>
          <cell r="Q790">
            <v>2.0953976000000001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0.3490684</v>
          </cell>
          <cell r="Y790">
            <v>0</v>
          </cell>
          <cell r="Z790">
            <v>0</v>
          </cell>
          <cell r="AA790">
            <v>0</v>
          </cell>
          <cell r="AB790">
            <v>4.2337300000000001E-2</v>
          </cell>
        </row>
        <row r="791">
          <cell r="A791">
            <v>24154020</v>
          </cell>
          <cell r="B791" t="str">
            <v>Chicken thigh, grilled with sauce, skin eaten</v>
          </cell>
          <cell r="I791">
            <v>85</v>
          </cell>
          <cell r="J791">
            <v>197.55079000000001</v>
          </cell>
          <cell r="K791">
            <v>2.3241269411764707</v>
          </cell>
          <cell r="L791">
            <v>0.13660710000000001</v>
          </cell>
          <cell r="M791">
            <v>3.0107800999999998</v>
          </cell>
          <cell r="N791">
            <v>0</v>
          </cell>
          <cell r="O791">
            <v>1.12465E-2</v>
          </cell>
          <cell r="P791">
            <v>0</v>
          </cell>
          <cell r="Q791">
            <v>2.7290861</v>
          </cell>
          <cell r="R791">
            <v>0</v>
          </cell>
          <cell r="S791">
            <v>0</v>
          </cell>
          <cell r="T791">
            <v>0</v>
          </cell>
          <cell r="U791">
            <v>4.8343749999999996</v>
          </cell>
          <cell r="V791">
            <v>0</v>
          </cell>
          <cell r="W791">
            <v>0</v>
          </cell>
          <cell r="X791">
            <v>0.4861646</v>
          </cell>
          <cell r="Y791">
            <v>0</v>
          </cell>
          <cell r="Z791">
            <v>0</v>
          </cell>
          <cell r="AA791">
            <v>0</v>
          </cell>
          <cell r="AB791">
            <v>6.0618999999999999E-2</v>
          </cell>
        </row>
        <row r="792">
          <cell r="A792">
            <v>24154021</v>
          </cell>
          <cell r="B792" t="str">
            <v>Chicken thigh, grilled with sauce, skin not eaten</v>
          </cell>
          <cell r="I792">
            <v>85</v>
          </cell>
          <cell r="J792">
            <v>161.79683</v>
          </cell>
          <cell r="K792">
            <v>1.9034921176470587</v>
          </cell>
          <cell r="L792">
            <v>0.13660710000000001</v>
          </cell>
          <cell r="M792">
            <v>1.7964944</v>
          </cell>
          <cell r="N792">
            <v>0</v>
          </cell>
          <cell r="O792">
            <v>1.12465E-2</v>
          </cell>
          <cell r="P792">
            <v>0</v>
          </cell>
          <cell r="Q792">
            <v>1.8534511</v>
          </cell>
          <cell r="R792">
            <v>0</v>
          </cell>
          <cell r="S792">
            <v>0</v>
          </cell>
          <cell r="T792">
            <v>0</v>
          </cell>
          <cell r="U792">
            <v>4.8343749999999996</v>
          </cell>
          <cell r="V792">
            <v>0</v>
          </cell>
          <cell r="W792">
            <v>0</v>
          </cell>
          <cell r="X792">
            <v>0.48886299999999999</v>
          </cell>
          <cell r="Y792">
            <v>0</v>
          </cell>
          <cell r="Z792">
            <v>0</v>
          </cell>
          <cell r="AA792">
            <v>0</v>
          </cell>
          <cell r="AB792">
            <v>3.5658700000000002E-2</v>
          </cell>
        </row>
        <row r="793">
          <cell r="A793">
            <v>24154210</v>
          </cell>
          <cell r="B793" t="str">
            <v>Chicken, thigh, fried, no coating, skin eaten, NS as to type of fat added in cooking</v>
          </cell>
          <cell r="I793">
            <v>85</v>
          </cell>
          <cell r="J793">
            <v>191.51844</v>
          </cell>
          <cell r="K793">
            <v>2.2531581176470588</v>
          </cell>
          <cell r="L793">
            <v>0</v>
          </cell>
          <cell r="M793">
            <v>3.8325122999999999</v>
          </cell>
          <cell r="N793">
            <v>0</v>
          </cell>
          <cell r="O793">
            <v>6.1919999999999996E-3</v>
          </cell>
          <cell r="P793">
            <v>0</v>
          </cell>
          <cell r="Q793">
            <v>3.4661759000000001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0.32485720000000001</v>
          </cell>
          <cell r="Y793">
            <v>0</v>
          </cell>
          <cell r="Z793">
            <v>0</v>
          </cell>
          <cell r="AA793">
            <v>0</v>
          </cell>
          <cell r="AB793">
            <v>7.6178999999999997E-2</v>
          </cell>
        </row>
        <row r="794">
          <cell r="A794">
            <v>24154211</v>
          </cell>
          <cell r="B794" t="str">
            <v>Chicken, thigh, fried, no coating, skin eaten, made with shortening</v>
          </cell>
          <cell r="I794">
            <v>85</v>
          </cell>
          <cell r="J794">
            <v>191.49197000000001</v>
          </cell>
          <cell r="K794">
            <v>2.2528467058823529</v>
          </cell>
          <cell r="L794">
            <v>0</v>
          </cell>
          <cell r="M794">
            <v>4.0195280000000002</v>
          </cell>
          <cell r="N794">
            <v>0</v>
          </cell>
          <cell r="O794">
            <v>6.2043999999999997E-3</v>
          </cell>
          <cell r="P794">
            <v>0</v>
          </cell>
          <cell r="Q794">
            <v>3.2495561999999998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0.32491510000000001</v>
          </cell>
          <cell r="Y794">
            <v>0</v>
          </cell>
          <cell r="Z794">
            <v>0</v>
          </cell>
          <cell r="AA794">
            <v>0</v>
          </cell>
          <cell r="AB794">
            <v>0.2881148</v>
          </cell>
        </row>
        <row r="795">
          <cell r="A795">
            <v>24154212</v>
          </cell>
          <cell r="B795" t="str">
            <v>Chicken, thigh, fried, no coating, skin eaten, made with butter</v>
          </cell>
          <cell r="I795">
            <v>85</v>
          </cell>
          <cell r="J795">
            <v>188.72895</v>
          </cell>
          <cell r="K795">
            <v>2.220340588235294</v>
          </cell>
          <cell r="L795">
            <v>0</v>
          </cell>
          <cell r="M795">
            <v>4.4561178000000004</v>
          </cell>
          <cell r="N795">
            <v>0</v>
          </cell>
          <cell r="O795">
            <v>6.5849000000000003E-3</v>
          </cell>
          <cell r="P795">
            <v>0</v>
          </cell>
          <cell r="Q795">
            <v>2.8350374999999999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0.33548729999999999</v>
          </cell>
          <cell r="Y795">
            <v>0</v>
          </cell>
          <cell r="Z795">
            <v>0</v>
          </cell>
          <cell r="AA795">
            <v>0</v>
          </cell>
          <cell r="AB795">
            <v>0.12455090000000001</v>
          </cell>
        </row>
        <row r="796">
          <cell r="A796">
            <v>24154213</v>
          </cell>
          <cell r="B796" t="str">
            <v>Chicken, thigh, fried, no coating, skin eaten, made with oil</v>
          </cell>
          <cell r="I796">
            <v>85</v>
          </cell>
          <cell r="J796">
            <v>191.51844</v>
          </cell>
          <cell r="K796">
            <v>2.2531581176470588</v>
          </cell>
          <cell r="L796">
            <v>0</v>
          </cell>
          <cell r="M796">
            <v>3.8325122999999999</v>
          </cell>
          <cell r="N796">
            <v>0</v>
          </cell>
          <cell r="O796">
            <v>6.1919999999999996E-3</v>
          </cell>
          <cell r="P796">
            <v>0</v>
          </cell>
          <cell r="Q796">
            <v>3.4661759000000001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0.32485720000000001</v>
          </cell>
          <cell r="Y796">
            <v>0</v>
          </cell>
          <cell r="Z796">
            <v>0</v>
          </cell>
          <cell r="AA796">
            <v>0</v>
          </cell>
          <cell r="AB796">
            <v>7.6178999999999997E-2</v>
          </cell>
        </row>
        <row r="797">
          <cell r="A797">
            <v>24154215</v>
          </cell>
          <cell r="B797" t="str">
            <v>Chicken, thigh, fried, no coating, skin eaten, made without fat</v>
          </cell>
          <cell r="I797">
            <v>85</v>
          </cell>
          <cell r="J797">
            <v>180.37717000000001</v>
          </cell>
          <cell r="K797">
            <v>2.1220843529411764</v>
          </cell>
          <cell r="L797">
            <v>0</v>
          </cell>
          <cell r="M797">
            <v>3.6778213000000002</v>
          </cell>
          <cell r="N797">
            <v>0</v>
          </cell>
          <cell r="O797">
            <v>6.3106999999999998E-3</v>
          </cell>
          <cell r="P797">
            <v>0</v>
          </cell>
          <cell r="Q797">
            <v>2.8399701999999998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0.33129750000000002</v>
          </cell>
          <cell r="Y797">
            <v>0</v>
          </cell>
          <cell r="Z797">
            <v>0</v>
          </cell>
          <cell r="AA797">
            <v>0</v>
          </cell>
          <cell r="AB797">
            <v>7.1712200000000004E-2</v>
          </cell>
        </row>
        <row r="798">
          <cell r="A798">
            <v>24154220</v>
          </cell>
          <cell r="B798" t="str">
            <v>Chicken, thigh, fried, no coating, skin not eaten, NS as to type of fat added in cooking</v>
          </cell>
          <cell r="I798">
            <v>85</v>
          </cell>
          <cell r="J798">
            <v>112.01966</v>
          </cell>
          <cell r="K798">
            <v>1.3178783529411764</v>
          </cell>
          <cell r="L798">
            <v>0</v>
          </cell>
          <cell r="M798">
            <v>1.0846339</v>
          </cell>
          <cell r="N798">
            <v>0</v>
          </cell>
          <cell r="O798">
            <v>6.1919999999999996E-3</v>
          </cell>
          <cell r="P798">
            <v>0</v>
          </cell>
          <cell r="Q798">
            <v>1.4161661999999999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0.33420509999999998</v>
          </cell>
          <cell r="Y798">
            <v>0</v>
          </cell>
          <cell r="Z798">
            <v>0</v>
          </cell>
          <cell r="AA798">
            <v>0</v>
          </cell>
          <cell r="AB798">
            <v>0.22882669999999999</v>
          </cell>
        </row>
        <row r="799">
          <cell r="A799">
            <v>24154222</v>
          </cell>
          <cell r="B799" t="str">
            <v>Chicken, thigh, fried, no coating, skin not eaten, made with butter</v>
          </cell>
          <cell r="I799">
            <v>85</v>
          </cell>
          <cell r="J799">
            <v>109.23017</v>
          </cell>
          <cell r="K799">
            <v>1.2850608235294119</v>
          </cell>
          <cell r="L799">
            <v>0</v>
          </cell>
          <cell r="M799">
            <v>1.7082394000000001</v>
          </cell>
          <cell r="N799">
            <v>0</v>
          </cell>
          <cell r="O799">
            <v>6.5849000000000003E-3</v>
          </cell>
          <cell r="P799">
            <v>0</v>
          </cell>
          <cell r="Q799">
            <v>0.78502769999999999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0.34483530000000001</v>
          </cell>
          <cell r="Y799">
            <v>0</v>
          </cell>
          <cell r="Z799">
            <v>0</v>
          </cell>
          <cell r="AA799">
            <v>0</v>
          </cell>
          <cell r="AB799">
            <v>7.0035E-2</v>
          </cell>
        </row>
        <row r="800">
          <cell r="A800">
            <v>24154223</v>
          </cell>
          <cell r="B800" t="str">
            <v>Chicken, thigh, fried, no coating, skin not eaten, made with oil</v>
          </cell>
          <cell r="I800">
            <v>85</v>
          </cell>
          <cell r="J800">
            <v>112.01966</v>
          </cell>
          <cell r="K800">
            <v>1.3178783529411764</v>
          </cell>
          <cell r="L800">
            <v>0</v>
          </cell>
          <cell r="M800">
            <v>1.0846339</v>
          </cell>
          <cell r="N800">
            <v>0</v>
          </cell>
          <cell r="O800">
            <v>6.1919999999999996E-3</v>
          </cell>
          <cell r="P800">
            <v>0</v>
          </cell>
          <cell r="Q800">
            <v>1.4161661999999999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0.33420509999999998</v>
          </cell>
          <cell r="Y800">
            <v>0</v>
          </cell>
          <cell r="Z800">
            <v>0</v>
          </cell>
          <cell r="AA800">
            <v>0</v>
          </cell>
          <cell r="AB800">
            <v>0.10859480000000001</v>
          </cell>
        </row>
        <row r="801">
          <cell r="A801">
            <v>24154300</v>
          </cell>
          <cell r="B801" t="str">
            <v>Chicken thigh, sauteed, skin eaten</v>
          </cell>
          <cell r="I801">
            <v>85</v>
          </cell>
          <cell r="J801">
            <v>206.65794</v>
          </cell>
          <cell r="K801">
            <v>2.4312698823529413</v>
          </cell>
          <cell r="L801">
            <v>0</v>
          </cell>
          <cell r="M801">
            <v>3.6279408000000002</v>
          </cell>
          <cell r="N801">
            <v>0</v>
          </cell>
          <cell r="O801">
            <v>7.6036000000000003E-3</v>
          </cell>
          <cell r="P801">
            <v>0</v>
          </cell>
          <cell r="Q801">
            <v>3.1680503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0.34576279999999998</v>
          </cell>
          <cell r="Y801">
            <v>0</v>
          </cell>
          <cell r="Z801">
            <v>0</v>
          </cell>
          <cell r="AA801">
            <v>0</v>
          </cell>
          <cell r="AB801">
            <v>7.2913599999999995E-2</v>
          </cell>
        </row>
        <row r="802">
          <cell r="A802">
            <v>24154301</v>
          </cell>
          <cell r="B802" t="str">
            <v>Chicken thigh, sauteed, skin not eaten</v>
          </cell>
          <cell r="I802">
            <v>85</v>
          </cell>
          <cell r="J802">
            <v>162.85933</v>
          </cell>
          <cell r="K802">
            <v>1.9159921176470589</v>
          </cell>
          <cell r="L802">
            <v>0</v>
          </cell>
          <cell r="M802">
            <v>2.1404407999999999</v>
          </cell>
          <cell r="N802">
            <v>0</v>
          </cell>
          <cell r="O802">
            <v>7.6036000000000003E-3</v>
          </cell>
          <cell r="P802">
            <v>0</v>
          </cell>
          <cell r="Q802">
            <v>2.0953976000000001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0.3490684</v>
          </cell>
          <cell r="Y802">
            <v>0</v>
          </cell>
          <cell r="Z802">
            <v>0</v>
          </cell>
          <cell r="AA802">
            <v>0</v>
          </cell>
          <cell r="AB802">
            <v>4.2337300000000001E-2</v>
          </cell>
        </row>
        <row r="803">
          <cell r="A803">
            <v>24157210</v>
          </cell>
          <cell r="B803" t="str">
            <v>Chicken, thigh, coated, baked or fried, prepared with skin, skin/coating eaten, NS as to type of fat added in cooking</v>
          </cell>
          <cell r="I803">
            <v>85</v>
          </cell>
          <cell r="J803">
            <v>212.03505000000001</v>
          </cell>
          <cell r="K803">
            <v>2.4945300000000001</v>
          </cell>
          <cell r="L803">
            <v>0</v>
          </cell>
          <cell r="M803">
            <v>3.6968483000000001</v>
          </cell>
          <cell r="N803">
            <v>0</v>
          </cell>
          <cell r="O803">
            <v>1.2495300000000001E-2</v>
          </cell>
          <cell r="P803">
            <v>0.16168299999999999</v>
          </cell>
          <cell r="Q803">
            <v>4.2502119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0.26792090000000002</v>
          </cell>
          <cell r="Y803">
            <v>0</v>
          </cell>
          <cell r="Z803">
            <v>0</v>
          </cell>
          <cell r="AA803">
            <v>0</v>
          </cell>
          <cell r="AB803">
            <v>0.27750130000000001</v>
          </cell>
        </row>
        <row r="804">
          <cell r="A804">
            <v>24157213</v>
          </cell>
          <cell r="B804" t="str">
            <v>Chicken, thigh, coated, baked or fried, prepared with skin, skin/coating eaten, made with oil</v>
          </cell>
          <cell r="I804">
            <v>85</v>
          </cell>
          <cell r="J804">
            <v>212.03505000000001</v>
          </cell>
          <cell r="K804">
            <v>2.4945300000000001</v>
          </cell>
          <cell r="L804">
            <v>0</v>
          </cell>
          <cell r="M804">
            <v>3.6968483000000001</v>
          </cell>
          <cell r="N804">
            <v>0</v>
          </cell>
          <cell r="O804">
            <v>1.2495300000000001E-2</v>
          </cell>
          <cell r="P804">
            <v>0.16168299999999999</v>
          </cell>
          <cell r="Q804">
            <v>4.2502119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0.26792090000000002</v>
          </cell>
          <cell r="Y804">
            <v>0</v>
          </cell>
          <cell r="Z804">
            <v>0</v>
          </cell>
          <cell r="AA804">
            <v>0</v>
          </cell>
          <cell r="AB804">
            <v>0.11215079999999999</v>
          </cell>
        </row>
        <row r="805">
          <cell r="A805">
            <v>24157220</v>
          </cell>
          <cell r="B805" t="str">
            <v>Chicken, thigh, coated, baked or fried, prepared with skin, skin/coating not eaten, NS as to type of fat added in cooking</v>
          </cell>
          <cell r="I805">
            <v>85</v>
          </cell>
          <cell r="J805">
            <v>112.01966</v>
          </cell>
          <cell r="K805">
            <v>1.3178783529411764</v>
          </cell>
          <cell r="L805">
            <v>0</v>
          </cell>
          <cell r="M805">
            <v>1.0846339</v>
          </cell>
          <cell r="N805">
            <v>0</v>
          </cell>
          <cell r="O805">
            <v>6.1919999999999996E-3</v>
          </cell>
          <cell r="P805">
            <v>0</v>
          </cell>
          <cell r="Q805">
            <v>1.4161661999999999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0.33420509999999998</v>
          </cell>
          <cell r="Y805">
            <v>0</v>
          </cell>
          <cell r="Z805">
            <v>0</v>
          </cell>
          <cell r="AA805">
            <v>0</v>
          </cell>
          <cell r="AB805">
            <v>0.35740909999999998</v>
          </cell>
        </row>
        <row r="806">
          <cell r="A806">
            <v>24157223</v>
          </cell>
          <cell r="B806" t="str">
            <v>Chicken, thigh, coated, baked or fried, prepared with skin, skin/coating not eaten, made with oil</v>
          </cell>
          <cell r="I806">
            <v>85</v>
          </cell>
          <cell r="J806">
            <v>112.01966</v>
          </cell>
          <cell r="K806">
            <v>1.3178783529411764</v>
          </cell>
          <cell r="L806">
            <v>0</v>
          </cell>
          <cell r="M806">
            <v>1.0846339</v>
          </cell>
          <cell r="N806">
            <v>0</v>
          </cell>
          <cell r="O806">
            <v>6.1919999999999996E-3</v>
          </cell>
          <cell r="P806">
            <v>0</v>
          </cell>
          <cell r="Q806">
            <v>1.4161661999999999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0.33420509999999998</v>
          </cell>
          <cell r="Y806">
            <v>0</v>
          </cell>
          <cell r="Z806">
            <v>0</v>
          </cell>
          <cell r="AA806">
            <v>0</v>
          </cell>
          <cell r="AB806">
            <v>0.10824010000000001</v>
          </cell>
        </row>
        <row r="807">
          <cell r="A807">
            <v>24157230</v>
          </cell>
          <cell r="B807" t="str">
            <v>Chicken, thigh, from fast food, coated, baked or fried, prepared with skin, skin/coating eaten</v>
          </cell>
          <cell r="I807">
            <v>85</v>
          </cell>
          <cell r="J807">
            <v>232.9</v>
          </cell>
          <cell r="K807">
            <v>2.74</v>
          </cell>
          <cell r="L807">
            <v>0</v>
          </cell>
          <cell r="M807">
            <v>4.1071999999999997</v>
          </cell>
          <cell r="N807">
            <v>0</v>
          </cell>
          <cell r="O807">
            <v>4.5900000000000003E-2</v>
          </cell>
          <cell r="P807">
            <v>8.5000000000000006E-2</v>
          </cell>
          <cell r="Q807">
            <v>2.4981499999999999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0.63495000000000001</v>
          </cell>
          <cell r="Y807">
            <v>0</v>
          </cell>
          <cell r="Z807">
            <v>0</v>
          </cell>
          <cell r="AA807">
            <v>0</v>
          </cell>
          <cell r="AB807">
            <v>0.2142</v>
          </cell>
        </row>
        <row r="808">
          <cell r="A808">
            <v>24157235</v>
          </cell>
          <cell r="B808" t="str">
            <v>Chicken, thigh, from fast food, coated, baked or broiled, prepared with skin, skin/coating not eaten</v>
          </cell>
          <cell r="I808">
            <v>85</v>
          </cell>
          <cell r="J808">
            <v>151.30000000000001</v>
          </cell>
          <cell r="K808">
            <v>1.78</v>
          </cell>
          <cell r="L808">
            <v>0</v>
          </cell>
          <cell r="M808">
            <v>2.1114000000000002</v>
          </cell>
          <cell r="N808">
            <v>0</v>
          </cell>
          <cell r="O808">
            <v>2.0400000000000001E-2</v>
          </cell>
          <cell r="P808">
            <v>0</v>
          </cell>
          <cell r="Q808">
            <v>1.31155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0.49045</v>
          </cell>
          <cell r="Y808">
            <v>0</v>
          </cell>
          <cell r="Z808">
            <v>0</v>
          </cell>
          <cell r="AA808">
            <v>0</v>
          </cell>
          <cell r="AB808">
            <v>5.015E-2</v>
          </cell>
        </row>
        <row r="809">
          <cell r="A809">
            <v>24157250</v>
          </cell>
          <cell r="B809" t="str">
            <v>Chicken, thigh, coated, baked or fried, prepared skinless, coating eaten, NS as to type of fat added in cooking</v>
          </cell>
          <cell r="I809">
            <v>85</v>
          </cell>
          <cell r="J809">
            <v>148.09375</v>
          </cell>
          <cell r="K809">
            <v>1.7422794117647058</v>
          </cell>
          <cell r="L809">
            <v>0</v>
          </cell>
          <cell r="M809">
            <v>1.4867151999999999</v>
          </cell>
          <cell r="N809">
            <v>0</v>
          </cell>
          <cell r="O809">
            <v>1.2495300000000001E-2</v>
          </cell>
          <cell r="P809">
            <v>0.16168299999999999</v>
          </cell>
          <cell r="Q809">
            <v>2.6013782999999999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0.2754395</v>
          </cell>
          <cell r="Y809">
            <v>0</v>
          </cell>
          <cell r="Z809">
            <v>0</v>
          </cell>
          <cell r="AA809">
            <v>0</v>
          </cell>
          <cell r="AB809">
            <v>0.44259680000000001</v>
          </cell>
        </row>
        <row r="810">
          <cell r="A810">
            <v>24157253</v>
          </cell>
          <cell r="B810" t="str">
            <v>Chicken, thigh, coated, baked or fried, prepared skinless, coating eaten, made with oil</v>
          </cell>
          <cell r="I810">
            <v>85</v>
          </cell>
          <cell r="J810">
            <v>148.09375</v>
          </cell>
          <cell r="K810">
            <v>1.7422794117647058</v>
          </cell>
          <cell r="L810">
            <v>0</v>
          </cell>
          <cell r="M810">
            <v>1.4867151999999999</v>
          </cell>
          <cell r="N810">
            <v>0</v>
          </cell>
          <cell r="O810">
            <v>1.2495300000000001E-2</v>
          </cell>
          <cell r="P810">
            <v>0.16168299999999999</v>
          </cell>
          <cell r="Q810">
            <v>2.6013782999999999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0.2754395</v>
          </cell>
          <cell r="Y810">
            <v>0</v>
          </cell>
          <cell r="Z810">
            <v>0</v>
          </cell>
          <cell r="AA810">
            <v>0</v>
          </cell>
          <cell r="AB810">
            <v>0.15809190000000001</v>
          </cell>
        </row>
        <row r="811">
          <cell r="A811">
            <v>24157260</v>
          </cell>
          <cell r="B811" t="str">
            <v>Chicken, thigh, coated, baked or fried, prepared skinless, coating not eaten, NS as to type of fat added in cooking</v>
          </cell>
          <cell r="I811">
            <v>85</v>
          </cell>
          <cell r="J811">
            <v>112.01966</v>
          </cell>
          <cell r="K811">
            <v>1.3178783529411764</v>
          </cell>
          <cell r="L811">
            <v>0</v>
          </cell>
          <cell r="M811">
            <v>1.0846339</v>
          </cell>
          <cell r="N811">
            <v>0</v>
          </cell>
          <cell r="O811">
            <v>6.1919999999999996E-3</v>
          </cell>
          <cell r="P811">
            <v>0</v>
          </cell>
          <cell r="Q811">
            <v>1.4161661999999999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0.33420509999999998</v>
          </cell>
          <cell r="Y811">
            <v>0</v>
          </cell>
          <cell r="Z811">
            <v>0</v>
          </cell>
          <cell r="AA811">
            <v>0</v>
          </cell>
          <cell r="AB811">
            <v>0.32749420000000001</v>
          </cell>
        </row>
        <row r="812">
          <cell r="A812">
            <v>24157300</v>
          </cell>
          <cell r="B812" t="str">
            <v>Chicken thigh, fried, coated, skin / coating eaten, from raw</v>
          </cell>
          <cell r="I812">
            <v>85</v>
          </cell>
          <cell r="J812">
            <v>230.70184</v>
          </cell>
          <cell r="K812">
            <v>2.714139294117647</v>
          </cell>
          <cell r="L812">
            <v>0</v>
          </cell>
          <cell r="M812">
            <v>3.5607821999999998</v>
          </cell>
          <cell r="N812">
            <v>0</v>
          </cell>
          <cell r="O812">
            <v>1.2051600000000001E-2</v>
          </cell>
          <cell r="P812">
            <v>0.19880890000000001</v>
          </cell>
          <cell r="Q812">
            <v>4.4668956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0.29487999999999998</v>
          </cell>
          <cell r="Y812">
            <v>0</v>
          </cell>
          <cell r="Z812">
            <v>0</v>
          </cell>
          <cell r="AA812">
            <v>0</v>
          </cell>
          <cell r="AB812">
            <v>7.4592500000000006E-2</v>
          </cell>
        </row>
        <row r="813">
          <cell r="A813">
            <v>24157302</v>
          </cell>
          <cell r="B813" t="str">
            <v>Chicken thigh, fried, coated, prepared skinless, coating eaten, from raw</v>
          </cell>
          <cell r="I813">
            <v>85</v>
          </cell>
          <cell r="J813">
            <v>195.38398000000001</v>
          </cell>
          <cell r="K813">
            <v>2.2986350588235296</v>
          </cell>
          <cell r="L813">
            <v>0</v>
          </cell>
          <cell r="M813">
            <v>2.3697884999999999</v>
          </cell>
          <cell r="N813">
            <v>0</v>
          </cell>
          <cell r="O813">
            <v>1.20681E-2</v>
          </cell>
          <cell r="P813">
            <v>0.19841439999999999</v>
          </cell>
          <cell r="Q813">
            <v>3.6042885999999998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0.36229149999999999</v>
          </cell>
          <cell r="Y813">
            <v>0</v>
          </cell>
          <cell r="Z813">
            <v>0</v>
          </cell>
          <cell r="AA813">
            <v>0</v>
          </cell>
          <cell r="AB813">
            <v>5.2595799999999998E-2</v>
          </cell>
        </row>
        <row r="814">
          <cell r="A814">
            <v>24157310</v>
          </cell>
          <cell r="B814" t="str">
            <v>Chicken thigh, fried, coated, skin / coating eaten, from pre-cooked</v>
          </cell>
          <cell r="I814">
            <v>85</v>
          </cell>
          <cell r="J814">
            <v>234.72846999999999</v>
          </cell>
          <cell r="K814">
            <v>2.7615114117647059</v>
          </cell>
          <cell r="L814">
            <v>0</v>
          </cell>
          <cell r="M814">
            <v>3.5353650999999999</v>
          </cell>
          <cell r="N814">
            <v>0</v>
          </cell>
          <cell r="O814">
            <v>1.29684E-2</v>
          </cell>
          <cell r="P814">
            <v>0.2378613</v>
          </cell>
          <cell r="Q814">
            <v>4.7113551999999999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0.39473130000000001</v>
          </cell>
          <cell r="Y814">
            <v>0</v>
          </cell>
          <cell r="Z814">
            <v>0</v>
          </cell>
          <cell r="AA814">
            <v>0</v>
          </cell>
          <cell r="AB814">
            <v>7.4676599999999996E-2</v>
          </cell>
        </row>
        <row r="815">
          <cell r="A815">
            <v>24157320</v>
          </cell>
          <cell r="B815" t="str">
            <v>Chicken thigh, fried, coated, skin / coating eaten, from fast food</v>
          </cell>
          <cell r="I815">
            <v>85</v>
          </cell>
          <cell r="J815">
            <v>249.11176</v>
          </cell>
          <cell r="K815">
            <v>2.9307265882352942</v>
          </cell>
          <cell r="L815">
            <v>0</v>
          </cell>
          <cell r="M815">
            <v>3.8938641999999999</v>
          </cell>
          <cell r="N815">
            <v>0</v>
          </cell>
          <cell r="O815">
            <v>4.26179E-2</v>
          </cell>
          <cell r="P815">
            <v>0.27090720000000001</v>
          </cell>
          <cell r="Q815">
            <v>3.8226542999999999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0.63625920000000002</v>
          </cell>
          <cell r="Y815">
            <v>0</v>
          </cell>
          <cell r="Z815">
            <v>0</v>
          </cell>
          <cell r="AA815">
            <v>0</v>
          </cell>
          <cell r="AB815">
            <v>0.18554329999999999</v>
          </cell>
        </row>
        <row r="816">
          <cell r="A816">
            <v>24157321</v>
          </cell>
          <cell r="B816" t="str">
            <v>Chicken thigh, fried, coated, skin / coating not eaten, from fast food</v>
          </cell>
          <cell r="I816">
            <v>85</v>
          </cell>
          <cell r="J816">
            <v>184.36303000000001</v>
          </cell>
          <cell r="K816">
            <v>2.168976823529412</v>
          </cell>
          <cell r="L816">
            <v>0</v>
          </cell>
          <cell r="M816">
            <v>2.3102182</v>
          </cell>
          <cell r="N816">
            <v>0</v>
          </cell>
          <cell r="O816">
            <v>2.2384000000000001E-2</v>
          </cell>
          <cell r="P816">
            <v>0.20346059999999999</v>
          </cell>
          <cell r="Q816">
            <v>2.8810999000000002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0.52159999999999995</v>
          </cell>
          <cell r="Y816">
            <v>0</v>
          </cell>
          <cell r="Z816">
            <v>0</v>
          </cell>
          <cell r="AA816">
            <v>0</v>
          </cell>
          <cell r="AB816">
            <v>8.4200899999999995E-2</v>
          </cell>
        </row>
        <row r="817">
          <cell r="A817">
            <v>24157330</v>
          </cell>
          <cell r="B817" t="str">
            <v>Chicken thigh, fried, coated, skin / coating eaten, from restaurant</v>
          </cell>
          <cell r="I817">
            <v>85</v>
          </cell>
          <cell r="J817">
            <v>249.11176</v>
          </cell>
          <cell r="K817">
            <v>2.9307265882352942</v>
          </cell>
          <cell r="L817">
            <v>0</v>
          </cell>
          <cell r="M817">
            <v>3.8938641999999999</v>
          </cell>
          <cell r="N817">
            <v>0</v>
          </cell>
          <cell r="O817">
            <v>4.26179E-2</v>
          </cell>
          <cell r="P817">
            <v>0.27090720000000001</v>
          </cell>
          <cell r="Q817">
            <v>3.8226542999999999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0.63625920000000002</v>
          </cell>
          <cell r="Y817">
            <v>0</v>
          </cell>
          <cell r="Z817">
            <v>0</v>
          </cell>
          <cell r="AA817">
            <v>0</v>
          </cell>
          <cell r="AB817">
            <v>0.18554329999999999</v>
          </cell>
        </row>
        <row r="818">
          <cell r="A818">
            <v>24157331</v>
          </cell>
          <cell r="B818" t="str">
            <v>Chicken thigh, fried, coated, skin / coating not eaten, from restaurant</v>
          </cell>
          <cell r="I818">
            <v>85</v>
          </cell>
          <cell r="J818">
            <v>184.36303000000001</v>
          </cell>
          <cell r="K818">
            <v>2.168976823529412</v>
          </cell>
          <cell r="L818">
            <v>0</v>
          </cell>
          <cell r="M818">
            <v>2.3102182</v>
          </cell>
          <cell r="N818">
            <v>0</v>
          </cell>
          <cell r="O818">
            <v>2.2384000000000001E-2</v>
          </cell>
          <cell r="P818">
            <v>0.20346059999999999</v>
          </cell>
          <cell r="Q818">
            <v>2.8810999000000002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0.52159999999999995</v>
          </cell>
          <cell r="Y818">
            <v>0</v>
          </cell>
          <cell r="Z818">
            <v>0</v>
          </cell>
          <cell r="AA818">
            <v>0</v>
          </cell>
          <cell r="AB818">
            <v>8.2146200000000003E-2</v>
          </cell>
        </row>
        <row r="819">
          <cell r="A819">
            <v>24157400</v>
          </cell>
          <cell r="B819" t="str">
            <v>Chicken thigh, baked, coated, skin / coating eaten</v>
          </cell>
          <cell r="I819">
            <v>85</v>
          </cell>
          <cell r="J819">
            <v>204.01034999999999</v>
          </cell>
          <cell r="K819">
            <v>2.4001217647058821</v>
          </cell>
          <cell r="L819">
            <v>0</v>
          </cell>
          <cell r="M819">
            <v>3.3095854</v>
          </cell>
          <cell r="N819">
            <v>0</v>
          </cell>
          <cell r="O819">
            <v>1.0825899999999999E-2</v>
          </cell>
          <cell r="P819">
            <v>0.13227630000000001</v>
          </cell>
          <cell r="Q819">
            <v>2.9543865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0.357881</v>
          </cell>
          <cell r="Y819">
            <v>0</v>
          </cell>
          <cell r="Z819">
            <v>0</v>
          </cell>
          <cell r="AA819">
            <v>0</v>
          </cell>
          <cell r="AB819">
            <v>6.6250799999999999E-2</v>
          </cell>
        </row>
        <row r="820">
          <cell r="A820">
            <v>24160110</v>
          </cell>
          <cell r="B820" t="str">
            <v>Chicken wing, NS as to cooking method</v>
          </cell>
          <cell r="I820">
            <v>85</v>
          </cell>
          <cell r="J820">
            <v>218.45</v>
          </cell>
          <cell r="K820">
            <v>2.57</v>
          </cell>
          <cell r="L820">
            <v>0</v>
          </cell>
          <cell r="M820">
            <v>3.9329499999999999</v>
          </cell>
          <cell r="N820">
            <v>0</v>
          </cell>
          <cell r="O820">
            <v>2.8049999999999999E-2</v>
          </cell>
          <cell r="P820">
            <v>0</v>
          </cell>
          <cell r="Q820">
            <v>1.8504499999999999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0.49214999999999998</v>
          </cell>
          <cell r="Y820">
            <v>0</v>
          </cell>
          <cell r="Z820">
            <v>0</v>
          </cell>
          <cell r="AA820">
            <v>0</v>
          </cell>
          <cell r="AB820">
            <v>0.1394</v>
          </cell>
        </row>
        <row r="821">
          <cell r="A821">
            <v>24160120</v>
          </cell>
          <cell r="B821" t="str">
            <v>Chicken, wing, NS as to cooking method, skin not eaten</v>
          </cell>
          <cell r="I821">
            <v>85</v>
          </cell>
          <cell r="J821">
            <v>171.11265</v>
          </cell>
          <cell r="K821">
            <v>2.01309</v>
          </cell>
          <cell r="L821">
            <v>0</v>
          </cell>
          <cell r="M821">
            <v>1.904998</v>
          </cell>
          <cell r="N821">
            <v>0</v>
          </cell>
          <cell r="O821">
            <v>1.36566E-2</v>
          </cell>
          <cell r="P821">
            <v>0</v>
          </cell>
          <cell r="Q821">
            <v>1.5003967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0.3519755</v>
          </cell>
          <cell r="Y821">
            <v>0</v>
          </cell>
          <cell r="Z821">
            <v>0</v>
          </cell>
          <cell r="AA821">
            <v>0</v>
          </cell>
          <cell r="AB821">
            <v>0.11638900000000001</v>
          </cell>
        </row>
        <row r="822">
          <cell r="A822">
            <v>24162110</v>
          </cell>
          <cell r="B822" t="str">
            <v>Chicken, wing, roasted, broiled, or baked, skin eaten</v>
          </cell>
          <cell r="I822">
            <v>85</v>
          </cell>
          <cell r="J822">
            <v>214.10155</v>
          </cell>
          <cell r="K822">
            <v>2.5188417647058823</v>
          </cell>
          <cell r="L822">
            <v>0</v>
          </cell>
          <cell r="M822">
            <v>4.1943672999999997</v>
          </cell>
          <cell r="N822">
            <v>0</v>
          </cell>
          <cell r="O822">
            <v>1.53425E-2</v>
          </cell>
          <cell r="P822">
            <v>0</v>
          </cell>
          <cell r="Q822">
            <v>3.0260809000000002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0.35703299999999999</v>
          </cell>
          <cell r="Y822">
            <v>0</v>
          </cell>
          <cell r="Z822">
            <v>0</v>
          </cell>
          <cell r="AA822">
            <v>0</v>
          </cell>
          <cell r="AB822">
            <v>7.0805199999999999E-2</v>
          </cell>
        </row>
        <row r="823">
          <cell r="A823">
            <v>24162120</v>
          </cell>
          <cell r="B823" t="str">
            <v>Chicken, wing, roasted, broiled, or baked, skin not eaten</v>
          </cell>
          <cell r="I823">
            <v>85</v>
          </cell>
          <cell r="J823">
            <v>171.11265</v>
          </cell>
          <cell r="K823">
            <v>2.01309</v>
          </cell>
          <cell r="L823">
            <v>0</v>
          </cell>
          <cell r="M823">
            <v>1.904998</v>
          </cell>
          <cell r="N823">
            <v>0</v>
          </cell>
          <cell r="O823">
            <v>1.36566E-2</v>
          </cell>
          <cell r="P823">
            <v>0</v>
          </cell>
          <cell r="Q823">
            <v>1.5003967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0.3519755</v>
          </cell>
          <cell r="Y823">
            <v>0</v>
          </cell>
          <cell r="Z823">
            <v>0</v>
          </cell>
          <cell r="AA823">
            <v>0</v>
          </cell>
          <cell r="AB823">
            <v>0.1155124</v>
          </cell>
        </row>
        <row r="824">
          <cell r="A824">
            <v>24162130</v>
          </cell>
          <cell r="B824" t="str">
            <v>Chicken wing, baked, broiled, or roasted, from raw</v>
          </cell>
          <cell r="I824">
            <v>85</v>
          </cell>
          <cell r="J824">
            <v>214.18651</v>
          </cell>
          <cell r="K824">
            <v>2.5198412941176471</v>
          </cell>
          <cell r="L824">
            <v>0</v>
          </cell>
          <cell r="M824">
            <v>4.1960316999999998</v>
          </cell>
          <cell r="N824">
            <v>0</v>
          </cell>
          <cell r="O824">
            <v>1.53405E-2</v>
          </cell>
          <cell r="P824">
            <v>0</v>
          </cell>
          <cell r="Q824">
            <v>3.0272817000000001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0.34410160000000001</v>
          </cell>
          <cell r="Y824">
            <v>0</v>
          </cell>
          <cell r="Z824">
            <v>0</v>
          </cell>
          <cell r="AA824">
            <v>0</v>
          </cell>
          <cell r="AB824">
            <v>7.0833300000000002E-2</v>
          </cell>
        </row>
        <row r="825">
          <cell r="A825">
            <v>24162140</v>
          </cell>
          <cell r="B825" t="str">
            <v>Chicken wing, baked or broiled, from pre-cooked</v>
          </cell>
          <cell r="I825">
            <v>85</v>
          </cell>
          <cell r="J825">
            <v>218.45</v>
          </cell>
          <cell r="K825">
            <v>2.57</v>
          </cell>
          <cell r="L825">
            <v>0</v>
          </cell>
          <cell r="M825">
            <v>3.9329499999999999</v>
          </cell>
          <cell r="N825">
            <v>0</v>
          </cell>
          <cell r="O825">
            <v>2.8049999999999999E-2</v>
          </cell>
          <cell r="P825">
            <v>0</v>
          </cell>
          <cell r="Q825">
            <v>1.8504499999999999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0.49214999999999998</v>
          </cell>
          <cell r="Y825">
            <v>0</v>
          </cell>
          <cell r="Z825">
            <v>0</v>
          </cell>
          <cell r="AA825">
            <v>0</v>
          </cell>
          <cell r="AB825">
            <v>0.1394</v>
          </cell>
        </row>
        <row r="826">
          <cell r="A826">
            <v>24162150</v>
          </cell>
          <cell r="B826" t="str">
            <v>Chicken wing, baked or broiled, from fast food / restaurant</v>
          </cell>
          <cell r="I826">
            <v>85</v>
          </cell>
          <cell r="J826">
            <v>224.39327</v>
          </cell>
          <cell r="K826">
            <v>2.6399208235294118</v>
          </cell>
          <cell r="L826">
            <v>0</v>
          </cell>
          <cell r="M826">
            <v>4.3341677000000001</v>
          </cell>
          <cell r="N826">
            <v>0</v>
          </cell>
          <cell r="O826">
            <v>1.5051699999999999E-2</v>
          </cell>
          <cell r="P826">
            <v>0</v>
          </cell>
          <cell r="Q826">
            <v>3.6541541999999998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0.40701530000000002</v>
          </cell>
          <cell r="Y826">
            <v>0</v>
          </cell>
          <cell r="Z826">
            <v>0</v>
          </cell>
          <cell r="AA826">
            <v>0</v>
          </cell>
          <cell r="AB826">
            <v>7.5243500000000005E-2</v>
          </cell>
        </row>
        <row r="827">
          <cell r="A827">
            <v>24162200</v>
          </cell>
          <cell r="B827" t="str">
            <v>Chicken wing, rotisserie</v>
          </cell>
          <cell r="I827">
            <v>85</v>
          </cell>
          <cell r="J827">
            <v>218.45</v>
          </cell>
          <cell r="K827">
            <v>2.57</v>
          </cell>
          <cell r="L827">
            <v>0</v>
          </cell>
          <cell r="M827">
            <v>3.9329499999999999</v>
          </cell>
          <cell r="N827">
            <v>0</v>
          </cell>
          <cell r="O827">
            <v>2.8049999999999999E-2</v>
          </cell>
          <cell r="P827">
            <v>0</v>
          </cell>
          <cell r="Q827">
            <v>1.8504499999999999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0.49214999999999998</v>
          </cell>
          <cell r="Y827">
            <v>0</v>
          </cell>
          <cell r="Z827">
            <v>0</v>
          </cell>
          <cell r="AA827">
            <v>0</v>
          </cell>
          <cell r="AB827">
            <v>0.1394</v>
          </cell>
        </row>
        <row r="828">
          <cell r="A828">
            <v>24163110</v>
          </cell>
          <cell r="B828" t="str">
            <v>Chicken wing, stewed</v>
          </cell>
          <cell r="I828">
            <v>85</v>
          </cell>
          <cell r="J828">
            <v>209.97023999999999</v>
          </cell>
          <cell r="K828">
            <v>2.4702381176470589</v>
          </cell>
          <cell r="L828">
            <v>0</v>
          </cell>
          <cell r="M828">
            <v>3.9717262</v>
          </cell>
          <cell r="N828">
            <v>0</v>
          </cell>
          <cell r="O828">
            <v>1.0281E-2</v>
          </cell>
          <cell r="P828">
            <v>0</v>
          </cell>
          <cell r="Q828">
            <v>3.0188492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0.31796069999999999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</row>
        <row r="829">
          <cell r="A829">
            <v>24164000</v>
          </cell>
          <cell r="B829" t="str">
            <v>Chicken wing, grilled without sauce</v>
          </cell>
          <cell r="I829">
            <v>85</v>
          </cell>
          <cell r="J829">
            <v>224.83849000000001</v>
          </cell>
          <cell r="K829">
            <v>2.6451587058823529</v>
          </cell>
          <cell r="L829">
            <v>0</v>
          </cell>
          <cell r="M829">
            <v>4.3427671999999999</v>
          </cell>
          <cell r="N829">
            <v>0</v>
          </cell>
          <cell r="O829">
            <v>1.50411E-2</v>
          </cell>
          <cell r="P829">
            <v>0</v>
          </cell>
          <cell r="Q829">
            <v>3.6614045000000002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0.34245720000000002</v>
          </cell>
          <cell r="Y829">
            <v>0</v>
          </cell>
          <cell r="Z829">
            <v>0</v>
          </cell>
          <cell r="AA829">
            <v>0</v>
          </cell>
          <cell r="AB829">
            <v>7.5392799999999996E-2</v>
          </cell>
        </row>
        <row r="830">
          <cell r="A830">
            <v>24164010</v>
          </cell>
          <cell r="B830" t="str">
            <v>Chicken wing, grilled with sauce</v>
          </cell>
          <cell r="I830">
            <v>85</v>
          </cell>
          <cell r="J830">
            <v>212.39205999999999</v>
          </cell>
          <cell r="K830">
            <v>2.4987301176470589</v>
          </cell>
          <cell r="L830">
            <v>0.13660710000000001</v>
          </cell>
          <cell r="M830">
            <v>3.5943119000000001</v>
          </cell>
          <cell r="N830">
            <v>0</v>
          </cell>
          <cell r="O830">
            <v>1.7317900000000001E-2</v>
          </cell>
          <cell r="P830">
            <v>0</v>
          </cell>
          <cell r="Q830">
            <v>3.1318242000000001</v>
          </cell>
          <cell r="R830">
            <v>0</v>
          </cell>
          <cell r="S830">
            <v>0</v>
          </cell>
          <cell r="T830">
            <v>0</v>
          </cell>
          <cell r="U830">
            <v>4.8343749999999996</v>
          </cell>
          <cell r="V830">
            <v>0</v>
          </cell>
          <cell r="W830">
            <v>0</v>
          </cell>
          <cell r="X830">
            <v>0.48346620000000001</v>
          </cell>
          <cell r="Y830">
            <v>0</v>
          </cell>
          <cell r="Z830">
            <v>0</v>
          </cell>
          <cell r="AA830">
            <v>0</v>
          </cell>
          <cell r="AB830">
            <v>6.2642799999999998E-2</v>
          </cell>
        </row>
        <row r="831">
          <cell r="A831">
            <v>24164100</v>
          </cell>
          <cell r="B831" t="str">
            <v>Chicken, wing, fried, no coating, NS as to skin eaten</v>
          </cell>
          <cell r="I831">
            <v>85</v>
          </cell>
          <cell r="J831">
            <v>178.20916</v>
          </cell>
          <cell r="K831">
            <v>2.0965783529411763</v>
          </cell>
          <cell r="L831">
            <v>0</v>
          </cell>
          <cell r="M831">
            <v>3.9402313000000002</v>
          </cell>
          <cell r="N831">
            <v>0</v>
          </cell>
          <cell r="O831">
            <v>9.1841000000000006E-3</v>
          </cell>
          <cell r="P831">
            <v>0</v>
          </cell>
          <cell r="Q831">
            <v>3.0410829000000001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0.30706919999999999</v>
          </cell>
          <cell r="Y831">
            <v>0</v>
          </cell>
          <cell r="Z831">
            <v>0</v>
          </cell>
          <cell r="AA831">
            <v>0</v>
          </cell>
          <cell r="AB831">
            <v>0.21939990000000001</v>
          </cell>
        </row>
        <row r="832">
          <cell r="A832">
            <v>24164110</v>
          </cell>
          <cell r="B832" t="str">
            <v>Chicken, wing, fried, no coating, skin eaten, NS as to type of fat added in cooking</v>
          </cell>
          <cell r="I832">
            <v>85</v>
          </cell>
          <cell r="J832">
            <v>172.65713</v>
          </cell>
          <cell r="K832">
            <v>2.0312603529411764</v>
          </cell>
          <cell r="L832">
            <v>0</v>
          </cell>
          <cell r="M832">
            <v>3.1506096000000001</v>
          </cell>
          <cell r="N832">
            <v>0</v>
          </cell>
          <cell r="O832">
            <v>9.2528000000000003E-3</v>
          </cell>
          <cell r="P832">
            <v>0</v>
          </cell>
          <cell r="Q832">
            <v>2.7479569000000001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0.30996669999999998</v>
          </cell>
          <cell r="Y832">
            <v>0</v>
          </cell>
          <cell r="Z832">
            <v>0</v>
          </cell>
          <cell r="AA832">
            <v>0</v>
          </cell>
          <cell r="AB832">
            <v>0.1606187</v>
          </cell>
        </row>
        <row r="833">
          <cell r="A833">
            <v>24164113</v>
          </cell>
          <cell r="B833" t="str">
            <v>Chicken, wing, fried, no coating, skin eaten, made with oil</v>
          </cell>
          <cell r="I833">
            <v>85</v>
          </cell>
          <cell r="J833">
            <v>172.65713</v>
          </cell>
          <cell r="K833">
            <v>2.0312603529411764</v>
          </cell>
          <cell r="L833">
            <v>0</v>
          </cell>
          <cell r="M833">
            <v>3.1506096000000001</v>
          </cell>
          <cell r="N833">
            <v>0</v>
          </cell>
          <cell r="O833">
            <v>9.2528000000000003E-3</v>
          </cell>
          <cell r="P833">
            <v>0</v>
          </cell>
          <cell r="Q833">
            <v>2.7479569000000001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0.30996669999999998</v>
          </cell>
          <cell r="Y833">
            <v>0</v>
          </cell>
          <cell r="Z833">
            <v>0</v>
          </cell>
          <cell r="AA833">
            <v>0</v>
          </cell>
          <cell r="AB833">
            <v>5.6325E-2</v>
          </cell>
        </row>
        <row r="834">
          <cell r="A834">
            <v>24164120</v>
          </cell>
          <cell r="B834" t="str">
            <v>Chicken, wing, fried, no coating, skin not eaten, NS as to type of fat added in cooking</v>
          </cell>
          <cell r="I834">
            <v>85</v>
          </cell>
          <cell r="J834">
            <v>118.88584</v>
          </cell>
          <cell r="K834">
            <v>1.3986569411764707</v>
          </cell>
          <cell r="L834">
            <v>0</v>
          </cell>
          <cell r="M834">
            <v>1.0038943</v>
          </cell>
          <cell r="N834">
            <v>0</v>
          </cell>
          <cell r="O834">
            <v>1.09073E-2</v>
          </cell>
          <cell r="P834">
            <v>0</v>
          </cell>
          <cell r="Q834">
            <v>1.3432854000000001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0.30748490000000001</v>
          </cell>
          <cell r="Y834">
            <v>0</v>
          </cell>
          <cell r="Z834">
            <v>0</v>
          </cell>
          <cell r="AA834">
            <v>0</v>
          </cell>
          <cell r="AB834">
            <v>0.39993030000000002</v>
          </cell>
        </row>
        <row r="835">
          <cell r="A835">
            <v>24164123</v>
          </cell>
          <cell r="B835" t="str">
            <v>Chicken, wing, fried, no coating, skin not eaten, made with oil</v>
          </cell>
          <cell r="I835">
            <v>85</v>
          </cell>
          <cell r="J835">
            <v>118.88584</v>
          </cell>
          <cell r="K835">
            <v>1.3986569411764707</v>
          </cell>
          <cell r="L835">
            <v>0</v>
          </cell>
          <cell r="M835">
            <v>1.0038943</v>
          </cell>
          <cell r="N835">
            <v>0</v>
          </cell>
          <cell r="O835">
            <v>1.09073E-2</v>
          </cell>
          <cell r="P835">
            <v>0</v>
          </cell>
          <cell r="Q835">
            <v>1.3432854000000001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0.30748490000000001</v>
          </cell>
          <cell r="Y835">
            <v>0</v>
          </cell>
          <cell r="Z835">
            <v>0</v>
          </cell>
          <cell r="AA835">
            <v>0</v>
          </cell>
          <cell r="AB835">
            <v>0.224499</v>
          </cell>
        </row>
        <row r="836">
          <cell r="A836">
            <v>24164200</v>
          </cell>
          <cell r="B836" t="str">
            <v>Chicken wing, sauteed</v>
          </cell>
          <cell r="I836">
            <v>85</v>
          </cell>
          <cell r="J836">
            <v>224.83849000000001</v>
          </cell>
          <cell r="K836">
            <v>2.6451587058823529</v>
          </cell>
          <cell r="L836">
            <v>0</v>
          </cell>
          <cell r="M836">
            <v>4.3427671999999999</v>
          </cell>
          <cell r="N836">
            <v>0</v>
          </cell>
          <cell r="O836">
            <v>1.50411E-2</v>
          </cell>
          <cell r="P836">
            <v>0</v>
          </cell>
          <cell r="Q836">
            <v>3.6614045000000002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0.34245720000000002</v>
          </cell>
          <cell r="Y836">
            <v>0</v>
          </cell>
          <cell r="Z836">
            <v>0</v>
          </cell>
          <cell r="AA836">
            <v>0</v>
          </cell>
          <cell r="AB836">
            <v>7.5392799999999996E-2</v>
          </cell>
        </row>
        <row r="837">
          <cell r="A837">
            <v>24167110</v>
          </cell>
          <cell r="B837" t="str">
            <v>Chicken, wing, coated, baked or fried, prepared with skin, skin/coating eaten, NS as to type of fat added in cooking</v>
          </cell>
          <cell r="I837">
            <v>85</v>
          </cell>
          <cell r="J837">
            <v>196.86479</v>
          </cell>
          <cell r="K837">
            <v>2.3160563529411764</v>
          </cell>
          <cell r="L837">
            <v>0</v>
          </cell>
          <cell r="M837">
            <v>3.1483903999999998</v>
          </cell>
          <cell r="N837">
            <v>0</v>
          </cell>
          <cell r="O837">
            <v>1.4957099999999999E-2</v>
          </cell>
          <cell r="P837">
            <v>0.16168299999999999</v>
          </cell>
          <cell r="Q837">
            <v>3.6725446000000002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0.25594440000000002</v>
          </cell>
          <cell r="Y837">
            <v>0</v>
          </cell>
          <cell r="Z837">
            <v>0</v>
          </cell>
          <cell r="AA837">
            <v>0</v>
          </cell>
          <cell r="AB837">
            <v>0.43444290000000002</v>
          </cell>
        </row>
        <row r="838">
          <cell r="A838">
            <v>24167113</v>
          </cell>
          <cell r="B838" t="str">
            <v>Chicken, wing, coated, baked or fried, prepared with skin, skin/coating eaten, made with oil</v>
          </cell>
          <cell r="I838">
            <v>85</v>
          </cell>
          <cell r="J838">
            <v>196.86479</v>
          </cell>
          <cell r="K838">
            <v>2.3160563529411764</v>
          </cell>
          <cell r="L838">
            <v>0</v>
          </cell>
          <cell r="M838">
            <v>3.1483903999999998</v>
          </cell>
          <cell r="N838">
            <v>0</v>
          </cell>
          <cell r="O838">
            <v>1.4957099999999999E-2</v>
          </cell>
          <cell r="P838">
            <v>0.16168299999999999</v>
          </cell>
          <cell r="Q838">
            <v>3.6725446000000002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0.25594440000000002</v>
          </cell>
          <cell r="Y838">
            <v>0</v>
          </cell>
          <cell r="Z838">
            <v>0</v>
          </cell>
          <cell r="AA838">
            <v>0</v>
          </cell>
          <cell r="AB838">
            <v>0.1037281</v>
          </cell>
        </row>
        <row r="839">
          <cell r="A839">
            <v>24167120</v>
          </cell>
          <cell r="B839" t="str">
            <v>Chicken, wing, coated, baked or fried, prepared with skin, skin/coating not eaten, NS as to type of fat added in cooking</v>
          </cell>
          <cell r="I839">
            <v>85</v>
          </cell>
          <cell r="J839">
            <v>118.88584</v>
          </cell>
          <cell r="K839">
            <v>1.3986569411764707</v>
          </cell>
          <cell r="L839">
            <v>0</v>
          </cell>
          <cell r="M839">
            <v>1.0038943</v>
          </cell>
          <cell r="N839">
            <v>0</v>
          </cell>
          <cell r="O839">
            <v>1.09073E-2</v>
          </cell>
          <cell r="P839">
            <v>0</v>
          </cell>
          <cell r="Q839">
            <v>1.3432854000000001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0.30748490000000001</v>
          </cell>
          <cell r="Y839">
            <v>0</v>
          </cell>
          <cell r="Z839">
            <v>0</v>
          </cell>
          <cell r="AA839">
            <v>0</v>
          </cell>
          <cell r="AB839">
            <v>0.42872579999999999</v>
          </cell>
        </row>
        <row r="840">
          <cell r="A840">
            <v>24167130</v>
          </cell>
          <cell r="B840" t="str">
            <v>Chicken, wing, from fast food, coated, baked or fried, prepared with skin, skin/coating eaten</v>
          </cell>
          <cell r="I840">
            <v>85</v>
          </cell>
          <cell r="J840">
            <v>263.5</v>
          </cell>
          <cell r="K840">
            <v>3.1</v>
          </cell>
          <cell r="L840">
            <v>0</v>
          </cell>
          <cell r="M840">
            <v>4.5542999999999996</v>
          </cell>
          <cell r="N840">
            <v>0</v>
          </cell>
          <cell r="O840">
            <v>5.6950000000000001E-2</v>
          </cell>
          <cell r="P840">
            <v>8.5000000000000006E-2</v>
          </cell>
          <cell r="Q840">
            <v>2.8509000000000002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0.73694999999999999</v>
          </cell>
          <cell r="Y840">
            <v>0</v>
          </cell>
          <cell r="Z840">
            <v>0</v>
          </cell>
          <cell r="AA840">
            <v>0</v>
          </cell>
          <cell r="AB840">
            <v>0.26519999999999999</v>
          </cell>
        </row>
        <row r="841">
          <cell r="A841">
            <v>24167135</v>
          </cell>
          <cell r="B841" t="str">
            <v>Chicken, wing, from fast food, coated, baked or fried, prepared with skin, skin/coating not eaten</v>
          </cell>
          <cell r="I841">
            <v>85</v>
          </cell>
          <cell r="J841">
            <v>182.75</v>
          </cell>
          <cell r="K841">
            <v>2.15</v>
          </cell>
          <cell r="L841">
            <v>0</v>
          </cell>
          <cell r="M841">
            <v>2.2533500000000002</v>
          </cell>
          <cell r="N841">
            <v>0</v>
          </cell>
          <cell r="O841">
            <v>3.4000000000000002E-2</v>
          </cell>
          <cell r="P841">
            <v>0</v>
          </cell>
          <cell r="Q841">
            <v>1.5784499999999999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0.64685000000000004</v>
          </cell>
          <cell r="Y841">
            <v>0</v>
          </cell>
          <cell r="Z841">
            <v>0</v>
          </cell>
          <cell r="AA841">
            <v>0</v>
          </cell>
          <cell r="AB841">
            <v>9.01E-2</v>
          </cell>
        </row>
        <row r="842">
          <cell r="A842">
            <v>24167200</v>
          </cell>
          <cell r="B842" t="str">
            <v>Chicken wing, fried, coated, from raw</v>
          </cell>
          <cell r="I842">
            <v>85</v>
          </cell>
          <cell r="J842">
            <v>244.71433999999999</v>
          </cell>
          <cell r="K842">
            <v>2.8789922352941177</v>
          </cell>
          <cell r="L842">
            <v>0</v>
          </cell>
          <cell r="M842">
            <v>4.1226605999999997</v>
          </cell>
          <cell r="N842">
            <v>0</v>
          </cell>
          <cell r="O842">
            <v>1.7987800000000002E-2</v>
          </cell>
          <cell r="P842">
            <v>0.19841439999999999</v>
          </cell>
          <cell r="Q842">
            <v>4.8507023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0.3570296</v>
          </cell>
          <cell r="Y842">
            <v>0</v>
          </cell>
          <cell r="Z842">
            <v>0</v>
          </cell>
          <cell r="AA842">
            <v>0</v>
          </cell>
          <cell r="AB842">
            <v>7.6417700000000005E-2</v>
          </cell>
        </row>
        <row r="843">
          <cell r="A843">
            <v>24167210</v>
          </cell>
          <cell r="B843" t="str">
            <v>Chicken wing, fried, coated, from pre-cooked</v>
          </cell>
          <cell r="I843">
            <v>85</v>
          </cell>
          <cell r="J843">
            <v>248.44304</v>
          </cell>
          <cell r="K843">
            <v>2.922859294117647</v>
          </cell>
          <cell r="L843">
            <v>0</v>
          </cell>
          <cell r="M843">
            <v>4.0745969999999998</v>
          </cell>
          <cell r="N843">
            <v>0</v>
          </cell>
          <cell r="O843">
            <v>1.8578899999999999E-2</v>
          </cell>
          <cell r="P843">
            <v>0.2378613</v>
          </cell>
          <cell r="Q843">
            <v>5.0835186999999999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0.39223780000000003</v>
          </cell>
          <cell r="Y843">
            <v>0</v>
          </cell>
          <cell r="Z843">
            <v>0</v>
          </cell>
          <cell r="AA843">
            <v>0</v>
          </cell>
          <cell r="AB843">
            <v>7.6546799999999998E-2</v>
          </cell>
        </row>
        <row r="844">
          <cell r="A844">
            <v>24167220</v>
          </cell>
          <cell r="B844" t="str">
            <v>Chicken wing, fried, coated, from fast food</v>
          </cell>
          <cell r="I844">
            <v>85</v>
          </cell>
          <cell r="J844">
            <v>273.39253000000002</v>
          </cell>
          <cell r="K844">
            <v>3.2163827058823533</v>
          </cell>
          <cell r="L844">
            <v>0</v>
          </cell>
          <cell r="M844">
            <v>4.2486332999999998</v>
          </cell>
          <cell r="N844">
            <v>0</v>
          </cell>
          <cell r="O844">
            <v>5.1386000000000001E-2</v>
          </cell>
          <cell r="P844">
            <v>0.27090720000000001</v>
          </cell>
          <cell r="Q844">
            <v>4.1025577000000002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0.71719520000000003</v>
          </cell>
          <cell r="Y844">
            <v>0</v>
          </cell>
          <cell r="Z844">
            <v>0</v>
          </cell>
          <cell r="AA844">
            <v>0</v>
          </cell>
          <cell r="AB844">
            <v>0.2260113</v>
          </cell>
        </row>
        <row r="845">
          <cell r="A845">
            <v>24167230</v>
          </cell>
          <cell r="B845" t="str">
            <v>Chicken wing, fried, coated, from restaurant</v>
          </cell>
          <cell r="I845">
            <v>85</v>
          </cell>
          <cell r="J845">
            <v>273.39253000000002</v>
          </cell>
          <cell r="K845">
            <v>3.2163827058823533</v>
          </cell>
          <cell r="L845">
            <v>0</v>
          </cell>
          <cell r="M845">
            <v>4.2486332999999998</v>
          </cell>
          <cell r="N845">
            <v>0</v>
          </cell>
          <cell r="O845">
            <v>5.1386000000000001E-2</v>
          </cell>
          <cell r="P845">
            <v>0.27090720000000001</v>
          </cell>
          <cell r="Q845">
            <v>4.1025577000000002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0.71719520000000003</v>
          </cell>
          <cell r="Y845">
            <v>0</v>
          </cell>
          <cell r="Z845">
            <v>0</v>
          </cell>
          <cell r="AA845">
            <v>0</v>
          </cell>
          <cell r="AB845">
            <v>0.2260113</v>
          </cell>
        </row>
        <row r="846">
          <cell r="A846">
            <v>24167300</v>
          </cell>
          <cell r="B846" t="str">
            <v>Chicken wing, baked, coated</v>
          </cell>
          <cell r="I846">
            <v>85</v>
          </cell>
          <cell r="J846">
            <v>220.33574999999999</v>
          </cell>
          <cell r="K846">
            <v>2.5921852941176469</v>
          </cell>
          <cell r="L846">
            <v>0</v>
          </cell>
          <cell r="M846">
            <v>3.9514703</v>
          </cell>
          <cell r="N846">
            <v>0</v>
          </cell>
          <cell r="O846">
            <v>1.7504499999999999E-2</v>
          </cell>
          <cell r="P846">
            <v>0.13227630000000001</v>
          </cell>
          <cell r="Q846">
            <v>3.3973984000000002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0.35491270000000003</v>
          </cell>
          <cell r="Y846">
            <v>0</v>
          </cell>
          <cell r="Z846">
            <v>0</v>
          </cell>
          <cell r="AA846">
            <v>0</v>
          </cell>
          <cell r="AB846">
            <v>6.8476999999999996E-2</v>
          </cell>
        </row>
        <row r="847">
          <cell r="A847">
            <v>24168000</v>
          </cell>
          <cell r="B847" t="str">
            <v>Chicken "wings" with hot sauce, from fast food / restaurant</v>
          </cell>
          <cell r="I847">
            <v>85</v>
          </cell>
          <cell r="J847">
            <v>229.07078000000001</v>
          </cell>
          <cell r="K847">
            <v>2.6949503529411767</v>
          </cell>
          <cell r="L847">
            <v>2.53479E-2</v>
          </cell>
          <cell r="M847">
            <v>5.5628663999999999</v>
          </cell>
          <cell r="N847">
            <v>0</v>
          </cell>
          <cell r="O847">
            <v>3.3406900000000003E-2</v>
          </cell>
          <cell r="P847">
            <v>2.9572600000000001E-2</v>
          </cell>
          <cell r="Q847">
            <v>2.5838630999999999</v>
          </cell>
          <cell r="R847">
            <v>0</v>
          </cell>
          <cell r="S847">
            <v>0</v>
          </cell>
          <cell r="T847">
            <v>0</v>
          </cell>
          <cell r="U847">
            <v>2.5875994000000002</v>
          </cell>
          <cell r="V847">
            <v>0</v>
          </cell>
          <cell r="W847">
            <v>0</v>
          </cell>
          <cell r="X847">
            <v>0.7200936</v>
          </cell>
          <cell r="Y847">
            <v>0</v>
          </cell>
          <cell r="Z847">
            <v>0</v>
          </cell>
          <cell r="AA847">
            <v>0</v>
          </cell>
          <cell r="AB847">
            <v>0.39334999999999998</v>
          </cell>
        </row>
        <row r="848">
          <cell r="A848">
            <v>24168001</v>
          </cell>
          <cell r="B848" t="str">
            <v>Chicken "wings" with other sauces or seasoning, from fast food / restaurant</v>
          </cell>
          <cell r="I848">
            <v>85</v>
          </cell>
          <cell r="J848">
            <v>234.3518</v>
          </cell>
          <cell r="K848">
            <v>2.7570799999999998</v>
          </cell>
          <cell r="L848">
            <v>0.16830000000000001</v>
          </cell>
          <cell r="M848">
            <v>3.5243519999999999</v>
          </cell>
          <cell r="N848">
            <v>0</v>
          </cell>
          <cell r="O848">
            <v>3.7329899999999999E-2</v>
          </cell>
          <cell r="P848">
            <v>2.9749999999999999E-2</v>
          </cell>
          <cell r="Q848">
            <v>2.8072206</v>
          </cell>
          <cell r="R848">
            <v>0</v>
          </cell>
          <cell r="S848">
            <v>0</v>
          </cell>
          <cell r="T848">
            <v>0</v>
          </cell>
          <cell r="U848">
            <v>5.9559499999999996</v>
          </cell>
          <cell r="V848">
            <v>0</v>
          </cell>
          <cell r="W848">
            <v>0</v>
          </cell>
          <cell r="X848">
            <v>0.64685429999999999</v>
          </cell>
          <cell r="Y848">
            <v>0</v>
          </cell>
          <cell r="Z848">
            <v>0</v>
          </cell>
          <cell r="AA848">
            <v>0</v>
          </cell>
          <cell r="AB848">
            <v>0.2259804</v>
          </cell>
        </row>
        <row r="849">
          <cell r="A849">
            <v>24168002</v>
          </cell>
          <cell r="B849" t="str">
            <v>Chicken "wings", plain, from fast food / restaurant</v>
          </cell>
          <cell r="I849">
            <v>85</v>
          </cell>
          <cell r="J849">
            <v>273.39253000000002</v>
          </cell>
          <cell r="K849">
            <v>3.2163827058823533</v>
          </cell>
          <cell r="L849">
            <v>0</v>
          </cell>
          <cell r="M849">
            <v>4.2486332999999998</v>
          </cell>
          <cell r="N849">
            <v>0</v>
          </cell>
          <cell r="O849">
            <v>5.1386000000000001E-2</v>
          </cell>
          <cell r="P849">
            <v>0.27090720000000001</v>
          </cell>
          <cell r="Q849">
            <v>4.1025577000000002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0.71719520000000003</v>
          </cell>
          <cell r="Y849">
            <v>0</v>
          </cell>
          <cell r="Z849">
            <v>0</v>
          </cell>
          <cell r="AA849">
            <v>0</v>
          </cell>
          <cell r="AB849">
            <v>0.2260113</v>
          </cell>
        </row>
        <row r="850">
          <cell r="A850">
            <v>24168010</v>
          </cell>
          <cell r="B850" t="str">
            <v>Chicken "wings" with hot sauce, from precooked</v>
          </cell>
          <cell r="I850">
            <v>85</v>
          </cell>
          <cell r="J850">
            <v>213.39732000000001</v>
          </cell>
          <cell r="K850">
            <v>2.5105567058823532</v>
          </cell>
          <cell r="L850">
            <v>2.53479E-2</v>
          </cell>
          <cell r="M850">
            <v>5.3466909999999999</v>
          </cell>
          <cell r="N850">
            <v>0</v>
          </cell>
          <cell r="O850">
            <v>2.33522E-2</v>
          </cell>
          <cell r="P850">
            <v>0</v>
          </cell>
          <cell r="Q850">
            <v>2.2357939999999998</v>
          </cell>
          <cell r="R850">
            <v>0</v>
          </cell>
          <cell r="S850">
            <v>0</v>
          </cell>
          <cell r="T850">
            <v>0</v>
          </cell>
          <cell r="U850">
            <v>2.5875994000000002</v>
          </cell>
          <cell r="V850">
            <v>0</v>
          </cell>
          <cell r="W850">
            <v>0</v>
          </cell>
          <cell r="X850">
            <v>0.63492470000000001</v>
          </cell>
          <cell r="Y850">
            <v>0</v>
          </cell>
          <cell r="Z850">
            <v>0</v>
          </cell>
          <cell r="AA850">
            <v>0</v>
          </cell>
          <cell r="AB850">
            <v>0.4267688</v>
          </cell>
        </row>
        <row r="851">
          <cell r="A851">
            <v>24168011</v>
          </cell>
          <cell r="B851" t="str">
            <v>Chicken "wings" with other sauces or seasoning, from precooked</v>
          </cell>
          <cell r="I851">
            <v>85</v>
          </cell>
          <cell r="J851">
            <v>218.58430000000001</v>
          </cell>
          <cell r="K851">
            <v>2.57158</v>
          </cell>
          <cell r="L851">
            <v>0.16830000000000001</v>
          </cell>
          <cell r="M851">
            <v>3.3068795</v>
          </cell>
          <cell r="N851">
            <v>0</v>
          </cell>
          <cell r="O851">
            <v>2.72149E-2</v>
          </cell>
          <cell r="P851">
            <v>0</v>
          </cell>
          <cell r="Q851">
            <v>2.4570631000000001</v>
          </cell>
          <cell r="R851">
            <v>0</v>
          </cell>
          <cell r="S851">
            <v>0</v>
          </cell>
          <cell r="T851">
            <v>0</v>
          </cell>
          <cell r="U851">
            <v>5.9559499999999996</v>
          </cell>
          <cell r="V851">
            <v>0</v>
          </cell>
          <cell r="W851">
            <v>0</v>
          </cell>
          <cell r="X851">
            <v>0.56117430000000001</v>
          </cell>
          <cell r="Y851">
            <v>0</v>
          </cell>
          <cell r="Z851">
            <v>0</v>
          </cell>
          <cell r="AA851">
            <v>0</v>
          </cell>
          <cell r="AB851">
            <v>0.25920019999999999</v>
          </cell>
        </row>
        <row r="852">
          <cell r="A852">
            <v>24168012</v>
          </cell>
          <cell r="B852" t="str">
            <v>Chicken "wings", plain, from precooked</v>
          </cell>
          <cell r="I852">
            <v>85</v>
          </cell>
          <cell r="J852">
            <v>248.44304</v>
          </cell>
          <cell r="K852">
            <v>2.922859294117647</v>
          </cell>
          <cell r="L852">
            <v>0</v>
          </cell>
          <cell r="M852">
            <v>4.0745969999999998</v>
          </cell>
          <cell r="N852">
            <v>0</v>
          </cell>
          <cell r="O852">
            <v>1.8578899999999999E-2</v>
          </cell>
          <cell r="P852">
            <v>0.2378613</v>
          </cell>
          <cell r="Q852">
            <v>5.0835186999999999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0.39223780000000003</v>
          </cell>
          <cell r="Y852">
            <v>0</v>
          </cell>
          <cell r="Z852">
            <v>0</v>
          </cell>
          <cell r="AA852">
            <v>0</v>
          </cell>
          <cell r="AB852">
            <v>7.6546799999999998E-2</v>
          </cell>
        </row>
        <row r="853">
          <cell r="A853">
            <v>24168020</v>
          </cell>
          <cell r="B853" t="str">
            <v>Chicken "wings" with hot sauce, from other sources</v>
          </cell>
          <cell r="I853">
            <v>85</v>
          </cell>
          <cell r="J853">
            <v>224.36874</v>
          </cell>
          <cell r="K853">
            <v>2.6396322352941177</v>
          </cell>
          <cell r="L853">
            <v>2.53479E-2</v>
          </cell>
          <cell r="M853">
            <v>5.4980137999999998</v>
          </cell>
          <cell r="N853">
            <v>0</v>
          </cell>
          <cell r="O853">
            <v>3.0390500000000001E-2</v>
          </cell>
          <cell r="P853">
            <v>2.0700799999999998E-2</v>
          </cell>
          <cell r="Q853">
            <v>2.4794423999999999</v>
          </cell>
          <cell r="R853">
            <v>0</v>
          </cell>
          <cell r="S853">
            <v>0</v>
          </cell>
          <cell r="T853">
            <v>0</v>
          </cell>
          <cell r="U853">
            <v>2.5875994000000002</v>
          </cell>
          <cell r="V853">
            <v>0</v>
          </cell>
          <cell r="W853">
            <v>0</v>
          </cell>
          <cell r="X853">
            <v>0.69454289999999996</v>
          </cell>
          <cell r="Y853">
            <v>0</v>
          </cell>
          <cell r="Z853">
            <v>0</v>
          </cell>
          <cell r="AA853">
            <v>0</v>
          </cell>
          <cell r="AB853">
            <v>0.40391919999999998</v>
          </cell>
        </row>
        <row r="854">
          <cell r="A854">
            <v>24168021</v>
          </cell>
          <cell r="B854" t="str">
            <v>Chicken "wings" with other sauces or seasoning, from other sources</v>
          </cell>
          <cell r="I854">
            <v>85</v>
          </cell>
          <cell r="J854">
            <v>229.62155000000001</v>
          </cell>
          <cell r="K854">
            <v>2.7014300000000002</v>
          </cell>
          <cell r="L854">
            <v>0.16830000000000001</v>
          </cell>
          <cell r="M854">
            <v>3.4591102999999999</v>
          </cell>
          <cell r="N854">
            <v>0</v>
          </cell>
          <cell r="O854">
            <v>3.4295399999999997E-2</v>
          </cell>
          <cell r="P854">
            <v>2.0825E-2</v>
          </cell>
          <cell r="Q854">
            <v>2.7021733999999999</v>
          </cell>
          <cell r="R854">
            <v>0</v>
          </cell>
          <cell r="S854">
            <v>0</v>
          </cell>
          <cell r="T854">
            <v>0</v>
          </cell>
          <cell r="U854">
            <v>5.9559499999999996</v>
          </cell>
          <cell r="V854">
            <v>0</v>
          </cell>
          <cell r="W854">
            <v>0</v>
          </cell>
          <cell r="X854">
            <v>0.62115030000000004</v>
          </cell>
          <cell r="Y854">
            <v>0</v>
          </cell>
          <cell r="Z854">
            <v>0</v>
          </cell>
          <cell r="AA854">
            <v>0</v>
          </cell>
          <cell r="AB854">
            <v>0.2362252</v>
          </cell>
        </row>
        <row r="855">
          <cell r="A855">
            <v>24168022</v>
          </cell>
          <cell r="B855" t="str">
            <v>Chicken "wings", plain, from other sources</v>
          </cell>
          <cell r="I855">
            <v>85</v>
          </cell>
          <cell r="J855">
            <v>265.90768000000003</v>
          </cell>
          <cell r="K855">
            <v>3.1283256470588237</v>
          </cell>
          <cell r="L855">
            <v>0</v>
          </cell>
          <cell r="M855">
            <v>4.1964224000000003</v>
          </cell>
          <cell r="N855">
            <v>0</v>
          </cell>
          <cell r="O855">
            <v>4.1543900000000002E-2</v>
          </cell>
          <cell r="P855">
            <v>0.26099339999999999</v>
          </cell>
          <cell r="Q855">
            <v>4.396846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0.61970789999999998</v>
          </cell>
          <cell r="Y855">
            <v>0</v>
          </cell>
          <cell r="Z855">
            <v>0</v>
          </cell>
          <cell r="AA855">
            <v>0</v>
          </cell>
          <cell r="AB855">
            <v>0.1811719</v>
          </cell>
        </row>
        <row r="856">
          <cell r="A856">
            <v>24168030</v>
          </cell>
          <cell r="B856" t="str">
            <v>Chicken "wings", boneless, with hot sauce, from fast food / restaurant</v>
          </cell>
          <cell r="I856">
            <v>85</v>
          </cell>
          <cell r="J856">
            <v>238.69972000000001</v>
          </cell>
          <cell r="K856">
            <v>2.8082320000000003</v>
          </cell>
          <cell r="L856">
            <v>0.13434389999999999</v>
          </cell>
          <cell r="M856">
            <v>2.8838303000000001</v>
          </cell>
          <cell r="N856">
            <v>0</v>
          </cell>
          <cell r="O856">
            <v>1.43137E-2</v>
          </cell>
          <cell r="P856">
            <v>0.63659770000000004</v>
          </cell>
          <cell r="Q856">
            <v>4.3731248999999996</v>
          </cell>
          <cell r="R856">
            <v>0</v>
          </cell>
          <cell r="S856">
            <v>0</v>
          </cell>
          <cell r="T856">
            <v>0</v>
          </cell>
          <cell r="U856">
            <v>5.0923955999999997</v>
          </cell>
          <cell r="V856">
            <v>0</v>
          </cell>
          <cell r="W856">
            <v>0</v>
          </cell>
          <cell r="X856">
            <v>0.74725589999999997</v>
          </cell>
          <cell r="Y856">
            <v>0</v>
          </cell>
          <cell r="Z856">
            <v>0</v>
          </cell>
          <cell r="AA856">
            <v>0</v>
          </cell>
          <cell r="AB856">
            <v>0.36153560000000001</v>
          </cell>
        </row>
        <row r="857">
          <cell r="A857">
            <v>24170200</v>
          </cell>
          <cell r="B857" t="str">
            <v>Chicken, back</v>
          </cell>
          <cell r="I857">
            <v>85</v>
          </cell>
          <cell r="J857">
            <v>252.87584000000001</v>
          </cell>
          <cell r="K857">
            <v>2.9750098823529414</v>
          </cell>
          <cell r="L857">
            <v>0</v>
          </cell>
          <cell r="M857">
            <v>4.9057914</v>
          </cell>
          <cell r="N857">
            <v>0</v>
          </cell>
          <cell r="O857">
            <v>1.78712E-2</v>
          </cell>
          <cell r="P857">
            <v>0</v>
          </cell>
          <cell r="Q857">
            <v>3.894288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0.34776089999999998</v>
          </cell>
          <cell r="Y857">
            <v>0</v>
          </cell>
          <cell r="Z857">
            <v>0</v>
          </cell>
          <cell r="AA857">
            <v>0</v>
          </cell>
          <cell r="AB857">
            <v>3.5631999999999997E-2</v>
          </cell>
        </row>
        <row r="858">
          <cell r="A858">
            <v>24180200</v>
          </cell>
          <cell r="B858" t="str">
            <v>Chicken, neck or ribs</v>
          </cell>
          <cell r="I858">
            <v>85</v>
          </cell>
          <cell r="J858">
            <v>208.20111</v>
          </cell>
          <cell r="K858">
            <v>2.4494248235294118</v>
          </cell>
          <cell r="L858">
            <v>0</v>
          </cell>
          <cell r="M858">
            <v>4.2145973999999997</v>
          </cell>
          <cell r="N858">
            <v>0</v>
          </cell>
          <cell r="O858">
            <v>2.2928799999999999E-2</v>
          </cell>
          <cell r="P858">
            <v>0</v>
          </cell>
          <cell r="Q858">
            <v>3.3211027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0.31825870000000001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</row>
        <row r="859">
          <cell r="A859">
            <v>24198440</v>
          </cell>
          <cell r="B859" t="str">
            <v>Chicken skin</v>
          </cell>
          <cell r="I859">
            <v>85</v>
          </cell>
          <cell r="J859">
            <v>382.68544000000003</v>
          </cell>
          <cell r="K859">
            <v>4.5021816470588236</v>
          </cell>
          <cell r="L859">
            <v>0</v>
          </cell>
          <cell r="M859">
            <v>9.6261404000000006</v>
          </cell>
          <cell r="N859">
            <v>0</v>
          </cell>
          <cell r="O859">
            <v>1.19708E-2</v>
          </cell>
          <cell r="P859">
            <v>0</v>
          </cell>
          <cell r="Q859">
            <v>7.2238198999999996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0.32921669999999997</v>
          </cell>
          <cell r="Y859">
            <v>0</v>
          </cell>
          <cell r="Z859">
            <v>0</v>
          </cell>
          <cell r="AA859">
            <v>0</v>
          </cell>
          <cell r="AB859">
            <v>6.8327799999999994E-2</v>
          </cell>
        </row>
        <row r="860">
          <cell r="A860">
            <v>24198500</v>
          </cell>
          <cell r="B860" t="str">
            <v>Chicken feet</v>
          </cell>
          <cell r="I860">
            <v>85</v>
          </cell>
          <cell r="J860">
            <v>182.75</v>
          </cell>
          <cell r="K860">
            <v>2.15</v>
          </cell>
          <cell r="L860">
            <v>0</v>
          </cell>
          <cell r="M860">
            <v>3.3319999999999999</v>
          </cell>
          <cell r="N860">
            <v>0</v>
          </cell>
          <cell r="O860">
            <v>7.4800000000000005E-2</v>
          </cell>
          <cell r="P860">
            <v>0</v>
          </cell>
          <cell r="Q860">
            <v>2.5329999999999999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5.6950000000000001E-2</v>
          </cell>
          <cell r="Y860">
            <v>0</v>
          </cell>
          <cell r="Z860">
            <v>0</v>
          </cell>
          <cell r="AA860">
            <v>0</v>
          </cell>
          <cell r="AB860">
            <v>0.34092250000000002</v>
          </cell>
        </row>
        <row r="861">
          <cell r="A861">
            <v>24198570</v>
          </cell>
          <cell r="B861" t="str">
            <v>Chicken, canned, meat only</v>
          </cell>
          <cell r="I861">
            <v>55</v>
          </cell>
          <cell r="J861">
            <v>101.75</v>
          </cell>
          <cell r="K861">
            <v>1.85</v>
          </cell>
          <cell r="L861">
            <v>0</v>
          </cell>
          <cell r="M861">
            <v>1.2375</v>
          </cell>
          <cell r="N861">
            <v>0</v>
          </cell>
          <cell r="O861">
            <v>7.7000000000000002E-3</v>
          </cell>
          <cell r="P861">
            <v>0</v>
          </cell>
          <cell r="Q861">
            <v>1.0879000000000001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0.2651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</row>
        <row r="862">
          <cell r="A862">
            <v>24198671</v>
          </cell>
          <cell r="B862" t="str">
            <v>Chicken patty, breaded</v>
          </cell>
          <cell r="I862">
            <v>85</v>
          </cell>
          <cell r="J862">
            <v>243.95</v>
          </cell>
          <cell r="K862">
            <v>2.8699999999999997</v>
          </cell>
          <cell r="L862">
            <v>3.7278899999999997E-2</v>
          </cell>
          <cell r="M862">
            <v>3.1126999999999998</v>
          </cell>
          <cell r="N862">
            <v>0</v>
          </cell>
          <cell r="O862">
            <v>1.6150000000000001E-2</v>
          </cell>
          <cell r="P862">
            <v>0.2177211</v>
          </cell>
          <cell r="Q862">
            <v>4.0842499999999999</v>
          </cell>
          <cell r="R862">
            <v>0.81599999999999995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0.45219999999999999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</row>
        <row r="863">
          <cell r="A863">
            <v>24198677</v>
          </cell>
          <cell r="B863" t="str">
            <v>Chicken fillet, breaded</v>
          </cell>
          <cell r="I863">
            <v>85</v>
          </cell>
          <cell r="J863">
            <v>204</v>
          </cell>
          <cell r="K863">
            <v>2.4</v>
          </cell>
          <cell r="L863">
            <v>0</v>
          </cell>
          <cell r="M863">
            <v>2.07145</v>
          </cell>
          <cell r="N863">
            <v>0</v>
          </cell>
          <cell r="O863">
            <v>3.3149999999999999E-2</v>
          </cell>
          <cell r="P863">
            <v>1.4450000000000001</v>
          </cell>
          <cell r="Q863">
            <v>5.2997500000000004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0.44795000000000001</v>
          </cell>
          <cell r="Y863">
            <v>0</v>
          </cell>
          <cell r="Z863">
            <v>0</v>
          </cell>
          <cell r="AA863">
            <v>0</v>
          </cell>
          <cell r="AB863">
            <v>4.675E-2</v>
          </cell>
        </row>
        <row r="864">
          <cell r="A864">
            <v>24198683</v>
          </cell>
          <cell r="B864" t="str">
            <v>Chicken fillet, grilled</v>
          </cell>
          <cell r="I864">
            <v>85</v>
          </cell>
          <cell r="J864">
            <v>123.18719</v>
          </cell>
          <cell r="K864">
            <v>1.4492610588235295</v>
          </cell>
          <cell r="L864">
            <v>0</v>
          </cell>
          <cell r="M864">
            <v>0.71394139999999995</v>
          </cell>
          <cell r="N864">
            <v>0</v>
          </cell>
          <cell r="O864">
            <v>9.4379000000000008E-3</v>
          </cell>
          <cell r="P864">
            <v>6.0295599999999998E-2</v>
          </cell>
          <cell r="Q864">
            <v>1.0816606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0.37248419999999999</v>
          </cell>
          <cell r="Y864">
            <v>0</v>
          </cell>
          <cell r="Z864">
            <v>0</v>
          </cell>
          <cell r="AA864">
            <v>0</v>
          </cell>
          <cell r="AB864">
            <v>1.5953200000000001E-2</v>
          </cell>
        </row>
        <row r="865">
          <cell r="A865">
            <v>24198690</v>
          </cell>
          <cell r="B865" t="str">
            <v>Chicken patty, fillet, or tenders, breaded, cooked, from fast food / restaurant</v>
          </cell>
          <cell r="I865">
            <v>85</v>
          </cell>
          <cell r="J865">
            <v>230.35</v>
          </cell>
          <cell r="K865">
            <v>2.71</v>
          </cell>
          <cell r="L865">
            <v>0</v>
          </cell>
          <cell r="M865">
            <v>2.1190500000000001</v>
          </cell>
          <cell r="N865">
            <v>0</v>
          </cell>
          <cell r="O865">
            <v>1.4449999999999999E-2</v>
          </cell>
          <cell r="P865">
            <v>1.02</v>
          </cell>
          <cell r="Q865">
            <v>4.9155499999999996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0.65364999999999995</v>
          </cell>
          <cell r="Y865">
            <v>0</v>
          </cell>
          <cell r="Z865">
            <v>0</v>
          </cell>
          <cell r="AA865">
            <v>0</v>
          </cell>
          <cell r="AB865">
            <v>4.4200000000000003E-2</v>
          </cell>
        </row>
        <row r="866">
          <cell r="A866">
            <v>24198695</v>
          </cell>
          <cell r="B866" t="str">
            <v>Chicken patty, fillet, or tenders, breaded, cooked, from school lunch</v>
          </cell>
          <cell r="I866">
            <v>85</v>
          </cell>
          <cell r="J866">
            <v>209.1</v>
          </cell>
          <cell r="K866">
            <v>2.46</v>
          </cell>
          <cell r="L866">
            <v>1.4487646000000001</v>
          </cell>
          <cell r="M866">
            <v>2.2456999999999998</v>
          </cell>
          <cell r="N866">
            <v>0</v>
          </cell>
          <cell r="O866">
            <v>2.8899999999999999E-2</v>
          </cell>
          <cell r="P866">
            <v>0.5062354</v>
          </cell>
          <cell r="Q866">
            <v>5.60405</v>
          </cell>
          <cell r="R866">
            <v>8.5679999999999996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0.39695000000000003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</row>
        <row r="867">
          <cell r="A867">
            <v>24198700</v>
          </cell>
          <cell r="B867" t="str">
            <v>Chicken patty, fillet, or tenders, breaded, cooked</v>
          </cell>
          <cell r="I867">
            <v>85</v>
          </cell>
          <cell r="J867">
            <v>204</v>
          </cell>
          <cell r="K867">
            <v>2.4</v>
          </cell>
          <cell r="L867">
            <v>0</v>
          </cell>
          <cell r="M867">
            <v>2.07145</v>
          </cell>
          <cell r="N867">
            <v>0</v>
          </cell>
          <cell r="O867">
            <v>3.3149999999999999E-2</v>
          </cell>
          <cell r="P867">
            <v>1.4450000000000001</v>
          </cell>
          <cell r="Q867">
            <v>5.2997500000000004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0.44795000000000001</v>
          </cell>
          <cell r="Y867">
            <v>0</v>
          </cell>
          <cell r="Z867">
            <v>0</v>
          </cell>
          <cell r="AA867">
            <v>0</v>
          </cell>
          <cell r="AB867">
            <v>4.675E-2</v>
          </cell>
        </row>
        <row r="868">
          <cell r="A868">
            <v>24198720</v>
          </cell>
          <cell r="B868" t="str">
            <v>Chicken, ground</v>
          </cell>
          <cell r="I868">
            <v>85</v>
          </cell>
          <cell r="J868">
            <v>171.11265</v>
          </cell>
          <cell r="K868">
            <v>2.01309</v>
          </cell>
          <cell r="L868">
            <v>0</v>
          </cell>
          <cell r="M868">
            <v>2.2497520999999998</v>
          </cell>
          <cell r="N868">
            <v>0</v>
          </cell>
          <cell r="O868">
            <v>2.37717E-2</v>
          </cell>
          <cell r="P868">
            <v>0</v>
          </cell>
          <cell r="Q868">
            <v>2.4587960999999998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0.3401747</v>
          </cell>
          <cell r="Y868">
            <v>0</v>
          </cell>
          <cell r="Z868">
            <v>0</v>
          </cell>
          <cell r="AA868">
            <v>0</v>
          </cell>
          <cell r="AB868">
            <v>0.1129512</v>
          </cell>
        </row>
        <row r="869">
          <cell r="A869">
            <v>24198729</v>
          </cell>
          <cell r="B869" t="str">
            <v>Chicken nuggets, NFS</v>
          </cell>
          <cell r="I869">
            <v>85</v>
          </cell>
          <cell r="J869">
            <v>260.95</v>
          </cell>
          <cell r="K869">
            <v>3.07</v>
          </cell>
          <cell r="L869">
            <v>0</v>
          </cell>
          <cell r="M869">
            <v>3.0310999999999999</v>
          </cell>
          <cell r="N869">
            <v>0</v>
          </cell>
          <cell r="O869">
            <v>9.3500000000000007E-3</v>
          </cell>
          <cell r="P869">
            <v>0.76500000000000001</v>
          </cell>
          <cell r="Q869">
            <v>5.5343499999999999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0.50490000000000002</v>
          </cell>
          <cell r="Y869">
            <v>0</v>
          </cell>
          <cell r="Z869">
            <v>0</v>
          </cell>
          <cell r="AA869">
            <v>0</v>
          </cell>
          <cell r="AB869">
            <v>0.10455</v>
          </cell>
        </row>
        <row r="870">
          <cell r="A870">
            <v>24198730</v>
          </cell>
          <cell r="B870" t="str">
            <v>Chicken nuggets, from fast food / restaurant</v>
          </cell>
          <cell r="I870">
            <v>85</v>
          </cell>
          <cell r="J870">
            <v>260.95</v>
          </cell>
          <cell r="K870">
            <v>3.07</v>
          </cell>
          <cell r="L870">
            <v>0</v>
          </cell>
          <cell r="M870">
            <v>3.0310999999999999</v>
          </cell>
          <cell r="N870">
            <v>0</v>
          </cell>
          <cell r="O870">
            <v>9.3500000000000007E-3</v>
          </cell>
          <cell r="P870">
            <v>0.76500000000000001</v>
          </cell>
          <cell r="Q870">
            <v>5.5343499999999999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0.50490000000000002</v>
          </cell>
          <cell r="Y870">
            <v>0</v>
          </cell>
          <cell r="Z870">
            <v>0</v>
          </cell>
          <cell r="AA870">
            <v>0</v>
          </cell>
          <cell r="AB870">
            <v>0.10455</v>
          </cell>
        </row>
        <row r="871">
          <cell r="A871">
            <v>24198731</v>
          </cell>
          <cell r="B871" t="str">
            <v>Chicken nuggets, from fast food</v>
          </cell>
          <cell r="I871">
            <v>85</v>
          </cell>
          <cell r="J871">
            <v>260.95</v>
          </cell>
          <cell r="K871">
            <v>3.07</v>
          </cell>
          <cell r="L871">
            <v>0</v>
          </cell>
          <cell r="M871">
            <v>3.0310999999999999</v>
          </cell>
          <cell r="N871">
            <v>0</v>
          </cell>
          <cell r="O871">
            <v>9.3500000000000007E-3</v>
          </cell>
          <cell r="P871">
            <v>0.76500000000000001</v>
          </cell>
          <cell r="Q871">
            <v>5.5343499999999999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0.50490000000000002</v>
          </cell>
          <cell r="Y871">
            <v>0</v>
          </cell>
          <cell r="Z871">
            <v>0</v>
          </cell>
          <cell r="AA871">
            <v>0</v>
          </cell>
          <cell r="AB871">
            <v>0.10455</v>
          </cell>
        </row>
        <row r="872">
          <cell r="A872">
            <v>24198732</v>
          </cell>
          <cell r="B872" t="str">
            <v>Chicken nuggets, from restaurant</v>
          </cell>
          <cell r="I872">
            <v>85</v>
          </cell>
          <cell r="J872">
            <v>260.95</v>
          </cell>
          <cell r="K872">
            <v>3.07</v>
          </cell>
          <cell r="L872">
            <v>0</v>
          </cell>
          <cell r="M872">
            <v>3.0310999999999999</v>
          </cell>
          <cell r="N872">
            <v>0</v>
          </cell>
          <cell r="O872">
            <v>9.3500000000000007E-3</v>
          </cell>
          <cell r="P872">
            <v>0.76500000000000001</v>
          </cell>
          <cell r="Q872">
            <v>5.5343499999999999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0.50490000000000002</v>
          </cell>
          <cell r="Y872">
            <v>0</v>
          </cell>
          <cell r="Z872">
            <v>0</v>
          </cell>
          <cell r="AA872">
            <v>0</v>
          </cell>
          <cell r="AB872">
            <v>0.10455</v>
          </cell>
        </row>
        <row r="873">
          <cell r="A873">
            <v>24198736</v>
          </cell>
          <cell r="B873" t="str">
            <v>Chicken nuggets, from frozen</v>
          </cell>
          <cell r="I873">
            <v>85</v>
          </cell>
          <cell r="J873">
            <v>227.8</v>
          </cell>
          <cell r="K873">
            <v>2.68</v>
          </cell>
          <cell r="L873">
            <v>0</v>
          </cell>
          <cell r="M873">
            <v>3.0583</v>
          </cell>
          <cell r="N873">
            <v>0</v>
          </cell>
          <cell r="O873">
            <v>3.9949999999999999E-2</v>
          </cell>
          <cell r="P873">
            <v>1.36</v>
          </cell>
          <cell r="Q873">
            <v>5.7885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0.45900000000000002</v>
          </cell>
          <cell r="Y873">
            <v>0</v>
          </cell>
          <cell r="Z873">
            <v>0</v>
          </cell>
          <cell r="AA873">
            <v>0</v>
          </cell>
          <cell r="AB873">
            <v>5.8650000000000001E-2</v>
          </cell>
        </row>
        <row r="874">
          <cell r="A874">
            <v>24198737</v>
          </cell>
          <cell r="B874" t="str">
            <v>Chicken nuggets, from other sources</v>
          </cell>
          <cell r="I874">
            <v>85</v>
          </cell>
          <cell r="J874">
            <v>251.005</v>
          </cell>
          <cell r="K874">
            <v>2.9529999999999998</v>
          </cell>
          <cell r="L874">
            <v>1.8869999999999999E-16</v>
          </cell>
          <cell r="M874">
            <v>3.0392600000000001</v>
          </cell>
          <cell r="N874">
            <v>0</v>
          </cell>
          <cell r="O874">
            <v>1.8530000000000001E-2</v>
          </cell>
          <cell r="P874">
            <v>0.94350000000000001</v>
          </cell>
          <cell r="Q874">
            <v>5.610595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0.49113000000000001</v>
          </cell>
          <cell r="Y874">
            <v>0</v>
          </cell>
          <cell r="Z874">
            <v>0</v>
          </cell>
          <cell r="AA874">
            <v>0</v>
          </cell>
          <cell r="AB874">
            <v>9.078E-2</v>
          </cell>
        </row>
        <row r="875">
          <cell r="A875">
            <v>24198739</v>
          </cell>
          <cell r="B875" t="str">
            <v>Chicken tenders or strips, NFS</v>
          </cell>
          <cell r="I875">
            <v>85</v>
          </cell>
          <cell r="J875">
            <v>230.35</v>
          </cell>
          <cell r="K875">
            <v>2.71</v>
          </cell>
          <cell r="L875">
            <v>0</v>
          </cell>
          <cell r="M875">
            <v>2.1190500000000001</v>
          </cell>
          <cell r="N875">
            <v>0</v>
          </cell>
          <cell r="O875">
            <v>1.4449999999999999E-2</v>
          </cell>
          <cell r="P875">
            <v>1.02</v>
          </cell>
          <cell r="Q875">
            <v>4.9155499999999996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0.65364999999999995</v>
          </cell>
          <cell r="Y875">
            <v>0</v>
          </cell>
          <cell r="Z875">
            <v>0</v>
          </cell>
          <cell r="AA875">
            <v>0</v>
          </cell>
          <cell r="AB875">
            <v>4.4200000000000003E-2</v>
          </cell>
        </row>
        <row r="876">
          <cell r="A876">
            <v>24198740</v>
          </cell>
          <cell r="B876" t="str">
            <v>Chicken nuggets</v>
          </cell>
          <cell r="I876">
            <v>85</v>
          </cell>
          <cell r="J876">
            <v>227.8</v>
          </cell>
          <cell r="K876">
            <v>2.68</v>
          </cell>
          <cell r="L876">
            <v>0</v>
          </cell>
          <cell r="M876">
            <v>3.0583</v>
          </cell>
          <cell r="N876">
            <v>0</v>
          </cell>
          <cell r="O876">
            <v>3.9949999999999999E-2</v>
          </cell>
          <cell r="P876">
            <v>1.36</v>
          </cell>
          <cell r="Q876">
            <v>5.7885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0.45900000000000002</v>
          </cell>
          <cell r="Y876">
            <v>0</v>
          </cell>
          <cell r="Z876">
            <v>0</v>
          </cell>
          <cell r="AA876">
            <v>0</v>
          </cell>
          <cell r="AB876">
            <v>5.8650000000000001E-2</v>
          </cell>
        </row>
        <row r="877">
          <cell r="A877">
            <v>24198741</v>
          </cell>
          <cell r="B877" t="str">
            <v>Chicken tenders or strips, breaded, from fast food</v>
          </cell>
          <cell r="I877">
            <v>85</v>
          </cell>
          <cell r="J877">
            <v>230.35</v>
          </cell>
          <cell r="K877">
            <v>2.71</v>
          </cell>
          <cell r="L877">
            <v>0</v>
          </cell>
          <cell r="M877">
            <v>2.1190500000000001</v>
          </cell>
          <cell r="N877">
            <v>0</v>
          </cell>
          <cell r="O877">
            <v>1.4449999999999999E-2</v>
          </cell>
          <cell r="P877">
            <v>1.02</v>
          </cell>
          <cell r="Q877">
            <v>4.9155499999999996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0.65364999999999995</v>
          </cell>
          <cell r="Y877">
            <v>0</v>
          </cell>
          <cell r="Z877">
            <v>0</v>
          </cell>
          <cell r="AA877">
            <v>0</v>
          </cell>
          <cell r="AB877">
            <v>4.4200000000000003E-2</v>
          </cell>
        </row>
        <row r="878">
          <cell r="A878">
            <v>24198742</v>
          </cell>
          <cell r="B878" t="str">
            <v>Chicken tenders or strips, breaded, from restaurant</v>
          </cell>
          <cell r="I878">
            <v>85</v>
          </cell>
          <cell r="J878">
            <v>240.59745000000001</v>
          </cell>
          <cell r="K878">
            <v>2.8305582352941179</v>
          </cell>
          <cell r="L878">
            <v>0</v>
          </cell>
          <cell r="M878">
            <v>2.5716454</v>
          </cell>
          <cell r="N878">
            <v>0</v>
          </cell>
          <cell r="O878">
            <v>1.4172799999999999E-2</v>
          </cell>
          <cell r="P878">
            <v>0.99902060000000004</v>
          </cell>
          <cell r="Q878">
            <v>5.1624388000000003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0.67247239999999997</v>
          </cell>
          <cell r="Y878">
            <v>0</v>
          </cell>
          <cell r="Z878">
            <v>0</v>
          </cell>
          <cell r="AA878">
            <v>0</v>
          </cell>
          <cell r="AB878">
            <v>4.32909E-2</v>
          </cell>
        </row>
        <row r="879">
          <cell r="A879">
            <v>24198746</v>
          </cell>
          <cell r="B879" t="str">
            <v>Chicken tenders or strips, breaded, from frozen</v>
          </cell>
          <cell r="I879">
            <v>85</v>
          </cell>
          <cell r="J879">
            <v>204</v>
          </cell>
          <cell r="K879">
            <v>2.4</v>
          </cell>
          <cell r="L879">
            <v>0</v>
          </cell>
          <cell r="M879">
            <v>2.07145</v>
          </cell>
          <cell r="N879">
            <v>0</v>
          </cell>
          <cell r="O879">
            <v>3.3149999999999999E-2</v>
          </cell>
          <cell r="P879">
            <v>1.4450000000000001</v>
          </cell>
          <cell r="Q879">
            <v>5.2997500000000004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0.44795000000000001</v>
          </cell>
          <cell r="Y879">
            <v>0</v>
          </cell>
          <cell r="Z879">
            <v>0</v>
          </cell>
          <cell r="AA879">
            <v>0</v>
          </cell>
          <cell r="AB879">
            <v>4.675E-2</v>
          </cell>
        </row>
        <row r="880">
          <cell r="A880">
            <v>24198747</v>
          </cell>
          <cell r="B880" t="str">
            <v>Chicken tenders or strips, breaded, from other sources</v>
          </cell>
          <cell r="I880">
            <v>85</v>
          </cell>
          <cell r="J880">
            <v>222.44499999999999</v>
          </cell>
          <cell r="K880">
            <v>2.617</v>
          </cell>
          <cell r="L880">
            <v>0</v>
          </cell>
          <cell r="M880">
            <v>2.1047699999999998</v>
          </cell>
          <cell r="N880">
            <v>0</v>
          </cell>
          <cell r="O880">
            <v>2.0060000000000001E-2</v>
          </cell>
          <cell r="P880">
            <v>1.1475</v>
          </cell>
          <cell r="Q880">
            <v>5.0308099999999998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0.59194000000000002</v>
          </cell>
          <cell r="Y880">
            <v>0</v>
          </cell>
          <cell r="Z880">
            <v>0</v>
          </cell>
          <cell r="AA880">
            <v>0</v>
          </cell>
          <cell r="AB880">
            <v>4.4964999999999998E-2</v>
          </cell>
        </row>
        <row r="881">
          <cell r="A881">
            <v>24201000</v>
          </cell>
          <cell r="B881" t="str">
            <v>Turkey, NFS</v>
          </cell>
          <cell r="I881">
            <v>85</v>
          </cell>
          <cell r="J881">
            <v>118.17731000000001</v>
          </cell>
          <cell r="K881">
            <v>1.390321294117647</v>
          </cell>
          <cell r="L881">
            <v>0</v>
          </cell>
          <cell r="M881">
            <v>0.4998512</v>
          </cell>
          <cell r="N881">
            <v>0</v>
          </cell>
          <cell r="O881">
            <v>8.9026000000000001E-3</v>
          </cell>
          <cell r="P881">
            <v>0</v>
          </cell>
          <cell r="Q881">
            <v>0.4450615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0.39771230000000002</v>
          </cell>
          <cell r="Y881">
            <v>0</v>
          </cell>
          <cell r="Z881">
            <v>0</v>
          </cell>
          <cell r="AA881">
            <v>0</v>
          </cell>
          <cell r="AB881">
            <v>2.0230100000000001E-2</v>
          </cell>
        </row>
        <row r="882">
          <cell r="A882">
            <v>24201020</v>
          </cell>
          <cell r="B882" t="str">
            <v>Turkey, light meat, skin not eaten</v>
          </cell>
          <cell r="I882">
            <v>85</v>
          </cell>
          <cell r="J882">
            <v>118.17731000000001</v>
          </cell>
          <cell r="K882">
            <v>1.390321294117647</v>
          </cell>
          <cell r="L882">
            <v>0</v>
          </cell>
          <cell r="M882">
            <v>0.4998512</v>
          </cell>
          <cell r="N882">
            <v>0</v>
          </cell>
          <cell r="O882">
            <v>8.9026000000000001E-3</v>
          </cell>
          <cell r="P882">
            <v>0</v>
          </cell>
          <cell r="Q882">
            <v>0.4450615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0.39771230000000002</v>
          </cell>
          <cell r="Y882">
            <v>0</v>
          </cell>
          <cell r="Z882">
            <v>0</v>
          </cell>
          <cell r="AA882">
            <v>0</v>
          </cell>
          <cell r="AB882">
            <v>2.0230100000000001E-2</v>
          </cell>
        </row>
        <row r="883">
          <cell r="A883">
            <v>24201030</v>
          </cell>
          <cell r="B883" t="str">
            <v>Turkey, light meat, skin eaten</v>
          </cell>
          <cell r="I883">
            <v>85</v>
          </cell>
          <cell r="J883">
            <v>143.46489</v>
          </cell>
          <cell r="K883">
            <v>1.6878222352941177</v>
          </cell>
          <cell r="L883">
            <v>0</v>
          </cell>
          <cell r="M883">
            <v>1.3483339999999999</v>
          </cell>
          <cell r="N883">
            <v>0</v>
          </cell>
          <cell r="O883">
            <v>1.03018E-2</v>
          </cell>
          <cell r="P883">
            <v>0</v>
          </cell>
          <cell r="Q883">
            <v>1.342147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0.39853840000000001</v>
          </cell>
          <cell r="Y883">
            <v>0</v>
          </cell>
          <cell r="Z883">
            <v>0</v>
          </cell>
          <cell r="AA883">
            <v>0</v>
          </cell>
          <cell r="AB883">
            <v>6.3218999999999997E-2</v>
          </cell>
        </row>
        <row r="884">
          <cell r="A884">
            <v>24201060</v>
          </cell>
          <cell r="B884" t="str">
            <v>Turkey, light meat, breaded, baked or fried, skin not eaten</v>
          </cell>
          <cell r="I884">
            <v>85</v>
          </cell>
          <cell r="J884">
            <v>146.18475000000001</v>
          </cell>
          <cell r="K884">
            <v>1.7198205882352942</v>
          </cell>
          <cell r="L884">
            <v>0</v>
          </cell>
          <cell r="M884">
            <v>0.84374890000000002</v>
          </cell>
          <cell r="N884">
            <v>0</v>
          </cell>
          <cell r="O884">
            <v>2.17836E-2</v>
          </cell>
          <cell r="P884">
            <v>0.3735426</v>
          </cell>
          <cell r="Q884">
            <v>0.89913609999999999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0.2133919</v>
          </cell>
          <cell r="Y884">
            <v>0</v>
          </cell>
          <cell r="Z884">
            <v>0</v>
          </cell>
          <cell r="AA884">
            <v>0</v>
          </cell>
          <cell r="AB884">
            <v>0.168826</v>
          </cell>
        </row>
        <row r="885">
          <cell r="A885">
            <v>24201110</v>
          </cell>
          <cell r="B885" t="str">
            <v>Turkey, light meat, roasted, NS as to skin eaten</v>
          </cell>
          <cell r="I885">
            <v>85</v>
          </cell>
          <cell r="J885">
            <v>143.46489</v>
          </cell>
          <cell r="K885">
            <v>1.6878222352941177</v>
          </cell>
          <cell r="L885">
            <v>0</v>
          </cell>
          <cell r="M885">
            <v>1.3483339999999999</v>
          </cell>
          <cell r="N885">
            <v>0</v>
          </cell>
          <cell r="O885">
            <v>1.03018E-2</v>
          </cell>
          <cell r="P885">
            <v>0</v>
          </cell>
          <cell r="Q885">
            <v>1.342147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0.39853840000000001</v>
          </cell>
          <cell r="Y885">
            <v>0</v>
          </cell>
          <cell r="Z885">
            <v>0</v>
          </cell>
          <cell r="AA885">
            <v>0</v>
          </cell>
          <cell r="AB885">
            <v>6.3218999999999997E-2</v>
          </cell>
        </row>
        <row r="886">
          <cell r="A886">
            <v>24201120</v>
          </cell>
          <cell r="B886" t="str">
            <v>Turkey, light meat, roasted, skin not eaten</v>
          </cell>
          <cell r="I886">
            <v>85</v>
          </cell>
          <cell r="J886">
            <v>118.17731000000001</v>
          </cell>
          <cell r="K886">
            <v>1.390321294117647</v>
          </cell>
          <cell r="L886">
            <v>0</v>
          </cell>
          <cell r="M886">
            <v>0.4998512</v>
          </cell>
          <cell r="N886">
            <v>0</v>
          </cell>
          <cell r="O886">
            <v>8.9026000000000001E-3</v>
          </cell>
          <cell r="P886">
            <v>0</v>
          </cell>
          <cell r="Q886">
            <v>0.4450615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0.39771230000000002</v>
          </cell>
          <cell r="Y886">
            <v>0</v>
          </cell>
          <cell r="Z886">
            <v>0</v>
          </cell>
          <cell r="AA886">
            <v>0</v>
          </cell>
          <cell r="AB886">
            <v>2.0230100000000001E-2</v>
          </cell>
        </row>
        <row r="887">
          <cell r="A887">
            <v>24201130</v>
          </cell>
          <cell r="B887" t="str">
            <v>Turkey, light meat, roasted, skin eaten</v>
          </cell>
          <cell r="I887">
            <v>85</v>
          </cell>
          <cell r="J887">
            <v>143.46489</v>
          </cell>
          <cell r="K887">
            <v>1.6878222352941177</v>
          </cell>
          <cell r="L887">
            <v>0</v>
          </cell>
          <cell r="M887">
            <v>1.3483339999999999</v>
          </cell>
          <cell r="N887">
            <v>0</v>
          </cell>
          <cell r="O887">
            <v>1.03018E-2</v>
          </cell>
          <cell r="P887">
            <v>0</v>
          </cell>
          <cell r="Q887">
            <v>1.342147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0.39853840000000001</v>
          </cell>
          <cell r="Y887">
            <v>0</v>
          </cell>
          <cell r="Z887">
            <v>0</v>
          </cell>
          <cell r="AA887">
            <v>0</v>
          </cell>
          <cell r="AB887">
            <v>6.3218999999999997E-2</v>
          </cell>
        </row>
        <row r="888">
          <cell r="A888">
            <v>24201220</v>
          </cell>
          <cell r="B888" t="str">
            <v>Turkey, dark meat, roasted, skin not eaten</v>
          </cell>
          <cell r="I888">
            <v>85</v>
          </cell>
          <cell r="J888">
            <v>141.52618000000001</v>
          </cell>
          <cell r="K888">
            <v>1.6650138823529412</v>
          </cell>
          <cell r="L888">
            <v>0</v>
          </cell>
          <cell r="M888">
            <v>1.5231555000000001</v>
          </cell>
          <cell r="N888">
            <v>0</v>
          </cell>
          <cell r="O888">
            <v>1.4213E-2</v>
          </cell>
          <cell r="P888">
            <v>0</v>
          </cell>
          <cell r="Q888">
            <v>1.4009322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0.38989000000000001</v>
          </cell>
          <cell r="Y888">
            <v>0</v>
          </cell>
          <cell r="Z888">
            <v>0</v>
          </cell>
          <cell r="AA888">
            <v>0</v>
          </cell>
          <cell r="AB888">
            <v>6.7433599999999996E-2</v>
          </cell>
        </row>
        <row r="889">
          <cell r="A889">
            <v>24201230</v>
          </cell>
          <cell r="B889" t="str">
            <v>Turkey, dark meat, roasted, skin eaten</v>
          </cell>
          <cell r="I889">
            <v>85</v>
          </cell>
          <cell r="J889">
            <v>171.63525999999999</v>
          </cell>
          <cell r="K889">
            <v>2.0192383529411764</v>
          </cell>
          <cell r="L889">
            <v>0</v>
          </cell>
          <cell r="M889">
            <v>2.5313715000000001</v>
          </cell>
          <cell r="N889">
            <v>0</v>
          </cell>
          <cell r="O889">
            <v>1.44996E-2</v>
          </cell>
          <cell r="P889">
            <v>0</v>
          </cell>
          <cell r="Q889">
            <v>2.4825664000000001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0.39187929999999999</v>
          </cell>
          <cell r="Y889">
            <v>0</v>
          </cell>
          <cell r="Z889">
            <v>0</v>
          </cell>
          <cell r="AA889">
            <v>0</v>
          </cell>
          <cell r="AB889">
            <v>0.1186325</v>
          </cell>
        </row>
        <row r="890">
          <cell r="A890">
            <v>24201310</v>
          </cell>
          <cell r="B890" t="str">
            <v>Turkey, light and dark meat, roasted, NS as to skin eaten</v>
          </cell>
          <cell r="I890">
            <v>85</v>
          </cell>
          <cell r="J890">
            <v>155.58608000000001</v>
          </cell>
          <cell r="K890">
            <v>1.8304244705882353</v>
          </cell>
          <cell r="L890">
            <v>0</v>
          </cell>
          <cell r="M890">
            <v>1.8583339999999999</v>
          </cell>
          <cell r="N890">
            <v>0</v>
          </cell>
          <cell r="O890">
            <v>1.22574E-2</v>
          </cell>
          <cell r="P890">
            <v>0</v>
          </cell>
          <cell r="Q890">
            <v>1.8322878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0.39592529999999998</v>
          </cell>
          <cell r="Y890">
            <v>0</v>
          </cell>
          <cell r="Z890">
            <v>0</v>
          </cell>
          <cell r="AA890">
            <v>0</v>
          </cell>
          <cell r="AB890">
            <v>8.7140999999999996E-2</v>
          </cell>
        </row>
        <row r="891">
          <cell r="A891">
            <v>24201320</v>
          </cell>
          <cell r="B891" t="str">
            <v>Turkey, light and dark meat, roasted, skin not eaten</v>
          </cell>
          <cell r="I891">
            <v>85</v>
          </cell>
          <cell r="J891">
            <v>128.57893999999999</v>
          </cell>
          <cell r="K891">
            <v>1.5126934117647057</v>
          </cell>
          <cell r="L891">
            <v>0</v>
          </cell>
          <cell r="M891">
            <v>0.9430077</v>
          </cell>
          <cell r="N891">
            <v>0</v>
          </cell>
          <cell r="O891">
            <v>1.1414499999999999E-2</v>
          </cell>
          <cell r="P891">
            <v>0</v>
          </cell>
          <cell r="Q891">
            <v>0.8595756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0.39452609999999999</v>
          </cell>
          <cell r="Y891">
            <v>0</v>
          </cell>
          <cell r="Z891">
            <v>0</v>
          </cell>
          <cell r="AA891">
            <v>0</v>
          </cell>
          <cell r="AB891">
            <v>4.0729899999999999E-2</v>
          </cell>
        </row>
        <row r="892">
          <cell r="A892">
            <v>24201330</v>
          </cell>
          <cell r="B892" t="str">
            <v>Turkey, light and dark meat, roasted, skin eaten</v>
          </cell>
          <cell r="I892">
            <v>85</v>
          </cell>
          <cell r="J892">
            <v>155.58608000000001</v>
          </cell>
          <cell r="K892">
            <v>1.8304244705882353</v>
          </cell>
          <cell r="L892">
            <v>0</v>
          </cell>
          <cell r="M892">
            <v>1.8583339999999999</v>
          </cell>
          <cell r="N892">
            <v>0</v>
          </cell>
          <cell r="O892">
            <v>1.22574E-2</v>
          </cell>
          <cell r="P892">
            <v>0</v>
          </cell>
          <cell r="Q892">
            <v>1.8322878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0.39592529999999998</v>
          </cell>
          <cell r="Y892">
            <v>0</v>
          </cell>
          <cell r="Z892">
            <v>0</v>
          </cell>
          <cell r="AA892">
            <v>0</v>
          </cell>
          <cell r="AB892">
            <v>8.7140999999999996E-2</v>
          </cell>
        </row>
        <row r="893">
          <cell r="A893">
            <v>24201350</v>
          </cell>
          <cell r="B893" t="str">
            <v>Turkey, light or dark meat, battered, fried, NS as to skin eaten</v>
          </cell>
          <cell r="I893">
            <v>85</v>
          </cell>
          <cell r="J893">
            <v>162.91838000000001</v>
          </cell>
          <cell r="K893">
            <v>1.9166868235294119</v>
          </cell>
          <cell r="L893">
            <v>0</v>
          </cell>
          <cell r="M893">
            <v>2.0524960000000001</v>
          </cell>
          <cell r="N893">
            <v>0</v>
          </cell>
          <cell r="O893">
            <v>1.4267800000000001E-2</v>
          </cell>
          <cell r="P893">
            <v>3.78579E-2</v>
          </cell>
          <cell r="Q893">
            <v>2.0553178999999999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0.22998759999999999</v>
          </cell>
          <cell r="Y893">
            <v>0</v>
          </cell>
          <cell r="Z893">
            <v>0</v>
          </cell>
          <cell r="AA893">
            <v>0</v>
          </cell>
          <cell r="AB893">
            <v>0.22820480000000001</v>
          </cell>
        </row>
        <row r="894">
          <cell r="A894">
            <v>24201370</v>
          </cell>
          <cell r="B894" t="str">
            <v>Turkey, light or dark meat, fried, coated, skin eaten</v>
          </cell>
          <cell r="I894">
            <v>85</v>
          </cell>
          <cell r="J894">
            <v>162.91838000000001</v>
          </cell>
          <cell r="K894">
            <v>1.9166868235294119</v>
          </cell>
          <cell r="L894">
            <v>0</v>
          </cell>
          <cell r="M894">
            <v>2.0524960000000001</v>
          </cell>
          <cell r="N894">
            <v>0</v>
          </cell>
          <cell r="O894">
            <v>1.4267800000000001E-2</v>
          </cell>
          <cell r="P894">
            <v>3.78579E-2</v>
          </cell>
          <cell r="Q894">
            <v>2.0553178999999999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0.22998759999999999</v>
          </cell>
          <cell r="Y894">
            <v>0</v>
          </cell>
          <cell r="Z894">
            <v>0</v>
          </cell>
          <cell r="AA894">
            <v>0</v>
          </cell>
          <cell r="AB894">
            <v>0.22820480000000001</v>
          </cell>
        </row>
        <row r="895">
          <cell r="A895">
            <v>24201410</v>
          </cell>
          <cell r="B895" t="str">
            <v>Turkey, light or dark meat, stewed, skin not eaten</v>
          </cell>
          <cell r="I895">
            <v>85</v>
          </cell>
          <cell r="J895">
            <v>94.120389000000003</v>
          </cell>
          <cell r="K895">
            <v>1.107298694117647</v>
          </cell>
          <cell r="L895">
            <v>0</v>
          </cell>
          <cell r="M895">
            <v>0.42730960000000001</v>
          </cell>
          <cell r="N895">
            <v>0</v>
          </cell>
          <cell r="O895">
            <v>8.5822999999999993E-3</v>
          </cell>
          <cell r="P895">
            <v>0</v>
          </cell>
          <cell r="Q895">
            <v>0.50951109999999999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0.37561099999999997</v>
          </cell>
          <cell r="Y895">
            <v>0</v>
          </cell>
          <cell r="Z895">
            <v>0</v>
          </cell>
          <cell r="AA895">
            <v>0</v>
          </cell>
          <cell r="AB895">
            <v>2.3095999999999998E-2</v>
          </cell>
        </row>
        <row r="896">
          <cell r="A896">
            <v>24201420</v>
          </cell>
          <cell r="B896" t="str">
            <v>Turkey light or dark meat, stewed, skin eaten</v>
          </cell>
          <cell r="I896">
            <v>85</v>
          </cell>
          <cell r="J896">
            <v>120.82408</v>
          </cell>
          <cell r="K896">
            <v>1.4214597647058822</v>
          </cell>
          <cell r="L896">
            <v>0</v>
          </cell>
          <cell r="M896">
            <v>1.1681684000000001</v>
          </cell>
          <cell r="N896">
            <v>0</v>
          </cell>
          <cell r="O896">
            <v>8.8689000000000007E-3</v>
          </cell>
          <cell r="P896">
            <v>0</v>
          </cell>
          <cell r="Q896">
            <v>1.5234589000000001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0.37284620000000002</v>
          </cell>
          <cell r="Y896">
            <v>0</v>
          </cell>
          <cell r="Z896">
            <v>0</v>
          </cell>
          <cell r="AA896">
            <v>0</v>
          </cell>
          <cell r="AB896">
            <v>7.1462700000000004E-2</v>
          </cell>
        </row>
        <row r="897">
          <cell r="A897">
            <v>24201510</v>
          </cell>
          <cell r="B897" t="str">
            <v>Turkey, light or dark meat, smoked, skin eaten</v>
          </cell>
          <cell r="I897">
            <v>55</v>
          </cell>
          <cell r="J897">
            <v>114.4</v>
          </cell>
          <cell r="K897">
            <v>2.08</v>
          </cell>
          <cell r="L897">
            <v>0</v>
          </cell>
          <cell r="M897">
            <v>1.55705</v>
          </cell>
          <cell r="N897">
            <v>0</v>
          </cell>
          <cell r="O897">
            <v>1.43E-2</v>
          </cell>
          <cell r="P897">
            <v>0</v>
          </cell>
          <cell r="Q897">
            <v>1.36015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0.54779999999999995</v>
          </cell>
          <cell r="Y897">
            <v>0</v>
          </cell>
          <cell r="Z897">
            <v>0</v>
          </cell>
          <cell r="AA897">
            <v>54.729675</v>
          </cell>
          <cell r="AB897">
            <v>0</v>
          </cell>
        </row>
        <row r="898">
          <cell r="A898">
            <v>24201520</v>
          </cell>
          <cell r="B898" t="str">
            <v>Turkey, light or dark meat, smoked, skin not eaten</v>
          </cell>
          <cell r="I898">
            <v>55</v>
          </cell>
          <cell r="J898">
            <v>93.5</v>
          </cell>
          <cell r="K898">
            <v>1.7</v>
          </cell>
          <cell r="L898">
            <v>0</v>
          </cell>
          <cell r="M898">
            <v>0.90749999999999997</v>
          </cell>
          <cell r="N898">
            <v>0</v>
          </cell>
          <cell r="O898">
            <v>1.375E-2</v>
          </cell>
          <cell r="P898">
            <v>0</v>
          </cell>
          <cell r="Q898">
            <v>0.79144999999999999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0.54779999999999995</v>
          </cell>
          <cell r="Y898">
            <v>0</v>
          </cell>
          <cell r="Z898">
            <v>0</v>
          </cell>
          <cell r="AA898">
            <v>55</v>
          </cell>
          <cell r="AB898">
            <v>0</v>
          </cell>
        </row>
        <row r="899">
          <cell r="A899">
            <v>24202010</v>
          </cell>
          <cell r="B899" t="str">
            <v>Turkey, drumstick, cooked, skin not eaten</v>
          </cell>
          <cell r="I899">
            <v>85</v>
          </cell>
          <cell r="J899">
            <v>122.61107</v>
          </cell>
          <cell r="K899">
            <v>1.4424831764705881</v>
          </cell>
          <cell r="L899">
            <v>0</v>
          </cell>
          <cell r="M899">
            <v>0.84777469999999999</v>
          </cell>
          <cell r="N899">
            <v>0</v>
          </cell>
          <cell r="O899">
            <v>9.7623999999999992E-3</v>
          </cell>
          <cell r="P899">
            <v>0</v>
          </cell>
          <cell r="Q899">
            <v>0.77005749999999995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0.38710840000000002</v>
          </cell>
          <cell r="Y899">
            <v>0</v>
          </cell>
          <cell r="Z899">
            <v>0</v>
          </cell>
          <cell r="AA899">
            <v>0</v>
          </cell>
          <cell r="AB899">
            <v>3.62793E-2</v>
          </cell>
        </row>
        <row r="900">
          <cell r="A900">
            <v>24202020</v>
          </cell>
          <cell r="B900" t="str">
            <v>Turkey, drumstick, cooked, skin eaten</v>
          </cell>
          <cell r="I900">
            <v>85</v>
          </cell>
          <cell r="J900">
            <v>175.32724999999999</v>
          </cell>
          <cell r="K900">
            <v>2.0626735294117644</v>
          </cell>
          <cell r="L900">
            <v>0</v>
          </cell>
          <cell r="M900">
            <v>2.5793336</v>
          </cell>
          <cell r="N900">
            <v>0</v>
          </cell>
          <cell r="O900">
            <v>2.7143400000000002E-2</v>
          </cell>
          <cell r="P900">
            <v>0</v>
          </cell>
          <cell r="Q900">
            <v>2.2927409999999999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0.33933170000000001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</row>
        <row r="901">
          <cell r="A901">
            <v>24202060</v>
          </cell>
          <cell r="B901" t="str">
            <v>Turkey, drumstick, roasted, skin not eaten</v>
          </cell>
          <cell r="I901">
            <v>85</v>
          </cell>
          <cell r="J901">
            <v>122.61107</v>
          </cell>
          <cell r="K901">
            <v>1.4424831764705881</v>
          </cell>
          <cell r="L901">
            <v>0</v>
          </cell>
          <cell r="M901">
            <v>0.84777469999999999</v>
          </cell>
          <cell r="N901">
            <v>0</v>
          </cell>
          <cell r="O901">
            <v>9.7623999999999992E-3</v>
          </cell>
          <cell r="P901">
            <v>0</v>
          </cell>
          <cell r="Q901">
            <v>0.77005749999999995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0.38710840000000002</v>
          </cell>
          <cell r="Y901">
            <v>0</v>
          </cell>
          <cell r="Z901">
            <v>0</v>
          </cell>
          <cell r="AA901">
            <v>0</v>
          </cell>
          <cell r="AB901">
            <v>3.62793E-2</v>
          </cell>
        </row>
        <row r="902">
          <cell r="A902">
            <v>24202070</v>
          </cell>
          <cell r="B902" t="str">
            <v>Turkey, drumstick, roasted, skin eaten</v>
          </cell>
          <cell r="I902">
            <v>85</v>
          </cell>
          <cell r="J902">
            <v>172.74791999999999</v>
          </cell>
          <cell r="K902">
            <v>2.0323284705882352</v>
          </cell>
          <cell r="L902">
            <v>0</v>
          </cell>
          <cell r="M902">
            <v>2.603694</v>
          </cell>
          <cell r="N902">
            <v>0</v>
          </cell>
          <cell r="O902">
            <v>2.28445E-2</v>
          </cell>
          <cell r="P902">
            <v>0</v>
          </cell>
          <cell r="Q902">
            <v>2.4007863999999999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0.37630219999999998</v>
          </cell>
          <cell r="Y902">
            <v>0</v>
          </cell>
          <cell r="Z902">
            <v>0</v>
          </cell>
          <cell r="AA902">
            <v>0</v>
          </cell>
          <cell r="AB902">
            <v>4.2415700000000001E-2</v>
          </cell>
        </row>
        <row r="903">
          <cell r="A903">
            <v>24202460</v>
          </cell>
          <cell r="B903" t="str">
            <v>Turkey, thigh, cooked, skin eaten</v>
          </cell>
          <cell r="I903">
            <v>85</v>
          </cell>
          <cell r="J903">
            <v>154.49870999999999</v>
          </cell>
          <cell r="K903">
            <v>1.8176318823529409</v>
          </cell>
          <cell r="L903">
            <v>0</v>
          </cell>
          <cell r="M903">
            <v>2.4060714999999999</v>
          </cell>
          <cell r="N903">
            <v>0</v>
          </cell>
          <cell r="O903">
            <v>7.2083E-3</v>
          </cell>
          <cell r="P903">
            <v>0</v>
          </cell>
          <cell r="Q903">
            <v>2.3758949999999999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0.3890556</v>
          </cell>
          <cell r="Y903">
            <v>0</v>
          </cell>
          <cell r="Z903">
            <v>0</v>
          </cell>
          <cell r="AA903">
            <v>0</v>
          </cell>
          <cell r="AB903">
            <v>0.1120409</v>
          </cell>
        </row>
        <row r="904">
          <cell r="A904">
            <v>24202500</v>
          </cell>
          <cell r="B904" t="str">
            <v>Turkey, thigh, cooked, skin not eaten</v>
          </cell>
          <cell r="I904">
            <v>85</v>
          </cell>
          <cell r="J904">
            <v>137.07557</v>
          </cell>
          <cell r="K904">
            <v>1.6126537647058823</v>
          </cell>
          <cell r="L904">
            <v>0</v>
          </cell>
          <cell r="M904">
            <v>1.5231555000000001</v>
          </cell>
          <cell r="N904">
            <v>0</v>
          </cell>
          <cell r="O904">
            <v>1.4213E-2</v>
          </cell>
          <cell r="P904">
            <v>0</v>
          </cell>
          <cell r="Q904">
            <v>1.4009322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0.38989000000000001</v>
          </cell>
          <cell r="Y904">
            <v>0</v>
          </cell>
          <cell r="Z904">
            <v>0</v>
          </cell>
          <cell r="AA904">
            <v>0</v>
          </cell>
          <cell r="AB904">
            <v>6.7433599999999996E-2</v>
          </cell>
        </row>
        <row r="905">
          <cell r="A905">
            <v>24202600</v>
          </cell>
          <cell r="B905" t="str">
            <v>Turkey, neck</v>
          </cell>
          <cell r="I905">
            <v>85</v>
          </cell>
          <cell r="J905">
            <v>136.55296000000001</v>
          </cell>
          <cell r="K905">
            <v>1.606505411764706</v>
          </cell>
          <cell r="L905">
            <v>0</v>
          </cell>
          <cell r="M905">
            <v>1.8679095999999999</v>
          </cell>
          <cell r="N905">
            <v>0</v>
          </cell>
          <cell r="O905">
            <v>4.90593E-2</v>
          </cell>
          <cell r="P905">
            <v>0</v>
          </cell>
          <cell r="Q905">
            <v>1.7178698999999999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0.48178510000000002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</row>
        <row r="906">
          <cell r="A906">
            <v>24203000</v>
          </cell>
          <cell r="B906" t="str">
            <v>Turkey, wing, cooked, NS as to skin eaten</v>
          </cell>
          <cell r="I906">
            <v>85</v>
          </cell>
          <cell r="J906">
            <v>193.02856</v>
          </cell>
          <cell r="K906">
            <v>2.2709242352941175</v>
          </cell>
          <cell r="L906">
            <v>0</v>
          </cell>
          <cell r="M906">
            <v>2.857497</v>
          </cell>
          <cell r="N906">
            <v>0</v>
          </cell>
          <cell r="O906">
            <v>2.0400000000000001E-2</v>
          </cell>
          <cell r="P906">
            <v>0</v>
          </cell>
          <cell r="Q906">
            <v>2.4781833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0.325845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</row>
        <row r="907">
          <cell r="A907">
            <v>24203010</v>
          </cell>
          <cell r="B907" t="str">
            <v>Turkey, wing, cooked, skin not eaten</v>
          </cell>
          <cell r="I907">
            <v>85</v>
          </cell>
          <cell r="J907">
            <v>118.17731000000001</v>
          </cell>
          <cell r="K907">
            <v>1.390321294117647</v>
          </cell>
          <cell r="L907">
            <v>0</v>
          </cell>
          <cell r="M907">
            <v>0.4998512</v>
          </cell>
          <cell r="N907">
            <v>0</v>
          </cell>
          <cell r="O907">
            <v>8.9026000000000001E-3</v>
          </cell>
          <cell r="P907">
            <v>0</v>
          </cell>
          <cell r="Q907">
            <v>0.4450615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0.39771230000000002</v>
          </cell>
          <cell r="Y907">
            <v>0</v>
          </cell>
          <cell r="Z907">
            <v>0</v>
          </cell>
          <cell r="AA907">
            <v>0</v>
          </cell>
          <cell r="AB907">
            <v>2.0230100000000001E-2</v>
          </cell>
        </row>
        <row r="908">
          <cell r="A908">
            <v>24203020</v>
          </cell>
          <cell r="B908" t="str">
            <v>Turkey, wing, cooked, skin eaten</v>
          </cell>
          <cell r="I908">
            <v>85</v>
          </cell>
          <cell r="J908">
            <v>171.98929000000001</v>
          </cell>
          <cell r="K908">
            <v>2.023403411764706</v>
          </cell>
          <cell r="L908">
            <v>0</v>
          </cell>
          <cell r="M908">
            <v>2.3280677000000001</v>
          </cell>
          <cell r="N908">
            <v>0</v>
          </cell>
          <cell r="O908">
            <v>1.7550900000000001E-2</v>
          </cell>
          <cell r="P908">
            <v>0</v>
          </cell>
          <cell r="Q908">
            <v>2.0745681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0.37647079999999999</v>
          </cell>
          <cell r="Y908">
            <v>0</v>
          </cell>
          <cell r="Z908">
            <v>0</v>
          </cell>
          <cell r="AA908">
            <v>0</v>
          </cell>
          <cell r="AB908">
            <v>2.0634699999999999E-2</v>
          </cell>
        </row>
        <row r="909">
          <cell r="A909">
            <v>24207000</v>
          </cell>
          <cell r="B909" t="str">
            <v>Turkey, ground</v>
          </cell>
          <cell r="I909">
            <v>85</v>
          </cell>
          <cell r="J909">
            <v>171.11265</v>
          </cell>
          <cell r="K909">
            <v>2.01309</v>
          </cell>
          <cell r="L909">
            <v>0</v>
          </cell>
          <cell r="M909">
            <v>2.2497520999999998</v>
          </cell>
          <cell r="N909">
            <v>0</v>
          </cell>
          <cell r="O909">
            <v>2.37717E-2</v>
          </cell>
          <cell r="P909">
            <v>0</v>
          </cell>
          <cell r="Q909">
            <v>2.4587960999999998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0.3401747</v>
          </cell>
          <cell r="Y909">
            <v>0</v>
          </cell>
          <cell r="Z909">
            <v>0</v>
          </cell>
          <cell r="AA909">
            <v>0</v>
          </cell>
          <cell r="AB909">
            <v>0.1129512</v>
          </cell>
        </row>
        <row r="910">
          <cell r="A910">
            <v>24208000</v>
          </cell>
          <cell r="B910" t="str">
            <v>Turkey, nuggets</v>
          </cell>
          <cell r="I910">
            <v>85</v>
          </cell>
          <cell r="J910">
            <v>198.29285999999999</v>
          </cell>
          <cell r="K910">
            <v>2.3328571764705881</v>
          </cell>
          <cell r="L910">
            <v>0</v>
          </cell>
          <cell r="M910">
            <v>1.9562143000000001</v>
          </cell>
          <cell r="N910">
            <v>0</v>
          </cell>
          <cell r="O910">
            <v>4.5373799999999999E-2</v>
          </cell>
          <cell r="P910">
            <v>0.99166670000000001</v>
          </cell>
          <cell r="Q910">
            <v>2.2074500000000001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0.40593570000000001</v>
          </cell>
          <cell r="Y910">
            <v>0</v>
          </cell>
          <cell r="Z910">
            <v>0</v>
          </cell>
          <cell r="AA910">
            <v>0</v>
          </cell>
          <cell r="AB910">
            <v>0.56136430000000004</v>
          </cell>
        </row>
        <row r="911">
          <cell r="A911">
            <v>24208500</v>
          </cell>
          <cell r="B911" t="str">
            <v>Turkey bacon, cooked</v>
          </cell>
          <cell r="I911">
            <v>15</v>
          </cell>
          <cell r="J911">
            <v>55.2</v>
          </cell>
          <cell r="K911">
            <v>3.68</v>
          </cell>
          <cell r="L911">
            <v>0</v>
          </cell>
          <cell r="M911">
            <v>1.0399499999999999</v>
          </cell>
          <cell r="N911">
            <v>0</v>
          </cell>
          <cell r="O911">
            <v>2.445E-2</v>
          </cell>
          <cell r="P911">
            <v>0</v>
          </cell>
          <cell r="Q911">
            <v>1.0306500000000001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0.30314999999999998</v>
          </cell>
          <cell r="Y911">
            <v>0</v>
          </cell>
          <cell r="Z911">
            <v>0</v>
          </cell>
          <cell r="AA911">
            <v>12.247199999999999</v>
          </cell>
          <cell r="AB911">
            <v>4.3049999999999998E-2</v>
          </cell>
        </row>
        <row r="912">
          <cell r="A912">
            <v>24208510</v>
          </cell>
          <cell r="B912" t="str">
            <v>Turkey bacon, reduced sodium, cooked</v>
          </cell>
          <cell r="I912">
            <v>15</v>
          </cell>
          <cell r="J912">
            <v>37.950000000000003</v>
          </cell>
          <cell r="K912">
            <v>2.5300000000000002</v>
          </cell>
          <cell r="L912">
            <v>0</v>
          </cell>
          <cell r="M912">
            <v>1.0000500000000001</v>
          </cell>
          <cell r="N912">
            <v>0</v>
          </cell>
          <cell r="O912">
            <v>1.5E-3</v>
          </cell>
          <cell r="P912">
            <v>0</v>
          </cell>
          <cell r="Q912">
            <v>0.64124999999999999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0.13500000000000001</v>
          </cell>
          <cell r="Y912">
            <v>0</v>
          </cell>
          <cell r="Z912">
            <v>0</v>
          </cell>
          <cell r="AA912">
            <v>13.225275</v>
          </cell>
          <cell r="AB912">
            <v>0</v>
          </cell>
        </row>
        <row r="913">
          <cell r="A913">
            <v>24209000</v>
          </cell>
          <cell r="B913" t="str">
            <v>Turkey with barbecue sauce, skin eaten</v>
          </cell>
          <cell r="I913">
            <v>85</v>
          </cell>
          <cell r="J913">
            <v>166.005</v>
          </cell>
          <cell r="K913">
            <v>1.9529999999999998</v>
          </cell>
          <cell r="L913">
            <v>0.22950000000000001</v>
          </cell>
          <cell r="M913">
            <v>1.9429725</v>
          </cell>
          <cell r="N913">
            <v>0</v>
          </cell>
          <cell r="O913">
            <v>1.8190000000000001E-2</v>
          </cell>
          <cell r="P913">
            <v>0</v>
          </cell>
          <cell r="Q913">
            <v>1.9830075</v>
          </cell>
          <cell r="R913">
            <v>0</v>
          </cell>
          <cell r="S913">
            <v>0</v>
          </cell>
          <cell r="T913">
            <v>0</v>
          </cell>
          <cell r="U913">
            <v>8.1217500000000005</v>
          </cell>
          <cell r="V913">
            <v>0</v>
          </cell>
          <cell r="W913">
            <v>0</v>
          </cell>
          <cell r="X913">
            <v>0.39669500000000002</v>
          </cell>
          <cell r="Y913">
            <v>0</v>
          </cell>
          <cell r="Z913">
            <v>0</v>
          </cell>
          <cell r="AA913">
            <v>0</v>
          </cell>
          <cell r="AB913">
            <v>9.3160000000000007E-2</v>
          </cell>
        </row>
        <row r="914">
          <cell r="A914">
            <v>24300100</v>
          </cell>
          <cell r="B914" t="str">
            <v>Duck, cooked, NS as to skin eaten</v>
          </cell>
          <cell r="I914">
            <v>85</v>
          </cell>
          <cell r="J914">
            <v>285.25193999999999</v>
          </cell>
          <cell r="K914">
            <v>3.3559051764705883</v>
          </cell>
          <cell r="L914">
            <v>0</v>
          </cell>
          <cell r="M914">
            <v>8.1851225000000003</v>
          </cell>
          <cell r="N914">
            <v>0</v>
          </cell>
          <cell r="O914">
            <v>9.3962000000000004E-3</v>
          </cell>
          <cell r="P914">
            <v>0</v>
          </cell>
          <cell r="Q914">
            <v>3.0895239999999999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0.18772759999999999</v>
          </cell>
          <cell r="Y914">
            <v>0</v>
          </cell>
          <cell r="Z914">
            <v>0</v>
          </cell>
          <cell r="AA914">
            <v>0</v>
          </cell>
          <cell r="AB914">
            <v>0.27919890000000003</v>
          </cell>
        </row>
        <row r="915">
          <cell r="A915">
            <v>24300110</v>
          </cell>
          <cell r="B915" t="str">
            <v>Duck, cooked, skin eaten</v>
          </cell>
          <cell r="I915">
            <v>85</v>
          </cell>
          <cell r="J915">
            <v>285.25193999999999</v>
          </cell>
          <cell r="K915">
            <v>3.3559051764705883</v>
          </cell>
          <cell r="L915">
            <v>0</v>
          </cell>
          <cell r="M915">
            <v>8.1851225000000003</v>
          </cell>
          <cell r="N915">
            <v>0</v>
          </cell>
          <cell r="O915">
            <v>9.3962000000000004E-3</v>
          </cell>
          <cell r="P915">
            <v>0</v>
          </cell>
          <cell r="Q915">
            <v>3.0895239999999999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0.18772759999999999</v>
          </cell>
          <cell r="Y915">
            <v>0</v>
          </cell>
          <cell r="Z915">
            <v>0</v>
          </cell>
          <cell r="AA915">
            <v>0</v>
          </cell>
          <cell r="AB915">
            <v>0.2790841</v>
          </cell>
        </row>
        <row r="916">
          <cell r="A916">
            <v>24300120</v>
          </cell>
          <cell r="B916" t="str">
            <v>Duck, cooked, skin not eaten</v>
          </cell>
          <cell r="I916">
            <v>85</v>
          </cell>
          <cell r="J916">
            <v>170.13543000000001</v>
          </cell>
          <cell r="K916">
            <v>2.0015932941176473</v>
          </cell>
          <cell r="L916">
            <v>0</v>
          </cell>
          <cell r="M916">
            <v>3.3443038999999999</v>
          </cell>
          <cell r="N916">
            <v>0</v>
          </cell>
          <cell r="O916">
            <v>1.02427E-2</v>
          </cell>
          <cell r="P916">
            <v>0</v>
          </cell>
          <cell r="Q916">
            <v>1.2586636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0.19280630000000001</v>
          </cell>
          <cell r="Y916">
            <v>0</v>
          </cell>
          <cell r="Z916">
            <v>0</v>
          </cell>
          <cell r="AA916">
            <v>0</v>
          </cell>
          <cell r="AB916">
            <v>7.9047999999999993E-2</v>
          </cell>
        </row>
        <row r="917">
          <cell r="A917">
            <v>24301010</v>
          </cell>
          <cell r="B917" t="str">
            <v>Duck, roasted, skin eaten</v>
          </cell>
          <cell r="I917">
            <v>85</v>
          </cell>
          <cell r="J917">
            <v>285.25193999999999</v>
          </cell>
          <cell r="K917">
            <v>3.3559051764705883</v>
          </cell>
          <cell r="L917">
            <v>0</v>
          </cell>
          <cell r="M917">
            <v>8.1851225000000003</v>
          </cell>
          <cell r="N917">
            <v>0</v>
          </cell>
          <cell r="O917">
            <v>9.3962000000000004E-3</v>
          </cell>
          <cell r="P917">
            <v>0</v>
          </cell>
          <cell r="Q917">
            <v>3.0895239999999999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0.18772759999999999</v>
          </cell>
          <cell r="Y917">
            <v>0</v>
          </cell>
          <cell r="Z917">
            <v>0</v>
          </cell>
          <cell r="AA917">
            <v>0</v>
          </cell>
          <cell r="AB917">
            <v>0.27910020000000002</v>
          </cell>
        </row>
        <row r="918">
          <cell r="A918">
            <v>24301020</v>
          </cell>
          <cell r="B918" t="str">
            <v>Duck, roasted, skin not eaten</v>
          </cell>
          <cell r="I918">
            <v>85</v>
          </cell>
          <cell r="J918">
            <v>170.13543000000001</v>
          </cell>
          <cell r="K918">
            <v>2.0015932941176473</v>
          </cell>
          <cell r="L918">
            <v>0</v>
          </cell>
          <cell r="M918">
            <v>3.3443038999999999</v>
          </cell>
          <cell r="N918">
            <v>0</v>
          </cell>
          <cell r="O918">
            <v>1.02427E-2</v>
          </cell>
          <cell r="P918">
            <v>0</v>
          </cell>
          <cell r="Q918">
            <v>1.2586636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0.19280630000000001</v>
          </cell>
          <cell r="Y918">
            <v>0</v>
          </cell>
          <cell r="Z918">
            <v>0</v>
          </cell>
          <cell r="AA918">
            <v>0</v>
          </cell>
          <cell r="AB918">
            <v>7.3854600000000006E-2</v>
          </cell>
        </row>
        <row r="919">
          <cell r="A919">
            <v>24400020</v>
          </cell>
          <cell r="B919" t="str">
            <v>Cornish game hen, cooked, skin not eaten</v>
          </cell>
          <cell r="I919">
            <v>85</v>
          </cell>
          <cell r="J919">
            <v>112.95121</v>
          </cell>
          <cell r="K919">
            <v>1.3288377647058824</v>
          </cell>
          <cell r="L919">
            <v>0</v>
          </cell>
          <cell r="M919">
            <v>0.83449030000000002</v>
          </cell>
          <cell r="N919">
            <v>0</v>
          </cell>
          <cell r="O919">
            <v>1.11279E-2</v>
          </cell>
          <cell r="P919">
            <v>0</v>
          </cell>
          <cell r="Q919">
            <v>0.7923443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0.32753090000000001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</row>
        <row r="920">
          <cell r="A920">
            <v>24401010</v>
          </cell>
          <cell r="B920" t="str">
            <v>Cornish game hen, roasted, skin eaten</v>
          </cell>
          <cell r="I920">
            <v>85</v>
          </cell>
          <cell r="J920">
            <v>218.31613999999999</v>
          </cell>
          <cell r="K920">
            <v>2.5684251764705883</v>
          </cell>
          <cell r="L920">
            <v>0</v>
          </cell>
          <cell r="M920">
            <v>4.2567434000000004</v>
          </cell>
          <cell r="N920">
            <v>0</v>
          </cell>
          <cell r="O920">
            <v>1.11279E-2</v>
          </cell>
          <cell r="P920">
            <v>0</v>
          </cell>
          <cell r="Q920">
            <v>3.0345100999999999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0.32837379999999999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</row>
        <row r="921">
          <cell r="A921">
            <v>24401020</v>
          </cell>
          <cell r="B921" t="str">
            <v>Cornish game hen, roasted, skin not eaten</v>
          </cell>
          <cell r="I921">
            <v>85</v>
          </cell>
          <cell r="J921">
            <v>112.95121</v>
          </cell>
          <cell r="K921">
            <v>1.3288377647058824</v>
          </cell>
          <cell r="L921">
            <v>0</v>
          </cell>
          <cell r="M921">
            <v>0.83449030000000002</v>
          </cell>
          <cell r="N921">
            <v>0</v>
          </cell>
          <cell r="O921">
            <v>1.11279E-2</v>
          </cell>
          <cell r="P921">
            <v>0</v>
          </cell>
          <cell r="Q921">
            <v>0.7923443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0.32753090000000001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</row>
        <row r="922">
          <cell r="A922">
            <v>24402100</v>
          </cell>
          <cell r="B922" t="str">
            <v>Dove, cooked, NS as to cooking method</v>
          </cell>
          <cell r="I922">
            <v>85</v>
          </cell>
          <cell r="J922">
            <v>180.29276999999999</v>
          </cell>
          <cell r="K922">
            <v>2.1210914117647057</v>
          </cell>
          <cell r="L922">
            <v>0</v>
          </cell>
          <cell r="M922">
            <v>3.1648575999999999</v>
          </cell>
          <cell r="N922">
            <v>0</v>
          </cell>
          <cell r="O922">
            <v>1.4474900000000001E-2</v>
          </cell>
          <cell r="P922">
            <v>0</v>
          </cell>
          <cell r="Q922">
            <v>2.3133339999999998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0.1860347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</row>
        <row r="923">
          <cell r="A923">
            <v>24403100</v>
          </cell>
          <cell r="B923" t="str">
            <v>Quail, cooked</v>
          </cell>
          <cell r="I923">
            <v>85</v>
          </cell>
          <cell r="J923">
            <v>192.143</v>
          </cell>
          <cell r="K923">
            <v>2.2605058823529411</v>
          </cell>
          <cell r="L923">
            <v>0</v>
          </cell>
          <cell r="M923">
            <v>3.3476897000000001</v>
          </cell>
          <cell r="N923">
            <v>0</v>
          </cell>
          <cell r="O923">
            <v>1.2782E-2</v>
          </cell>
          <cell r="P923">
            <v>0</v>
          </cell>
          <cell r="Q923">
            <v>2.9515535000000002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0.18180250000000001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</row>
        <row r="924">
          <cell r="A924">
            <v>25110120</v>
          </cell>
          <cell r="B924" t="str">
            <v>Beef liver, braised</v>
          </cell>
          <cell r="I924">
            <v>85</v>
          </cell>
          <cell r="J924">
            <v>160.99762000000001</v>
          </cell>
          <cell r="K924">
            <v>1.8940896470588238</v>
          </cell>
          <cell r="L924">
            <v>0</v>
          </cell>
          <cell r="M924">
            <v>2.4840836999999998</v>
          </cell>
          <cell r="N924">
            <v>0</v>
          </cell>
          <cell r="O924">
            <v>5.2274000000000001E-3</v>
          </cell>
          <cell r="P924">
            <v>0</v>
          </cell>
          <cell r="Q924">
            <v>0.93479769999999995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0.34101759999999998</v>
          </cell>
          <cell r="Y924">
            <v>0</v>
          </cell>
          <cell r="Z924">
            <v>0</v>
          </cell>
          <cell r="AA924">
            <v>0</v>
          </cell>
          <cell r="AB924">
            <v>0.30766559999999998</v>
          </cell>
        </row>
        <row r="925">
          <cell r="A925">
            <v>25110140</v>
          </cell>
          <cell r="B925" t="str">
            <v>Beef liver, fried</v>
          </cell>
          <cell r="I925">
            <v>85</v>
          </cell>
          <cell r="J925">
            <v>147.51091</v>
          </cell>
          <cell r="K925">
            <v>1.7354224705882353</v>
          </cell>
          <cell r="L925">
            <v>0</v>
          </cell>
          <cell r="M925">
            <v>2.1325862999999998</v>
          </cell>
          <cell r="N925">
            <v>0</v>
          </cell>
          <cell r="O925">
            <v>5.2274000000000001E-3</v>
          </cell>
          <cell r="P925">
            <v>0</v>
          </cell>
          <cell r="Q925">
            <v>0.86062079999999996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0.33933170000000001</v>
          </cell>
          <cell r="Y925">
            <v>0</v>
          </cell>
          <cell r="Z925">
            <v>0</v>
          </cell>
          <cell r="AA925">
            <v>0</v>
          </cell>
          <cell r="AB925">
            <v>0.28237800000000002</v>
          </cell>
        </row>
        <row r="926">
          <cell r="A926">
            <v>25110420</v>
          </cell>
          <cell r="B926" t="str">
            <v>Chicken liver, braised</v>
          </cell>
          <cell r="I926">
            <v>85</v>
          </cell>
          <cell r="J926">
            <v>140.76755</v>
          </cell>
          <cell r="K926">
            <v>1.6560888235294118</v>
          </cell>
          <cell r="L926">
            <v>0</v>
          </cell>
          <cell r="M926">
            <v>1.7364141</v>
          </cell>
          <cell r="N926">
            <v>0</v>
          </cell>
          <cell r="O926">
            <v>9.4420000000000007E-3</v>
          </cell>
          <cell r="P926">
            <v>0</v>
          </cell>
          <cell r="Q926">
            <v>1.6757238999999999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0.33848879999999998</v>
          </cell>
          <cell r="Y926">
            <v>0</v>
          </cell>
          <cell r="Z926">
            <v>0</v>
          </cell>
          <cell r="AA926">
            <v>0</v>
          </cell>
          <cell r="AB926">
            <v>7.5862799999999994E-2</v>
          </cell>
        </row>
        <row r="927">
          <cell r="A927">
            <v>25110450</v>
          </cell>
          <cell r="B927" t="str">
            <v>Chicken liver, fried</v>
          </cell>
          <cell r="I927">
            <v>85</v>
          </cell>
          <cell r="J927">
            <v>128.68922000000001</v>
          </cell>
          <cell r="K927">
            <v>1.5139908235294119</v>
          </cell>
          <cell r="L927">
            <v>0</v>
          </cell>
          <cell r="M927">
            <v>1.7419627</v>
          </cell>
          <cell r="N927">
            <v>0</v>
          </cell>
          <cell r="O927">
            <v>7.1060000000000003E-3</v>
          </cell>
          <cell r="P927">
            <v>0.134357</v>
          </cell>
          <cell r="Q927">
            <v>1.6219733999999999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0.31001329999999999</v>
          </cell>
          <cell r="Y927">
            <v>0</v>
          </cell>
          <cell r="Z927">
            <v>0</v>
          </cell>
          <cell r="AA927">
            <v>0</v>
          </cell>
          <cell r="AB927">
            <v>0.3277873</v>
          </cell>
        </row>
        <row r="928">
          <cell r="A928">
            <v>25112200</v>
          </cell>
          <cell r="B928" t="str">
            <v>Liver paste or pate, chicken</v>
          </cell>
          <cell r="I928">
            <v>28.35</v>
          </cell>
          <cell r="J928">
            <v>56.983499999999999</v>
          </cell>
          <cell r="K928">
            <v>2.0099999999999998</v>
          </cell>
          <cell r="L928">
            <v>0</v>
          </cell>
          <cell r="M928">
            <v>1.1339999999999999</v>
          </cell>
          <cell r="N928">
            <v>0</v>
          </cell>
          <cell r="O928">
            <v>2.8349999999999998E-3</v>
          </cell>
          <cell r="P928">
            <v>0</v>
          </cell>
          <cell r="Q928">
            <v>0.69740999999999997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0.109431</v>
          </cell>
          <cell r="Y928">
            <v>0</v>
          </cell>
          <cell r="Z928">
            <v>0</v>
          </cell>
          <cell r="AA928">
            <v>0</v>
          </cell>
          <cell r="AB928">
            <v>5.0760600000000003E-2</v>
          </cell>
        </row>
        <row r="929">
          <cell r="A929">
            <v>25130000</v>
          </cell>
          <cell r="B929" t="str">
            <v>Kidney, cooked</v>
          </cell>
          <cell r="I929">
            <v>85</v>
          </cell>
          <cell r="J929">
            <v>133.18127999999999</v>
          </cell>
          <cell r="K929">
            <v>1.566838588235294</v>
          </cell>
          <cell r="L929">
            <v>0</v>
          </cell>
          <cell r="M929">
            <v>1.2129611</v>
          </cell>
          <cell r="N929">
            <v>0</v>
          </cell>
          <cell r="O929">
            <v>1.6185399999999999E-2</v>
          </cell>
          <cell r="P929">
            <v>0</v>
          </cell>
          <cell r="Q929">
            <v>0.95924240000000005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0.35366140000000001</v>
          </cell>
          <cell r="Y929">
            <v>0</v>
          </cell>
          <cell r="Z929">
            <v>0</v>
          </cell>
          <cell r="AA929">
            <v>0</v>
          </cell>
          <cell r="AB929">
            <v>0.22758829999999999</v>
          </cell>
        </row>
        <row r="930">
          <cell r="A930">
            <v>25160000</v>
          </cell>
          <cell r="B930" t="str">
            <v>Tongue, cooked</v>
          </cell>
          <cell r="I930">
            <v>85</v>
          </cell>
          <cell r="J930">
            <v>239.38912999999999</v>
          </cell>
          <cell r="K930">
            <v>2.8163427058823527</v>
          </cell>
          <cell r="L930">
            <v>0</v>
          </cell>
          <cell r="M930">
            <v>6.8487207000000003</v>
          </cell>
          <cell r="N930">
            <v>0</v>
          </cell>
          <cell r="O930">
            <v>4.3845000000000004E-3</v>
          </cell>
          <cell r="P930">
            <v>0</v>
          </cell>
          <cell r="Q930">
            <v>0.62881790000000004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0.32921669999999997</v>
          </cell>
          <cell r="Y930">
            <v>0</v>
          </cell>
          <cell r="Z930">
            <v>0</v>
          </cell>
          <cell r="AA930">
            <v>0</v>
          </cell>
          <cell r="AB930">
            <v>0.70805240000000003</v>
          </cell>
        </row>
        <row r="931">
          <cell r="A931">
            <v>25170110</v>
          </cell>
          <cell r="B931" t="str">
            <v>Tripe, cooked</v>
          </cell>
          <cell r="I931">
            <v>85</v>
          </cell>
          <cell r="J931">
            <v>71.648155000000003</v>
          </cell>
          <cell r="K931">
            <v>0.84291947058823535</v>
          </cell>
          <cell r="L931">
            <v>0</v>
          </cell>
          <cell r="M931">
            <v>1.088209</v>
          </cell>
          <cell r="N931">
            <v>0</v>
          </cell>
          <cell r="O931">
            <v>5.8331399999999999E-2</v>
          </cell>
          <cell r="P931">
            <v>0</v>
          </cell>
          <cell r="Q931">
            <v>0.15172550000000001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0.35619010000000001</v>
          </cell>
          <cell r="Y931">
            <v>0</v>
          </cell>
          <cell r="Z931">
            <v>0</v>
          </cell>
          <cell r="AA931">
            <v>0</v>
          </cell>
          <cell r="AB931">
            <v>0.12643789999999999</v>
          </cell>
        </row>
        <row r="932">
          <cell r="A932">
            <v>25170210</v>
          </cell>
          <cell r="B932" t="str">
            <v>Chitterlings, cooked</v>
          </cell>
          <cell r="I932">
            <v>85</v>
          </cell>
          <cell r="J932">
            <v>196.40024</v>
          </cell>
          <cell r="K932">
            <v>2.3105910588235292</v>
          </cell>
          <cell r="L932">
            <v>0</v>
          </cell>
          <cell r="M932">
            <v>8.0245934000000005</v>
          </cell>
          <cell r="N932">
            <v>0</v>
          </cell>
          <cell r="O932">
            <v>2.1242899999999999E-2</v>
          </cell>
          <cell r="P932">
            <v>0</v>
          </cell>
          <cell r="Q932">
            <v>1.025833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0.28959950000000001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</row>
        <row r="933">
          <cell r="A933">
            <v>25170310</v>
          </cell>
          <cell r="B933" t="str">
            <v>Hog maws, cooked</v>
          </cell>
          <cell r="I933">
            <v>85</v>
          </cell>
          <cell r="J933">
            <v>134.02420000000001</v>
          </cell>
          <cell r="K933">
            <v>1.5767552941176473</v>
          </cell>
          <cell r="L933">
            <v>0</v>
          </cell>
          <cell r="M933">
            <v>3.3927508999999998</v>
          </cell>
          <cell r="N933">
            <v>0</v>
          </cell>
          <cell r="O933">
            <v>9.4420000000000007E-3</v>
          </cell>
          <cell r="P933">
            <v>0</v>
          </cell>
          <cell r="Q933">
            <v>0.7518842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0.3376459</v>
          </cell>
          <cell r="Y933">
            <v>0</v>
          </cell>
          <cell r="Z933">
            <v>0</v>
          </cell>
          <cell r="AA933">
            <v>0</v>
          </cell>
          <cell r="AB933">
            <v>0.1095795</v>
          </cell>
        </row>
        <row r="934">
          <cell r="A934">
            <v>25170420</v>
          </cell>
          <cell r="B934" t="str">
            <v>Gizzard, cooked</v>
          </cell>
          <cell r="I934">
            <v>85</v>
          </cell>
          <cell r="J934">
            <v>129.80959999999999</v>
          </cell>
          <cell r="K934">
            <v>1.5271717647058822</v>
          </cell>
          <cell r="L934">
            <v>0</v>
          </cell>
          <cell r="M934">
            <v>0.56475600000000004</v>
          </cell>
          <cell r="N934">
            <v>0</v>
          </cell>
          <cell r="O934">
            <v>1.44996E-2</v>
          </cell>
          <cell r="P934">
            <v>0</v>
          </cell>
          <cell r="Q934">
            <v>0.2975506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0.32163039999999998</v>
          </cell>
          <cell r="Y934">
            <v>0</v>
          </cell>
          <cell r="Z934">
            <v>0</v>
          </cell>
          <cell r="AA934">
            <v>0</v>
          </cell>
          <cell r="AB934">
            <v>0.1095795</v>
          </cell>
        </row>
        <row r="935">
          <cell r="A935">
            <v>25210110</v>
          </cell>
          <cell r="B935" t="str">
            <v>Frankfurter, wiener, or hot dog, NFS</v>
          </cell>
          <cell r="I935">
            <v>55</v>
          </cell>
          <cell r="J935">
            <v>173.25</v>
          </cell>
          <cell r="K935">
            <v>3.15</v>
          </cell>
          <cell r="L935">
            <v>0</v>
          </cell>
          <cell r="M935">
            <v>6.3029999999999999</v>
          </cell>
          <cell r="N935">
            <v>0</v>
          </cell>
          <cell r="O935">
            <v>7.7000000000000002E-3</v>
          </cell>
          <cell r="P935">
            <v>0</v>
          </cell>
          <cell r="Q935">
            <v>0.60389999999999999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0.47575000000000001</v>
          </cell>
          <cell r="Y935">
            <v>0</v>
          </cell>
          <cell r="Z935">
            <v>0</v>
          </cell>
          <cell r="AA935">
            <v>42.879375000000003</v>
          </cell>
          <cell r="AB935">
            <v>0.91300000000000003</v>
          </cell>
        </row>
        <row r="936">
          <cell r="A936">
            <v>25210150</v>
          </cell>
          <cell r="B936" t="str">
            <v>Frankfurter or hot dog, cheese-filled</v>
          </cell>
          <cell r="I936">
            <v>55</v>
          </cell>
          <cell r="J936">
            <v>180.4</v>
          </cell>
          <cell r="K936">
            <v>3.2800000000000002</v>
          </cell>
          <cell r="L936">
            <v>0</v>
          </cell>
          <cell r="M936">
            <v>5.7584999999999997</v>
          </cell>
          <cell r="N936">
            <v>0</v>
          </cell>
          <cell r="O936">
            <v>3.1899999999999998E-2</v>
          </cell>
          <cell r="P936">
            <v>0</v>
          </cell>
          <cell r="Q936">
            <v>1.661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0.59509999999999996</v>
          </cell>
          <cell r="Y936">
            <v>0</v>
          </cell>
          <cell r="Z936">
            <v>38.669400000000003</v>
          </cell>
          <cell r="AA936">
            <v>0</v>
          </cell>
          <cell r="AB936">
            <v>0.4260005</v>
          </cell>
        </row>
        <row r="937">
          <cell r="A937">
            <v>25210210</v>
          </cell>
          <cell r="B937" t="str">
            <v>Frankfurter or hot dog, beef</v>
          </cell>
          <cell r="I937">
            <v>55</v>
          </cell>
          <cell r="J937">
            <v>173.25</v>
          </cell>
          <cell r="K937">
            <v>3.15</v>
          </cell>
          <cell r="L937">
            <v>0</v>
          </cell>
          <cell r="M937">
            <v>6.3029999999999999</v>
          </cell>
          <cell r="N937">
            <v>0</v>
          </cell>
          <cell r="O937">
            <v>7.7000000000000002E-3</v>
          </cell>
          <cell r="P937">
            <v>0</v>
          </cell>
          <cell r="Q937">
            <v>0.60389999999999999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0.47575000000000001</v>
          </cell>
          <cell r="Y937">
            <v>0</v>
          </cell>
          <cell r="Z937">
            <v>0</v>
          </cell>
          <cell r="AA937">
            <v>42.879375000000003</v>
          </cell>
          <cell r="AB937">
            <v>0.91300000000000003</v>
          </cell>
        </row>
        <row r="938">
          <cell r="A938">
            <v>25210220</v>
          </cell>
          <cell r="B938" t="str">
            <v>Frankfurter or hot dog, beef and pork</v>
          </cell>
          <cell r="I938">
            <v>55</v>
          </cell>
          <cell r="J938">
            <v>152.35</v>
          </cell>
          <cell r="K938">
            <v>2.77</v>
          </cell>
          <cell r="L938">
            <v>0</v>
          </cell>
          <cell r="M938">
            <v>4.1706500000000002</v>
          </cell>
          <cell r="N938">
            <v>0</v>
          </cell>
          <cell r="O938">
            <v>5.8299999999999998E-2</v>
          </cell>
          <cell r="P938">
            <v>0</v>
          </cell>
          <cell r="Q938">
            <v>2.9622999999999999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0.53680000000000005</v>
          </cell>
          <cell r="Y938">
            <v>0</v>
          </cell>
          <cell r="Z938">
            <v>0</v>
          </cell>
          <cell r="AA938">
            <v>44.282699999999998</v>
          </cell>
          <cell r="AB938">
            <v>0.11550000000000001</v>
          </cell>
        </row>
        <row r="939">
          <cell r="A939">
            <v>25210240</v>
          </cell>
          <cell r="B939" t="str">
            <v>Frankfurter or hot dog, beef and pork, reduced fat or light</v>
          </cell>
          <cell r="I939">
            <v>55</v>
          </cell>
          <cell r="J939">
            <v>152.35</v>
          </cell>
          <cell r="K939">
            <v>2.77</v>
          </cell>
          <cell r="L939">
            <v>0</v>
          </cell>
          <cell r="M939">
            <v>4.1706500000000002</v>
          </cell>
          <cell r="N939">
            <v>0</v>
          </cell>
          <cell r="O939">
            <v>5.8299999999999998E-2</v>
          </cell>
          <cell r="P939">
            <v>0</v>
          </cell>
          <cell r="Q939">
            <v>2.9622999999999999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0.53680000000000005</v>
          </cell>
          <cell r="Y939">
            <v>0</v>
          </cell>
          <cell r="Z939">
            <v>0</v>
          </cell>
          <cell r="AA939">
            <v>44.282699999999998</v>
          </cell>
          <cell r="AB939">
            <v>0.11550000000000001</v>
          </cell>
        </row>
        <row r="940">
          <cell r="A940">
            <v>25210250</v>
          </cell>
          <cell r="B940" t="str">
            <v>Frankfurter or hot dog, meat and poultry, fat free</v>
          </cell>
          <cell r="I940">
            <v>55</v>
          </cell>
          <cell r="J940">
            <v>59.95</v>
          </cell>
          <cell r="K940">
            <v>1.0900000000000001</v>
          </cell>
          <cell r="L940">
            <v>0</v>
          </cell>
          <cell r="M940">
            <v>0.27500000000000002</v>
          </cell>
          <cell r="N940">
            <v>0</v>
          </cell>
          <cell r="O940">
            <v>2.9700000000000001E-2</v>
          </cell>
          <cell r="P940">
            <v>0</v>
          </cell>
          <cell r="Q940">
            <v>0.1925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0.48399999999999999</v>
          </cell>
          <cell r="Y940">
            <v>0</v>
          </cell>
          <cell r="Z940">
            <v>0</v>
          </cell>
          <cell r="AA940">
            <v>55</v>
          </cell>
          <cell r="AB940">
            <v>3.6408000000000003E-2</v>
          </cell>
        </row>
        <row r="941">
          <cell r="A941">
            <v>25210280</v>
          </cell>
          <cell r="B941" t="str">
            <v>Frankfurter or hot dog, meat and poultry</v>
          </cell>
          <cell r="I941">
            <v>55</v>
          </cell>
          <cell r="J941">
            <v>152.35</v>
          </cell>
          <cell r="K941">
            <v>2.77</v>
          </cell>
          <cell r="L941">
            <v>0</v>
          </cell>
          <cell r="M941">
            <v>4.1706500000000002</v>
          </cell>
          <cell r="N941">
            <v>0</v>
          </cell>
          <cell r="O941">
            <v>5.8299999999999998E-2</v>
          </cell>
          <cell r="P941">
            <v>0</v>
          </cell>
          <cell r="Q941">
            <v>2.9622999999999999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0.53680000000000005</v>
          </cell>
          <cell r="Y941">
            <v>0</v>
          </cell>
          <cell r="Z941">
            <v>0</v>
          </cell>
          <cell r="AA941">
            <v>44.282699999999998</v>
          </cell>
          <cell r="AB941">
            <v>0.11550000000000001</v>
          </cell>
        </row>
        <row r="942">
          <cell r="A942">
            <v>25210290</v>
          </cell>
          <cell r="B942" t="str">
            <v>Frankfurter or hot dog, meat and poultry, reduced fat or light</v>
          </cell>
          <cell r="I942">
            <v>55</v>
          </cell>
          <cell r="J942">
            <v>66.55</v>
          </cell>
          <cell r="K942">
            <v>1.21</v>
          </cell>
          <cell r="L942">
            <v>0</v>
          </cell>
          <cell r="M942">
            <v>0.53349999999999997</v>
          </cell>
          <cell r="N942">
            <v>0</v>
          </cell>
          <cell r="O942">
            <v>6.6E-3</v>
          </cell>
          <cell r="P942">
            <v>5.5E-2</v>
          </cell>
          <cell r="Q942">
            <v>0.19800000000000001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0.54064999999999996</v>
          </cell>
          <cell r="Y942">
            <v>0</v>
          </cell>
          <cell r="Z942">
            <v>0</v>
          </cell>
          <cell r="AA942">
            <v>55</v>
          </cell>
          <cell r="AB942">
            <v>1.23584E-2</v>
          </cell>
        </row>
        <row r="943">
          <cell r="A943">
            <v>25210310</v>
          </cell>
          <cell r="B943" t="str">
            <v>Frankfurter or hot dog, chicken</v>
          </cell>
          <cell r="I943">
            <v>55</v>
          </cell>
          <cell r="J943">
            <v>122.65</v>
          </cell>
          <cell r="K943">
            <v>2.23</v>
          </cell>
          <cell r="L943">
            <v>0</v>
          </cell>
          <cell r="M943">
            <v>2.1208</v>
          </cell>
          <cell r="N943">
            <v>0</v>
          </cell>
          <cell r="O943">
            <v>4.07E-2</v>
          </cell>
          <cell r="P943">
            <v>0</v>
          </cell>
          <cell r="Q943">
            <v>2.13015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0.56484999999999996</v>
          </cell>
          <cell r="Y943">
            <v>0</v>
          </cell>
          <cell r="Z943">
            <v>0</v>
          </cell>
          <cell r="AA943">
            <v>48.960450000000002</v>
          </cell>
          <cell r="AB943">
            <v>8.1949999999999995E-2</v>
          </cell>
        </row>
        <row r="944">
          <cell r="A944">
            <v>25210410</v>
          </cell>
          <cell r="B944" t="str">
            <v>Frankfurter or hot dog, turkey</v>
          </cell>
          <cell r="I944">
            <v>55</v>
          </cell>
          <cell r="J944">
            <v>122.65</v>
          </cell>
          <cell r="K944">
            <v>2.23</v>
          </cell>
          <cell r="L944">
            <v>0</v>
          </cell>
          <cell r="M944">
            <v>2.2153999999999998</v>
          </cell>
          <cell r="N944">
            <v>0</v>
          </cell>
          <cell r="O944">
            <v>8.14E-2</v>
          </cell>
          <cell r="P944">
            <v>0</v>
          </cell>
          <cell r="Q944">
            <v>2.1719499999999998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0.50105</v>
          </cell>
          <cell r="Y944">
            <v>0</v>
          </cell>
          <cell r="Z944">
            <v>0</v>
          </cell>
          <cell r="AA944">
            <v>49.428224999999998</v>
          </cell>
          <cell r="AB944">
            <v>0.43395</v>
          </cell>
        </row>
        <row r="945">
          <cell r="A945">
            <v>25210620</v>
          </cell>
          <cell r="B945" t="str">
            <v>Frankfurter or hot dog, beef, reduced fat or light</v>
          </cell>
          <cell r="I945">
            <v>55</v>
          </cell>
          <cell r="J945">
            <v>66.55</v>
          </cell>
          <cell r="K945">
            <v>1.21</v>
          </cell>
          <cell r="L945">
            <v>0</v>
          </cell>
          <cell r="M945">
            <v>0.53349999999999997</v>
          </cell>
          <cell r="N945">
            <v>0</v>
          </cell>
          <cell r="O945">
            <v>6.6E-3</v>
          </cell>
          <cell r="P945">
            <v>5.5E-2</v>
          </cell>
          <cell r="Q945">
            <v>0.19800000000000001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0.54064999999999996</v>
          </cell>
          <cell r="Y945">
            <v>0</v>
          </cell>
          <cell r="Z945">
            <v>0</v>
          </cell>
          <cell r="AA945">
            <v>55</v>
          </cell>
          <cell r="AB945">
            <v>7.3377399999999995E-2</v>
          </cell>
        </row>
        <row r="946">
          <cell r="A946">
            <v>25220010</v>
          </cell>
          <cell r="B946" t="str">
            <v>Cold cut, NFS</v>
          </cell>
          <cell r="I946">
            <v>55</v>
          </cell>
          <cell r="J946">
            <v>58.85</v>
          </cell>
          <cell r="K946">
            <v>1.07</v>
          </cell>
          <cell r="L946">
            <v>0</v>
          </cell>
          <cell r="M946">
            <v>0.67484999999999995</v>
          </cell>
          <cell r="N946">
            <v>0</v>
          </cell>
          <cell r="O946">
            <v>2.7499999999999998E-3</v>
          </cell>
          <cell r="P946">
            <v>0</v>
          </cell>
          <cell r="Q946">
            <v>0.34429999999999999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0.51975000000000005</v>
          </cell>
          <cell r="Y946">
            <v>0</v>
          </cell>
          <cell r="Z946">
            <v>0</v>
          </cell>
          <cell r="AA946">
            <v>55</v>
          </cell>
          <cell r="AB946">
            <v>7.7000000000000002E-3</v>
          </cell>
        </row>
        <row r="947">
          <cell r="A947">
            <v>25220105</v>
          </cell>
          <cell r="B947" t="str">
            <v>Beef sausage</v>
          </cell>
          <cell r="I947">
            <v>55</v>
          </cell>
          <cell r="J947">
            <v>222.75</v>
          </cell>
          <cell r="K947">
            <v>4.05</v>
          </cell>
          <cell r="L947">
            <v>0</v>
          </cell>
          <cell r="M947">
            <v>8.3039000000000005</v>
          </cell>
          <cell r="N947">
            <v>0</v>
          </cell>
          <cell r="O947">
            <v>8.2500000000000004E-3</v>
          </cell>
          <cell r="P947">
            <v>0</v>
          </cell>
          <cell r="Q947">
            <v>0.56374999999999997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0.4521</v>
          </cell>
          <cell r="Y947">
            <v>0</v>
          </cell>
          <cell r="Z947">
            <v>0</v>
          </cell>
          <cell r="AA947">
            <v>37.889775</v>
          </cell>
          <cell r="AB947">
            <v>1.331</v>
          </cell>
        </row>
        <row r="948">
          <cell r="A948">
            <v>25220106</v>
          </cell>
          <cell r="B948" t="str">
            <v>Beef sausage, reduced fat</v>
          </cell>
          <cell r="I948">
            <v>55</v>
          </cell>
          <cell r="J948">
            <v>146.85</v>
          </cell>
          <cell r="K948">
            <v>2.67</v>
          </cell>
          <cell r="L948">
            <v>0</v>
          </cell>
          <cell r="M948">
            <v>3.3187000000000002</v>
          </cell>
          <cell r="N948">
            <v>0</v>
          </cell>
          <cell r="O948">
            <v>1.0449999999999999E-2</v>
          </cell>
          <cell r="P948">
            <v>0</v>
          </cell>
          <cell r="Q948">
            <v>2.3056000000000001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0.38390000000000002</v>
          </cell>
          <cell r="Y948">
            <v>0</v>
          </cell>
          <cell r="Z948">
            <v>0</v>
          </cell>
          <cell r="AA948">
            <v>48.336750000000002</v>
          </cell>
          <cell r="AB948">
            <v>5.0049999999999997E-2</v>
          </cell>
        </row>
        <row r="949">
          <cell r="A949">
            <v>25220108</v>
          </cell>
          <cell r="B949" t="str">
            <v>Beef sausage, reduced sodium</v>
          </cell>
          <cell r="I949">
            <v>55</v>
          </cell>
          <cell r="J949">
            <v>149.05000000000001</v>
          </cell>
          <cell r="K949">
            <v>2.7100000000000004</v>
          </cell>
          <cell r="L949">
            <v>0</v>
          </cell>
          <cell r="M949">
            <v>4.5292500000000002</v>
          </cell>
          <cell r="N949">
            <v>0</v>
          </cell>
          <cell r="O949">
            <v>0</v>
          </cell>
          <cell r="P949">
            <v>0</v>
          </cell>
          <cell r="Q949">
            <v>1.8705499999999999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0.16170000000000001</v>
          </cell>
          <cell r="Y949">
            <v>0</v>
          </cell>
          <cell r="Z949">
            <v>0</v>
          </cell>
          <cell r="AA949">
            <v>47.089350000000003</v>
          </cell>
          <cell r="AB949">
            <v>0</v>
          </cell>
        </row>
        <row r="950">
          <cell r="A950">
            <v>25220150</v>
          </cell>
          <cell r="B950" t="str">
            <v>Beef sausage with cheese</v>
          </cell>
          <cell r="I950">
            <v>55</v>
          </cell>
          <cell r="J950">
            <v>220.88</v>
          </cell>
          <cell r="K950">
            <v>4.016</v>
          </cell>
          <cell r="L950">
            <v>0</v>
          </cell>
          <cell r="M950">
            <v>8.4666449999999998</v>
          </cell>
          <cell r="N950">
            <v>0</v>
          </cell>
          <cell r="O950">
            <v>6.4899999999999999E-2</v>
          </cell>
          <cell r="P950">
            <v>0</v>
          </cell>
          <cell r="Q950">
            <v>0.57810499999999998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0.49879499999999999</v>
          </cell>
          <cell r="Y950">
            <v>0</v>
          </cell>
          <cell r="Z950">
            <v>0</v>
          </cell>
          <cell r="AA950">
            <v>34.100797999999998</v>
          </cell>
          <cell r="AB950">
            <v>1.2608200000000001</v>
          </cell>
        </row>
        <row r="951">
          <cell r="A951">
            <v>25220210</v>
          </cell>
          <cell r="B951" t="str">
            <v>Blood sausage</v>
          </cell>
          <cell r="I951">
            <v>55</v>
          </cell>
          <cell r="J951">
            <v>208.45</v>
          </cell>
          <cell r="K951">
            <v>3.7899999999999996</v>
          </cell>
          <cell r="L951">
            <v>0</v>
          </cell>
          <cell r="M951">
            <v>7.37</v>
          </cell>
          <cell r="N951">
            <v>0</v>
          </cell>
          <cell r="O951">
            <v>3.3E-3</v>
          </cell>
          <cell r="P951">
            <v>0</v>
          </cell>
          <cell r="Q951">
            <v>1.903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0.374</v>
          </cell>
          <cell r="Y951">
            <v>0</v>
          </cell>
          <cell r="Z951">
            <v>0</v>
          </cell>
          <cell r="AA951">
            <v>39.760874999999999</v>
          </cell>
          <cell r="AB951">
            <v>0.57275849999999995</v>
          </cell>
        </row>
        <row r="952">
          <cell r="A952">
            <v>25220350</v>
          </cell>
          <cell r="B952" t="str">
            <v>Bratwurst</v>
          </cell>
          <cell r="I952">
            <v>55</v>
          </cell>
          <cell r="J952">
            <v>183.15</v>
          </cell>
          <cell r="K952">
            <v>3.33</v>
          </cell>
          <cell r="L952">
            <v>0</v>
          </cell>
          <cell r="M952">
            <v>5.4988999999999999</v>
          </cell>
          <cell r="N952">
            <v>0</v>
          </cell>
          <cell r="O952">
            <v>1.54E-2</v>
          </cell>
          <cell r="P952">
            <v>0</v>
          </cell>
          <cell r="Q952">
            <v>1.4476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0.46529999999999999</v>
          </cell>
          <cell r="Y952">
            <v>0</v>
          </cell>
          <cell r="Z952">
            <v>0</v>
          </cell>
          <cell r="AA952">
            <v>42.879375000000003</v>
          </cell>
          <cell r="AB952">
            <v>0.26640659999999999</v>
          </cell>
        </row>
        <row r="953">
          <cell r="A953">
            <v>25220360</v>
          </cell>
          <cell r="B953" t="str">
            <v>Bratwurst, with cheese</v>
          </cell>
          <cell r="I953">
            <v>55</v>
          </cell>
          <cell r="J953">
            <v>185.24</v>
          </cell>
          <cell r="K953">
            <v>3.3680000000000003</v>
          </cell>
          <cell r="L953">
            <v>0</v>
          </cell>
          <cell r="M953">
            <v>5.942145</v>
          </cell>
          <cell r="N953">
            <v>0</v>
          </cell>
          <cell r="O953">
            <v>7.1334999999999996E-2</v>
          </cell>
          <cell r="P953">
            <v>0</v>
          </cell>
          <cell r="Q953">
            <v>1.37357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0.51067499999999999</v>
          </cell>
          <cell r="Y953">
            <v>0</v>
          </cell>
          <cell r="Z953">
            <v>0</v>
          </cell>
          <cell r="AA953">
            <v>38.591437999999997</v>
          </cell>
          <cell r="AB953">
            <v>0.26635530000000002</v>
          </cell>
        </row>
        <row r="954">
          <cell r="A954">
            <v>25220390</v>
          </cell>
          <cell r="B954" t="str">
            <v>Bologna, beef, lowfat</v>
          </cell>
          <cell r="I954">
            <v>55</v>
          </cell>
          <cell r="J954">
            <v>112.2</v>
          </cell>
          <cell r="K954">
            <v>2.04</v>
          </cell>
          <cell r="L954">
            <v>0</v>
          </cell>
          <cell r="M954">
            <v>3.0051999999999999</v>
          </cell>
          <cell r="N954">
            <v>0</v>
          </cell>
          <cell r="O954">
            <v>4.9500000000000004E-3</v>
          </cell>
          <cell r="P954">
            <v>0</v>
          </cell>
          <cell r="Q954">
            <v>0.28050000000000003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0.45155000000000001</v>
          </cell>
          <cell r="Y954">
            <v>0</v>
          </cell>
          <cell r="Z954">
            <v>0</v>
          </cell>
          <cell r="AA954">
            <v>51.611175000000003</v>
          </cell>
          <cell r="AB954">
            <v>0.14397270000000001</v>
          </cell>
        </row>
        <row r="955">
          <cell r="A955">
            <v>25220400</v>
          </cell>
          <cell r="B955" t="str">
            <v>Bologna, pork and beef</v>
          </cell>
          <cell r="I955">
            <v>55</v>
          </cell>
          <cell r="J955">
            <v>169.4</v>
          </cell>
          <cell r="K955">
            <v>3.08</v>
          </cell>
          <cell r="L955">
            <v>0</v>
          </cell>
          <cell r="M955">
            <v>5.1155499999999998</v>
          </cell>
          <cell r="N955">
            <v>0</v>
          </cell>
          <cell r="O955">
            <v>4.675E-2</v>
          </cell>
          <cell r="P955">
            <v>0</v>
          </cell>
          <cell r="Q955">
            <v>0.61599999999999999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0.52800000000000002</v>
          </cell>
          <cell r="Y955">
            <v>0</v>
          </cell>
          <cell r="Z955">
            <v>0</v>
          </cell>
          <cell r="AA955">
            <v>43.035299999999999</v>
          </cell>
          <cell r="AB955">
            <v>0</v>
          </cell>
        </row>
        <row r="956">
          <cell r="A956">
            <v>25220410</v>
          </cell>
          <cell r="B956" t="str">
            <v>Bologna, NFS</v>
          </cell>
          <cell r="I956">
            <v>55</v>
          </cell>
          <cell r="J956">
            <v>154.55000000000001</v>
          </cell>
          <cell r="K956">
            <v>2.81</v>
          </cell>
          <cell r="L956">
            <v>0</v>
          </cell>
          <cell r="M956">
            <v>4.0639500000000002</v>
          </cell>
          <cell r="N956">
            <v>0</v>
          </cell>
          <cell r="O956">
            <v>6.8750000000000006E-2</v>
          </cell>
          <cell r="P956">
            <v>0</v>
          </cell>
          <cell r="Q956">
            <v>2.5245000000000002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0.75844999999999996</v>
          </cell>
          <cell r="Y956">
            <v>0</v>
          </cell>
          <cell r="Z956">
            <v>0</v>
          </cell>
          <cell r="AA956">
            <v>45.062325000000001</v>
          </cell>
          <cell r="AB956">
            <v>0.10065</v>
          </cell>
        </row>
        <row r="957">
          <cell r="A957">
            <v>25220420</v>
          </cell>
          <cell r="B957" t="str">
            <v>Bologna, Lebanon</v>
          </cell>
          <cell r="I957">
            <v>55</v>
          </cell>
          <cell r="J957">
            <v>94.6</v>
          </cell>
          <cell r="K957">
            <v>1.72</v>
          </cell>
          <cell r="L957">
            <v>0</v>
          </cell>
          <cell r="M957">
            <v>1.5367</v>
          </cell>
          <cell r="N957">
            <v>0</v>
          </cell>
          <cell r="O957">
            <v>1.0999999999999999E-2</v>
          </cell>
          <cell r="P957">
            <v>0</v>
          </cell>
          <cell r="Q957">
            <v>0.1419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0.75570000000000004</v>
          </cell>
          <cell r="Y957">
            <v>0</v>
          </cell>
          <cell r="Z957">
            <v>0</v>
          </cell>
          <cell r="AA957">
            <v>54.261899999999997</v>
          </cell>
          <cell r="AB957">
            <v>0.27718369999999998</v>
          </cell>
        </row>
        <row r="958">
          <cell r="A958">
            <v>25220425</v>
          </cell>
          <cell r="B958" t="str">
            <v>Bologna, made from any kind of meat, reduced fat</v>
          </cell>
          <cell r="I958">
            <v>55</v>
          </cell>
          <cell r="J958">
            <v>112.2</v>
          </cell>
          <cell r="K958">
            <v>2.04</v>
          </cell>
          <cell r="L958">
            <v>0</v>
          </cell>
          <cell r="M958">
            <v>3.0051999999999999</v>
          </cell>
          <cell r="N958">
            <v>0</v>
          </cell>
          <cell r="O958">
            <v>4.9500000000000004E-3</v>
          </cell>
          <cell r="P958">
            <v>0</v>
          </cell>
          <cell r="Q958">
            <v>0.28050000000000003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0.45155000000000001</v>
          </cell>
          <cell r="Y958">
            <v>0</v>
          </cell>
          <cell r="Z958">
            <v>0</v>
          </cell>
          <cell r="AA958">
            <v>51.611175000000003</v>
          </cell>
          <cell r="AB958">
            <v>0.1444028</v>
          </cell>
        </row>
        <row r="959">
          <cell r="A959">
            <v>25220430</v>
          </cell>
          <cell r="B959" t="str">
            <v>Bologna, beef</v>
          </cell>
          <cell r="I959">
            <v>55</v>
          </cell>
          <cell r="J959">
            <v>164.45</v>
          </cell>
          <cell r="K959">
            <v>2.9899999999999998</v>
          </cell>
          <cell r="L959">
            <v>0</v>
          </cell>
          <cell r="M959">
            <v>5.7678500000000001</v>
          </cell>
          <cell r="N959">
            <v>0</v>
          </cell>
          <cell r="O959">
            <v>1.155E-2</v>
          </cell>
          <cell r="P959">
            <v>0</v>
          </cell>
          <cell r="Q959">
            <v>0.65010000000000001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0.55715000000000003</v>
          </cell>
          <cell r="Y959">
            <v>0</v>
          </cell>
          <cell r="Z959">
            <v>0</v>
          </cell>
          <cell r="AA959">
            <v>43.503075000000003</v>
          </cell>
          <cell r="AB959">
            <v>0.75349999999999995</v>
          </cell>
        </row>
        <row r="960">
          <cell r="A960">
            <v>25220440</v>
          </cell>
          <cell r="B960" t="str">
            <v>Bologna, turkey</v>
          </cell>
          <cell r="I960">
            <v>55</v>
          </cell>
          <cell r="J960">
            <v>114.95</v>
          </cell>
          <cell r="K960">
            <v>2.09</v>
          </cell>
          <cell r="L960">
            <v>0</v>
          </cell>
          <cell r="M960">
            <v>2.3952499999999999</v>
          </cell>
          <cell r="N960">
            <v>0</v>
          </cell>
          <cell r="O960">
            <v>6.7650000000000002E-2</v>
          </cell>
          <cell r="P960">
            <v>0.27500000000000002</v>
          </cell>
          <cell r="Q960">
            <v>2.1196999999999999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0.58904999999999996</v>
          </cell>
          <cell r="Y960">
            <v>0</v>
          </cell>
          <cell r="Z960">
            <v>0</v>
          </cell>
          <cell r="AA960">
            <v>49.116374999999998</v>
          </cell>
          <cell r="AB960">
            <v>6.7650000000000002E-2</v>
          </cell>
        </row>
        <row r="961">
          <cell r="A961">
            <v>25220470</v>
          </cell>
          <cell r="B961" t="str">
            <v>Bologna, beef, lower sodium</v>
          </cell>
          <cell r="I961">
            <v>55</v>
          </cell>
          <cell r="J961">
            <v>170.5</v>
          </cell>
          <cell r="K961">
            <v>3.1</v>
          </cell>
          <cell r="L961">
            <v>0</v>
          </cell>
          <cell r="M961">
            <v>6.4218000000000002</v>
          </cell>
          <cell r="N961">
            <v>0</v>
          </cell>
          <cell r="O961">
            <v>6.6E-3</v>
          </cell>
          <cell r="P961">
            <v>0</v>
          </cell>
          <cell r="Q961">
            <v>0.57804999999999995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0.37509999999999999</v>
          </cell>
          <cell r="Y961">
            <v>0</v>
          </cell>
          <cell r="Z961">
            <v>0</v>
          </cell>
          <cell r="AA961">
            <v>43.347149999999999</v>
          </cell>
          <cell r="AB961">
            <v>0.2870238</v>
          </cell>
        </row>
        <row r="962">
          <cell r="A962">
            <v>25220500</v>
          </cell>
          <cell r="B962" t="str">
            <v>Bologna, beef and pork, lowfat</v>
          </cell>
          <cell r="I962">
            <v>55</v>
          </cell>
          <cell r="J962">
            <v>126.5</v>
          </cell>
          <cell r="K962">
            <v>2.2999999999999998</v>
          </cell>
          <cell r="L962">
            <v>0</v>
          </cell>
          <cell r="M962">
            <v>4.0194000000000001</v>
          </cell>
          <cell r="N962">
            <v>0</v>
          </cell>
          <cell r="O962">
            <v>6.0499999999999998E-3</v>
          </cell>
          <cell r="P962">
            <v>0</v>
          </cell>
          <cell r="Q962">
            <v>0.90144999999999997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0.60940000000000005</v>
          </cell>
          <cell r="Y962">
            <v>0</v>
          </cell>
          <cell r="Z962">
            <v>0</v>
          </cell>
          <cell r="AA962">
            <v>48.960450000000002</v>
          </cell>
          <cell r="AB962">
            <v>0.149343</v>
          </cell>
        </row>
        <row r="963">
          <cell r="A963">
            <v>25220510</v>
          </cell>
          <cell r="B963" t="str">
            <v>Capicola</v>
          </cell>
          <cell r="I963">
            <v>55</v>
          </cell>
          <cell r="J963">
            <v>58.85</v>
          </cell>
          <cell r="K963">
            <v>1.07</v>
          </cell>
          <cell r="L963">
            <v>0</v>
          </cell>
          <cell r="M963">
            <v>0.67484999999999995</v>
          </cell>
          <cell r="N963">
            <v>0</v>
          </cell>
          <cell r="O963">
            <v>2.7499999999999998E-3</v>
          </cell>
          <cell r="P963">
            <v>0</v>
          </cell>
          <cell r="Q963">
            <v>0.34429999999999999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0.51975000000000005</v>
          </cell>
          <cell r="Y963">
            <v>0</v>
          </cell>
          <cell r="Z963">
            <v>0</v>
          </cell>
          <cell r="AA963">
            <v>55</v>
          </cell>
          <cell r="AB963">
            <v>7.7000000000000002E-3</v>
          </cell>
        </row>
        <row r="964">
          <cell r="A964">
            <v>25220650</v>
          </cell>
          <cell r="B964" t="str">
            <v>Turkey or chicken and beef sausage</v>
          </cell>
          <cell r="I964">
            <v>55</v>
          </cell>
          <cell r="J964">
            <v>134.75</v>
          </cell>
          <cell r="K964">
            <v>2.4500000000000002</v>
          </cell>
          <cell r="L964">
            <v>0</v>
          </cell>
          <cell r="M964">
            <v>3.9341499999999998</v>
          </cell>
          <cell r="N964">
            <v>0</v>
          </cell>
          <cell r="O964">
            <v>8.8000000000000005E-3</v>
          </cell>
          <cell r="P964">
            <v>8.2500000000000004E-2</v>
          </cell>
          <cell r="Q964">
            <v>0.61462499999999998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0.47547499999999998</v>
          </cell>
          <cell r="Y964">
            <v>0</v>
          </cell>
          <cell r="Z964">
            <v>0</v>
          </cell>
          <cell r="AA964">
            <v>49.329500000000003</v>
          </cell>
          <cell r="AB964">
            <v>0.39600000000000002</v>
          </cell>
        </row>
        <row r="965">
          <cell r="A965">
            <v>25220710</v>
          </cell>
          <cell r="B965" t="str">
            <v>Chorizo</v>
          </cell>
          <cell r="I965">
            <v>55</v>
          </cell>
          <cell r="J965">
            <v>250.25</v>
          </cell>
          <cell r="K965">
            <v>4.55</v>
          </cell>
          <cell r="L965">
            <v>0</v>
          </cell>
          <cell r="M965">
            <v>7.9089999999999998</v>
          </cell>
          <cell r="N965">
            <v>0</v>
          </cell>
          <cell r="O965">
            <v>4.4000000000000003E-3</v>
          </cell>
          <cell r="P965">
            <v>0</v>
          </cell>
          <cell r="Q965">
            <v>1.903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0.67925000000000002</v>
          </cell>
          <cell r="Y965">
            <v>0</v>
          </cell>
          <cell r="Z965">
            <v>0</v>
          </cell>
          <cell r="AA965">
            <v>37.421999999999997</v>
          </cell>
          <cell r="AB965">
            <v>0.33726469999999997</v>
          </cell>
        </row>
        <row r="966">
          <cell r="A966">
            <v>25220910</v>
          </cell>
          <cell r="B966" t="str">
            <v>Head cheese</v>
          </cell>
          <cell r="I966">
            <v>55</v>
          </cell>
          <cell r="J966">
            <v>86.35</v>
          </cell>
          <cell r="K966">
            <v>1.5699999999999998</v>
          </cell>
          <cell r="L966">
            <v>0</v>
          </cell>
          <cell r="M966">
            <v>1.8711</v>
          </cell>
          <cell r="N966">
            <v>0</v>
          </cell>
          <cell r="O966">
            <v>8.8000000000000005E-3</v>
          </cell>
          <cell r="P966">
            <v>0</v>
          </cell>
          <cell r="Q966">
            <v>0.62370000000000003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0.51754999999999995</v>
          </cell>
          <cell r="Y966">
            <v>0</v>
          </cell>
          <cell r="Z966">
            <v>0</v>
          </cell>
          <cell r="AA966">
            <v>53.950049999999997</v>
          </cell>
          <cell r="AB966">
            <v>0</v>
          </cell>
        </row>
        <row r="967">
          <cell r="A967">
            <v>25221210</v>
          </cell>
          <cell r="B967" t="str">
            <v>Mortadella</v>
          </cell>
          <cell r="I967">
            <v>55</v>
          </cell>
          <cell r="J967">
            <v>171.05</v>
          </cell>
          <cell r="K967">
            <v>3.1100000000000003</v>
          </cell>
          <cell r="L967">
            <v>0</v>
          </cell>
          <cell r="M967">
            <v>5.2305000000000001</v>
          </cell>
          <cell r="N967">
            <v>0</v>
          </cell>
          <cell r="O967">
            <v>9.9000000000000008E-3</v>
          </cell>
          <cell r="P967">
            <v>0</v>
          </cell>
          <cell r="Q967">
            <v>1.716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0.68530000000000002</v>
          </cell>
          <cell r="Y967">
            <v>0</v>
          </cell>
          <cell r="Z967">
            <v>0</v>
          </cell>
          <cell r="AA967">
            <v>45.218249999999998</v>
          </cell>
          <cell r="AB967">
            <v>0.27131230000000001</v>
          </cell>
        </row>
        <row r="968">
          <cell r="A968">
            <v>25221215</v>
          </cell>
          <cell r="B968" t="str">
            <v>Pastrami, NFS</v>
          </cell>
          <cell r="I968">
            <v>55</v>
          </cell>
          <cell r="J968">
            <v>80.849999999999994</v>
          </cell>
          <cell r="K968">
            <v>1.47</v>
          </cell>
          <cell r="L968">
            <v>0</v>
          </cell>
          <cell r="M968">
            <v>1.47455</v>
          </cell>
          <cell r="N968">
            <v>0</v>
          </cell>
          <cell r="O968">
            <v>5.4999999999999997E-3</v>
          </cell>
          <cell r="P968">
            <v>0</v>
          </cell>
          <cell r="Q968">
            <v>7.9750000000000001E-2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0.59289999999999998</v>
          </cell>
          <cell r="Y968">
            <v>0</v>
          </cell>
          <cell r="Z968">
            <v>0</v>
          </cell>
          <cell r="AA968">
            <v>55</v>
          </cell>
          <cell r="AB968">
            <v>7.9007999999999995E-3</v>
          </cell>
        </row>
        <row r="969">
          <cell r="A969">
            <v>25221250</v>
          </cell>
          <cell r="B969" t="str">
            <v>Pepperoni, NFS</v>
          </cell>
          <cell r="I969">
            <v>55</v>
          </cell>
          <cell r="J969">
            <v>277.2</v>
          </cell>
          <cell r="K969">
            <v>5.04</v>
          </cell>
          <cell r="L969">
            <v>0</v>
          </cell>
          <cell r="M969">
            <v>9.7393999999999998</v>
          </cell>
          <cell r="N969">
            <v>0</v>
          </cell>
          <cell r="O969">
            <v>1.0449999999999999E-2</v>
          </cell>
          <cell r="P969">
            <v>0</v>
          </cell>
          <cell r="Q969">
            <v>2.4519000000000002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0.87009999999999998</v>
          </cell>
          <cell r="Y969">
            <v>0</v>
          </cell>
          <cell r="Z969">
            <v>0</v>
          </cell>
          <cell r="AA969">
            <v>32.588324999999998</v>
          </cell>
          <cell r="AB969">
            <v>0.83984999999999999</v>
          </cell>
        </row>
        <row r="970">
          <cell r="A970">
            <v>25221310</v>
          </cell>
          <cell r="B970" t="str">
            <v>Polish sausage</v>
          </cell>
          <cell r="I970">
            <v>55</v>
          </cell>
          <cell r="J970">
            <v>185.35</v>
          </cell>
          <cell r="K970">
            <v>3.37</v>
          </cell>
          <cell r="L970">
            <v>0</v>
          </cell>
          <cell r="M970">
            <v>5.4417</v>
          </cell>
          <cell r="N970">
            <v>0</v>
          </cell>
          <cell r="O970">
            <v>2.3099999999999999E-2</v>
          </cell>
          <cell r="P970">
            <v>0</v>
          </cell>
          <cell r="Q970">
            <v>2.9606499999999998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0.58409999999999995</v>
          </cell>
          <cell r="Y970">
            <v>0</v>
          </cell>
          <cell r="Z970">
            <v>0</v>
          </cell>
          <cell r="AA970">
            <v>41.164200000000001</v>
          </cell>
          <cell r="AB970">
            <v>0.15125</v>
          </cell>
        </row>
        <row r="971">
          <cell r="A971">
            <v>25221350</v>
          </cell>
          <cell r="B971" t="str">
            <v>Italian sausage</v>
          </cell>
          <cell r="I971">
            <v>55</v>
          </cell>
          <cell r="J971">
            <v>189.2</v>
          </cell>
          <cell r="K971">
            <v>3.44</v>
          </cell>
          <cell r="L971">
            <v>0</v>
          </cell>
          <cell r="M971">
            <v>5.6072499999999996</v>
          </cell>
          <cell r="N971">
            <v>0</v>
          </cell>
          <cell r="O971">
            <v>1.155E-2</v>
          </cell>
          <cell r="P971">
            <v>5.5E-2</v>
          </cell>
          <cell r="Q971">
            <v>1.9349000000000001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0.40865000000000001</v>
          </cell>
          <cell r="Y971">
            <v>0</v>
          </cell>
          <cell r="Z971">
            <v>0</v>
          </cell>
          <cell r="AA971">
            <v>42.879375000000003</v>
          </cell>
          <cell r="AB971">
            <v>0.14258599999999999</v>
          </cell>
        </row>
        <row r="972">
          <cell r="A972">
            <v>25221400</v>
          </cell>
          <cell r="B972" t="str">
            <v>Sausage, NFS</v>
          </cell>
          <cell r="I972">
            <v>55</v>
          </cell>
          <cell r="J972">
            <v>178.75</v>
          </cell>
          <cell r="K972">
            <v>3.25</v>
          </cell>
          <cell r="L972">
            <v>0</v>
          </cell>
          <cell r="M972">
            <v>4.8543000000000003</v>
          </cell>
          <cell r="N972">
            <v>0</v>
          </cell>
          <cell r="O972">
            <v>4.9500000000000004E-3</v>
          </cell>
          <cell r="P972">
            <v>0</v>
          </cell>
          <cell r="Q972">
            <v>2.81325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0.44769999999999999</v>
          </cell>
          <cell r="Y972">
            <v>0</v>
          </cell>
          <cell r="Z972">
            <v>0</v>
          </cell>
          <cell r="AA972">
            <v>43.503075000000003</v>
          </cell>
          <cell r="AB972">
            <v>6.6000000000000003E-2</v>
          </cell>
        </row>
        <row r="973">
          <cell r="A973">
            <v>25221405</v>
          </cell>
          <cell r="B973" t="str">
            <v>Pork sausage</v>
          </cell>
          <cell r="I973">
            <v>55</v>
          </cell>
          <cell r="J973">
            <v>178.75</v>
          </cell>
          <cell r="K973">
            <v>3.25</v>
          </cell>
          <cell r="L973">
            <v>0</v>
          </cell>
          <cell r="M973">
            <v>4.8543000000000003</v>
          </cell>
          <cell r="N973">
            <v>0</v>
          </cell>
          <cell r="O973">
            <v>4.9500000000000004E-3</v>
          </cell>
          <cell r="P973">
            <v>0</v>
          </cell>
          <cell r="Q973">
            <v>2.81325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0.44769999999999999</v>
          </cell>
          <cell r="Y973">
            <v>0</v>
          </cell>
          <cell r="Z973">
            <v>0</v>
          </cell>
          <cell r="AA973">
            <v>43.503075000000003</v>
          </cell>
          <cell r="AB973">
            <v>6.6000000000000003E-2</v>
          </cell>
        </row>
        <row r="974">
          <cell r="A974">
            <v>25221406</v>
          </cell>
          <cell r="B974" t="str">
            <v>Pork sausage, reduced fat</v>
          </cell>
          <cell r="I974">
            <v>55</v>
          </cell>
          <cell r="J974">
            <v>146.85</v>
          </cell>
          <cell r="K974">
            <v>2.67</v>
          </cell>
          <cell r="L974">
            <v>0</v>
          </cell>
          <cell r="M974">
            <v>3.3187000000000002</v>
          </cell>
          <cell r="N974">
            <v>0</v>
          </cell>
          <cell r="O974">
            <v>1.0449999999999999E-2</v>
          </cell>
          <cell r="P974">
            <v>0</v>
          </cell>
          <cell r="Q974">
            <v>2.3056000000000001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0.38390000000000002</v>
          </cell>
          <cell r="Y974">
            <v>0</v>
          </cell>
          <cell r="Z974">
            <v>0</v>
          </cell>
          <cell r="AA974">
            <v>48.336750000000002</v>
          </cell>
          <cell r="AB974">
            <v>5.0049999999999997E-2</v>
          </cell>
        </row>
        <row r="975">
          <cell r="A975">
            <v>25221408</v>
          </cell>
          <cell r="B975" t="str">
            <v>Pork sausage, reduced sodium</v>
          </cell>
          <cell r="I975">
            <v>55</v>
          </cell>
          <cell r="J975">
            <v>149.05000000000001</v>
          </cell>
          <cell r="K975">
            <v>2.7100000000000004</v>
          </cell>
          <cell r="L975">
            <v>0</v>
          </cell>
          <cell r="M975">
            <v>4.5292500000000002</v>
          </cell>
          <cell r="N975">
            <v>0</v>
          </cell>
          <cell r="O975">
            <v>0</v>
          </cell>
          <cell r="P975">
            <v>0</v>
          </cell>
          <cell r="Q975">
            <v>1.8705499999999999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0.16170000000000001</v>
          </cell>
          <cell r="Y975">
            <v>0</v>
          </cell>
          <cell r="Z975">
            <v>0</v>
          </cell>
          <cell r="AA975">
            <v>47.089350000000003</v>
          </cell>
          <cell r="AB975">
            <v>0</v>
          </cell>
        </row>
        <row r="976">
          <cell r="A976">
            <v>25221450</v>
          </cell>
          <cell r="B976" t="str">
            <v>Pork sausage rice links</v>
          </cell>
          <cell r="I976">
            <v>55</v>
          </cell>
          <cell r="J976">
            <v>223.85</v>
          </cell>
          <cell r="K976">
            <v>4.07</v>
          </cell>
          <cell r="L976">
            <v>0</v>
          </cell>
          <cell r="M976">
            <v>7.05375</v>
          </cell>
          <cell r="N976">
            <v>0</v>
          </cell>
          <cell r="O976">
            <v>8.2500000000000004E-3</v>
          </cell>
          <cell r="P976">
            <v>0</v>
          </cell>
          <cell r="Q976">
            <v>2.2401499999999999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0.37895000000000001</v>
          </cell>
          <cell r="Y976">
            <v>0</v>
          </cell>
          <cell r="Z976">
            <v>0</v>
          </cell>
          <cell r="AA976">
            <v>31.808700000000002</v>
          </cell>
          <cell r="AB976">
            <v>1.703233</v>
          </cell>
        </row>
        <row r="977">
          <cell r="A977">
            <v>25221460</v>
          </cell>
          <cell r="B977" t="str">
            <v>Pork and beef sausage</v>
          </cell>
          <cell r="I977">
            <v>55</v>
          </cell>
          <cell r="J977">
            <v>217.8</v>
          </cell>
          <cell r="K977">
            <v>3.9600000000000004</v>
          </cell>
          <cell r="L977">
            <v>0</v>
          </cell>
          <cell r="M977">
            <v>7.1280000000000001</v>
          </cell>
          <cell r="N977">
            <v>0</v>
          </cell>
          <cell r="O977">
            <v>5.4999999999999997E-3</v>
          </cell>
          <cell r="P977">
            <v>0</v>
          </cell>
          <cell r="Q977">
            <v>2.145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0.51095000000000002</v>
          </cell>
          <cell r="Y977">
            <v>0</v>
          </cell>
          <cell r="Z977">
            <v>0</v>
          </cell>
          <cell r="AA977">
            <v>38.669400000000003</v>
          </cell>
          <cell r="AB977">
            <v>0.41586610000000002</v>
          </cell>
        </row>
        <row r="978">
          <cell r="A978">
            <v>25221500</v>
          </cell>
          <cell r="B978" t="str">
            <v>Salami, NFS</v>
          </cell>
          <cell r="I978">
            <v>55</v>
          </cell>
          <cell r="J978">
            <v>207.9</v>
          </cell>
          <cell r="K978">
            <v>3.7800000000000002</v>
          </cell>
          <cell r="L978">
            <v>0</v>
          </cell>
          <cell r="M978">
            <v>6.2798999999999996</v>
          </cell>
          <cell r="N978">
            <v>0</v>
          </cell>
          <cell r="O978">
            <v>1.32E-2</v>
          </cell>
          <cell r="P978">
            <v>0</v>
          </cell>
          <cell r="Q978">
            <v>2.69225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0.96579999999999999</v>
          </cell>
          <cell r="Y978">
            <v>0</v>
          </cell>
          <cell r="Z978">
            <v>0</v>
          </cell>
          <cell r="AA978">
            <v>41.320124999999997</v>
          </cell>
          <cell r="AB978">
            <v>0.26400000000000001</v>
          </cell>
        </row>
        <row r="979">
          <cell r="A979">
            <v>25221505</v>
          </cell>
          <cell r="B979" t="str">
            <v>Salami, made from any type of meat, reduced fat</v>
          </cell>
          <cell r="I979">
            <v>55</v>
          </cell>
          <cell r="J979">
            <v>94.6</v>
          </cell>
          <cell r="K979">
            <v>1.72</v>
          </cell>
          <cell r="L979">
            <v>0</v>
          </cell>
          <cell r="M979">
            <v>1.5306500000000001</v>
          </cell>
          <cell r="N979">
            <v>0</v>
          </cell>
          <cell r="O979">
            <v>2.1999999999999999E-2</v>
          </cell>
          <cell r="P979">
            <v>5.5E-2</v>
          </cell>
          <cell r="Q979">
            <v>1.3563000000000001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0.60885</v>
          </cell>
          <cell r="Y979">
            <v>0</v>
          </cell>
          <cell r="Z979">
            <v>0</v>
          </cell>
          <cell r="AA979">
            <v>54.417825000000001</v>
          </cell>
          <cell r="AB979">
            <v>0</v>
          </cell>
        </row>
        <row r="980">
          <cell r="A980">
            <v>25221515</v>
          </cell>
          <cell r="B980" t="str">
            <v>Salami, made from any type of meat, reduced sodium</v>
          </cell>
          <cell r="I980">
            <v>55</v>
          </cell>
          <cell r="J980">
            <v>207.9</v>
          </cell>
          <cell r="K980">
            <v>3.7800000000000002</v>
          </cell>
          <cell r="L980">
            <v>0</v>
          </cell>
          <cell r="M980">
            <v>6.2798999999999996</v>
          </cell>
          <cell r="N980">
            <v>0</v>
          </cell>
          <cell r="O980">
            <v>1.32E-2</v>
          </cell>
          <cell r="P980">
            <v>0</v>
          </cell>
          <cell r="Q980">
            <v>2.69225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0.96579999999999999</v>
          </cell>
          <cell r="Y980">
            <v>0</v>
          </cell>
          <cell r="Z980">
            <v>0</v>
          </cell>
          <cell r="AA980">
            <v>41.320124999999997</v>
          </cell>
          <cell r="AB980">
            <v>0.26400000000000001</v>
          </cell>
        </row>
        <row r="981">
          <cell r="A981">
            <v>25221530</v>
          </cell>
          <cell r="B981" t="str">
            <v>Salami, beef</v>
          </cell>
          <cell r="I981">
            <v>55</v>
          </cell>
          <cell r="J981">
            <v>143.55000000000001</v>
          </cell>
          <cell r="K981">
            <v>2.6100000000000003</v>
          </cell>
          <cell r="L981">
            <v>0</v>
          </cell>
          <cell r="M981">
            <v>5.4257499999999999</v>
          </cell>
          <cell r="N981">
            <v>0</v>
          </cell>
          <cell r="O981">
            <v>3.3E-3</v>
          </cell>
          <cell r="P981">
            <v>0</v>
          </cell>
          <cell r="Q981">
            <v>0.56979999999999997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0.627</v>
          </cell>
          <cell r="Y981">
            <v>0</v>
          </cell>
          <cell r="Z981">
            <v>0</v>
          </cell>
          <cell r="AA981">
            <v>46.309725</v>
          </cell>
          <cell r="AB981">
            <v>0.20226189999999999</v>
          </cell>
        </row>
        <row r="982">
          <cell r="A982">
            <v>25221610</v>
          </cell>
          <cell r="B982" t="str">
            <v>Scrapple, cooked</v>
          </cell>
          <cell r="I982">
            <v>55</v>
          </cell>
          <cell r="J982">
            <v>117.15</v>
          </cell>
          <cell r="K982">
            <v>2.13</v>
          </cell>
          <cell r="L982">
            <v>0</v>
          </cell>
          <cell r="M982">
            <v>2.6025999999999998</v>
          </cell>
          <cell r="N982">
            <v>0</v>
          </cell>
          <cell r="O982">
            <v>3.8500000000000001E-3</v>
          </cell>
          <cell r="P982">
            <v>0.16500000000000001</v>
          </cell>
          <cell r="Q982">
            <v>0.91520000000000001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0.2651</v>
          </cell>
          <cell r="Y982">
            <v>0</v>
          </cell>
          <cell r="Z982">
            <v>0</v>
          </cell>
          <cell r="AA982">
            <v>52.234875000000002</v>
          </cell>
          <cell r="AB982">
            <v>0</v>
          </cell>
        </row>
        <row r="983">
          <cell r="A983">
            <v>25221810</v>
          </cell>
          <cell r="B983" t="str">
            <v>Thuringer</v>
          </cell>
          <cell r="I983">
            <v>55</v>
          </cell>
          <cell r="J983">
            <v>199.1</v>
          </cell>
          <cell r="K983">
            <v>3.62</v>
          </cell>
          <cell r="L983">
            <v>0</v>
          </cell>
          <cell r="M983">
            <v>6.3304999999999998</v>
          </cell>
          <cell r="N983">
            <v>0</v>
          </cell>
          <cell r="O983">
            <v>4.9500000000000004E-3</v>
          </cell>
          <cell r="P983">
            <v>0</v>
          </cell>
          <cell r="Q983">
            <v>0.66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0.71499999999999997</v>
          </cell>
          <cell r="Y983">
            <v>0</v>
          </cell>
          <cell r="Z983">
            <v>0</v>
          </cell>
          <cell r="AA983">
            <v>42.09975</v>
          </cell>
          <cell r="AB983">
            <v>0.2238995</v>
          </cell>
        </row>
        <row r="984">
          <cell r="A984">
            <v>25221830</v>
          </cell>
          <cell r="B984" t="str">
            <v>Turkey or chicken sausage</v>
          </cell>
          <cell r="I984">
            <v>55</v>
          </cell>
          <cell r="J984">
            <v>112.2</v>
          </cell>
          <cell r="K984">
            <v>2.04</v>
          </cell>
          <cell r="L984">
            <v>0</v>
          </cell>
          <cell r="M984">
            <v>1.5790500000000001</v>
          </cell>
          <cell r="N984">
            <v>0</v>
          </cell>
          <cell r="O984">
            <v>1.7049999999999999E-2</v>
          </cell>
          <cell r="P984">
            <v>0.16500000000000001</v>
          </cell>
          <cell r="Q984">
            <v>1.3975500000000001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0.39655000000000001</v>
          </cell>
          <cell r="Y984">
            <v>0</v>
          </cell>
          <cell r="Z984">
            <v>0</v>
          </cell>
          <cell r="AA984">
            <v>54.417825000000001</v>
          </cell>
          <cell r="AB984">
            <v>7.1140900000000007E-2</v>
          </cell>
        </row>
        <row r="985">
          <cell r="A985">
            <v>25221855</v>
          </cell>
          <cell r="B985" t="str">
            <v>Turkey or chicken sausage, reduced sodium</v>
          </cell>
          <cell r="I985">
            <v>55</v>
          </cell>
          <cell r="J985">
            <v>100.65</v>
          </cell>
          <cell r="K985">
            <v>1.83</v>
          </cell>
          <cell r="L985">
            <v>0</v>
          </cell>
          <cell r="M985">
            <v>0.49114999999999998</v>
          </cell>
          <cell r="N985">
            <v>0</v>
          </cell>
          <cell r="O985">
            <v>0</v>
          </cell>
          <cell r="P985">
            <v>0</v>
          </cell>
          <cell r="Q985">
            <v>0.83930000000000005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0.24529999999999999</v>
          </cell>
          <cell r="Y985">
            <v>0</v>
          </cell>
          <cell r="Z985">
            <v>0</v>
          </cell>
          <cell r="AA985">
            <v>54.573749999999997</v>
          </cell>
          <cell r="AB985">
            <v>9.9000000000000008E-3</v>
          </cell>
        </row>
        <row r="986">
          <cell r="A986">
            <v>25221860</v>
          </cell>
          <cell r="B986" t="str">
            <v>Turkey or chicken sausage, reduced fat</v>
          </cell>
          <cell r="I986">
            <v>55</v>
          </cell>
          <cell r="J986">
            <v>112.2</v>
          </cell>
          <cell r="K986">
            <v>2.04</v>
          </cell>
          <cell r="L986">
            <v>0</v>
          </cell>
          <cell r="M986">
            <v>1.5790500000000001</v>
          </cell>
          <cell r="N986">
            <v>0</v>
          </cell>
          <cell r="O986">
            <v>1.7049999999999999E-2</v>
          </cell>
          <cell r="P986">
            <v>0.16500000000000001</v>
          </cell>
          <cell r="Q986">
            <v>1.3975500000000001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0.39655000000000001</v>
          </cell>
          <cell r="Y986">
            <v>0</v>
          </cell>
          <cell r="Z986">
            <v>0</v>
          </cell>
          <cell r="AA986">
            <v>54.417825000000001</v>
          </cell>
          <cell r="AB986">
            <v>0</v>
          </cell>
        </row>
        <row r="987">
          <cell r="A987">
            <v>25221870</v>
          </cell>
          <cell r="B987" t="str">
            <v>Turkey or chicken and pork sausage</v>
          </cell>
          <cell r="I987">
            <v>55</v>
          </cell>
          <cell r="J987">
            <v>168.85</v>
          </cell>
          <cell r="K987">
            <v>3.07</v>
          </cell>
          <cell r="L987">
            <v>0</v>
          </cell>
          <cell r="M987">
            <v>4.3724999999999996</v>
          </cell>
          <cell r="N987">
            <v>0</v>
          </cell>
          <cell r="O987">
            <v>1.7600000000000001E-2</v>
          </cell>
          <cell r="P987">
            <v>0</v>
          </cell>
          <cell r="Q987">
            <v>1.7875000000000001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0.4829</v>
          </cell>
          <cell r="Y987">
            <v>0</v>
          </cell>
          <cell r="Z987">
            <v>0</v>
          </cell>
          <cell r="AA987">
            <v>46.621575</v>
          </cell>
          <cell r="AB987">
            <v>0.1635566</v>
          </cell>
        </row>
        <row r="988">
          <cell r="A988">
            <v>25221875</v>
          </cell>
          <cell r="B988" t="str">
            <v>Turkey or chicken, pork, and beef sausage, reduced sodium</v>
          </cell>
          <cell r="I988">
            <v>55</v>
          </cell>
          <cell r="J988">
            <v>149.05000000000001</v>
          </cell>
          <cell r="K988">
            <v>2.7100000000000004</v>
          </cell>
          <cell r="L988">
            <v>0</v>
          </cell>
          <cell r="M988">
            <v>4.5292500000000002</v>
          </cell>
          <cell r="N988">
            <v>0</v>
          </cell>
          <cell r="O988">
            <v>0</v>
          </cell>
          <cell r="P988">
            <v>0</v>
          </cell>
          <cell r="Q988">
            <v>1.8705499999999999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0.16170000000000001</v>
          </cell>
          <cell r="Y988">
            <v>0</v>
          </cell>
          <cell r="Z988">
            <v>0</v>
          </cell>
          <cell r="AA988">
            <v>47.089350000000003</v>
          </cell>
          <cell r="AB988">
            <v>0</v>
          </cell>
        </row>
        <row r="989">
          <cell r="A989">
            <v>25221880</v>
          </cell>
          <cell r="B989" t="str">
            <v>Turkey or chicken, pork, and beef sausage, reduced fat</v>
          </cell>
          <cell r="I989">
            <v>55</v>
          </cell>
          <cell r="J989">
            <v>132.55000000000001</v>
          </cell>
          <cell r="K989">
            <v>2.41</v>
          </cell>
          <cell r="L989">
            <v>0</v>
          </cell>
          <cell r="M989">
            <v>3.2692000000000001</v>
          </cell>
          <cell r="N989">
            <v>0</v>
          </cell>
          <cell r="O989">
            <v>9.9000000000000008E-3</v>
          </cell>
          <cell r="P989">
            <v>0</v>
          </cell>
          <cell r="Q989">
            <v>1.1797500000000001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0.52634999999999998</v>
          </cell>
          <cell r="Y989">
            <v>0</v>
          </cell>
          <cell r="Z989">
            <v>0</v>
          </cell>
          <cell r="AA989">
            <v>50.363774999999997</v>
          </cell>
          <cell r="AB989">
            <v>0</v>
          </cell>
        </row>
        <row r="990">
          <cell r="A990">
            <v>25221910</v>
          </cell>
          <cell r="B990" t="str">
            <v>Vienna sausage, canned</v>
          </cell>
          <cell r="I990">
            <v>55</v>
          </cell>
          <cell r="J990">
            <v>126.5</v>
          </cell>
          <cell r="K990">
            <v>2.2999999999999998</v>
          </cell>
          <cell r="L990">
            <v>0</v>
          </cell>
          <cell r="M990">
            <v>3.9187500000000002</v>
          </cell>
          <cell r="N990">
            <v>0</v>
          </cell>
          <cell r="O990">
            <v>5.4999999999999997E-3</v>
          </cell>
          <cell r="P990">
            <v>0</v>
          </cell>
          <cell r="Q990">
            <v>0.70950000000000002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0.48344999999999999</v>
          </cell>
          <cell r="Y990">
            <v>0</v>
          </cell>
          <cell r="Z990">
            <v>0</v>
          </cell>
          <cell r="AA990">
            <v>48.804524999999998</v>
          </cell>
          <cell r="AB990">
            <v>0</v>
          </cell>
        </row>
        <row r="991">
          <cell r="A991">
            <v>25221950</v>
          </cell>
          <cell r="B991" t="str">
            <v>Pickled sausage</v>
          </cell>
          <cell r="I991">
            <v>55</v>
          </cell>
          <cell r="J991">
            <v>216.07142999999999</v>
          </cell>
          <cell r="K991">
            <v>3.9285714545454544</v>
          </cell>
          <cell r="L991">
            <v>0</v>
          </cell>
          <cell r="M991">
            <v>7.0714286</v>
          </cell>
          <cell r="N991">
            <v>0</v>
          </cell>
          <cell r="O991">
            <v>5.5611000000000002E-3</v>
          </cell>
          <cell r="P991">
            <v>0</v>
          </cell>
          <cell r="Q991">
            <v>2.1279762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0.67607660000000003</v>
          </cell>
          <cell r="Y991">
            <v>0</v>
          </cell>
          <cell r="Z991">
            <v>0</v>
          </cell>
          <cell r="AA991">
            <v>38.362499999999997</v>
          </cell>
          <cell r="AB991">
            <v>0.37452079999999999</v>
          </cell>
        </row>
        <row r="992">
          <cell r="A992">
            <v>25230110</v>
          </cell>
          <cell r="B992" t="str">
            <v>Luncheon meat, NFS</v>
          </cell>
          <cell r="I992">
            <v>55</v>
          </cell>
          <cell r="J992">
            <v>58.85</v>
          </cell>
          <cell r="K992">
            <v>1.07</v>
          </cell>
          <cell r="L992">
            <v>0</v>
          </cell>
          <cell r="M992">
            <v>0.67484999999999995</v>
          </cell>
          <cell r="N992">
            <v>0</v>
          </cell>
          <cell r="O992">
            <v>2.7499999999999998E-3</v>
          </cell>
          <cell r="P992">
            <v>0</v>
          </cell>
          <cell r="Q992">
            <v>0.34429999999999999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0.51975000000000005</v>
          </cell>
          <cell r="Y992">
            <v>0</v>
          </cell>
          <cell r="Z992">
            <v>0</v>
          </cell>
          <cell r="AA992">
            <v>55</v>
          </cell>
          <cell r="AB992">
            <v>7.7000000000000002E-3</v>
          </cell>
        </row>
        <row r="993">
          <cell r="A993">
            <v>25230210</v>
          </cell>
          <cell r="B993" t="str">
            <v>Ham, prepackaged or deli, luncheon meat</v>
          </cell>
          <cell r="I993">
            <v>55</v>
          </cell>
          <cell r="J993">
            <v>58.85</v>
          </cell>
          <cell r="K993">
            <v>1.07</v>
          </cell>
          <cell r="L993">
            <v>0</v>
          </cell>
          <cell r="M993">
            <v>0.67484999999999995</v>
          </cell>
          <cell r="N993">
            <v>0</v>
          </cell>
          <cell r="O993">
            <v>2.7499999999999998E-3</v>
          </cell>
          <cell r="P993">
            <v>0</v>
          </cell>
          <cell r="Q993">
            <v>0.34429999999999999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0.51975000000000005</v>
          </cell>
          <cell r="Y993">
            <v>0</v>
          </cell>
          <cell r="Z993">
            <v>0</v>
          </cell>
          <cell r="AA993">
            <v>55</v>
          </cell>
          <cell r="AB993">
            <v>7.7000000000000002E-3</v>
          </cell>
        </row>
        <row r="994">
          <cell r="A994">
            <v>25230220</v>
          </cell>
          <cell r="B994" t="str">
            <v>Ham, prepackaged or deli, luncheon meat, reduced sodium</v>
          </cell>
          <cell r="I994">
            <v>55</v>
          </cell>
          <cell r="J994">
            <v>58.85</v>
          </cell>
          <cell r="K994">
            <v>1.07</v>
          </cell>
          <cell r="L994">
            <v>0</v>
          </cell>
          <cell r="M994">
            <v>0.67484999999999995</v>
          </cell>
          <cell r="N994">
            <v>0</v>
          </cell>
          <cell r="O994">
            <v>2.7499999999999998E-3</v>
          </cell>
          <cell r="P994">
            <v>0</v>
          </cell>
          <cell r="Q994">
            <v>0.34429999999999999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0.51975000000000005</v>
          </cell>
          <cell r="Y994">
            <v>0</v>
          </cell>
          <cell r="Z994">
            <v>0</v>
          </cell>
          <cell r="AA994">
            <v>55</v>
          </cell>
          <cell r="AB994">
            <v>0</v>
          </cell>
        </row>
        <row r="995">
          <cell r="A995">
            <v>25230230</v>
          </cell>
          <cell r="B995" t="str">
            <v>Ham, sliced, extra lean, prepackaged or deli, luncheon meat</v>
          </cell>
          <cell r="I995">
            <v>55</v>
          </cell>
          <cell r="J995">
            <v>58.85</v>
          </cell>
          <cell r="K995">
            <v>1.07</v>
          </cell>
          <cell r="L995">
            <v>0</v>
          </cell>
          <cell r="M995">
            <v>0.67484999999999995</v>
          </cell>
          <cell r="N995">
            <v>0</v>
          </cell>
          <cell r="O995">
            <v>2.7499999999999998E-3</v>
          </cell>
          <cell r="P995">
            <v>0</v>
          </cell>
          <cell r="Q995">
            <v>0.34429999999999999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0.51975000000000005</v>
          </cell>
          <cell r="Y995">
            <v>0</v>
          </cell>
          <cell r="Z995">
            <v>0</v>
          </cell>
          <cell r="AA995">
            <v>55</v>
          </cell>
          <cell r="AB995">
            <v>7.7000000000000002E-3</v>
          </cell>
        </row>
        <row r="996">
          <cell r="A996">
            <v>25230235</v>
          </cell>
          <cell r="B996" t="str">
            <v>Ham, sliced, extra lean, lower sodium, prepackaged or deli, luncheon meat</v>
          </cell>
          <cell r="I996">
            <v>55</v>
          </cell>
          <cell r="J996">
            <v>77.55</v>
          </cell>
          <cell r="K996">
            <v>1.41</v>
          </cell>
          <cell r="L996">
            <v>0</v>
          </cell>
          <cell r="M996">
            <v>0.98229999999999995</v>
          </cell>
          <cell r="N996">
            <v>0</v>
          </cell>
          <cell r="O996">
            <v>2.7499999999999998E-3</v>
          </cell>
          <cell r="P996">
            <v>0</v>
          </cell>
          <cell r="Q996">
            <v>0.10285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0.58409999999999995</v>
          </cell>
          <cell r="Y996">
            <v>0</v>
          </cell>
          <cell r="Z996">
            <v>0</v>
          </cell>
          <cell r="AA996">
            <v>52.858575000000002</v>
          </cell>
          <cell r="AB996">
            <v>1.0449999999999999E-2</v>
          </cell>
        </row>
        <row r="997">
          <cell r="A997">
            <v>25230310</v>
          </cell>
          <cell r="B997" t="str">
            <v>Chicken or turkey loaf, prepackaged or deli, luncheon meat</v>
          </cell>
          <cell r="I997">
            <v>55</v>
          </cell>
          <cell r="J997">
            <v>58.3</v>
          </cell>
          <cell r="K997">
            <v>1.06</v>
          </cell>
          <cell r="L997">
            <v>0</v>
          </cell>
          <cell r="M997">
            <v>0.49830000000000002</v>
          </cell>
          <cell r="N997">
            <v>0</v>
          </cell>
          <cell r="O997">
            <v>7.7000000000000002E-3</v>
          </cell>
          <cell r="P997">
            <v>0</v>
          </cell>
          <cell r="Q997">
            <v>0.56320000000000003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0.49390000000000001</v>
          </cell>
          <cell r="Y997">
            <v>0</v>
          </cell>
          <cell r="Z997">
            <v>0</v>
          </cell>
          <cell r="AA997">
            <v>54.573749999999997</v>
          </cell>
          <cell r="AB997">
            <v>1.5949999999999999E-2</v>
          </cell>
        </row>
        <row r="998">
          <cell r="A998">
            <v>25230320</v>
          </cell>
          <cell r="B998" t="str">
            <v>Chicken, prepackaged or deli, luncheon meat</v>
          </cell>
          <cell r="I998">
            <v>55</v>
          </cell>
          <cell r="J998">
            <v>53.9</v>
          </cell>
          <cell r="K998">
            <v>0.98</v>
          </cell>
          <cell r="L998">
            <v>0</v>
          </cell>
          <cell r="M998">
            <v>0.31019999999999998</v>
          </cell>
          <cell r="N998">
            <v>0</v>
          </cell>
          <cell r="O998">
            <v>6.0499999999999998E-3</v>
          </cell>
          <cell r="P998">
            <v>0</v>
          </cell>
          <cell r="Q998">
            <v>0.24859999999999999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0.56759999999999999</v>
          </cell>
          <cell r="Y998">
            <v>0</v>
          </cell>
          <cell r="Z998">
            <v>0</v>
          </cell>
          <cell r="AA998">
            <v>55</v>
          </cell>
          <cell r="AB998">
            <v>3.8500000000000001E-3</v>
          </cell>
        </row>
        <row r="999">
          <cell r="A999">
            <v>25230340</v>
          </cell>
          <cell r="B999" t="str">
            <v>Chicken, prepackaged or deli, luncheon meat, reduced sodium</v>
          </cell>
          <cell r="I999">
            <v>55</v>
          </cell>
          <cell r="J999">
            <v>53.9</v>
          </cell>
          <cell r="K999">
            <v>0.98</v>
          </cell>
          <cell r="L999">
            <v>0</v>
          </cell>
          <cell r="M999">
            <v>0.31019999999999998</v>
          </cell>
          <cell r="N999">
            <v>0</v>
          </cell>
          <cell r="O999">
            <v>6.0499999999999998E-3</v>
          </cell>
          <cell r="P999">
            <v>0</v>
          </cell>
          <cell r="Q999">
            <v>0.24859999999999999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0.56759999999999999</v>
          </cell>
          <cell r="Y999">
            <v>0</v>
          </cell>
          <cell r="Z999">
            <v>0</v>
          </cell>
          <cell r="AA999">
            <v>55</v>
          </cell>
          <cell r="AB999">
            <v>3.8500000000000001E-3</v>
          </cell>
        </row>
        <row r="1000">
          <cell r="A1000">
            <v>25230420</v>
          </cell>
          <cell r="B1000" t="str">
            <v>Ham luncheon meat, loaf type</v>
          </cell>
          <cell r="I1000">
            <v>55</v>
          </cell>
          <cell r="J1000">
            <v>99</v>
          </cell>
          <cell r="K1000">
            <v>1.8</v>
          </cell>
          <cell r="L1000">
            <v>0</v>
          </cell>
          <cell r="M1000">
            <v>1.8821000000000001</v>
          </cell>
          <cell r="N1000">
            <v>0</v>
          </cell>
          <cell r="O1000">
            <v>3.8500000000000001E-3</v>
          </cell>
          <cell r="P1000">
            <v>0</v>
          </cell>
          <cell r="Q1000">
            <v>0.69299999999999995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0.57145000000000001</v>
          </cell>
          <cell r="Y1000">
            <v>0</v>
          </cell>
          <cell r="Z1000">
            <v>0</v>
          </cell>
          <cell r="AA1000">
            <v>54.417825000000001</v>
          </cell>
          <cell r="AB1000">
            <v>2.5731799999999999E-2</v>
          </cell>
        </row>
        <row r="1001">
          <cell r="A1001">
            <v>25230530</v>
          </cell>
          <cell r="B1001" t="str">
            <v>Ham and pork, canned luncheon meat, chopped, minced, pressed, spiced</v>
          </cell>
          <cell r="I1001">
            <v>55</v>
          </cell>
          <cell r="J1001">
            <v>173.25</v>
          </cell>
          <cell r="K1001">
            <v>3.15</v>
          </cell>
          <cell r="L1001">
            <v>0</v>
          </cell>
          <cell r="M1001">
            <v>5.4928499999999998</v>
          </cell>
          <cell r="N1001">
            <v>0</v>
          </cell>
          <cell r="O1001">
            <v>0</v>
          </cell>
          <cell r="P1001">
            <v>0</v>
          </cell>
          <cell r="Q1001">
            <v>1.1104499999999999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0.77605000000000002</v>
          </cell>
          <cell r="Y1001">
            <v>0</v>
          </cell>
          <cell r="Z1001">
            <v>0</v>
          </cell>
          <cell r="AA1001">
            <v>44.438625000000002</v>
          </cell>
          <cell r="AB1001">
            <v>0.36630879999999999</v>
          </cell>
        </row>
        <row r="1002">
          <cell r="A1002">
            <v>25230540</v>
          </cell>
          <cell r="B1002" t="str">
            <v>Ham, pork and chicken, canned luncheon meat, chopped, minced, pressed, spiced, reduced fat and reduced sodium</v>
          </cell>
          <cell r="I1002">
            <v>55</v>
          </cell>
          <cell r="J1002">
            <v>107.8</v>
          </cell>
          <cell r="K1002">
            <v>1.96</v>
          </cell>
          <cell r="L1002">
            <v>0</v>
          </cell>
          <cell r="M1002">
            <v>2.4826999999999999</v>
          </cell>
          <cell r="N1002">
            <v>0</v>
          </cell>
          <cell r="O1002">
            <v>2.145E-2</v>
          </cell>
          <cell r="P1002">
            <v>0</v>
          </cell>
          <cell r="Q1002">
            <v>0.8085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0.56759999999999999</v>
          </cell>
          <cell r="Y1002">
            <v>0</v>
          </cell>
          <cell r="Z1002">
            <v>0</v>
          </cell>
          <cell r="AA1002">
            <v>52.234875000000002</v>
          </cell>
          <cell r="AB1002">
            <v>0.1630007</v>
          </cell>
        </row>
        <row r="1003">
          <cell r="A1003">
            <v>25230550</v>
          </cell>
          <cell r="B1003" t="str">
            <v>Ham, pork, and chicken, canned luncheon meat, chopped, minced, pressed, spiced, reduced sodium</v>
          </cell>
          <cell r="I1003">
            <v>55</v>
          </cell>
          <cell r="J1003">
            <v>161.15</v>
          </cell>
          <cell r="K1003">
            <v>2.93</v>
          </cell>
          <cell r="L1003">
            <v>0</v>
          </cell>
          <cell r="M1003">
            <v>4.8801500000000004</v>
          </cell>
          <cell r="N1003">
            <v>0</v>
          </cell>
          <cell r="O1003">
            <v>0</v>
          </cell>
          <cell r="P1003">
            <v>0</v>
          </cell>
          <cell r="Q1003">
            <v>1.4662999999999999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0.56979999999999997</v>
          </cell>
          <cell r="Y1003">
            <v>0</v>
          </cell>
          <cell r="Z1003">
            <v>0</v>
          </cell>
          <cell r="AA1003">
            <v>45.374175000000001</v>
          </cell>
          <cell r="AB1003">
            <v>0.20054169999999999</v>
          </cell>
        </row>
        <row r="1004">
          <cell r="A1004">
            <v>25230560</v>
          </cell>
          <cell r="B1004" t="str">
            <v>Liverwurst</v>
          </cell>
          <cell r="I1004">
            <v>55</v>
          </cell>
          <cell r="J1004">
            <v>179.85</v>
          </cell>
          <cell r="K1004">
            <v>3.27</v>
          </cell>
          <cell r="L1004">
            <v>0</v>
          </cell>
          <cell r="M1004">
            <v>5.1188500000000001</v>
          </cell>
          <cell r="N1004">
            <v>0</v>
          </cell>
          <cell r="O1004">
            <v>4.9500000000000004E-3</v>
          </cell>
          <cell r="P1004">
            <v>0</v>
          </cell>
          <cell r="Q1004">
            <v>1.7561500000000001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0.53734999999999999</v>
          </cell>
          <cell r="Y1004">
            <v>0</v>
          </cell>
          <cell r="Z1004">
            <v>0</v>
          </cell>
          <cell r="AA1004">
            <v>43.347149999999999</v>
          </cell>
          <cell r="AB1004">
            <v>0.57104770000000005</v>
          </cell>
        </row>
        <row r="1005">
          <cell r="A1005">
            <v>25230610</v>
          </cell>
          <cell r="B1005" t="str">
            <v>Luncheon meat, loaf type</v>
          </cell>
          <cell r="I1005">
            <v>55</v>
          </cell>
          <cell r="J1005">
            <v>123.75</v>
          </cell>
          <cell r="K1005">
            <v>2.25</v>
          </cell>
          <cell r="L1005">
            <v>0.16500000000000001</v>
          </cell>
          <cell r="M1005">
            <v>2.9078499999999998</v>
          </cell>
          <cell r="N1005">
            <v>0</v>
          </cell>
          <cell r="O1005">
            <v>5.9950000000000003E-2</v>
          </cell>
          <cell r="P1005">
            <v>0.66</v>
          </cell>
          <cell r="Q1005">
            <v>1.5422</v>
          </cell>
          <cell r="R1005">
            <v>0</v>
          </cell>
          <cell r="S1005">
            <v>0</v>
          </cell>
          <cell r="T1005">
            <v>0</v>
          </cell>
          <cell r="U1005">
            <v>1.0449999999999999</v>
          </cell>
          <cell r="V1005">
            <v>0</v>
          </cell>
          <cell r="W1005">
            <v>0</v>
          </cell>
          <cell r="X1005">
            <v>0.57199999999999995</v>
          </cell>
          <cell r="Y1005">
            <v>0</v>
          </cell>
          <cell r="Z1005">
            <v>0</v>
          </cell>
          <cell r="AA1005">
            <v>38.045699999999997</v>
          </cell>
          <cell r="AB1005">
            <v>0.1075757</v>
          </cell>
        </row>
        <row r="1006">
          <cell r="A1006">
            <v>25230780</v>
          </cell>
          <cell r="B1006" t="str">
            <v>Turkey, prepackaged or deli, luncheon meat</v>
          </cell>
          <cell r="I1006">
            <v>55</v>
          </cell>
          <cell r="J1006">
            <v>58.3</v>
          </cell>
          <cell r="K1006">
            <v>1.06</v>
          </cell>
          <cell r="L1006">
            <v>0</v>
          </cell>
          <cell r="M1006">
            <v>0.49830000000000002</v>
          </cell>
          <cell r="N1006">
            <v>0</v>
          </cell>
          <cell r="O1006">
            <v>7.7000000000000002E-3</v>
          </cell>
          <cell r="P1006">
            <v>0</v>
          </cell>
          <cell r="Q1006">
            <v>0.56320000000000003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0.49390000000000001</v>
          </cell>
          <cell r="Y1006">
            <v>0</v>
          </cell>
          <cell r="Z1006">
            <v>0</v>
          </cell>
          <cell r="AA1006">
            <v>54.573749999999997</v>
          </cell>
          <cell r="AB1006">
            <v>1.5949999999999999E-2</v>
          </cell>
        </row>
        <row r="1007">
          <cell r="A1007">
            <v>25230785</v>
          </cell>
          <cell r="B1007" t="str">
            <v>Turkey, prepackaged or deli, luncheon meat, reduced sodium</v>
          </cell>
          <cell r="I1007">
            <v>55</v>
          </cell>
          <cell r="J1007">
            <v>58.3</v>
          </cell>
          <cell r="K1007">
            <v>1.06</v>
          </cell>
          <cell r="L1007">
            <v>0</v>
          </cell>
          <cell r="M1007">
            <v>0.49830000000000002</v>
          </cell>
          <cell r="N1007">
            <v>0</v>
          </cell>
          <cell r="O1007">
            <v>7.7000000000000002E-3</v>
          </cell>
          <cell r="P1007">
            <v>0</v>
          </cell>
          <cell r="Q1007">
            <v>0.56320000000000003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0.49390000000000001</v>
          </cell>
          <cell r="Y1007">
            <v>0</v>
          </cell>
          <cell r="Z1007">
            <v>0</v>
          </cell>
          <cell r="AA1007">
            <v>54.573749999999997</v>
          </cell>
          <cell r="AB1007">
            <v>1.5949999999999999E-2</v>
          </cell>
        </row>
        <row r="1008">
          <cell r="A1008">
            <v>25230790</v>
          </cell>
          <cell r="B1008" t="str">
            <v>Turkey ham, sliced, extra lean, prepackaged or deli, luncheon meat</v>
          </cell>
          <cell r="I1008">
            <v>55</v>
          </cell>
          <cell r="J1008">
            <v>68.2</v>
          </cell>
          <cell r="K1008">
            <v>1.24</v>
          </cell>
          <cell r="L1008">
            <v>0</v>
          </cell>
          <cell r="M1008">
            <v>0.59950000000000003</v>
          </cell>
          <cell r="N1008">
            <v>0</v>
          </cell>
          <cell r="O1008">
            <v>2.7499999999999998E-3</v>
          </cell>
          <cell r="P1008">
            <v>0</v>
          </cell>
          <cell r="Q1008">
            <v>0.63139999999999996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0.57089999999999996</v>
          </cell>
          <cell r="Y1008">
            <v>0</v>
          </cell>
          <cell r="Z1008">
            <v>0</v>
          </cell>
          <cell r="AA1008">
            <v>55</v>
          </cell>
          <cell r="AB1008">
            <v>0</v>
          </cell>
        </row>
        <row r="1009">
          <cell r="A1009">
            <v>25230800</v>
          </cell>
          <cell r="B1009" t="str">
            <v>Turkey ham, prepackaged or deli, luncheon meat</v>
          </cell>
          <cell r="I1009">
            <v>55</v>
          </cell>
          <cell r="J1009">
            <v>68.2</v>
          </cell>
          <cell r="K1009">
            <v>1.24</v>
          </cell>
          <cell r="L1009">
            <v>0</v>
          </cell>
          <cell r="M1009">
            <v>0.59950000000000003</v>
          </cell>
          <cell r="N1009">
            <v>0</v>
          </cell>
          <cell r="O1009">
            <v>2.7499999999999998E-3</v>
          </cell>
          <cell r="P1009">
            <v>0</v>
          </cell>
          <cell r="Q1009">
            <v>0.63139999999999996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0.57089999999999996</v>
          </cell>
          <cell r="Y1009">
            <v>0</v>
          </cell>
          <cell r="Z1009">
            <v>0</v>
          </cell>
          <cell r="AA1009">
            <v>55</v>
          </cell>
          <cell r="AB1009">
            <v>0</v>
          </cell>
        </row>
        <row r="1010">
          <cell r="A1010">
            <v>25230820</v>
          </cell>
          <cell r="B1010" t="str">
            <v>Turkey pastrami</v>
          </cell>
          <cell r="I1010">
            <v>55</v>
          </cell>
          <cell r="J1010">
            <v>76.45</v>
          </cell>
          <cell r="K1010">
            <v>1.3900000000000001</v>
          </cell>
          <cell r="L1010">
            <v>0</v>
          </cell>
          <cell r="M1010">
            <v>0.76724999999999999</v>
          </cell>
          <cell r="N1010">
            <v>0</v>
          </cell>
          <cell r="O1010">
            <v>6.0499999999999998E-3</v>
          </cell>
          <cell r="P1010">
            <v>5.5E-2</v>
          </cell>
          <cell r="Q1010">
            <v>0.78100000000000003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0.61765000000000003</v>
          </cell>
          <cell r="Y1010">
            <v>0</v>
          </cell>
          <cell r="Z1010">
            <v>0</v>
          </cell>
          <cell r="AA1010">
            <v>53.170425000000002</v>
          </cell>
          <cell r="AB1010">
            <v>0</v>
          </cell>
        </row>
        <row r="1011">
          <cell r="A1011">
            <v>25230840</v>
          </cell>
          <cell r="B1011" t="str">
            <v>Turkey salami</v>
          </cell>
          <cell r="I1011">
            <v>55</v>
          </cell>
          <cell r="J1011">
            <v>94.6</v>
          </cell>
          <cell r="K1011">
            <v>1.72</v>
          </cell>
          <cell r="L1011">
            <v>0</v>
          </cell>
          <cell r="M1011">
            <v>1.5306500000000001</v>
          </cell>
          <cell r="N1011">
            <v>0</v>
          </cell>
          <cell r="O1011">
            <v>2.1999999999999999E-2</v>
          </cell>
          <cell r="P1011">
            <v>5.5E-2</v>
          </cell>
          <cell r="Q1011">
            <v>1.3563000000000001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0.60885</v>
          </cell>
          <cell r="Y1011">
            <v>0</v>
          </cell>
          <cell r="Z1011">
            <v>0</v>
          </cell>
          <cell r="AA1011">
            <v>54.417825000000001</v>
          </cell>
          <cell r="AB1011">
            <v>0</v>
          </cell>
        </row>
        <row r="1012">
          <cell r="A1012">
            <v>25230900</v>
          </cell>
          <cell r="B1012" t="str">
            <v>Turkey or chicken breast, prepackaged or deli, luncheon meat</v>
          </cell>
          <cell r="I1012">
            <v>55</v>
          </cell>
          <cell r="J1012">
            <v>58.3</v>
          </cell>
          <cell r="K1012">
            <v>1.06</v>
          </cell>
          <cell r="L1012">
            <v>0</v>
          </cell>
          <cell r="M1012">
            <v>0.49830000000000002</v>
          </cell>
          <cell r="N1012">
            <v>0</v>
          </cell>
          <cell r="O1012">
            <v>7.7000000000000002E-3</v>
          </cell>
          <cell r="P1012">
            <v>0</v>
          </cell>
          <cell r="Q1012">
            <v>0.56320000000000003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0.49390000000000001</v>
          </cell>
          <cell r="Y1012">
            <v>0</v>
          </cell>
          <cell r="Z1012">
            <v>0</v>
          </cell>
          <cell r="AA1012">
            <v>54.573749999999997</v>
          </cell>
          <cell r="AB1012">
            <v>1.5949999999999999E-2</v>
          </cell>
        </row>
        <row r="1013">
          <cell r="A1013">
            <v>25230905</v>
          </cell>
          <cell r="B1013" t="str">
            <v>Turkey or chicken breast, low salt, prepackaged or deli, luncheon meat</v>
          </cell>
          <cell r="I1013">
            <v>55</v>
          </cell>
          <cell r="J1013">
            <v>59.95</v>
          </cell>
          <cell r="K1013">
            <v>1.0900000000000001</v>
          </cell>
          <cell r="L1013">
            <v>0</v>
          </cell>
          <cell r="M1013">
            <v>0.10835</v>
          </cell>
          <cell r="N1013">
            <v>0</v>
          </cell>
          <cell r="O1013">
            <v>4.4000000000000003E-3</v>
          </cell>
          <cell r="P1013">
            <v>0.27500000000000002</v>
          </cell>
          <cell r="Q1013">
            <v>0.1012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0.42459999999999998</v>
          </cell>
          <cell r="Y1013">
            <v>0</v>
          </cell>
          <cell r="Z1013">
            <v>0</v>
          </cell>
          <cell r="AA1013">
            <v>53.014499999999998</v>
          </cell>
          <cell r="AB1013">
            <v>0</v>
          </cell>
        </row>
        <row r="1014">
          <cell r="A1014">
            <v>25231110</v>
          </cell>
          <cell r="B1014" t="str">
            <v>Beef, prepackaged or deli, luncheon meat</v>
          </cell>
          <cell r="I1014">
            <v>55</v>
          </cell>
          <cell r="J1014">
            <v>63.25</v>
          </cell>
          <cell r="K1014">
            <v>1.1499999999999999</v>
          </cell>
          <cell r="L1014">
            <v>0</v>
          </cell>
          <cell r="M1014">
            <v>0.72489999999999999</v>
          </cell>
          <cell r="N1014">
            <v>0</v>
          </cell>
          <cell r="O1014">
            <v>2.7499999999999998E-3</v>
          </cell>
          <cell r="P1014">
            <v>0</v>
          </cell>
          <cell r="Q1014">
            <v>0.14849999999999999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0.46915000000000001</v>
          </cell>
          <cell r="Y1014">
            <v>0</v>
          </cell>
          <cell r="Z1014">
            <v>0</v>
          </cell>
          <cell r="AA1014">
            <v>55</v>
          </cell>
          <cell r="AB1014">
            <v>8.14E-2</v>
          </cell>
        </row>
        <row r="1015">
          <cell r="A1015">
            <v>25231150</v>
          </cell>
          <cell r="B1015" t="str">
            <v>Corned beef, pressed</v>
          </cell>
          <cell r="I1015">
            <v>55</v>
          </cell>
          <cell r="J1015">
            <v>137.5</v>
          </cell>
          <cell r="K1015">
            <v>2.5</v>
          </cell>
          <cell r="L1015">
            <v>0</v>
          </cell>
          <cell r="M1015">
            <v>3.399</v>
          </cell>
          <cell r="N1015">
            <v>0</v>
          </cell>
          <cell r="O1015">
            <v>6.6E-3</v>
          </cell>
          <cell r="P1015">
            <v>0</v>
          </cell>
          <cell r="Q1015">
            <v>0.34649999999999997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0.49335000000000001</v>
          </cell>
          <cell r="Y1015">
            <v>0</v>
          </cell>
          <cell r="Z1015">
            <v>0</v>
          </cell>
          <cell r="AA1015">
            <v>51.611175000000003</v>
          </cell>
          <cell r="AB1015">
            <v>0.1331079</v>
          </cell>
        </row>
        <row r="1016">
          <cell r="A1016">
            <v>25240000</v>
          </cell>
          <cell r="B1016" t="str">
            <v>Meat spread or potted meat, NFS</v>
          </cell>
          <cell r="I1016">
            <v>55</v>
          </cell>
          <cell r="J1016">
            <v>129.25</v>
          </cell>
          <cell r="K1016">
            <v>2.35</v>
          </cell>
          <cell r="L1016">
            <v>0</v>
          </cell>
          <cell r="M1016">
            <v>3.28735</v>
          </cell>
          <cell r="N1016">
            <v>0</v>
          </cell>
          <cell r="O1016">
            <v>6.6E-3</v>
          </cell>
          <cell r="P1016">
            <v>0.11</v>
          </cell>
          <cell r="Q1016">
            <v>1.4107499999999999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0.55715000000000003</v>
          </cell>
          <cell r="Y1016">
            <v>0</v>
          </cell>
          <cell r="Z1016">
            <v>38.513475</v>
          </cell>
          <cell r="AA1016">
            <v>0</v>
          </cell>
          <cell r="AB1016">
            <v>0.2926415</v>
          </cell>
        </row>
        <row r="1017">
          <cell r="A1017">
            <v>25240110</v>
          </cell>
          <cell r="B1017" t="str">
            <v>Chicken salad spread</v>
          </cell>
          <cell r="I1017">
            <v>55</v>
          </cell>
          <cell r="J1017">
            <v>110</v>
          </cell>
          <cell r="K1017">
            <v>2</v>
          </cell>
          <cell r="L1017">
            <v>0</v>
          </cell>
          <cell r="M1017">
            <v>1.8975</v>
          </cell>
          <cell r="N1017">
            <v>0</v>
          </cell>
          <cell r="O1017">
            <v>5.4999999999999997E-3</v>
          </cell>
          <cell r="P1017">
            <v>0</v>
          </cell>
          <cell r="Q1017">
            <v>3.4209999999999998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0.35915000000000002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</row>
        <row r="1018">
          <cell r="A1018">
            <v>25240220</v>
          </cell>
          <cell r="B1018" t="str">
            <v>Ham salad spread</v>
          </cell>
          <cell r="I1018">
            <v>55</v>
          </cell>
          <cell r="J1018">
            <v>118.8</v>
          </cell>
          <cell r="K1018">
            <v>2.16</v>
          </cell>
          <cell r="L1018">
            <v>0</v>
          </cell>
          <cell r="M1018">
            <v>2.7769499999999998</v>
          </cell>
          <cell r="N1018">
            <v>0</v>
          </cell>
          <cell r="O1018">
            <v>4.4000000000000003E-3</v>
          </cell>
          <cell r="P1018">
            <v>0</v>
          </cell>
          <cell r="Q1018">
            <v>1.47895</v>
          </cell>
          <cell r="R1018">
            <v>0</v>
          </cell>
          <cell r="S1018">
            <v>0</v>
          </cell>
          <cell r="T1018">
            <v>0</v>
          </cell>
          <cell r="U1018">
            <v>12.7875</v>
          </cell>
          <cell r="V1018">
            <v>0</v>
          </cell>
          <cell r="W1018">
            <v>0</v>
          </cell>
          <cell r="X1018">
            <v>0.59125000000000005</v>
          </cell>
          <cell r="Y1018">
            <v>0</v>
          </cell>
          <cell r="Z1018">
            <v>0</v>
          </cell>
          <cell r="AA1018">
            <v>24.636150000000001</v>
          </cell>
          <cell r="AB1018">
            <v>8.5320400000000005E-2</v>
          </cell>
        </row>
        <row r="1019">
          <cell r="A1019">
            <v>26100100</v>
          </cell>
          <cell r="B1019" t="str">
            <v>Fish, NS as to type, raw</v>
          </cell>
          <cell r="I1019">
            <v>110</v>
          </cell>
          <cell r="J1019">
            <v>112.07899999999999</v>
          </cell>
          <cell r="K1019">
            <v>1.0188999999999999</v>
          </cell>
          <cell r="L1019">
            <v>0</v>
          </cell>
          <cell r="M1019">
            <v>0.73516300000000001</v>
          </cell>
          <cell r="N1019">
            <v>0.28795799999999999</v>
          </cell>
          <cell r="O1019">
            <v>1.0681E-2</v>
          </cell>
          <cell r="P1019">
            <v>0</v>
          </cell>
          <cell r="Q1019">
            <v>0.65740399999999999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0.141647</v>
          </cell>
          <cell r="Y1019">
            <v>0</v>
          </cell>
          <cell r="Z1019">
            <v>0</v>
          </cell>
          <cell r="AA1019">
            <v>0</v>
          </cell>
          <cell r="AB1019">
            <v>3.091E-2</v>
          </cell>
        </row>
        <row r="1020">
          <cell r="A1020">
            <v>26100110</v>
          </cell>
          <cell r="B1020" t="str">
            <v>Fish, NS as to type, cooked, NS as to cooking method</v>
          </cell>
          <cell r="I1020">
            <v>85</v>
          </cell>
          <cell r="J1020">
            <v>109.81572</v>
          </cell>
          <cell r="K1020">
            <v>1.2919496470588234</v>
          </cell>
          <cell r="L1020">
            <v>2.7715999999999999E-3</v>
          </cell>
          <cell r="M1020">
            <v>0.95164099999999996</v>
          </cell>
          <cell r="N1020">
            <v>0.2347949</v>
          </cell>
          <cell r="O1020">
            <v>7.4895999999999999E-3</v>
          </cell>
          <cell r="P1020">
            <v>0</v>
          </cell>
          <cell r="Q1020">
            <v>1.5637384999999999</v>
          </cell>
          <cell r="R1020">
            <v>0</v>
          </cell>
          <cell r="S1020">
            <v>0</v>
          </cell>
          <cell r="T1020">
            <v>0.92385859999999997</v>
          </cell>
          <cell r="U1020">
            <v>0</v>
          </cell>
          <cell r="V1020">
            <v>0</v>
          </cell>
          <cell r="W1020">
            <v>0</v>
          </cell>
          <cell r="X1020">
            <v>0.30013390000000001</v>
          </cell>
          <cell r="Y1020">
            <v>0</v>
          </cell>
          <cell r="Z1020">
            <v>0</v>
          </cell>
          <cell r="AA1020">
            <v>0</v>
          </cell>
          <cell r="AB1020">
            <v>3.1422600000000002E-2</v>
          </cell>
        </row>
        <row r="1021">
          <cell r="A1021">
            <v>26100120</v>
          </cell>
          <cell r="B1021" t="str">
            <v>Fish, NS as to type, baked or broiled, made with oil</v>
          </cell>
          <cell r="I1021">
            <v>85</v>
          </cell>
          <cell r="J1021">
            <v>109.81572</v>
          </cell>
          <cell r="K1021">
            <v>1.2919496470588234</v>
          </cell>
          <cell r="L1021">
            <v>2.7715999999999999E-3</v>
          </cell>
          <cell r="M1021">
            <v>0.95164099999999996</v>
          </cell>
          <cell r="N1021">
            <v>0.2347949</v>
          </cell>
          <cell r="O1021">
            <v>7.4895999999999999E-3</v>
          </cell>
          <cell r="P1021">
            <v>0</v>
          </cell>
          <cell r="Q1021">
            <v>1.5637384999999999</v>
          </cell>
          <cell r="R1021">
            <v>0</v>
          </cell>
          <cell r="S1021">
            <v>0</v>
          </cell>
          <cell r="T1021">
            <v>0.92385859999999997</v>
          </cell>
          <cell r="U1021">
            <v>0</v>
          </cell>
          <cell r="V1021">
            <v>0</v>
          </cell>
          <cell r="W1021">
            <v>0</v>
          </cell>
          <cell r="X1021">
            <v>0.30013390000000001</v>
          </cell>
          <cell r="Y1021">
            <v>0</v>
          </cell>
          <cell r="Z1021">
            <v>0</v>
          </cell>
          <cell r="AA1021">
            <v>0</v>
          </cell>
          <cell r="AB1021">
            <v>3.1422600000000002E-2</v>
          </cell>
        </row>
        <row r="1022">
          <cell r="A1022">
            <v>26100121</v>
          </cell>
          <cell r="B1022" t="str">
            <v>Fish, NS as to type, baked or broiled, made with butter</v>
          </cell>
          <cell r="I1022">
            <v>85</v>
          </cell>
          <cell r="J1022">
            <v>100.90913999999999</v>
          </cell>
          <cell r="K1022">
            <v>1.1871663529411765</v>
          </cell>
          <cell r="L1022">
            <v>2.7683E-3</v>
          </cell>
          <cell r="M1022">
            <v>1.8433356000000001</v>
          </cell>
          <cell r="N1022">
            <v>0.21206179999999999</v>
          </cell>
          <cell r="O1022">
            <v>8.6578999999999996E-3</v>
          </cell>
          <cell r="P1022">
            <v>0</v>
          </cell>
          <cell r="Q1022">
            <v>0.56143180000000004</v>
          </cell>
          <cell r="R1022">
            <v>0</v>
          </cell>
          <cell r="S1022">
            <v>0</v>
          </cell>
          <cell r="T1022">
            <v>0.92276579999999997</v>
          </cell>
          <cell r="U1022">
            <v>0</v>
          </cell>
          <cell r="V1022">
            <v>0</v>
          </cell>
          <cell r="W1022">
            <v>0</v>
          </cell>
          <cell r="X1022">
            <v>0.32826699999999998</v>
          </cell>
          <cell r="Y1022">
            <v>0</v>
          </cell>
          <cell r="Z1022">
            <v>0</v>
          </cell>
          <cell r="AA1022">
            <v>0</v>
          </cell>
          <cell r="AB1022">
            <v>0.1058215</v>
          </cell>
        </row>
        <row r="1023">
          <cell r="A1023">
            <v>26100122</v>
          </cell>
          <cell r="B1023" t="str">
            <v>Fish, NS as to type, baked or broiled, made with margarine</v>
          </cell>
          <cell r="I1023">
            <v>85</v>
          </cell>
          <cell r="J1023">
            <v>101.7343</v>
          </cell>
          <cell r="K1023">
            <v>1.196874117647059</v>
          </cell>
          <cell r="L1023">
            <v>2.7675999999999998E-3</v>
          </cell>
          <cell r="M1023">
            <v>0.92641960000000001</v>
          </cell>
          <cell r="N1023">
            <v>0.23445559999999999</v>
          </cell>
          <cell r="O1023">
            <v>8.0093000000000004E-3</v>
          </cell>
          <cell r="P1023">
            <v>0</v>
          </cell>
          <cell r="Q1023">
            <v>1.2360958</v>
          </cell>
          <cell r="R1023">
            <v>0</v>
          </cell>
          <cell r="S1023">
            <v>0</v>
          </cell>
          <cell r="T1023">
            <v>0.92252350000000005</v>
          </cell>
          <cell r="U1023">
            <v>0</v>
          </cell>
          <cell r="V1023">
            <v>0</v>
          </cell>
          <cell r="W1023">
            <v>0</v>
          </cell>
          <cell r="X1023">
            <v>0.3169246</v>
          </cell>
          <cell r="Y1023">
            <v>0</v>
          </cell>
          <cell r="Z1023">
            <v>0</v>
          </cell>
          <cell r="AA1023">
            <v>0</v>
          </cell>
          <cell r="AB1023">
            <v>0.1163894</v>
          </cell>
        </row>
        <row r="1024">
          <cell r="A1024">
            <v>26100123</v>
          </cell>
          <cell r="B1024" t="str">
            <v>Fish, NS as to type, baked or broiled, made without fat</v>
          </cell>
          <cell r="I1024">
            <v>85</v>
          </cell>
          <cell r="J1024">
            <v>90.844864999999999</v>
          </cell>
          <cell r="K1024">
            <v>1.0687631176470589</v>
          </cell>
          <cell r="L1024">
            <v>2.8533999999999999E-3</v>
          </cell>
          <cell r="M1024">
            <v>0.63670850000000001</v>
          </cell>
          <cell r="N1024">
            <v>0.24172279999999999</v>
          </cell>
          <cell r="O1024">
            <v>7.7042999999999999E-3</v>
          </cell>
          <cell r="P1024">
            <v>0</v>
          </cell>
          <cell r="Q1024">
            <v>0.5768276</v>
          </cell>
          <cell r="R1024">
            <v>0</v>
          </cell>
          <cell r="S1024">
            <v>0</v>
          </cell>
          <cell r="T1024">
            <v>0.95111820000000002</v>
          </cell>
          <cell r="U1024">
            <v>0</v>
          </cell>
          <cell r="V1024">
            <v>0</v>
          </cell>
          <cell r="W1024">
            <v>0</v>
          </cell>
          <cell r="X1024">
            <v>0.30897720000000001</v>
          </cell>
          <cell r="Y1024">
            <v>0</v>
          </cell>
          <cell r="Z1024">
            <v>0</v>
          </cell>
          <cell r="AA1024">
            <v>0</v>
          </cell>
          <cell r="AB1024">
            <v>2.34626E-2</v>
          </cell>
        </row>
        <row r="1025">
          <cell r="A1025">
            <v>26100130</v>
          </cell>
          <cell r="B1025" t="str">
            <v>Fish, NS as to type, coated, baked or broiled, made with oil</v>
          </cell>
          <cell r="I1025">
            <v>85</v>
          </cell>
          <cell r="J1025">
            <v>144.56040999999999</v>
          </cell>
          <cell r="K1025">
            <v>1.7007107058823527</v>
          </cell>
          <cell r="L1025">
            <v>-4.7200000000000002E-17</v>
          </cell>
          <cell r="M1025">
            <v>1.1514413999999999</v>
          </cell>
          <cell r="N1025">
            <v>0.17922920000000001</v>
          </cell>
          <cell r="O1025">
            <v>2.55604E-2</v>
          </cell>
          <cell r="P1025">
            <v>0.38383479999999998</v>
          </cell>
          <cell r="Q1025">
            <v>2.0930021000000001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0.26889950000000001</v>
          </cell>
          <cell r="Y1025">
            <v>0</v>
          </cell>
          <cell r="Z1025">
            <v>0</v>
          </cell>
          <cell r="AA1025">
            <v>0</v>
          </cell>
          <cell r="AB1025">
            <v>9.1619599999999995E-2</v>
          </cell>
        </row>
        <row r="1026">
          <cell r="A1026">
            <v>26100133</v>
          </cell>
          <cell r="B1026" t="str">
            <v>Fish, NS as to type, coated, baked or broiled, made without fat</v>
          </cell>
          <cell r="I1026">
            <v>85</v>
          </cell>
          <cell r="J1026">
            <v>116.73049</v>
          </cell>
          <cell r="K1026">
            <v>1.3732998823529412</v>
          </cell>
          <cell r="L1026">
            <v>-4.7200000000000002E-17</v>
          </cell>
          <cell r="M1026">
            <v>0.67219059999999997</v>
          </cell>
          <cell r="N1026">
            <v>0.18743029999999999</v>
          </cell>
          <cell r="O1026">
            <v>2.6720299999999999E-2</v>
          </cell>
          <cell r="P1026">
            <v>0.40139829999999999</v>
          </cell>
          <cell r="Q1026">
            <v>0.58673149999999996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0.2811843</v>
          </cell>
          <cell r="Y1026">
            <v>0</v>
          </cell>
          <cell r="Z1026">
            <v>0</v>
          </cell>
          <cell r="AA1026">
            <v>0</v>
          </cell>
          <cell r="AB1026">
            <v>2.0930899999999999E-2</v>
          </cell>
        </row>
        <row r="1027">
          <cell r="A1027">
            <v>26100140</v>
          </cell>
          <cell r="B1027" t="str">
            <v>Fish, NS as to type, coated, fried, made with oil</v>
          </cell>
          <cell r="I1027">
            <v>85</v>
          </cell>
          <cell r="J1027">
            <v>171.17738</v>
          </cell>
          <cell r="K1027">
            <v>2.0138515294117645</v>
          </cell>
          <cell r="L1027">
            <v>0</v>
          </cell>
          <cell r="M1027">
            <v>1.6617446</v>
          </cell>
          <cell r="N1027">
            <v>0.17854249999999999</v>
          </cell>
          <cell r="O1027">
            <v>2.75474E-2</v>
          </cell>
          <cell r="P1027">
            <v>0.44972839999999997</v>
          </cell>
          <cell r="Q1027">
            <v>3.3507845999999999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0.30956519999999998</v>
          </cell>
          <cell r="Y1027">
            <v>0</v>
          </cell>
          <cell r="Z1027">
            <v>0</v>
          </cell>
          <cell r="AA1027">
            <v>0</v>
          </cell>
          <cell r="AB1027">
            <v>0.19169849999999999</v>
          </cell>
        </row>
        <row r="1028">
          <cell r="A1028">
            <v>26100142</v>
          </cell>
          <cell r="B1028" t="str">
            <v>Fish, NS as to type, coated, fried, made with margarine</v>
          </cell>
          <cell r="I1028">
            <v>85</v>
          </cell>
          <cell r="J1028">
            <v>148.98094</v>
          </cell>
          <cell r="K1028">
            <v>1.7527169411764707</v>
          </cell>
          <cell r="L1028">
            <v>0</v>
          </cell>
          <cell r="M1028">
            <v>1.5616182000000001</v>
          </cell>
          <cell r="N1028">
            <v>0.17854249999999999</v>
          </cell>
          <cell r="O1028">
            <v>2.88536E-2</v>
          </cell>
          <cell r="P1028">
            <v>0.44972839999999997</v>
          </cell>
          <cell r="Q1028">
            <v>2.4246055000000002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0.35199399999999997</v>
          </cell>
          <cell r="Y1028">
            <v>0</v>
          </cell>
          <cell r="Z1028">
            <v>0</v>
          </cell>
          <cell r="AA1028">
            <v>0</v>
          </cell>
          <cell r="AB1028">
            <v>0.25056499999999998</v>
          </cell>
        </row>
        <row r="1029">
          <cell r="A1029">
            <v>26100160</v>
          </cell>
          <cell r="B1029" t="str">
            <v>Fish, NS as to type, steamed</v>
          </cell>
          <cell r="I1029">
            <v>85</v>
          </cell>
          <cell r="J1029">
            <v>107.24074</v>
          </cell>
          <cell r="K1029">
            <v>1.2616557647058824</v>
          </cell>
          <cell r="L1029">
            <v>0</v>
          </cell>
          <cell r="M1029">
            <v>0.68397629999999998</v>
          </cell>
          <cell r="N1029">
            <v>0.43487389999999998</v>
          </cell>
          <cell r="O1029">
            <v>6.0448999999999998E-3</v>
          </cell>
          <cell r="P1029">
            <v>0</v>
          </cell>
          <cell r="Q1029">
            <v>0.68482080000000001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0.27978520000000001</v>
          </cell>
          <cell r="Y1029">
            <v>0</v>
          </cell>
          <cell r="Z1029">
            <v>0</v>
          </cell>
          <cell r="AA1029">
            <v>0</v>
          </cell>
          <cell r="AB1029">
            <v>2.8710099999999999E-2</v>
          </cell>
        </row>
        <row r="1030">
          <cell r="A1030">
            <v>26100170</v>
          </cell>
          <cell r="B1030" t="str">
            <v>Fish, NS as to type, dried</v>
          </cell>
          <cell r="I1030">
            <v>30</v>
          </cell>
          <cell r="J1030">
            <v>87</v>
          </cell>
          <cell r="K1030">
            <v>2.9</v>
          </cell>
          <cell r="L1030">
            <v>0</v>
          </cell>
          <cell r="M1030">
            <v>0.1386</v>
          </cell>
          <cell r="N1030">
            <v>0.13020000000000001</v>
          </cell>
          <cell r="O1030">
            <v>4.8000000000000001E-2</v>
          </cell>
          <cell r="P1030">
            <v>0</v>
          </cell>
          <cell r="Q1030">
            <v>0.2412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2.1080999999999999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</row>
        <row r="1031">
          <cell r="A1031">
            <v>26100180</v>
          </cell>
          <cell r="B1031" t="str">
            <v>Fish, NS as to type, canned</v>
          </cell>
          <cell r="I1031">
            <v>85</v>
          </cell>
          <cell r="J1031">
            <v>73.099999999999994</v>
          </cell>
          <cell r="K1031">
            <v>0.86</v>
          </cell>
          <cell r="L1031">
            <v>0</v>
          </cell>
          <cell r="M1031">
            <v>0.17935000000000001</v>
          </cell>
          <cell r="N1031">
            <v>0.19040000000000001</v>
          </cell>
          <cell r="O1031">
            <v>1.4449999999999999E-2</v>
          </cell>
          <cell r="P1031">
            <v>0</v>
          </cell>
          <cell r="Q1031">
            <v>0.23544999999999999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0.20995</v>
          </cell>
          <cell r="Y1031">
            <v>0</v>
          </cell>
          <cell r="Z1031">
            <v>0</v>
          </cell>
          <cell r="AA1031">
            <v>0</v>
          </cell>
          <cell r="AB1031">
            <v>1.6999999999999999E-3</v>
          </cell>
        </row>
        <row r="1032">
          <cell r="A1032">
            <v>26100190</v>
          </cell>
          <cell r="B1032" t="str">
            <v>Fish, NS as to type, smoked</v>
          </cell>
          <cell r="I1032">
            <v>55</v>
          </cell>
          <cell r="J1032">
            <v>64.349999999999994</v>
          </cell>
          <cell r="K1032">
            <v>1.17</v>
          </cell>
          <cell r="L1032">
            <v>0</v>
          </cell>
          <cell r="M1032">
            <v>0.51095000000000002</v>
          </cell>
          <cell r="N1032">
            <v>0.2475</v>
          </cell>
          <cell r="O1032">
            <v>6.0499999999999998E-3</v>
          </cell>
          <cell r="P1032">
            <v>0</v>
          </cell>
          <cell r="Q1032">
            <v>0.54725000000000001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0.36959999999999998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</row>
        <row r="1033">
          <cell r="A1033">
            <v>26100200</v>
          </cell>
          <cell r="B1033" t="str">
            <v>Fish, NS as to type, from fast food</v>
          </cell>
          <cell r="I1033">
            <v>85</v>
          </cell>
          <cell r="J1033">
            <v>186.15</v>
          </cell>
          <cell r="K1033">
            <v>2.19</v>
          </cell>
          <cell r="L1033">
            <v>0.41335499999999997</v>
          </cell>
          <cell r="M1033">
            <v>1.5946</v>
          </cell>
          <cell r="N1033">
            <v>0.13685</v>
          </cell>
          <cell r="O1033">
            <v>1.1900000000000001E-2</v>
          </cell>
          <cell r="P1033">
            <v>0.35164499999999999</v>
          </cell>
          <cell r="Q1033">
            <v>4.5339</v>
          </cell>
          <cell r="R1033">
            <v>5.984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0.47685</v>
          </cell>
          <cell r="Y1033">
            <v>0</v>
          </cell>
          <cell r="Z1033">
            <v>0</v>
          </cell>
          <cell r="AA1033">
            <v>0</v>
          </cell>
          <cell r="AB1033">
            <v>8.0750000000000002E-2</v>
          </cell>
        </row>
        <row r="1034">
          <cell r="A1034">
            <v>26100260</v>
          </cell>
          <cell r="B1034" t="str">
            <v>Fish stick, patty or nugget from fast food</v>
          </cell>
          <cell r="I1034">
            <v>85</v>
          </cell>
          <cell r="J1034">
            <v>235.45</v>
          </cell>
          <cell r="K1034">
            <v>2.77</v>
          </cell>
          <cell r="L1034">
            <v>0</v>
          </cell>
          <cell r="M1034">
            <v>3.1730499999999999</v>
          </cell>
          <cell r="N1034">
            <v>0.1173</v>
          </cell>
          <cell r="O1034">
            <v>1.3599999999999999E-2</v>
          </cell>
          <cell r="P1034">
            <v>1.2749999999999999</v>
          </cell>
          <cell r="Q1034">
            <v>6.6504000000000003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0.3417</v>
          </cell>
          <cell r="Y1034">
            <v>0</v>
          </cell>
          <cell r="Z1034">
            <v>0</v>
          </cell>
          <cell r="AA1034">
            <v>0</v>
          </cell>
          <cell r="AB1034">
            <v>0.10539999999999999</v>
          </cell>
        </row>
        <row r="1035">
          <cell r="A1035">
            <v>26100270</v>
          </cell>
          <cell r="B1035" t="str">
            <v>Fish stick, patty or nugget from restaurant, home, or other place</v>
          </cell>
          <cell r="I1035">
            <v>85</v>
          </cell>
          <cell r="J1035">
            <v>235.45</v>
          </cell>
          <cell r="K1035">
            <v>2.77</v>
          </cell>
          <cell r="L1035">
            <v>0</v>
          </cell>
          <cell r="M1035">
            <v>3.1730499999999999</v>
          </cell>
          <cell r="N1035">
            <v>0.1173</v>
          </cell>
          <cell r="O1035">
            <v>1.3599999999999999E-2</v>
          </cell>
          <cell r="P1035">
            <v>1.2749999999999999</v>
          </cell>
          <cell r="Q1035">
            <v>6.6504000000000003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0.3417</v>
          </cell>
          <cell r="Y1035">
            <v>0</v>
          </cell>
          <cell r="Z1035">
            <v>0</v>
          </cell>
          <cell r="AA1035">
            <v>0</v>
          </cell>
          <cell r="AB1035">
            <v>0.10539999999999999</v>
          </cell>
        </row>
        <row r="1036">
          <cell r="A1036">
            <v>26101110</v>
          </cell>
          <cell r="B1036" t="str">
            <v>Anchovy, cooked, NS as to cooking method</v>
          </cell>
          <cell r="I1036">
            <v>15</v>
          </cell>
          <cell r="J1036">
            <v>31.5</v>
          </cell>
          <cell r="K1036">
            <v>2.1</v>
          </cell>
          <cell r="L1036">
            <v>0</v>
          </cell>
          <cell r="M1036">
            <v>0.33045000000000002</v>
          </cell>
          <cell r="N1036">
            <v>0.30825000000000002</v>
          </cell>
          <cell r="O1036">
            <v>3.4799999999999998E-2</v>
          </cell>
          <cell r="P1036">
            <v>0</v>
          </cell>
          <cell r="Q1036">
            <v>0.38429999999999997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0.55020000000000002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</row>
        <row r="1037">
          <cell r="A1037">
            <v>26101180</v>
          </cell>
          <cell r="B1037" t="str">
            <v>Anchovy, canned</v>
          </cell>
          <cell r="I1037">
            <v>15</v>
          </cell>
          <cell r="J1037">
            <v>31.5</v>
          </cell>
          <cell r="K1037">
            <v>2.1</v>
          </cell>
          <cell r="L1037">
            <v>0</v>
          </cell>
          <cell r="M1037">
            <v>0.33045000000000002</v>
          </cell>
          <cell r="N1037">
            <v>0.30825000000000002</v>
          </cell>
          <cell r="O1037">
            <v>3.4799999999999998E-2</v>
          </cell>
          <cell r="P1037">
            <v>0</v>
          </cell>
          <cell r="Q1037">
            <v>0.38429999999999997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0.55020000000000002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</row>
        <row r="1038">
          <cell r="A1038">
            <v>26105120</v>
          </cell>
          <cell r="B1038" t="str">
            <v>Carp, baked or broiled, fat added in cooking</v>
          </cell>
          <cell r="I1038">
            <v>85</v>
          </cell>
          <cell r="J1038">
            <v>124.77934</v>
          </cell>
          <cell r="K1038">
            <v>1.4679922352941177</v>
          </cell>
          <cell r="L1038">
            <v>2.7715999999999999E-3</v>
          </cell>
          <cell r="M1038">
            <v>1.2119024</v>
          </cell>
          <cell r="N1038">
            <v>0.28548469999999998</v>
          </cell>
          <cell r="O1038">
            <v>3.3442699999999999E-2</v>
          </cell>
          <cell r="P1038">
            <v>0</v>
          </cell>
          <cell r="Q1038">
            <v>2.1642294999999998</v>
          </cell>
          <cell r="R1038">
            <v>0</v>
          </cell>
          <cell r="S1038">
            <v>0</v>
          </cell>
          <cell r="T1038">
            <v>0.92385859999999997</v>
          </cell>
          <cell r="U1038">
            <v>0</v>
          </cell>
          <cell r="V1038">
            <v>0</v>
          </cell>
          <cell r="W1038">
            <v>0</v>
          </cell>
          <cell r="X1038">
            <v>0.24765989999999999</v>
          </cell>
          <cell r="Y1038">
            <v>0</v>
          </cell>
          <cell r="Z1038">
            <v>0</v>
          </cell>
          <cell r="AA1038">
            <v>0</v>
          </cell>
          <cell r="AB1038">
            <v>8.6324999999999995E-3</v>
          </cell>
        </row>
        <row r="1039">
          <cell r="A1039">
            <v>26105140</v>
          </cell>
          <cell r="B1039" t="str">
            <v>Carp, coated, fried</v>
          </cell>
          <cell r="I1039">
            <v>85</v>
          </cell>
          <cell r="J1039">
            <v>182.55600000000001</v>
          </cell>
          <cell r="K1039">
            <v>2.1477176470588235</v>
          </cell>
          <cell r="L1039">
            <v>0</v>
          </cell>
          <cell r="M1039">
            <v>1.8596523</v>
          </cell>
          <cell r="N1039">
            <v>0.217088</v>
          </cell>
          <cell r="O1039">
            <v>4.7282699999999997E-2</v>
          </cell>
          <cell r="P1039">
            <v>0.44972839999999997</v>
          </cell>
          <cell r="Q1039">
            <v>3.8074094000000001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0.26966289999999998</v>
          </cell>
          <cell r="Y1039">
            <v>0</v>
          </cell>
          <cell r="Z1039">
            <v>0</v>
          </cell>
          <cell r="AA1039">
            <v>0</v>
          </cell>
          <cell r="AB1039">
            <v>2.48899E-2</v>
          </cell>
        </row>
        <row r="1040">
          <cell r="A1040">
            <v>26105160</v>
          </cell>
          <cell r="B1040" t="str">
            <v>Carp, steamed or poached</v>
          </cell>
          <cell r="I1040">
            <v>85</v>
          </cell>
          <cell r="J1040">
            <v>107.24074</v>
          </cell>
          <cell r="K1040">
            <v>1.2616557647058824</v>
          </cell>
          <cell r="L1040">
            <v>0</v>
          </cell>
          <cell r="M1040">
            <v>0.91450169999999997</v>
          </cell>
          <cell r="N1040">
            <v>0.2972342</v>
          </cell>
          <cell r="O1040">
            <v>3.4755099999999997E-2</v>
          </cell>
          <cell r="P1040">
            <v>0</v>
          </cell>
          <cell r="Q1040">
            <v>1.2083581999999999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0.25783040000000002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</row>
        <row r="1041">
          <cell r="A1041">
            <v>26107110</v>
          </cell>
          <cell r="B1041" t="str">
            <v>Catfish, cooked, NS as to cooking method</v>
          </cell>
          <cell r="I1041">
            <v>85</v>
          </cell>
          <cell r="J1041">
            <v>177.63027</v>
          </cell>
          <cell r="K1041">
            <v>2.0897678823529411</v>
          </cell>
          <cell r="L1041">
            <v>0</v>
          </cell>
          <cell r="M1041">
            <v>1.9995993999999999</v>
          </cell>
          <cell r="N1041">
            <v>4.5635500000000002E-2</v>
          </cell>
          <cell r="O1041">
            <v>2.6937300000000001E-2</v>
          </cell>
          <cell r="P1041">
            <v>0.4499011</v>
          </cell>
          <cell r="Q1041">
            <v>3.6148951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0.29989909999999997</v>
          </cell>
          <cell r="Y1041">
            <v>0</v>
          </cell>
          <cell r="Z1041">
            <v>0</v>
          </cell>
          <cell r="AA1041">
            <v>0</v>
          </cell>
          <cell r="AB1041">
            <v>8.3745399999999998E-2</v>
          </cell>
        </row>
        <row r="1042">
          <cell r="A1042">
            <v>26107120</v>
          </cell>
          <cell r="B1042" t="str">
            <v>Catfish, baked or broiled, made with oil</v>
          </cell>
          <cell r="I1042">
            <v>85</v>
          </cell>
          <cell r="J1042">
            <v>118.29105</v>
          </cell>
          <cell r="K1042">
            <v>1.3916594117647059</v>
          </cell>
          <cell r="L1042">
            <v>2.7715999999999999E-3</v>
          </cell>
          <cell r="M1042">
            <v>1.3960075999999999</v>
          </cell>
          <cell r="N1042">
            <v>6.0016699999999999E-2</v>
          </cell>
          <cell r="O1042">
            <v>6.6785000000000004E-3</v>
          </cell>
          <cell r="P1042">
            <v>0</v>
          </cell>
          <cell r="Q1042">
            <v>1.9111863</v>
          </cell>
          <cell r="R1042">
            <v>0</v>
          </cell>
          <cell r="S1042">
            <v>0</v>
          </cell>
          <cell r="T1042">
            <v>0.92385859999999997</v>
          </cell>
          <cell r="U1042">
            <v>0</v>
          </cell>
          <cell r="V1042">
            <v>0</v>
          </cell>
          <cell r="W1042">
            <v>0</v>
          </cell>
          <cell r="X1042">
            <v>0.28740060000000001</v>
          </cell>
          <cell r="Y1042">
            <v>0</v>
          </cell>
          <cell r="Z1042">
            <v>0</v>
          </cell>
          <cell r="AA1042">
            <v>0</v>
          </cell>
          <cell r="AB1042">
            <v>5.0806400000000002E-2</v>
          </cell>
        </row>
        <row r="1043">
          <cell r="A1043">
            <v>26107123</v>
          </cell>
          <cell r="B1043" t="str">
            <v>Catfish, baked or broiled, made without fat</v>
          </cell>
          <cell r="I1043">
            <v>85</v>
          </cell>
          <cell r="J1043">
            <v>99.570266000000004</v>
          </cell>
          <cell r="K1043">
            <v>1.1714148941176472</v>
          </cell>
          <cell r="L1043">
            <v>2.8533999999999999E-3</v>
          </cell>
          <cell r="M1043">
            <v>1.0941866</v>
          </cell>
          <cell r="N1043">
            <v>6.1787500000000002E-2</v>
          </cell>
          <cell r="O1043">
            <v>6.8693000000000001E-3</v>
          </cell>
          <cell r="P1043">
            <v>0</v>
          </cell>
          <cell r="Q1043">
            <v>0.93452729999999995</v>
          </cell>
          <cell r="R1043">
            <v>0</v>
          </cell>
          <cell r="S1043">
            <v>0</v>
          </cell>
          <cell r="T1043">
            <v>0.95111820000000002</v>
          </cell>
          <cell r="U1043">
            <v>0</v>
          </cell>
          <cell r="V1043">
            <v>0</v>
          </cell>
          <cell r="W1043">
            <v>0</v>
          </cell>
          <cell r="X1043">
            <v>0.29586820000000003</v>
          </cell>
          <cell r="Y1043">
            <v>0</v>
          </cell>
          <cell r="Z1043">
            <v>0</v>
          </cell>
          <cell r="AA1043">
            <v>0</v>
          </cell>
          <cell r="AB1043">
            <v>4.34183E-2</v>
          </cell>
        </row>
        <row r="1044">
          <cell r="A1044">
            <v>26107130</v>
          </cell>
          <cell r="B1044" t="str">
            <v>Catfish, coated, baked or broiled, made with oil</v>
          </cell>
          <cell r="I1044">
            <v>85</v>
          </cell>
          <cell r="J1044">
            <v>150.93341000000001</v>
          </cell>
          <cell r="K1044">
            <v>1.7756871764705884</v>
          </cell>
          <cell r="L1044">
            <v>-4.7200000000000002E-17</v>
          </cell>
          <cell r="M1044">
            <v>1.4841800999999999</v>
          </cell>
          <cell r="N1044">
            <v>4.5813300000000001E-2</v>
          </cell>
          <cell r="O1044">
            <v>2.4962100000000001E-2</v>
          </cell>
          <cell r="P1044">
            <v>0.38383479999999998</v>
          </cell>
          <cell r="Q1044">
            <v>2.3575629999999999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0.2591754</v>
          </cell>
          <cell r="Y1044">
            <v>0</v>
          </cell>
          <cell r="Z1044">
            <v>0</v>
          </cell>
          <cell r="AA1044">
            <v>0</v>
          </cell>
          <cell r="AB1044">
            <v>4.7990699999999997E-2</v>
          </cell>
        </row>
        <row r="1045">
          <cell r="A1045">
            <v>26107140</v>
          </cell>
          <cell r="B1045" t="str">
            <v>Catfish, coated, fried, made with oil</v>
          </cell>
          <cell r="I1045">
            <v>85</v>
          </cell>
          <cell r="J1045">
            <v>177.62217999999999</v>
          </cell>
          <cell r="K1045">
            <v>2.0896727058823528</v>
          </cell>
          <cell r="L1045">
            <v>0</v>
          </cell>
          <cell r="M1045">
            <v>1.9996494</v>
          </cell>
          <cell r="N1045">
            <v>4.5637799999999999E-2</v>
          </cell>
          <cell r="O1045">
            <v>2.6930699999999998E-2</v>
          </cell>
          <cell r="P1045">
            <v>0.44972839999999997</v>
          </cell>
          <cell r="Q1045">
            <v>3.6149905000000002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0.2998826</v>
          </cell>
          <cell r="Y1045">
            <v>0</v>
          </cell>
          <cell r="Z1045">
            <v>0</v>
          </cell>
          <cell r="AA1045">
            <v>0</v>
          </cell>
          <cell r="AB1045">
            <v>7.7438599999999996E-2</v>
          </cell>
        </row>
        <row r="1046">
          <cell r="A1046">
            <v>26107160</v>
          </cell>
          <cell r="B1046" t="str">
            <v>Catfish, steamed or poached</v>
          </cell>
          <cell r="I1046">
            <v>85</v>
          </cell>
          <cell r="J1046">
            <v>100.48541</v>
          </cell>
          <cell r="K1046">
            <v>1.1821812941176471</v>
          </cell>
          <cell r="L1046">
            <v>0</v>
          </cell>
          <cell r="M1046">
            <v>1.1061840000000001</v>
          </cell>
          <cell r="N1046">
            <v>6.2486699999999999E-2</v>
          </cell>
          <cell r="O1046">
            <v>6.8894000000000004E-3</v>
          </cell>
          <cell r="P1046">
            <v>0</v>
          </cell>
          <cell r="Q1046">
            <v>0.94490070000000004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0.29920669999999999</v>
          </cell>
          <cell r="Y1046">
            <v>0</v>
          </cell>
          <cell r="Z1046">
            <v>0</v>
          </cell>
          <cell r="AA1046">
            <v>0</v>
          </cell>
          <cell r="AB1046">
            <v>4.39096E-2</v>
          </cell>
        </row>
        <row r="1047">
          <cell r="A1047">
            <v>26109110</v>
          </cell>
          <cell r="B1047" t="str">
            <v>Cod, cooked, NS as to cooking method</v>
          </cell>
          <cell r="I1047">
            <v>85</v>
          </cell>
          <cell r="J1047">
            <v>77.739250999999996</v>
          </cell>
          <cell r="K1047">
            <v>0.91457942352941168</v>
          </cell>
          <cell r="L1047">
            <v>2.7715999999999999E-3</v>
          </cell>
          <cell r="M1047">
            <v>0.40248850000000003</v>
          </cell>
          <cell r="N1047">
            <v>0.10543470000000001</v>
          </cell>
          <cell r="O1047">
            <v>6.6785000000000004E-3</v>
          </cell>
          <cell r="P1047">
            <v>0</v>
          </cell>
          <cell r="Q1047">
            <v>1.1366468999999999</v>
          </cell>
          <cell r="R1047">
            <v>0</v>
          </cell>
          <cell r="S1047">
            <v>0</v>
          </cell>
          <cell r="T1047">
            <v>0.92385859999999997</v>
          </cell>
          <cell r="U1047">
            <v>0</v>
          </cell>
          <cell r="V1047">
            <v>0</v>
          </cell>
          <cell r="W1047">
            <v>0</v>
          </cell>
          <cell r="X1047">
            <v>0.45366299999999998</v>
          </cell>
          <cell r="Y1047">
            <v>0</v>
          </cell>
          <cell r="Z1047">
            <v>0</v>
          </cell>
          <cell r="AA1047">
            <v>0</v>
          </cell>
          <cell r="AB1047">
            <v>1.26877E-2</v>
          </cell>
        </row>
        <row r="1048">
          <cell r="A1048">
            <v>26109120</v>
          </cell>
          <cell r="B1048" t="str">
            <v>Cod, baked or broiled, made with oil</v>
          </cell>
          <cell r="I1048">
            <v>85</v>
          </cell>
          <cell r="J1048">
            <v>77.739250999999996</v>
          </cell>
          <cell r="K1048">
            <v>0.91457942352941168</v>
          </cell>
          <cell r="L1048">
            <v>2.7715999999999999E-3</v>
          </cell>
          <cell r="M1048">
            <v>0.40248850000000003</v>
          </cell>
          <cell r="N1048">
            <v>0.10543470000000001</v>
          </cell>
          <cell r="O1048">
            <v>6.6785000000000004E-3</v>
          </cell>
          <cell r="P1048">
            <v>0</v>
          </cell>
          <cell r="Q1048">
            <v>1.1366468999999999</v>
          </cell>
          <cell r="R1048">
            <v>0</v>
          </cell>
          <cell r="S1048">
            <v>0</v>
          </cell>
          <cell r="T1048">
            <v>0.92385859999999997</v>
          </cell>
          <cell r="U1048">
            <v>0</v>
          </cell>
          <cell r="V1048">
            <v>0</v>
          </cell>
          <cell r="W1048">
            <v>0</v>
          </cell>
          <cell r="X1048">
            <v>0.45366299999999998</v>
          </cell>
          <cell r="Y1048">
            <v>0</v>
          </cell>
          <cell r="Z1048">
            <v>0</v>
          </cell>
          <cell r="AA1048">
            <v>0</v>
          </cell>
          <cell r="AB1048">
            <v>1.26877E-2</v>
          </cell>
        </row>
        <row r="1049">
          <cell r="A1049">
            <v>26109121</v>
          </cell>
          <cell r="B1049" t="str">
            <v>Cod, baked or broiled, made with butter</v>
          </cell>
          <cell r="I1049">
            <v>85</v>
          </cell>
          <cell r="J1049">
            <v>74.265716999999995</v>
          </cell>
          <cell r="K1049">
            <v>0.87371431764705876</v>
          </cell>
          <cell r="L1049">
            <v>2.7683E-3</v>
          </cell>
          <cell r="M1049">
            <v>1.3707936000000001</v>
          </cell>
          <cell r="N1049">
            <v>0.10531</v>
          </cell>
          <cell r="O1049">
            <v>7.2727E-3</v>
          </cell>
          <cell r="P1049">
            <v>0</v>
          </cell>
          <cell r="Q1049">
            <v>0.21015020000000001</v>
          </cell>
          <cell r="R1049">
            <v>0</v>
          </cell>
          <cell r="S1049">
            <v>0</v>
          </cell>
          <cell r="T1049">
            <v>0.92276579999999997</v>
          </cell>
          <cell r="U1049">
            <v>0</v>
          </cell>
          <cell r="V1049">
            <v>0</v>
          </cell>
          <cell r="W1049">
            <v>0</v>
          </cell>
          <cell r="X1049">
            <v>0.46940660000000001</v>
          </cell>
          <cell r="Y1049">
            <v>0</v>
          </cell>
          <cell r="Z1049">
            <v>0</v>
          </cell>
          <cell r="AA1049">
            <v>0</v>
          </cell>
          <cell r="AB1049">
            <v>8.7108699999999997E-2</v>
          </cell>
        </row>
        <row r="1050">
          <cell r="A1050">
            <v>26109123</v>
          </cell>
          <cell r="B1050" t="str">
            <v>Cod, baked or broiled, made without fat</v>
          </cell>
          <cell r="I1050">
            <v>85</v>
          </cell>
          <cell r="J1050">
            <v>57.821938000000003</v>
          </cell>
          <cell r="K1050">
            <v>0.68025809411764704</v>
          </cell>
          <cell r="L1050">
            <v>2.8533999999999999E-3</v>
          </cell>
          <cell r="M1050">
            <v>7.1352600000000002E-2</v>
          </cell>
          <cell r="N1050">
            <v>0.10854569999999999</v>
          </cell>
          <cell r="O1050">
            <v>6.8693000000000001E-3</v>
          </cell>
          <cell r="P1050">
            <v>0</v>
          </cell>
          <cell r="Q1050">
            <v>0.13713420000000001</v>
          </cell>
          <cell r="R1050">
            <v>0</v>
          </cell>
          <cell r="S1050">
            <v>0</v>
          </cell>
          <cell r="T1050">
            <v>0.95111820000000002</v>
          </cell>
          <cell r="U1050">
            <v>0</v>
          </cell>
          <cell r="V1050">
            <v>0</v>
          </cell>
          <cell r="W1050">
            <v>0</v>
          </cell>
          <cell r="X1050">
            <v>0.46703630000000002</v>
          </cell>
          <cell r="Y1050">
            <v>0</v>
          </cell>
          <cell r="Z1050">
            <v>0</v>
          </cell>
          <cell r="AA1050">
            <v>0</v>
          </cell>
          <cell r="AB1050">
            <v>4.1748000000000002E-3</v>
          </cell>
        </row>
        <row r="1051">
          <cell r="A1051">
            <v>26109130</v>
          </cell>
          <cell r="B1051" t="str">
            <v>Cod, coated, baked or broiled, made with oil</v>
          </cell>
          <cell r="I1051">
            <v>85</v>
          </cell>
          <cell r="J1051">
            <v>120.07504</v>
          </cell>
          <cell r="K1051">
            <v>1.4126475294117646</v>
          </cell>
          <cell r="L1051">
            <v>-4.7200000000000002E-17</v>
          </cell>
          <cell r="M1051">
            <v>0.7322495</v>
          </cell>
          <cell r="N1051">
            <v>8.0482899999999996E-2</v>
          </cell>
          <cell r="O1051">
            <v>2.49413E-2</v>
          </cell>
          <cell r="P1051">
            <v>0.38383479999999998</v>
          </cell>
          <cell r="Q1051">
            <v>1.7669845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0.38609490000000002</v>
          </cell>
          <cell r="Y1051">
            <v>0</v>
          </cell>
          <cell r="Z1051">
            <v>0</v>
          </cell>
          <cell r="AA1051">
            <v>0</v>
          </cell>
          <cell r="AB1051">
            <v>8.9245099999999994E-2</v>
          </cell>
        </row>
        <row r="1052">
          <cell r="A1052">
            <v>26109133</v>
          </cell>
          <cell r="B1052" t="str">
            <v>Cod, coated, baked or broiled, made without fat</v>
          </cell>
          <cell r="I1052">
            <v>85</v>
          </cell>
          <cell r="J1052">
            <v>91.124726999999993</v>
          </cell>
          <cell r="K1052">
            <v>1.0720556117647058</v>
          </cell>
          <cell r="L1052">
            <v>-4.7200000000000002E-17</v>
          </cell>
          <cell r="M1052">
            <v>0.23381730000000001</v>
          </cell>
          <cell r="N1052">
            <v>8.4165599999999993E-2</v>
          </cell>
          <cell r="O1052">
            <v>2.60728E-2</v>
          </cell>
          <cell r="P1052">
            <v>0.40139829999999999</v>
          </cell>
          <cell r="Q1052">
            <v>0.24579609999999999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0.4037423</v>
          </cell>
          <cell r="Y1052">
            <v>0</v>
          </cell>
          <cell r="Z1052">
            <v>0</v>
          </cell>
          <cell r="AA1052">
            <v>0</v>
          </cell>
          <cell r="AB1052">
            <v>5.9753999999999996E-3</v>
          </cell>
        </row>
        <row r="1053">
          <cell r="A1053">
            <v>26109134</v>
          </cell>
          <cell r="B1053" t="str">
            <v>Cod, coated, baked or broiled, made with cooking spray</v>
          </cell>
          <cell r="I1053">
            <v>85</v>
          </cell>
          <cell r="J1053">
            <v>92.878770000000003</v>
          </cell>
          <cell r="K1053">
            <v>1.092691411764706</v>
          </cell>
          <cell r="L1053">
            <v>0</v>
          </cell>
          <cell r="M1053">
            <v>0.24598390000000001</v>
          </cell>
          <cell r="N1053">
            <v>8.3912E-2</v>
          </cell>
          <cell r="O1053">
            <v>2.5994300000000001E-2</v>
          </cell>
          <cell r="P1053">
            <v>0.40018870000000001</v>
          </cell>
          <cell r="Q1053">
            <v>0.30177799999999999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0.4026768</v>
          </cell>
          <cell r="Y1053">
            <v>0</v>
          </cell>
          <cell r="Z1053">
            <v>0</v>
          </cell>
          <cell r="AA1053">
            <v>0</v>
          </cell>
          <cell r="AB1053">
            <v>5.9573999999999998E-3</v>
          </cell>
        </row>
        <row r="1054">
          <cell r="A1054">
            <v>26109140</v>
          </cell>
          <cell r="B1054" t="str">
            <v>Cod, coated, fried, made with oil</v>
          </cell>
          <cell r="I1054">
            <v>85</v>
          </cell>
          <cell r="J1054">
            <v>146.78582</v>
          </cell>
          <cell r="K1054">
            <v>1.7268920000000001</v>
          </cell>
          <cell r="L1054">
            <v>0</v>
          </cell>
          <cell r="M1054">
            <v>1.2441584999999999</v>
          </cell>
          <cell r="N1054">
            <v>8.0174499999999996E-2</v>
          </cell>
          <cell r="O1054">
            <v>2.6930699999999998E-2</v>
          </cell>
          <cell r="P1054">
            <v>0.44972839999999997</v>
          </cell>
          <cell r="Q1054">
            <v>3.0260159999999998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0.42631170000000002</v>
          </cell>
          <cell r="Y1054">
            <v>0</v>
          </cell>
          <cell r="Z1054">
            <v>0</v>
          </cell>
          <cell r="AA1054">
            <v>0</v>
          </cell>
          <cell r="AB1054">
            <v>0.14179990000000001</v>
          </cell>
        </row>
        <row r="1055">
          <cell r="A1055">
            <v>26109144</v>
          </cell>
          <cell r="B1055" t="str">
            <v>Cod, coated, fried, made with cooking spray</v>
          </cell>
          <cell r="I1055">
            <v>85</v>
          </cell>
          <cell r="J1055">
            <v>100.10007</v>
          </cell>
          <cell r="K1055">
            <v>1.1776478823529413</v>
          </cell>
          <cell r="L1055">
            <v>0</v>
          </cell>
          <cell r="M1055">
            <v>0.4258168</v>
          </cell>
          <cell r="N1055">
            <v>8.6318800000000001E-2</v>
          </cell>
          <cell r="O1055">
            <v>2.8977599999999999E-2</v>
          </cell>
          <cell r="P1055">
            <v>0.4841935</v>
          </cell>
          <cell r="Q1055">
            <v>0.52462869999999995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0.45910380000000001</v>
          </cell>
          <cell r="Y1055">
            <v>0</v>
          </cell>
          <cell r="Z1055">
            <v>0</v>
          </cell>
          <cell r="AA1055">
            <v>0</v>
          </cell>
          <cell r="AB1055">
            <v>2.1859900000000002E-2</v>
          </cell>
        </row>
        <row r="1056">
          <cell r="A1056">
            <v>26109160</v>
          </cell>
          <cell r="B1056" t="str">
            <v>Cod, steamed or poached</v>
          </cell>
          <cell r="I1056">
            <v>85</v>
          </cell>
          <cell r="J1056">
            <v>58.264651999999998</v>
          </cell>
          <cell r="K1056">
            <v>0.68546649411764704</v>
          </cell>
          <cell r="L1056">
            <v>0</v>
          </cell>
          <cell r="M1056">
            <v>7.17753E-2</v>
          </cell>
          <cell r="N1056">
            <v>0.109774</v>
          </cell>
          <cell r="O1056">
            <v>6.8894000000000004E-3</v>
          </cell>
          <cell r="P1056">
            <v>0</v>
          </cell>
          <cell r="Q1056">
            <v>0.1384841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0.4723118</v>
          </cell>
          <cell r="Y1056">
            <v>0</v>
          </cell>
          <cell r="Z1056">
            <v>0</v>
          </cell>
          <cell r="AA1056">
            <v>0</v>
          </cell>
          <cell r="AB1056">
            <v>4.2221000000000003E-3</v>
          </cell>
        </row>
        <row r="1057">
          <cell r="A1057">
            <v>26109170</v>
          </cell>
          <cell r="B1057" t="str">
            <v>Cod, dried, salted</v>
          </cell>
          <cell r="I1057">
            <v>30</v>
          </cell>
          <cell r="J1057">
            <v>87</v>
          </cell>
          <cell r="K1057">
            <v>2.9</v>
          </cell>
          <cell r="L1057">
            <v>0</v>
          </cell>
          <cell r="M1057">
            <v>0.1386</v>
          </cell>
          <cell r="N1057">
            <v>0.13020000000000001</v>
          </cell>
          <cell r="O1057">
            <v>4.8000000000000001E-2</v>
          </cell>
          <cell r="P1057">
            <v>0</v>
          </cell>
          <cell r="Q1057">
            <v>0.2412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2.1080999999999999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</row>
        <row r="1058">
          <cell r="A1058">
            <v>26109180</v>
          </cell>
          <cell r="B1058" t="str">
            <v>Cod, dried, salted, salt removed in water</v>
          </cell>
          <cell r="I1058">
            <v>30</v>
          </cell>
          <cell r="J1058">
            <v>25.5</v>
          </cell>
          <cell r="K1058">
            <v>0.85</v>
          </cell>
          <cell r="L1058">
            <v>0</v>
          </cell>
          <cell r="M1058">
            <v>3.15E-2</v>
          </cell>
          <cell r="N1058">
            <v>4.8000000000000001E-2</v>
          </cell>
          <cell r="O1058">
            <v>3.0000000000000001E-3</v>
          </cell>
          <cell r="P1058">
            <v>0</v>
          </cell>
          <cell r="Q1058">
            <v>6.0299999999999999E-2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0.1116</v>
          </cell>
          <cell r="Y1058">
            <v>0</v>
          </cell>
          <cell r="Z1058">
            <v>0</v>
          </cell>
          <cell r="AA1058">
            <v>0</v>
          </cell>
          <cell r="AB1058">
            <v>1.8E-3</v>
          </cell>
        </row>
        <row r="1059">
          <cell r="A1059">
            <v>26111120</v>
          </cell>
          <cell r="B1059" t="str">
            <v>Croaker, baked or broiled, fat added in cooking</v>
          </cell>
          <cell r="I1059">
            <v>85</v>
          </cell>
          <cell r="J1059">
            <v>106.12551000000001</v>
          </cell>
          <cell r="K1059">
            <v>1.2485354117647058</v>
          </cell>
          <cell r="L1059">
            <v>2.7715999999999999E-3</v>
          </cell>
          <cell r="M1059">
            <v>1.2159576000000001</v>
          </cell>
          <cell r="N1059">
            <v>0.1784279</v>
          </cell>
          <cell r="O1059">
            <v>1.23558E-2</v>
          </cell>
          <cell r="P1059">
            <v>0</v>
          </cell>
          <cell r="Q1059">
            <v>1.3799577000000001</v>
          </cell>
          <cell r="R1059">
            <v>0</v>
          </cell>
          <cell r="S1059">
            <v>0</v>
          </cell>
          <cell r="T1059">
            <v>0.92385859999999997</v>
          </cell>
          <cell r="U1059">
            <v>0</v>
          </cell>
          <cell r="V1059">
            <v>0</v>
          </cell>
          <cell r="W1059">
            <v>0</v>
          </cell>
          <cell r="X1059">
            <v>0.25333709999999998</v>
          </cell>
          <cell r="Y1059">
            <v>0</v>
          </cell>
          <cell r="Z1059">
            <v>0</v>
          </cell>
          <cell r="AA1059">
            <v>0</v>
          </cell>
          <cell r="AB1059">
            <v>8.6324999999999995E-3</v>
          </cell>
        </row>
        <row r="1060">
          <cell r="A1060">
            <v>26111121</v>
          </cell>
          <cell r="B1060" t="str">
            <v>Croaker, baked or broiled, fat not added in cooking</v>
          </cell>
          <cell r="I1060">
            <v>85</v>
          </cell>
          <cell r="J1060">
            <v>87.045766999999998</v>
          </cell>
          <cell r="K1060">
            <v>1.0240678470588236</v>
          </cell>
          <cell r="L1060">
            <v>2.8533999999999999E-3</v>
          </cell>
          <cell r="M1060">
            <v>0.90882410000000002</v>
          </cell>
          <cell r="N1060">
            <v>0.18369260000000001</v>
          </cell>
          <cell r="O1060">
            <v>1.2714100000000001E-2</v>
          </cell>
          <cell r="P1060">
            <v>0</v>
          </cell>
          <cell r="Q1060">
            <v>0.38762419999999997</v>
          </cell>
          <cell r="R1060">
            <v>0</v>
          </cell>
          <cell r="S1060">
            <v>0</v>
          </cell>
          <cell r="T1060">
            <v>0.95111820000000002</v>
          </cell>
          <cell r="U1060">
            <v>0</v>
          </cell>
          <cell r="V1060">
            <v>0</v>
          </cell>
          <cell r="W1060">
            <v>0</v>
          </cell>
          <cell r="X1060">
            <v>0.26079960000000002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</row>
        <row r="1061">
          <cell r="A1061">
            <v>26111140</v>
          </cell>
          <cell r="B1061" t="str">
            <v>Croaker, coated, fried</v>
          </cell>
          <cell r="I1061">
            <v>85</v>
          </cell>
          <cell r="J1061">
            <v>168.37127000000001</v>
          </cell>
          <cell r="K1061">
            <v>1.9808384705882354</v>
          </cell>
          <cell r="L1061">
            <v>0</v>
          </cell>
          <cell r="M1061">
            <v>1.8627359999999999</v>
          </cell>
          <cell r="N1061">
            <v>0.13568</v>
          </cell>
          <cell r="O1061">
            <v>3.1247799999999999E-2</v>
          </cell>
          <cell r="P1061">
            <v>0.44972839999999997</v>
          </cell>
          <cell r="Q1061">
            <v>3.2110341999999998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0.27398</v>
          </cell>
          <cell r="Y1061">
            <v>0</v>
          </cell>
          <cell r="Z1061">
            <v>0</v>
          </cell>
          <cell r="AA1061">
            <v>0</v>
          </cell>
          <cell r="AB1061">
            <v>2.48899E-2</v>
          </cell>
        </row>
        <row r="1062">
          <cell r="A1062">
            <v>26115110</v>
          </cell>
          <cell r="B1062" t="str">
            <v>Flounder, cooked, NS as to cooking method</v>
          </cell>
          <cell r="I1062">
            <v>85</v>
          </cell>
          <cell r="J1062">
            <v>98.997157000000001</v>
          </cell>
          <cell r="K1062">
            <v>1.1646724352941176</v>
          </cell>
          <cell r="L1062">
            <v>0</v>
          </cell>
          <cell r="M1062">
            <v>0.65099560000000001</v>
          </cell>
          <cell r="N1062">
            <v>0.1631745</v>
          </cell>
          <cell r="O1062">
            <v>3.77329E-2</v>
          </cell>
          <cell r="P1062">
            <v>0.48588369999999997</v>
          </cell>
          <cell r="Q1062">
            <v>0.60766390000000003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0.45572230000000002</v>
          </cell>
          <cell r="Y1062">
            <v>0</v>
          </cell>
          <cell r="Z1062">
            <v>0</v>
          </cell>
          <cell r="AA1062">
            <v>0</v>
          </cell>
          <cell r="AB1062">
            <v>3.16723E-2</v>
          </cell>
        </row>
        <row r="1063">
          <cell r="A1063">
            <v>26115120</v>
          </cell>
          <cell r="B1063" t="str">
            <v>Flounder, baked or broiled, made with oil</v>
          </cell>
          <cell r="I1063">
            <v>85</v>
          </cell>
          <cell r="J1063">
            <v>78.550286999999997</v>
          </cell>
          <cell r="K1063">
            <v>0.92412102352941172</v>
          </cell>
          <cell r="L1063">
            <v>2.7715999999999999E-3</v>
          </cell>
          <cell r="M1063">
            <v>0.69121730000000003</v>
          </cell>
          <cell r="N1063">
            <v>0.19870380000000001</v>
          </cell>
          <cell r="O1063">
            <v>1.7222000000000001E-2</v>
          </cell>
          <cell r="P1063">
            <v>0</v>
          </cell>
          <cell r="Q1063">
            <v>1.3069645000000001</v>
          </cell>
          <cell r="R1063">
            <v>0</v>
          </cell>
          <cell r="S1063">
            <v>0</v>
          </cell>
          <cell r="T1063">
            <v>0.92385859999999997</v>
          </cell>
          <cell r="U1063">
            <v>0</v>
          </cell>
          <cell r="V1063">
            <v>0</v>
          </cell>
          <cell r="W1063">
            <v>0</v>
          </cell>
          <cell r="X1063">
            <v>0.44798579999999999</v>
          </cell>
          <cell r="Y1063">
            <v>0</v>
          </cell>
          <cell r="Z1063">
            <v>0</v>
          </cell>
          <cell r="AA1063">
            <v>0</v>
          </cell>
          <cell r="AB1063">
            <v>1.7553900000000001E-2</v>
          </cell>
        </row>
        <row r="1064">
          <cell r="A1064">
            <v>26115130</v>
          </cell>
          <cell r="B1064" t="str">
            <v>Flounder, coated, baked or broiled, made with oil</v>
          </cell>
          <cell r="I1064">
            <v>85</v>
          </cell>
          <cell r="J1064">
            <v>120.59756</v>
          </cell>
          <cell r="K1064">
            <v>1.4187948235294119</v>
          </cell>
          <cell r="L1064">
            <v>-4.7200000000000002E-17</v>
          </cell>
          <cell r="M1064">
            <v>0.946183</v>
          </cell>
          <cell r="N1064">
            <v>0.15167929999999999</v>
          </cell>
          <cell r="O1064">
            <v>3.3010400000000002E-2</v>
          </cell>
          <cell r="P1064">
            <v>0.38383479999999998</v>
          </cell>
          <cell r="Q1064">
            <v>1.8963342999999999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0.38175700000000001</v>
          </cell>
          <cell r="Y1064">
            <v>0</v>
          </cell>
          <cell r="Z1064">
            <v>0</v>
          </cell>
          <cell r="AA1064">
            <v>0</v>
          </cell>
          <cell r="AB1064">
            <v>4.98187E-2</v>
          </cell>
        </row>
        <row r="1065">
          <cell r="A1065">
            <v>26115133</v>
          </cell>
          <cell r="B1065" t="str">
            <v>Flounder, coated, baked or broiled, made without fat</v>
          </cell>
          <cell r="I1065">
            <v>85</v>
          </cell>
          <cell r="J1065">
            <v>91.671158000000005</v>
          </cell>
          <cell r="K1065">
            <v>1.078484211764706</v>
          </cell>
          <cell r="L1065">
            <v>-4.7200000000000002E-17</v>
          </cell>
          <cell r="M1065">
            <v>0.45754</v>
          </cell>
          <cell r="N1065">
            <v>0.15861980000000001</v>
          </cell>
          <cell r="O1065">
            <v>3.4511199999999999E-2</v>
          </cell>
          <cell r="P1065">
            <v>0.40139829999999999</v>
          </cell>
          <cell r="Q1065">
            <v>0.38106459999999998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0.39920600000000001</v>
          </cell>
          <cell r="Y1065">
            <v>0</v>
          </cell>
          <cell r="Z1065">
            <v>0</v>
          </cell>
          <cell r="AA1065">
            <v>0</v>
          </cell>
          <cell r="AB1065">
            <v>9.8598999999999996E-3</v>
          </cell>
        </row>
        <row r="1066">
          <cell r="A1066">
            <v>26115140</v>
          </cell>
          <cell r="B1066" t="str">
            <v>Flounder, coated, fried, made with oil</v>
          </cell>
          <cell r="I1066">
            <v>85</v>
          </cell>
          <cell r="J1066">
            <v>147.40253999999999</v>
          </cell>
          <cell r="K1066">
            <v>1.7341475294117645</v>
          </cell>
          <cell r="L1066">
            <v>0</v>
          </cell>
          <cell r="M1066">
            <v>1.4637134000000001</v>
          </cell>
          <cell r="N1066">
            <v>0.15109819999999999</v>
          </cell>
          <cell r="O1066">
            <v>3.4948100000000003E-2</v>
          </cell>
          <cell r="P1066">
            <v>0.44972839999999997</v>
          </cell>
          <cell r="Q1066">
            <v>3.1555287000000001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0.4219946</v>
          </cell>
          <cell r="Y1066">
            <v>0</v>
          </cell>
          <cell r="Z1066">
            <v>0</v>
          </cell>
          <cell r="AA1066">
            <v>0</v>
          </cell>
          <cell r="AB1066">
            <v>0.13889889999999999</v>
          </cell>
        </row>
        <row r="1067">
          <cell r="A1067">
            <v>26115160</v>
          </cell>
          <cell r="B1067" t="str">
            <v>Flounder, steamed or poached</v>
          </cell>
          <cell r="I1067">
            <v>85</v>
          </cell>
          <cell r="J1067">
            <v>59.109067000000003</v>
          </cell>
          <cell r="K1067">
            <v>0.69540078823529416</v>
          </cell>
          <cell r="L1067">
            <v>0</v>
          </cell>
          <cell r="M1067">
            <v>0.37238710000000003</v>
          </cell>
          <cell r="N1067">
            <v>0.2068817</v>
          </cell>
          <cell r="O1067">
            <v>1.7866799999999999E-2</v>
          </cell>
          <cell r="P1067">
            <v>0</v>
          </cell>
          <cell r="Q1067">
            <v>0.31581130000000002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0.46640090000000001</v>
          </cell>
          <cell r="Y1067">
            <v>0</v>
          </cell>
          <cell r="Z1067">
            <v>0</v>
          </cell>
          <cell r="AA1067">
            <v>0</v>
          </cell>
          <cell r="AB1067">
            <v>9.2885999999999993E-3</v>
          </cell>
        </row>
        <row r="1068">
          <cell r="A1068">
            <v>26117110</v>
          </cell>
          <cell r="B1068" t="str">
            <v>Haddock, cooked, NS as to cooking method</v>
          </cell>
          <cell r="I1068">
            <v>85</v>
          </cell>
          <cell r="J1068">
            <v>81.794430000000006</v>
          </cell>
          <cell r="K1068">
            <v>0.962287411764706</v>
          </cell>
          <cell r="L1068">
            <v>2.7715999999999999E-3</v>
          </cell>
          <cell r="M1068">
            <v>0.40735470000000001</v>
          </cell>
          <cell r="N1068">
            <v>0.1062457</v>
          </cell>
          <cell r="O1068">
            <v>9.1117000000000004E-3</v>
          </cell>
          <cell r="P1068">
            <v>0</v>
          </cell>
          <cell r="Q1068">
            <v>1.138269</v>
          </cell>
          <cell r="R1068">
            <v>0</v>
          </cell>
          <cell r="S1068">
            <v>0</v>
          </cell>
          <cell r="T1068">
            <v>0.92385859999999997</v>
          </cell>
          <cell r="U1068">
            <v>0</v>
          </cell>
          <cell r="V1068">
            <v>0</v>
          </cell>
          <cell r="W1068">
            <v>0</v>
          </cell>
          <cell r="X1068">
            <v>0.3806698</v>
          </cell>
          <cell r="Y1068">
            <v>0</v>
          </cell>
          <cell r="Z1068">
            <v>0</v>
          </cell>
          <cell r="AA1068">
            <v>0</v>
          </cell>
          <cell r="AB1068">
            <v>1.1876599999999999E-2</v>
          </cell>
        </row>
        <row r="1069">
          <cell r="A1069">
            <v>26117120</v>
          </cell>
          <cell r="B1069" t="str">
            <v>Haddock, baked or broiled, fat added in cooking</v>
          </cell>
          <cell r="I1069">
            <v>85</v>
          </cell>
          <cell r="J1069">
            <v>81.794430000000006</v>
          </cell>
          <cell r="K1069">
            <v>0.962287411764706</v>
          </cell>
          <cell r="L1069">
            <v>2.7715999999999999E-3</v>
          </cell>
          <cell r="M1069">
            <v>0.40735470000000001</v>
          </cell>
          <cell r="N1069">
            <v>0.1062457</v>
          </cell>
          <cell r="O1069">
            <v>9.1117000000000004E-3</v>
          </cell>
          <cell r="P1069">
            <v>0</v>
          </cell>
          <cell r="Q1069">
            <v>1.138269</v>
          </cell>
          <cell r="R1069">
            <v>0</v>
          </cell>
          <cell r="S1069">
            <v>0</v>
          </cell>
          <cell r="T1069">
            <v>0.92385859999999997</v>
          </cell>
          <cell r="U1069">
            <v>0</v>
          </cell>
          <cell r="V1069">
            <v>0</v>
          </cell>
          <cell r="W1069">
            <v>0</v>
          </cell>
          <cell r="X1069">
            <v>0.3806698</v>
          </cell>
          <cell r="Y1069">
            <v>0</v>
          </cell>
          <cell r="Z1069">
            <v>0</v>
          </cell>
          <cell r="AA1069">
            <v>0</v>
          </cell>
          <cell r="AB1069">
            <v>1.1876599999999999E-2</v>
          </cell>
        </row>
        <row r="1070">
          <cell r="A1070">
            <v>26117121</v>
          </cell>
          <cell r="B1070" t="str">
            <v>Haddock, baked or broiled, fat not added in cooking</v>
          </cell>
          <cell r="I1070">
            <v>85</v>
          </cell>
          <cell r="J1070">
            <v>61.996771000000003</v>
          </cell>
          <cell r="K1070">
            <v>0.72937377647058832</v>
          </cell>
          <cell r="L1070">
            <v>2.8533999999999999E-3</v>
          </cell>
          <cell r="M1070">
            <v>7.6362399999999997E-2</v>
          </cell>
          <cell r="N1070">
            <v>0.10938059999999999</v>
          </cell>
          <cell r="O1070">
            <v>9.3741999999999992E-3</v>
          </cell>
          <cell r="P1070">
            <v>0</v>
          </cell>
          <cell r="Q1070">
            <v>0.13880419999999999</v>
          </cell>
          <cell r="R1070">
            <v>0</v>
          </cell>
          <cell r="S1070">
            <v>0</v>
          </cell>
          <cell r="T1070">
            <v>0.95111820000000002</v>
          </cell>
          <cell r="U1070">
            <v>0</v>
          </cell>
          <cell r="V1070">
            <v>0</v>
          </cell>
          <cell r="W1070">
            <v>0</v>
          </cell>
          <cell r="X1070">
            <v>0.3918894</v>
          </cell>
          <cell r="Y1070">
            <v>0</v>
          </cell>
          <cell r="Z1070">
            <v>0</v>
          </cell>
          <cell r="AA1070">
            <v>0</v>
          </cell>
          <cell r="AB1070">
            <v>3.3398999999999998E-3</v>
          </cell>
        </row>
        <row r="1071">
          <cell r="A1071">
            <v>26117130</v>
          </cell>
          <cell r="B1071" t="str">
            <v>Haddock, coated, baked or broiled, fat added in cooking</v>
          </cell>
          <cell r="I1071">
            <v>85</v>
          </cell>
          <cell r="J1071">
            <v>123.17054</v>
          </cell>
          <cell r="K1071">
            <v>1.4490651764705882</v>
          </cell>
          <cell r="L1071">
            <v>-4.7200000000000002E-17</v>
          </cell>
          <cell r="M1071">
            <v>0.73596410000000001</v>
          </cell>
          <cell r="N1071">
            <v>8.1101999999999994E-2</v>
          </cell>
          <cell r="O1071">
            <v>2.6798599999999999E-2</v>
          </cell>
          <cell r="P1071">
            <v>0.38383479999999998</v>
          </cell>
          <cell r="Q1071">
            <v>1.7682226999999999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0.330376</v>
          </cell>
          <cell r="Y1071">
            <v>0</v>
          </cell>
          <cell r="Z1071">
            <v>0</v>
          </cell>
          <cell r="AA1071">
            <v>0</v>
          </cell>
          <cell r="AB1071">
            <v>7.3099399999999995E-2</v>
          </cell>
        </row>
        <row r="1072">
          <cell r="A1072">
            <v>26117140</v>
          </cell>
          <cell r="B1072" t="str">
            <v>Haddock, coated, fried</v>
          </cell>
          <cell r="I1072">
            <v>85</v>
          </cell>
          <cell r="J1072">
            <v>149.86945</v>
          </cell>
          <cell r="K1072">
            <v>1.7631699999999999</v>
          </cell>
          <cell r="L1072">
            <v>0</v>
          </cell>
          <cell r="M1072">
            <v>1.2478589</v>
          </cell>
          <cell r="N1072">
            <v>8.0791299999999996E-2</v>
          </cell>
          <cell r="O1072">
            <v>2.8780900000000002E-2</v>
          </cell>
          <cell r="P1072">
            <v>0.44972839999999997</v>
          </cell>
          <cell r="Q1072">
            <v>3.0272494999999999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0.37080619999999997</v>
          </cell>
          <cell r="Y1072">
            <v>0</v>
          </cell>
          <cell r="Z1072">
            <v>0</v>
          </cell>
          <cell r="AA1072">
            <v>0</v>
          </cell>
          <cell r="AB1072">
            <v>0.31886989999999998</v>
          </cell>
        </row>
        <row r="1073">
          <cell r="A1073">
            <v>26117160</v>
          </cell>
          <cell r="B1073" t="str">
            <v>Haddock, steamed or poached</v>
          </cell>
          <cell r="I1073">
            <v>85</v>
          </cell>
          <cell r="J1073">
            <v>62.486727999999999</v>
          </cell>
          <cell r="K1073">
            <v>0.73513797647058821</v>
          </cell>
          <cell r="L1073">
            <v>0</v>
          </cell>
          <cell r="M1073">
            <v>7.6841800000000002E-2</v>
          </cell>
          <cell r="N1073">
            <v>0.11061840000000001</v>
          </cell>
          <cell r="O1073">
            <v>9.4225999999999997E-3</v>
          </cell>
          <cell r="P1073">
            <v>0</v>
          </cell>
          <cell r="Q1073">
            <v>0.14017289999999999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0.39631450000000001</v>
          </cell>
          <cell r="Y1073">
            <v>0</v>
          </cell>
          <cell r="Z1073">
            <v>0</v>
          </cell>
          <cell r="AA1073">
            <v>0</v>
          </cell>
          <cell r="AB1073">
            <v>3.3777E-3</v>
          </cell>
        </row>
        <row r="1074">
          <cell r="A1074">
            <v>26118020</v>
          </cell>
          <cell r="B1074" t="str">
            <v>Halibut, baked or broiled, made with oil</v>
          </cell>
          <cell r="I1074">
            <v>85</v>
          </cell>
          <cell r="J1074">
            <v>95.582042000000001</v>
          </cell>
          <cell r="K1074">
            <v>1.1244946117647059</v>
          </cell>
          <cell r="L1074">
            <v>2.7715999999999999E-3</v>
          </cell>
          <cell r="M1074">
            <v>0.57037300000000002</v>
          </cell>
          <cell r="N1074">
            <v>0.15734100000000001</v>
          </cell>
          <cell r="O1074">
            <v>5.8675000000000003E-3</v>
          </cell>
          <cell r="P1074">
            <v>0</v>
          </cell>
          <cell r="Q1074">
            <v>1.2388375</v>
          </cell>
          <cell r="R1074">
            <v>0</v>
          </cell>
          <cell r="S1074">
            <v>0</v>
          </cell>
          <cell r="T1074">
            <v>0.92385859999999997</v>
          </cell>
          <cell r="U1074">
            <v>0</v>
          </cell>
          <cell r="V1074">
            <v>0</v>
          </cell>
          <cell r="W1074">
            <v>0</v>
          </cell>
          <cell r="X1074">
            <v>0.26306960000000001</v>
          </cell>
          <cell r="Y1074">
            <v>0</v>
          </cell>
          <cell r="Z1074">
            <v>0</v>
          </cell>
          <cell r="AA1074">
            <v>0</v>
          </cell>
          <cell r="AB1074">
            <v>8.6324999999999995E-3</v>
          </cell>
        </row>
        <row r="1075">
          <cell r="A1075">
            <v>26118023</v>
          </cell>
          <cell r="B1075" t="str">
            <v>Halibut, baked or broiled, made without fat</v>
          </cell>
          <cell r="I1075">
            <v>85</v>
          </cell>
          <cell r="J1075">
            <v>76.191202000000004</v>
          </cell>
          <cell r="K1075">
            <v>0.89636708235294127</v>
          </cell>
          <cell r="L1075">
            <v>2.8533999999999999E-3</v>
          </cell>
          <cell r="M1075">
            <v>0.24419070000000001</v>
          </cell>
          <cell r="N1075">
            <v>0.1619835</v>
          </cell>
          <cell r="O1075">
            <v>6.0343999999999997E-3</v>
          </cell>
          <cell r="P1075">
            <v>0</v>
          </cell>
          <cell r="Q1075">
            <v>0.24234</v>
          </cell>
          <cell r="R1075">
            <v>0</v>
          </cell>
          <cell r="S1075">
            <v>0</v>
          </cell>
          <cell r="T1075">
            <v>0.95111820000000002</v>
          </cell>
          <cell r="U1075">
            <v>0</v>
          </cell>
          <cell r="V1075">
            <v>0</v>
          </cell>
          <cell r="W1075">
            <v>0</v>
          </cell>
          <cell r="X1075">
            <v>0.27081919999999998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</row>
        <row r="1076">
          <cell r="A1076">
            <v>26118024</v>
          </cell>
          <cell r="B1076" t="str">
            <v>Halibut, baked or broiled, made with cooking spray</v>
          </cell>
          <cell r="I1076">
            <v>85</v>
          </cell>
          <cell r="J1076">
            <v>78.509348000000003</v>
          </cell>
          <cell r="K1076">
            <v>0.92363938823529412</v>
          </cell>
          <cell r="L1076">
            <v>2.8422999999999999E-3</v>
          </cell>
          <cell r="M1076">
            <v>0.25982749999999999</v>
          </cell>
          <cell r="N1076">
            <v>0.16135450000000001</v>
          </cell>
          <cell r="O1076">
            <v>6.0108999999999996E-3</v>
          </cell>
          <cell r="P1076">
            <v>0</v>
          </cell>
          <cell r="Q1076">
            <v>0.3144885</v>
          </cell>
          <cell r="R1076">
            <v>0</v>
          </cell>
          <cell r="S1076">
            <v>0</v>
          </cell>
          <cell r="T1076">
            <v>0.94742510000000002</v>
          </cell>
          <cell r="U1076">
            <v>0</v>
          </cell>
          <cell r="V1076">
            <v>0</v>
          </cell>
          <cell r="W1076">
            <v>0</v>
          </cell>
          <cell r="X1076">
            <v>0.26996239999999999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</row>
        <row r="1077">
          <cell r="A1077">
            <v>26119110</v>
          </cell>
          <cell r="B1077" t="str">
            <v>Herring, cooked, NS as to cooking method</v>
          </cell>
          <cell r="I1077">
            <v>85</v>
          </cell>
          <cell r="J1077">
            <v>149.92144999999999</v>
          </cell>
          <cell r="K1077">
            <v>1.7637817647058822</v>
          </cell>
          <cell r="L1077">
            <v>2.7715999999999999E-3</v>
          </cell>
          <cell r="M1077">
            <v>1.9880637999999999</v>
          </cell>
          <cell r="N1077">
            <v>1.2741374999999999</v>
          </cell>
          <cell r="O1077">
            <v>4.6419299999999997E-2</v>
          </cell>
          <cell r="P1077">
            <v>0</v>
          </cell>
          <cell r="Q1077">
            <v>2.7335767</v>
          </cell>
          <cell r="R1077">
            <v>0</v>
          </cell>
          <cell r="S1077">
            <v>0</v>
          </cell>
          <cell r="T1077">
            <v>0.92385859999999997</v>
          </cell>
          <cell r="U1077">
            <v>0</v>
          </cell>
          <cell r="V1077">
            <v>0</v>
          </cell>
          <cell r="W1077">
            <v>0</v>
          </cell>
          <cell r="X1077">
            <v>0.2809123</v>
          </cell>
          <cell r="Y1077">
            <v>0</v>
          </cell>
          <cell r="Z1077">
            <v>0</v>
          </cell>
          <cell r="AA1077">
            <v>0</v>
          </cell>
          <cell r="AB1077">
            <v>8.6324999999999995E-3</v>
          </cell>
        </row>
        <row r="1078">
          <cell r="A1078">
            <v>26119120</v>
          </cell>
          <cell r="B1078" t="str">
            <v>Herring, baked or broiled, fat added in cooking</v>
          </cell>
          <cell r="I1078">
            <v>85</v>
          </cell>
          <cell r="J1078">
            <v>149.92144999999999</v>
          </cell>
          <cell r="K1078">
            <v>1.7637817647058822</v>
          </cell>
          <cell r="L1078">
            <v>2.7715999999999999E-3</v>
          </cell>
          <cell r="M1078">
            <v>1.9880637999999999</v>
          </cell>
          <cell r="N1078">
            <v>1.2741374999999999</v>
          </cell>
          <cell r="O1078">
            <v>4.6419299999999997E-2</v>
          </cell>
          <cell r="P1078">
            <v>0</v>
          </cell>
          <cell r="Q1078">
            <v>2.7335767</v>
          </cell>
          <cell r="R1078">
            <v>0</v>
          </cell>
          <cell r="S1078">
            <v>0</v>
          </cell>
          <cell r="T1078">
            <v>0.92385859999999997</v>
          </cell>
          <cell r="U1078">
            <v>0</v>
          </cell>
          <cell r="V1078">
            <v>0</v>
          </cell>
          <cell r="W1078">
            <v>0</v>
          </cell>
          <cell r="X1078">
            <v>0.2809123</v>
          </cell>
          <cell r="Y1078">
            <v>0</v>
          </cell>
          <cell r="Z1078">
            <v>0</v>
          </cell>
          <cell r="AA1078">
            <v>0</v>
          </cell>
          <cell r="AB1078">
            <v>8.6324999999999995E-3</v>
          </cell>
        </row>
        <row r="1079">
          <cell r="A1079">
            <v>26119121</v>
          </cell>
          <cell r="B1079" t="str">
            <v>Herring, baked or broiled, fat not added in cooking</v>
          </cell>
          <cell r="I1079">
            <v>85</v>
          </cell>
          <cell r="J1079">
            <v>132.13396</v>
          </cell>
          <cell r="K1079">
            <v>1.5545171764705883</v>
          </cell>
          <cell r="L1079">
            <v>2.8533999999999999E-3</v>
          </cell>
          <cell r="M1079">
            <v>1.7037122</v>
          </cell>
          <cell r="N1079">
            <v>1.3117325</v>
          </cell>
          <cell r="O1079">
            <v>4.7782699999999997E-2</v>
          </cell>
          <cell r="P1079">
            <v>0</v>
          </cell>
          <cell r="Q1079">
            <v>1.7811834</v>
          </cell>
          <cell r="R1079">
            <v>0</v>
          </cell>
          <cell r="S1079">
            <v>0</v>
          </cell>
          <cell r="T1079">
            <v>0.95111820000000002</v>
          </cell>
          <cell r="U1079">
            <v>0</v>
          </cell>
          <cell r="V1079">
            <v>0</v>
          </cell>
          <cell r="W1079">
            <v>0</v>
          </cell>
          <cell r="X1079">
            <v>0.28918850000000001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</row>
        <row r="1080">
          <cell r="A1080">
            <v>26119180</v>
          </cell>
          <cell r="B1080" t="str">
            <v>Herring, pickled</v>
          </cell>
          <cell r="I1080">
            <v>55</v>
          </cell>
          <cell r="J1080">
            <v>144.1</v>
          </cell>
          <cell r="K1080">
            <v>2.62</v>
          </cell>
          <cell r="L1080">
            <v>0</v>
          </cell>
          <cell r="M1080">
            <v>1.30955</v>
          </cell>
          <cell r="N1080">
            <v>0.76395000000000002</v>
          </cell>
          <cell r="O1080">
            <v>4.2349999999999999E-2</v>
          </cell>
          <cell r="P1080">
            <v>0</v>
          </cell>
          <cell r="Q1080">
            <v>0.92344999999999999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0.47849999999999998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</row>
        <row r="1081">
          <cell r="A1081">
            <v>26119190</v>
          </cell>
          <cell r="B1081" t="str">
            <v>Herring, smoked, kippered</v>
          </cell>
          <cell r="I1081">
            <v>55</v>
          </cell>
          <cell r="J1081">
            <v>119.35</v>
          </cell>
          <cell r="K1081">
            <v>2.17</v>
          </cell>
          <cell r="L1081">
            <v>0</v>
          </cell>
          <cell r="M1081">
            <v>1.53505</v>
          </cell>
          <cell r="N1081">
            <v>1.1819500000000001</v>
          </cell>
          <cell r="O1081">
            <v>4.6199999999999998E-2</v>
          </cell>
          <cell r="P1081">
            <v>0</v>
          </cell>
          <cell r="Q1081">
            <v>1.60545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0.50490000000000002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</row>
        <row r="1082">
          <cell r="A1082">
            <v>26121110</v>
          </cell>
          <cell r="B1082" t="str">
            <v>Mackerel, cooked, NS as to cooking method</v>
          </cell>
          <cell r="I1082">
            <v>85</v>
          </cell>
          <cell r="J1082">
            <v>175.30783</v>
          </cell>
          <cell r="K1082">
            <v>2.0624450588235295</v>
          </cell>
          <cell r="L1082">
            <v>2.7696999999999999E-3</v>
          </cell>
          <cell r="M1082">
            <v>2.7015449999999999</v>
          </cell>
          <cell r="N1082">
            <v>1.6323665999999999</v>
          </cell>
          <cell r="O1082">
            <v>1.29006E-2</v>
          </cell>
          <cell r="P1082">
            <v>0</v>
          </cell>
          <cell r="Q1082">
            <v>3.3383319</v>
          </cell>
          <cell r="R1082">
            <v>0</v>
          </cell>
          <cell r="S1082">
            <v>0</v>
          </cell>
          <cell r="T1082">
            <v>0.92324300000000004</v>
          </cell>
          <cell r="U1082">
            <v>0</v>
          </cell>
          <cell r="V1082">
            <v>0</v>
          </cell>
          <cell r="W1082">
            <v>0</v>
          </cell>
          <cell r="X1082">
            <v>0.27969329999999998</v>
          </cell>
          <cell r="Y1082">
            <v>0</v>
          </cell>
          <cell r="Z1082">
            <v>0</v>
          </cell>
          <cell r="AA1082">
            <v>0</v>
          </cell>
          <cell r="AB1082">
            <v>8.6266999999999993E-3</v>
          </cell>
        </row>
        <row r="1083">
          <cell r="A1083">
            <v>26121120</v>
          </cell>
          <cell r="B1083" t="str">
            <v>Mackerel, baked or broiled, fat added in cooking</v>
          </cell>
          <cell r="I1083">
            <v>85</v>
          </cell>
          <cell r="J1083">
            <v>175.32701</v>
          </cell>
          <cell r="K1083">
            <v>2.0626707058823528</v>
          </cell>
          <cell r="L1083">
            <v>2.7702999999999998E-3</v>
          </cell>
          <cell r="M1083">
            <v>2.7019403</v>
          </cell>
          <cell r="N1083">
            <v>1.6326522999999999</v>
          </cell>
          <cell r="O1083">
            <v>1.2896700000000001E-2</v>
          </cell>
          <cell r="P1083">
            <v>0</v>
          </cell>
          <cell r="Q1083">
            <v>3.3389943</v>
          </cell>
          <cell r="R1083">
            <v>0</v>
          </cell>
          <cell r="S1083">
            <v>0</v>
          </cell>
          <cell r="T1083">
            <v>0.92341770000000001</v>
          </cell>
          <cell r="U1083">
            <v>0</v>
          </cell>
          <cell r="V1083">
            <v>0</v>
          </cell>
          <cell r="W1083">
            <v>0</v>
          </cell>
          <cell r="X1083">
            <v>0.27973340000000002</v>
          </cell>
          <cell r="Y1083">
            <v>0</v>
          </cell>
          <cell r="Z1083">
            <v>0</v>
          </cell>
          <cell r="AA1083">
            <v>0</v>
          </cell>
          <cell r="AB1083">
            <v>8.6283999999999996E-3</v>
          </cell>
        </row>
        <row r="1084">
          <cell r="A1084">
            <v>26121121</v>
          </cell>
          <cell r="B1084" t="str">
            <v>Mackerel, baked or broiled, fat not added in cooking</v>
          </cell>
          <cell r="I1084">
            <v>85</v>
          </cell>
          <cell r="J1084">
            <v>158.29750999999999</v>
          </cell>
          <cell r="K1084">
            <v>1.8623236470588234</v>
          </cell>
          <cell r="L1084">
            <v>2.8519999999999999E-3</v>
          </cell>
          <cell r="M1084">
            <v>2.4387818999999999</v>
          </cell>
          <cell r="N1084">
            <v>1.6808019999999999</v>
          </cell>
          <cell r="O1084">
            <v>1.3270799999999999E-2</v>
          </cell>
          <cell r="P1084">
            <v>0</v>
          </cell>
          <cell r="Q1084">
            <v>2.4049236999999999</v>
          </cell>
          <cell r="R1084">
            <v>0</v>
          </cell>
          <cell r="S1084">
            <v>0</v>
          </cell>
          <cell r="T1084">
            <v>0.95065089999999997</v>
          </cell>
          <cell r="U1084">
            <v>0</v>
          </cell>
          <cell r="V1084">
            <v>0</v>
          </cell>
          <cell r="W1084">
            <v>0</v>
          </cell>
          <cell r="X1084">
            <v>0.28797070000000002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</row>
        <row r="1085">
          <cell r="A1085">
            <v>26121140</v>
          </cell>
          <cell r="B1085" t="str">
            <v>Mackerel, coated, fried</v>
          </cell>
          <cell r="I1085">
            <v>85</v>
          </cell>
          <cell r="J1085">
            <v>220.97684000000001</v>
          </cell>
          <cell r="K1085">
            <v>2.5997275294117648</v>
          </cell>
          <cell r="L1085">
            <v>-9.4400000000000003E-17</v>
          </cell>
          <cell r="M1085">
            <v>2.9926001000000002</v>
          </cell>
          <cell r="N1085">
            <v>1.2416419999999999</v>
          </cell>
          <cell r="O1085">
            <v>3.1652300000000001E-2</v>
          </cell>
          <cell r="P1085">
            <v>0.4495651</v>
          </cell>
          <cell r="Q1085">
            <v>4.7002287999999997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0.294047</v>
          </cell>
          <cell r="Y1085">
            <v>0</v>
          </cell>
          <cell r="Z1085">
            <v>0</v>
          </cell>
          <cell r="AA1085">
            <v>0</v>
          </cell>
          <cell r="AB1085">
            <v>2.4880900000000001E-2</v>
          </cell>
        </row>
        <row r="1086">
          <cell r="A1086">
            <v>26121180</v>
          </cell>
          <cell r="B1086" t="str">
            <v>Mackerel, canned</v>
          </cell>
          <cell r="I1086">
            <v>85</v>
          </cell>
          <cell r="J1086">
            <v>132.6</v>
          </cell>
          <cell r="K1086">
            <v>1.5599999999999998</v>
          </cell>
          <cell r="L1086">
            <v>0</v>
          </cell>
          <cell r="M1086">
            <v>1.5784499999999999</v>
          </cell>
          <cell r="N1086">
            <v>1.0455000000000001</v>
          </cell>
          <cell r="O1086">
            <v>0.20485</v>
          </cell>
          <cell r="P1086">
            <v>0</v>
          </cell>
          <cell r="Q1086">
            <v>1.4033500000000001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0.32214999999999999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</row>
        <row r="1087">
          <cell r="A1087">
            <v>26123120</v>
          </cell>
          <cell r="B1087" t="str">
            <v>Mullet, baked or broiled, fat added in cooking</v>
          </cell>
          <cell r="I1087">
            <v>85</v>
          </cell>
          <cell r="J1087">
            <v>116.66898</v>
          </cell>
          <cell r="K1087">
            <v>1.3725762352941178</v>
          </cell>
          <cell r="L1087">
            <v>2.7715999999999999E-3</v>
          </cell>
          <cell r="M1087">
            <v>1.2386666</v>
          </cell>
          <cell r="N1087">
            <v>0.26358670000000001</v>
          </cell>
          <cell r="O1087">
            <v>3.3442699999999999E-2</v>
          </cell>
          <cell r="P1087">
            <v>0</v>
          </cell>
          <cell r="Q1087">
            <v>1.5835277000000001</v>
          </cell>
          <cell r="R1087">
            <v>0</v>
          </cell>
          <cell r="S1087">
            <v>0</v>
          </cell>
          <cell r="T1087">
            <v>0.92385859999999997</v>
          </cell>
          <cell r="U1087">
            <v>0</v>
          </cell>
          <cell r="V1087">
            <v>0</v>
          </cell>
          <cell r="W1087">
            <v>0</v>
          </cell>
          <cell r="X1087">
            <v>0.26063639999999999</v>
          </cell>
          <cell r="Y1087">
            <v>0</v>
          </cell>
          <cell r="Z1087">
            <v>0</v>
          </cell>
          <cell r="AA1087">
            <v>0</v>
          </cell>
          <cell r="AB1087">
            <v>8.6324999999999995E-3</v>
          </cell>
        </row>
        <row r="1088">
          <cell r="A1088">
            <v>26123140</v>
          </cell>
          <cell r="B1088" t="str">
            <v>Mullet, coated, fried</v>
          </cell>
          <cell r="I1088">
            <v>85</v>
          </cell>
          <cell r="J1088">
            <v>130.28865999999999</v>
          </cell>
          <cell r="K1088">
            <v>1.5328077647058822</v>
          </cell>
          <cell r="L1088">
            <v>0</v>
          </cell>
          <cell r="M1088">
            <v>1.1005621999999999</v>
          </cell>
          <cell r="N1088">
            <v>0.21646789999999999</v>
          </cell>
          <cell r="O1088">
            <v>5.1047500000000003E-2</v>
          </cell>
          <cell r="P1088">
            <v>0.48569909999999999</v>
          </cell>
          <cell r="Q1088">
            <v>0.83472550000000001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0.30185430000000002</v>
          </cell>
          <cell r="Y1088">
            <v>0</v>
          </cell>
          <cell r="Z1088">
            <v>0</v>
          </cell>
          <cell r="AA1088">
            <v>0</v>
          </cell>
          <cell r="AB1088">
            <v>2.48899E-2</v>
          </cell>
        </row>
        <row r="1089">
          <cell r="A1089">
            <v>26123160</v>
          </cell>
          <cell r="B1089" t="str">
            <v>Mullet, steamed or poached</v>
          </cell>
          <cell r="I1089">
            <v>85</v>
          </cell>
          <cell r="J1089">
            <v>98.796582999999998</v>
          </cell>
          <cell r="K1089">
            <v>1.1623127411764707</v>
          </cell>
          <cell r="L1089">
            <v>0</v>
          </cell>
          <cell r="M1089">
            <v>0.94236739999999997</v>
          </cell>
          <cell r="N1089">
            <v>0.27443499999999998</v>
          </cell>
          <cell r="O1089">
            <v>3.4755099999999997E-2</v>
          </cell>
          <cell r="P1089">
            <v>0</v>
          </cell>
          <cell r="Q1089">
            <v>0.60375690000000004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0.271341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</row>
        <row r="1090">
          <cell r="A1090">
            <v>26125120</v>
          </cell>
          <cell r="B1090" t="str">
            <v>Ocean perch, baked or broiled, fat added in cooking</v>
          </cell>
          <cell r="I1090">
            <v>85</v>
          </cell>
          <cell r="J1090">
            <v>85.849609999999998</v>
          </cell>
          <cell r="K1090">
            <v>1.0099954117647059</v>
          </cell>
          <cell r="L1090">
            <v>2.7715999999999999E-3</v>
          </cell>
          <cell r="M1090">
            <v>0.55496330000000005</v>
          </cell>
          <cell r="N1090">
            <v>0.17437269999999999</v>
          </cell>
          <cell r="O1090">
            <v>2.2899300000000001E-2</v>
          </cell>
          <cell r="P1090">
            <v>0</v>
          </cell>
          <cell r="Q1090">
            <v>1.250192</v>
          </cell>
          <cell r="R1090">
            <v>0</v>
          </cell>
          <cell r="S1090">
            <v>0</v>
          </cell>
          <cell r="T1090">
            <v>0.92385859999999997</v>
          </cell>
          <cell r="U1090">
            <v>0</v>
          </cell>
          <cell r="V1090">
            <v>0</v>
          </cell>
          <cell r="W1090">
            <v>0</v>
          </cell>
          <cell r="X1090">
            <v>0.44068639999999998</v>
          </cell>
          <cell r="Y1090">
            <v>0</v>
          </cell>
          <cell r="Z1090">
            <v>0</v>
          </cell>
          <cell r="AA1090">
            <v>0</v>
          </cell>
          <cell r="AB1090">
            <v>1.5931799999999999E-2</v>
          </cell>
        </row>
        <row r="1091">
          <cell r="A1091">
            <v>26125121</v>
          </cell>
          <cell r="B1091" t="str">
            <v>Ocean perch, baked or broiled, fat not added in cooking</v>
          </cell>
          <cell r="I1091">
            <v>85</v>
          </cell>
          <cell r="J1091">
            <v>66.171604000000002</v>
          </cell>
          <cell r="K1091">
            <v>0.77848945882352949</v>
          </cell>
          <cell r="L1091">
            <v>2.8533999999999999E-3</v>
          </cell>
          <cell r="M1091">
            <v>0.22832630000000001</v>
          </cell>
          <cell r="N1091">
            <v>0.17951780000000001</v>
          </cell>
          <cell r="O1091">
            <v>2.3568700000000001E-2</v>
          </cell>
          <cell r="P1091">
            <v>0</v>
          </cell>
          <cell r="Q1091">
            <v>0.25402960000000002</v>
          </cell>
          <cell r="R1091">
            <v>0</v>
          </cell>
          <cell r="S1091">
            <v>0</v>
          </cell>
          <cell r="T1091">
            <v>0.95111820000000002</v>
          </cell>
          <cell r="U1091">
            <v>0</v>
          </cell>
          <cell r="V1091">
            <v>0</v>
          </cell>
          <cell r="W1091">
            <v>0</v>
          </cell>
          <cell r="X1091">
            <v>0.45367689999999999</v>
          </cell>
          <cell r="Y1091">
            <v>0</v>
          </cell>
          <cell r="Z1091">
            <v>0</v>
          </cell>
          <cell r="AA1091">
            <v>0</v>
          </cell>
          <cell r="AB1091">
            <v>7.5147E-3</v>
          </cell>
        </row>
        <row r="1092">
          <cell r="A1092">
            <v>26125130</v>
          </cell>
          <cell r="B1092" t="str">
            <v>Ocean perch, coated, baked or broiled, fat added in cooking</v>
          </cell>
          <cell r="I1092">
            <v>85</v>
          </cell>
          <cell r="J1092">
            <v>126.16945</v>
          </cell>
          <cell r="K1092">
            <v>1.4843464705882352</v>
          </cell>
          <cell r="L1092">
            <v>-4.7200000000000002E-17</v>
          </cell>
          <cell r="M1092">
            <v>0.84217439999999999</v>
          </cell>
          <cell r="N1092">
            <v>0.13310630000000001</v>
          </cell>
          <cell r="O1092">
            <v>3.7344099999999998E-2</v>
          </cell>
          <cell r="P1092">
            <v>0.38383479999999998</v>
          </cell>
          <cell r="Q1092">
            <v>1.8529973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0.3761852</v>
          </cell>
          <cell r="Y1092">
            <v>0</v>
          </cell>
          <cell r="Z1092">
            <v>0</v>
          </cell>
          <cell r="AA1092">
            <v>0</v>
          </cell>
          <cell r="AB1092">
            <v>2.13694E-2</v>
          </cell>
        </row>
        <row r="1093">
          <cell r="A1093">
            <v>26125140</v>
          </cell>
          <cell r="B1093" t="str">
            <v>Ocean perch, coated, fried</v>
          </cell>
          <cell r="I1093">
            <v>85</v>
          </cell>
          <cell r="J1093">
            <v>104.97857</v>
          </cell>
          <cell r="K1093">
            <v>1.235042</v>
          </cell>
          <cell r="L1093">
            <v>0</v>
          </cell>
          <cell r="M1093">
            <v>0.53907780000000005</v>
          </cell>
          <cell r="N1093">
            <v>0.14320189999999999</v>
          </cell>
          <cell r="O1093">
            <v>4.2388799999999997E-2</v>
          </cell>
          <cell r="P1093">
            <v>0.48569909999999999</v>
          </cell>
          <cell r="Q1093">
            <v>0.5609769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0.44971860000000002</v>
          </cell>
          <cell r="Y1093">
            <v>0</v>
          </cell>
          <cell r="Z1093">
            <v>0</v>
          </cell>
          <cell r="AA1093">
            <v>0</v>
          </cell>
          <cell r="AB1093">
            <v>0.1612228</v>
          </cell>
        </row>
        <row r="1094">
          <cell r="A1094">
            <v>26125160</v>
          </cell>
          <cell r="B1094" t="str">
            <v>Ocean perch, steamed or poached</v>
          </cell>
          <cell r="I1094">
            <v>85</v>
          </cell>
          <cell r="J1094">
            <v>66.708804000000001</v>
          </cell>
          <cell r="K1094">
            <v>0.78480945882352937</v>
          </cell>
          <cell r="L1094">
            <v>0</v>
          </cell>
          <cell r="M1094">
            <v>0.23052539999999999</v>
          </cell>
          <cell r="N1094">
            <v>0.1815493</v>
          </cell>
          <cell r="O1094">
            <v>2.3777699999999999E-2</v>
          </cell>
          <cell r="P1094">
            <v>0</v>
          </cell>
          <cell r="Q1094">
            <v>0.25670219999999999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0.45880120000000002</v>
          </cell>
          <cell r="Y1094">
            <v>0</v>
          </cell>
          <cell r="Z1094">
            <v>0</v>
          </cell>
          <cell r="AA1094">
            <v>0</v>
          </cell>
          <cell r="AB1094">
            <v>7.5997E-3</v>
          </cell>
        </row>
        <row r="1095">
          <cell r="A1095">
            <v>26127110</v>
          </cell>
          <cell r="B1095" t="str">
            <v>Perch, cooked, NS as to cooking method</v>
          </cell>
          <cell r="I1095">
            <v>85</v>
          </cell>
          <cell r="J1095">
            <v>160.36278999999999</v>
          </cell>
          <cell r="K1095">
            <v>1.8866210588235293</v>
          </cell>
          <cell r="L1095">
            <v>0</v>
          </cell>
          <cell r="M1095">
            <v>1.3058168000000001</v>
          </cell>
          <cell r="N1095">
            <v>0.156024</v>
          </cell>
          <cell r="O1095">
            <v>7.1339399999999997E-2</v>
          </cell>
          <cell r="P1095">
            <v>0.4499011</v>
          </cell>
          <cell r="Q1095">
            <v>3.1517567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0.277698</v>
          </cell>
          <cell r="Y1095">
            <v>0</v>
          </cell>
          <cell r="Z1095">
            <v>0</v>
          </cell>
          <cell r="AA1095">
            <v>0</v>
          </cell>
          <cell r="AB1095">
            <v>0.2227278</v>
          </cell>
        </row>
        <row r="1096">
          <cell r="A1096">
            <v>26127120</v>
          </cell>
          <cell r="B1096" t="str">
            <v>Perch, baked or broiled, made with oil</v>
          </cell>
          <cell r="I1096">
            <v>85</v>
          </cell>
          <cell r="J1096">
            <v>95.582042000000001</v>
          </cell>
          <cell r="K1096">
            <v>1.1244946117647059</v>
          </cell>
          <cell r="L1096">
            <v>2.7715999999999999E-3</v>
          </cell>
          <cell r="M1096">
            <v>0.48359210000000002</v>
          </cell>
          <cell r="N1096">
            <v>0.20519209999999999</v>
          </cell>
          <cell r="O1096">
            <v>6.5073099999999995E-2</v>
          </cell>
          <cell r="P1096">
            <v>0</v>
          </cell>
          <cell r="Q1096">
            <v>1.3020982999999999</v>
          </cell>
          <cell r="R1096">
            <v>0</v>
          </cell>
          <cell r="S1096">
            <v>0</v>
          </cell>
          <cell r="T1096">
            <v>0.92385859999999997</v>
          </cell>
          <cell r="U1096">
            <v>0</v>
          </cell>
          <cell r="V1096">
            <v>0</v>
          </cell>
          <cell r="W1096">
            <v>0</v>
          </cell>
          <cell r="X1096">
            <v>0.25820330000000002</v>
          </cell>
          <cell r="Y1096">
            <v>0</v>
          </cell>
          <cell r="Z1096">
            <v>0</v>
          </cell>
          <cell r="AA1096">
            <v>0</v>
          </cell>
          <cell r="AB1096">
            <v>8.6324999999999995E-3</v>
          </cell>
        </row>
        <row r="1097">
          <cell r="A1097">
            <v>26127123</v>
          </cell>
          <cell r="B1097" t="str">
            <v>Perch, baked or broiled, made without fat</v>
          </cell>
          <cell r="I1097">
            <v>85</v>
          </cell>
          <cell r="J1097">
            <v>76.191202000000004</v>
          </cell>
          <cell r="K1097">
            <v>0.89636708235294127</v>
          </cell>
          <cell r="L1097">
            <v>2.8533999999999999E-3</v>
          </cell>
          <cell r="M1097">
            <v>0.1548493</v>
          </cell>
          <cell r="N1097">
            <v>0.2112465</v>
          </cell>
          <cell r="O1097">
            <v>6.6986900000000002E-2</v>
          </cell>
          <cell r="P1097">
            <v>0</v>
          </cell>
          <cell r="Q1097">
            <v>0.3074674</v>
          </cell>
          <cell r="R1097">
            <v>0</v>
          </cell>
          <cell r="S1097">
            <v>0</v>
          </cell>
          <cell r="T1097">
            <v>0.95111820000000002</v>
          </cell>
          <cell r="U1097">
            <v>0</v>
          </cell>
          <cell r="V1097">
            <v>0</v>
          </cell>
          <cell r="W1097">
            <v>0</v>
          </cell>
          <cell r="X1097">
            <v>0.26580939999999997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</row>
        <row r="1098">
          <cell r="A1098">
            <v>26127133</v>
          </cell>
          <cell r="B1098" t="str">
            <v>Perch, coated, baked or broiled, made without fat</v>
          </cell>
          <cell r="I1098">
            <v>85</v>
          </cell>
          <cell r="J1098">
            <v>105.26714</v>
          </cell>
          <cell r="K1098">
            <v>1.2384369411764706</v>
          </cell>
          <cell r="L1098">
            <v>-4.7200000000000002E-17</v>
          </cell>
          <cell r="M1098">
            <v>0.29179860000000002</v>
          </cell>
          <cell r="N1098">
            <v>0.16379920000000001</v>
          </cell>
          <cell r="O1098">
            <v>7.2709399999999993E-2</v>
          </cell>
          <cell r="P1098">
            <v>0.40139829999999999</v>
          </cell>
          <cell r="Q1098">
            <v>0.37718010000000002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0.24770790000000001</v>
          </cell>
          <cell r="Y1098">
            <v>0</v>
          </cell>
          <cell r="Z1098">
            <v>0</v>
          </cell>
          <cell r="AA1098">
            <v>0</v>
          </cell>
          <cell r="AB1098">
            <v>2.7382000000000001E-3</v>
          </cell>
        </row>
        <row r="1099">
          <cell r="A1099">
            <v>26127140</v>
          </cell>
          <cell r="B1099" t="str">
            <v>Perch, coated, fried, made with oil</v>
          </cell>
          <cell r="I1099">
            <v>85</v>
          </cell>
          <cell r="J1099">
            <v>160.35382000000001</v>
          </cell>
          <cell r="K1099">
            <v>1.8865155294117648</v>
          </cell>
          <cell r="L1099">
            <v>0</v>
          </cell>
          <cell r="M1099">
            <v>1.3058312999999999</v>
          </cell>
          <cell r="N1099">
            <v>0.156032</v>
          </cell>
          <cell r="O1099">
            <v>7.1334999999999996E-2</v>
          </cell>
          <cell r="P1099">
            <v>0.44972839999999997</v>
          </cell>
          <cell r="Q1099">
            <v>3.1518283999999999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0.27768039999999999</v>
          </cell>
          <cell r="Y1099">
            <v>0</v>
          </cell>
          <cell r="Z1099">
            <v>0</v>
          </cell>
          <cell r="AA1099">
            <v>0</v>
          </cell>
          <cell r="AB1099">
            <v>0.17564949999999999</v>
          </cell>
        </row>
        <row r="1100">
          <cell r="A1100">
            <v>26127141</v>
          </cell>
          <cell r="B1100" t="str">
            <v>Perch, coated, fried, made with butter</v>
          </cell>
          <cell r="I1100">
            <v>85</v>
          </cell>
          <cell r="J1100">
            <v>112.97123000000001</v>
          </cell>
          <cell r="K1100">
            <v>1.3290732941176471</v>
          </cell>
          <cell r="L1100">
            <v>0</v>
          </cell>
          <cell r="M1100">
            <v>0.48046489999999997</v>
          </cell>
          <cell r="N1100">
            <v>0.16851189999999999</v>
          </cell>
          <cell r="O1100">
            <v>7.70237E-2</v>
          </cell>
          <cell r="P1100">
            <v>0.48569909999999999</v>
          </cell>
          <cell r="Q1100">
            <v>0.60360440000000004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0.29985620000000002</v>
          </cell>
          <cell r="Y1100">
            <v>0</v>
          </cell>
          <cell r="Z1100">
            <v>0</v>
          </cell>
          <cell r="AA1100">
            <v>0</v>
          </cell>
          <cell r="AB1100">
            <v>0.20893590000000001</v>
          </cell>
        </row>
        <row r="1101">
          <cell r="A1101">
            <v>26131100</v>
          </cell>
          <cell r="B1101" t="str">
            <v>Pompano, raw</v>
          </cell>
          <cell r="I1101">
            <v>110</v>
          </cell>
          <cell r="J1101">
            <v>180.4</v>
          </cell>
          <cell r="K1101">
            <v>1.6400000000000001</v>
          </cell>
          <cell r="L1101">
            <v>0</v>
          </cell>
          <cell r="M1101">
            <v>3.8599000000000001</v>
          </cell>
          <cell r="N1101">
            <v>0.62480000000000002</v>
          </cell>
          <cell r="O1101">
            <v>2.4199999999999999E-2</v>
          </cell>
          <cell r="P1101">
            <v>0</v>
          </cell>
          <cell r="Q1101">
            <v>1.2506999999999999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7.1499999999999994E-2</v>
          </cell>
          <cell r="Y1101">
            <v>0</v>
          </cell>
          <cell r="Z1101">
            <v>0</v>
          </cell>
          <cell r="AA1101">
            <v>0</v>
          </cell>
          <cell r="AB1101">
            <v>0.22265940000000001</v>
          </cell>
        </row>
        <row r="1102">
          <cell r="A1102">
            <v>26131120</v>
          </cell>
          <cell r="B1102" t="str">
            <v>Pompano, baked or broiled, fat added in cooking</v>
          </cell>
          <cell r="I1102">
            <v>85</v>
          </cell>
          <cell r="J1102">
            <v>154.78766999999999</v>
          </cell>
          <cell r="K1102">
            <v>1.8210314117647057</v>
          </cell>
          <cell r="L1102">
            <v>2.7715999999999999E-3</v>
          </cell>
          <cell r="M1102">
            <v>3.1794756</v>
          </cell>
          <cell r="N1102">
            <v>0.46066839999999998</v>
          </cell>
          <cell r="O1102">
            <v>1.8033E-2</v>
          </cell>
          <cell r="P1102">
            <v>0</v>
          </cell>
          <cell r="Q1102">
            <v>1.9257849</v>
          </cell>
          <cell r="R1102">
            <v>0</v>
          </cell>
          <cell r="S1102">
            <v>0</v>
          </cell>
          <cell r="T1102">
            <v>0.92385859999999997</v>
          </cell>
          <cell r="U1102">
            <v>0</v>
          </cell>
          <cell r="V1102">
            <v>0</v>
          </cell>
          <cell r="W1102">
            <v>0</v>
          </cell>
          <cell r="X1102">
            <v>0.26063639999999999</v>
          </cell>
          <cell r="Y1102">
            <v>0</v>
          </cell>
          <cell r="Z1102">
            <v>0</v>
          </cell>
          <cell r="AA1102">
            <v>0</v>
          </cell>
          <cell r="AB1102">
            <v>0.19981570000000001</v>
          </cell>
        </row>
        <row r="1103">
          <cell r="A1103">
            <v>26131140</v>
          </cell>
          <cell r="B1103" t="str">
            <v>Pompano, coated, fried</v>
          </cell>
          <cell r="I1103">
            <v>85</v>
          </cell>
          <cell r="J1103">
            <v>205.37491</v>
          </cell>
          <cell r="K1103">
            <v>2.4161754117647058</v>
          </cell>
          <cell r="L1103">
            <v>0</v>
          </cell>
          <cell r="M1103">
            <v>3.3558327000000001</v>
          </cell>
          <cell r="N1103">
            <v>0.35030109999999998</v>
          </cell>
          <cell r="O1103">
            <v>3.5564900000000003E-2</v>
          </cell>
          <cell r="P1103">
            <v>0.44972839999999997</v>
          </cell>
          <cell r="Q1103">
            <v>3.6260916000000001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0.27953060000000002</v>
          </cell>
          <cell r="Y1103">
            <v>0</v>
          </cell>
          <cell r="Z1103">
            <v>0</v>
          </cell>
          <cell r="AA1103">
            <v>0</v>
          </cell>
          <cell r="AB1103">
            <v>0.27051799999999998</v>
          </cell>
        </row>
        <row r="1104">
          <cell r="A1104">
            <v>26131160</v>
          </cell>
          <cell r="B1104" t="str">
            <v>Pompano, steamed or poached</v>
          </cell>
          <cell r="I1104">
            <v>85</v>
          </cell>
          <cell r="J1104">
            <v>138.48410000000001</v>
          </cell>
          <cell r="K1104">
            <v>1.629224705882353</v>
          </cell>
          <cell r="L1104">
            <v>0</v>
          </cell>
          <cell r="M1104">
            <v>2.9630531000000002</v>
          </cell>
          <cell r="N1104">
            <v>0.4796279</v>
          </cell>
          <cell r="O1104">
            <v>1.8711200000000001E-2</v>
          </cell>
          <cell r="P1104">
            <v>0</v>
          </cell>
          <cell r="Q1104">
            <v>0.96010010000000001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0.271341</v>
          </cell>
          <cell r="Y1104">
            <v>0</v>
          </cell>
          <cell r="Z1104">
            <v>0</v>
          </cell>
          <cell r="AA1104">
            <v>0</v>
          </cell>
          <cell r="AB1104">
            <v>0.19941739999999999</v>
          </cell>
        </row>
        <row r="1105">
          <cell r="A1105">
            <v>26133110</v>
          </cell>
          <cell r="B1105" t="str">
            <v>Porgy, cooked, NS as to cooking method</v>
          </cell>
          <cell r="I1105">
            <v>85</v>
          </cell>
          <cell r="J1105">
            <v>106.93653999999999</v>
          </cell>
          <cell r="K1105">
            <v>1.2580769411764705</v>
          </cell>
          <cell r="L1105">
            <v>2.7715999999999999E-3</v>
          </cell>
          <cell r="M1105">
            <v>0.85261350000000002</v>
          </cell>
          <cell r="N1105">
            <v>0.51419680000000001</v>
          </cell>
          <cell r="O1105">
            <v>3.26317E-2</v>
          </cell>
          <cell r="P1105">
            <v>0</v>
          </cell>
          <cell r="Q1105">
            <v>1.8390040999999999</v>
          </cell>
          <cell r="R1105">
            <v>0</v>
          </cell>
          <cell r="S1105">
            <v>0</v>
          </cell>
          <cell r="T1105">
            <v>0.92385859999999997</v>
          </cell>
          <cell r="U1105">
            <v>0</v>
          </cell>
          <cell r="V1105">
            <v>0</v>
          </cell>
          <cell r="W1105">
            <v>0</v>
          </cell>
          <cell r="X1105">
            <v>0.24198259999999999</v>
          </cell>
          <cell r="Y1105">
            <v>0</v>
          </cell>
          <cell r="Z1105">
            <v>0</v>
          </cell>
          <cell r="AA1105">
            <v>0</v>
          </cell>
          <cell r="AB1105">
            <v>2.41771E-2</v>
          </cell>
        </row>
        <row r="1106">
          <cell r="A1106">
            <v>26133120</v>
          </cell>
          <cell r="B1106" t="str">
            <v>Porgy, baked or broiled, fat added in cooking</v>
          </cell>
          <cell r="I1106">
            <v>85</v>
          </cell>
          <cell r="J1106">
            <v>106.93653999999999</v>
          </cell>
          <cell r="K1106">
            <v>1.2580769411764705</v>
          </cell>
          <cell r="L1106">
            <v>2.7715999999999999E-3</v>
          </cell>
          <cell r="M1106">
            <v>0.85261350000000002</v>
          </cell>
          <cell r="N1106">
            <v>0.51419680000000001</v>
          </cell>
          <cell r="O1106">
            <v>3.26317E-2</v>
          </cell>
          <cell r="P1106">
            <v>0</v>
          </cell>
          <cell r="Q1106">
            <v>1.8390040999999999</v>
          </cell>
          <cell r="R1106">
            <v>0</v>
          </cell>
          <cell r="S1106">
            <v>0</v>
          </cell>
          <cell r="T1106">
            <v>0.92385859999999997</v>
          </cell>
          <cell r="U1106">
            <v>0</v>
          </cell>
          <cell r="V1106">
            <v>0</v>
          </cell>
          <cell r="W1106">
            <v>0</v>
          </cell>
          <cell r="X1106">
            <v>0.24198259999999999</v>
          </cell>
          <cell r="Y1106">
            <v>0</v>
          </cell>
          <cell r="Z1106">
            <v>0</v>
          </cell>
          <cell r="AA1106">
            <v>0</v>
          </cell>
          <cell r="AB1106">
            <v>8.6324999999999995E-3</v>
          </cell>
        </row>
        <row r="1107">
          <cell r="A1107">
            <v>26133121</v>
          </cell>
          <cell r="B1107" t="str">
            <v>Porgy, baked or broiled, fat not added in cooking</v>
          </cell>
          <cell r="I1107">
            <v>85</v>
          </cell>
          <cell r="J1107">
            <v>87.880734000000004</v>
          </cell>
          <cell r="K1107">
            <v>1.0338909882352942</v>
          </cell>
          <cell r="L1107">
            <v>2.8533999999999999E-3</v>
          </cell>
          <cell r="M1107">
            <v>0.53475899999999998</v>
          </cell>
          <cell r="N1107">
            <v>0.52936879999999997</v>
          </cell>
          <cell r="O1107">
            <v>3.3588300000000001E-2</v>
          </cell>
          <cell r="P1107">
            <v>0</v>
          </cell>
          <cell r="Q1107">
            <v>0.86021530000000002</v>
          </cell>
          <cell r="R1107">
            <v>0</v>
          </cell>
          <cell r="S1107">
            <v>0</v>
          </cell>
          <cell r="T1107">
            <v>0.95111820000000002</v>
          </cell>
          <cell r="U1107">
            <v>0</v>
          </cell>
          <cell r="V1107">
            <v>0</v>
          </cell>
          <cell r="W1107">
            <v>0</v>
          </cell>
          <cell r="X1107">
            <v>0.2491101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</row>
        <row r="1108">
          <cell r="A1108">
            <v>26133130</v>
          </cell>
          <cell r="B1108" t="str">
            <v>Porgy, coated, baked or broiled, fat added in cooking</v>
          </cell>
          <cell r="I1108">
            <v>85</v>
          </cell>
          <cell r="J1108">
            <v>142.36260999999999</v>
          </cell>
          <cell r="K1108">
            <v>1.6748542352941176</v>
          </cell>
          <cell r="L1108">
            <v>-4.7200000000000002E-17</v>
          </cell>
          <cell r="M1108">
            <v>1.0758494000000001</v>
          </cell>
          <cell r="N1108">
            <v>0.39250879999999999</v>
          </cell>
          <cell r="O1108">
            <v>4.4752500000000001E-2</v>
          </cell>
          <cell r="P1108">
            <v>0.38383479999999998</v>
          </cell>
          <cell r="Q1108">
            <v>2.3031242999999999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0.22451009999999999</v>
          </cell>
          <cell r="Y1108">
            <v>0</v>
          </cell>
          <cell r="Z1108">
            <v>0</v>
          </cell>
          <cell r="AA1108">
            <v>0</v>
          </cell>
          <cell r="AB1108">
            <v>1.5797499999999999E-2</v>
          </cell>
        </row>
        <row r="1109">
          <cell r="A1109">
            <v>26133140</v>
          </cell>
          <cell r="B1109" t="str">
            <v>Porgy, coated, fried</v>
          </cell>
          <cell r="I1109">
            <v>85</v>
          </cell>
          <cell r="J1109">
            <v>168.988</v>
          </cell>
          <cell r="K1109">
            <v>1.9880941176470588</v>
          </cell>
          <cell r="L1109">
            <v>0</v>
          </cell>
          <cell r="M1109">
            <v>1.5864422</v>
          </cell>
          <cell r="N1109">
            <v>0.39100509999999999</v>
          </cell>
          <cell r="O1109">
            <v>4.6665999999999999E-2</v>
          </cell>
          <cell r="P1109">
            <v>0.44972839999999997</v>
          </cell>
          <cell r="Q1109">
            <v>3.5601018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0.26534580000000002</v>
          </cell>
          <cell r="Y1109">
            <v>0</v>
          </cell>
          <cell r="Z1109">
            <v>0</v>
          </cell>
          <cell r="AA1109">
            <v>0</v>
          </cell>
          <cell r="AB1109">
            <v>0.23546549999999999</v>
          </cell>
        </row>
        <row r="1110">
          <cell r="A1110">
            <v>26133160</v>
          </cell>
          <cell r="B1110" t="str">
            <v>Porgy, steamed or poached</v>
          </cell>
          <cell r="I1110">
            <v>85</v>
          </cell>
          <cell r="J1110">
            <v>88.663601</v>
          </cell>
          <cell r="K1110">
            <v>1.0431011882352941</v>
          </cell>
          <cell r="L1110">
            <v>0</v>
          </cell>
          <cell r="M1110">
            <v>0.54042579999999996</v>
          </cell>
          <cell r="N1110">
            <v>0.53535929999999998</v>
          </cell>
          <cell r="O1110">
            <v>3.3910599999999999E-2</v>
          </cell>
          <cell r="P1110">
            <v>0</v>
          </cell>
          <cell r="Q1110">
            <v>0.86974770000000001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0.25191940000000002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</row>
        <row r="1111">
          <cell r="A1111">
            <v>26137100</v>
          </cell>
          <cell r="B1111" t="str">
            <v>Salmon, raw</v>
          </cell>
          <cell r="I1111">
            <v>110</v>
          </cell>
          <cell r="J1111">
            <v>139.69999999999999</v>
          </cell>
          <cell r="K1111">
            <v>1.2699999999999998</v>
          </cell>
          <cell r="L1111">
            <v>0</v>
          </cell>
          <cell r="M1111">
            <v>0.89100000000000001</v>
          </cell>
          <cell r="N1111">
            <v>0.5665</v>
          </cell>
          <cell r="O1111">
            <v>7.7000000000000002E-3</v>
          </cell>
          <cell r="P1111">
            <v>0</v>
          </cell>
          <cell r="Q1111">
            <v>0.8921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8.2500000000000004E-2</v>
          </cell>
          <cell r="Y1111">
            <v>0</v>
          </cell>
          <cell r="Z1111">
            <v>0</v>
          </cell>
          <cell r="AA1111">
            <v>0</v>
          </cell>
          <cell r="AB1111">
            <v>3.7400000000000003E-2</v>
          </cell>
        </row>
        <row r="1112">
          <cell r="A1112">
            <v>26137110</v>
          </cell>
          <cell r="B1112" t="str">
            <v>Salmon, cooked, NS as to cooking method</v>
          </cell>
          <cell r="I1112">
            <v>85</v>
          </cell>
          <cell r="J1112">
            <v>124.77934</v>
          </cell>
          <cell r="K1112">
            <v>1.4679922352941177</v>
          </cell>
          <cell r="L1112">
            <v>2.7715999999999999E-3</v>
          </cell>
          <cell r="M1112">
            <v>0.99048959999999997</v>
          </cell>
          <cell r="N1112">
            <v>0.41768349999999999</v>
          </cell>
          <cell r="O1112">
            <v>5.8675000000000003E-3</v>
          </cell>
          <cell r="P1112">
            <v>0</v>
          </cell>
          <cell r="Q1112">
            <v>1.6613872000000001</v>
          </cell>
          <cell r="R1112">
            <v>0</v>
          </cell>
          <cell r="S1112">
            <v>0</v>
          </cell>
          <cell r="T1112">
            <v>0.92385859999999997</v>
          </cell>
          <cell r="U1112">
            <v>0</v>
          </cell>
          <cell r="V1112">
            <v>0</v>
          </cell>
          <cell r="W1112">
            <v>0</v>
          </cell>
          <cell r="X1112">
            <v>0.26874680000000001</v>
          </cell>
          <cell r="Y1112">
            <v>0</v>
          </cell>
          <cell r="Z1112">
            <v>0</v>
          </cell>
          <cell r="AA1112">
            <v>0</v>
          </cell>
          <cell r="AB1112">
            <v>5.8846500000000003E-2</v>
          </cell>
        </row>
        <row r="1113">
          <cell r="A1113">
            <v>26137120</v>
          </cell>
          <cell r="B1113" t="str">
            <v>Salmon, baked or broiled, made with oil</v>
          </cell>
          <cell r="I1113">
            <v>85</v>
          </cell>
          <cell r="J1113">
            <v>124.77934</v>
          </cell>
          <cell r="K1113">
            <v>1.4679922352941177</v>
          </cell>
          <cell r="L1113">
            <v>2.7715999999999999E-3</v>
          </cell>
          <cell r="M1113">
            <v>0.99048959999999997</v>
          </cell>
          <cell r="N1113">
            <v>0.41768349999999999</v>
          </cell>
          <cell r="O1113">
            <v>5.8675000000000003E-3</v>
          </cell>
          <cell r="P1113">
            <v>0</v>
          </cell>
          <cell r="Q1113">
            <v>1.6613872000000001</v>
          </cell>
          <cell r="R1113">
            <v>0</v>
          </cell>
          <cell r="S1113">
            <v>0</v>
          </cell>
          <cell r="T1113">
            <v>0.92385859999999997</v>
          </cell>
          <cell r="U1113">
            <v>0</v>
          </cell>
          <cell r="V1113">
            <v>0</v>
          </cell>
          <cell r="W1113">
            <v>0</v>
          </cell>
          <cell r="X1113">
            <v>0.26874680000000001</v>
          </cell>
          <cell r="Y1113">
            <v>0</v>
          </cell>
          <cell r="Z1113">
            <v>0</v>
          </cell>
          <cell r="AA1113">
            <v>0</v>
          </cell>
          <cell r="AB1113">
            <v>0.13344439999999999</v>
          </cell>
        </row>
        <row r="1114">
          <cell r="A1114">
            <v>26137121</v>
          </cell>
          <cell r="B1114" t="str">
            <v>Salmon, baked or broiled, made with butter</v>
          </cell>
          <cell r="I1114">
            <v>85</v>
          </cell>
          <cell r="J1114">
            <v>121.25015999999999</v>
          </cell>
          <cell r="K1114">
            <v>1.4264724705882352</v>
          </cell>
          <cell r="L1114">
            <v>2.7683E-3</v>
          </cell>
          <cell r="M1114">
            <v>1.9580991999999999</v>
          </cell>
          <cell r="N1114">
            <v>0.41718939999999999</v>
          </cell>
          <cell r="O1114">
            <v>6.4625999999999998E-3</v>
          </cell>
          <cell r="P1114">
            <v>0</v>
          </cell>
          <cell r="Q1114">
            <v>0.73426979999999997</v>
          </cell>
          <cell r="R1114">
            <v>0</v>
          </cell>
          <cell r="S1114">
            <v>0</v>
          </cell>
          <cell r="T1114">
            <v>0.92276579999999997</v>
          </cell>
          <cell r="U1114">
            <v>0</v>
          </cell>
          <cell r="V1114">
            <v>0</v>
          </cell>
          <cell r="W1114">
            <v>0</v>
          </cell>
          <cell r="X1114">
            <v>0.28470909999999999</v>
          </cell>
          <cell r="Y1114">
            <v>0</v>
          </cell>
          <cell r="Z1114">
            <v>0</v>
          </cell>
          <cell r="AA1114">
            <v>0</v>
          </cell>
          <cell r="AB1114">
            <v>0.1106009</v>
          </cell>
        </row>
        <row r="1115">
          <cell r="A1115">
            <v>26137122</v>
          </cell>
          <cell r="B1115" t="str">
            <v>Salmon, baked or broiled, made with margarine</v>
          </cell>
          <cell r="I1115">
            <v>85</v>
          </cell>
          <cell r="J1115">
            <v>116.67628999999999</v>
          </cell>
          <cell r="K1115">
            <v>1.3726622352941176</v>
          </cell>
          <cell r="L1115">
            <v>2.7675999999999998E-3</v>
          </cell>
          <cell r="M1115">
            <v>0.96521210000000002</v>
          </cell>
          <cell r="N1115">
            <v>0.4170799</v>
          </cell>
          <cell r="O1115">
            <v>6.3895999999999996E-3</v>
          </cell>
          <cell r="P1115">
            <v>0</v>
          </cell>
          <cell r="Q1115">
            <v>1.3336034000000001</v>
          </cell>
          <cell r="R1115">
            <v>0</v>
          </cell>
          <cell r="S1115">
            <v>0</v>
          </cell>
          <cell r="T1115">
            <v>0.92252350000000005</v>
          </cell>
          <cell r="U1115">
            <v>0</v>
          </cell>
          <cell r="V1115">
            <v>0</v>
          </cell>
          <cell r="W1115">
            <v>0</v>
          </cell>
          <cell r="X1115">
            <v>0.28558289999999997</v>
          </cell>
          <cell r="Y1115">
            <v>0</v>
          </cell>
          <cell r="Z1115">
            <v>0</v>
          </cell>
          <cell r="AA1115">
            <v>0</v>
          </cell>
          <cell r="AB1115">
            <v>0.1211675</v>
          </cell>
        </row>
        <row r="1116">
          <cell r="A1116">
            <v>26137123</v>
          </cell>
          <cell r="B1116" t="str">
            <v>Salmon, baked or broiled, made without fat</v>
          </cell>
          <cell r="I1116">
            <v>85</v>
          </cell>
          <cell r="J1116">
            <v>106.25</v>
          </cell>
          <cell r="K1116">
            <v>1.25</v>
          </cell>
          <cell r="L1116">
            <v>2.8533999999999999E-3</v>
          </cell>
          <cell r="M1116">
            <v>0.67670339999999995</v>
          </cell>
          <cell r="N1116">
            <v>0.4300078</v>
          </cell>
          <cell r="O1116">
            <v>6.0343999999999997E-3</v>
          </cell>
          <cell r="P1116">
            <v>0</v>
          </cell>
          <cell r="Q1116">
            <v>0.6773576</v>
          </cell>
          <cell r="R1116">
            <v>0</v>
          </cell>
          <cell r="S1116">
            <v>0</v>
          </cell>
          <cell r="T1116">
            <v>0.95111820000000002</v>
          </cell>
          <cell r="U1116">
            <v>0</v>
          </cell>
          <cell r="V1116">
            <v>0</v>
          </cell>
          <cell r="W1116">
            <v>0</v>
          </cell>
          <cell r="X1116">
            <v>0.27666400000000002</v>
          </cell>
          <cell r="Y1116">
            <v>0</v>
          </cell>
          <cell r="Z1116">
            <v>0</v>
          </cell>
          <cell r="AA1116">
            <v>0</v>
          </cell>
          <cell r="AB1116">
            <v>2.8388900000000002E-2</v>
          </cell>
        </row>
        <row r="1117">
          <cell r="A1117">
            <v>26137124</v>
          </cell>
          <cell r="B1117" t="str">
            <v>Salmon, baked or broiled, made with cooking spray</v>
          </cell>
          <cell r="I1117">
            <v>85</v>
          </cell>
          <cell r="J1117">
            <v>108.45143</v>
          </cell>
          <cell r="K1117">
            <v>1.2758991764705883</v>
          </cell>
          <cell r="L1117">
            <v>2.8422999999999999E-3</v>
          </cell>
          <cell r="M1117">
            <v>0.69066070000000002</v>
          </cell>
          <cell r="N1117">
            <v>0.4283381</v>
          </cell>
          <cell r="O1117">
            <v>6.0108999999999996E-3</v>
          </cell>
          <cell r="P1117">
            <v>0</v>
          </cell>
          <cell r="Q1117">
            <v>0.74781690000000001</v>
          </cell>
          <cell r="R1117">
            <v>0</v>
          </cell>
          <cell r="S1117">
            <v>0</v>
          </cell>
          <cell r="T1117">
            <v>0.94742510000000002</v>
          </cell>
          <cell r="U1117">
            <v>0</v>
          </cell>
          <cell r="V1117">
            <v>0</v>
          </cell>
          <cell r="W1117">
            <v>0</v>
          </cell>
          <cell r="X1117">
            <v>0.27578439999999999</v>
          </cell>
          <cell r="Y1117">
            <v>0</v>
          </cell>
          <cell r="Z1117">
            <v>0</v>
          </cell>
          <cell r="AA1117">
            <v>0</v>
          </cell>
          <cell r="AB1117">
            <v>2.8278600000000001E-2</v>
          </cell>
        </row>
        <row r="1118">
          <cell r="A1118">
            <v>26137130</v>
          </cell>
          <cell r="B1118" t="str">
            <v>Salmon, coated, baked or broiled, made with oil</v>
          </cell>
          <cell r="I1118">
            <v>85</v>
          </cell>
          <cell r="J1118">
            <v>155.98277999999999</v>
          </cell>
          <cell r="K1118">
            <v>1.8350915294117647</v>
          </cell>
          <cell r="L1118">
            <v>-4.7200000000000002E-17</v>
          </cell>
          <cell r="M1118">
            <v>1.1810962</v>
          </cell>
          <cell r="N1118">
            <v>0.31883600000000001</v>
          </cell>
          <cell r="O1118">
            <v>2.4322199999999999E-2</v>
          </cell>
          <cell r="P1118">
            <v>0.38383479999999998</v>
          </cell>
          <cell r="Q1118">
            <v>2.1675415999999998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0.2449403</v>
          </cell>
          <cell r="Y1118">
            <v>0</v>
          </cell>
          <cell r="Z1118">
            <v>0</v>
          </cell>
          <cell r="AA1118">
            <v>0</v>
          </cell>
          <cell r="AB1118">
            <v>8.0670400000000003E-2</v>
          </cell>
        </row>
        <row r="1119">
          <cell r="A1119">
            <v>26137131</v>
          </cell>
          <cell r="B1119" t="str">
            <v>Salmon, coated, baked or broiled, made with butter</v>
          </cell>
          <cell r="I1119">
            <v>85</v>
          </cell>
          <cell r="J1119">
            <v>150.54114000000001</v>
          </cell>
          <cell r="K1119">
            <v>1.7710722352941177</v>
          </cell>
          <cell r="L1119">
            <v>0</v>
          </cell>
          <cell r="M1119">
            <v>2.6570037000000002</v>
          </cell>
          <cell r="N1119">
            <v>0.31826110000000002</v>
          </cell>
          <cell r="O1119">
            <v>2.5196799999999998E-2</v>
          </cell>
          <cell r="P1119">
            <v>0.3831427</v>
          </cell>
          <cell r="Q1119">
            <v>0.75208830000000004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0.2693372</v>
          </cell>
          <cell r="Y1119">
            <v>0</v>
          </cell>
          <cell r="Z1119">
            <v>0</v>
          </cell>
          <cell r="AA1119">
            <v>0</v>
          </cell>
          <cell r="AB1119">
            <v>0.21953490000000001</v>
          </cell>
        </row>
        <row r="1120">
          <cell r="A1120">
            <v>26137133</v>
          </cell>
          <cell r="B1120" t="str">
            <v>Salmon, coated, baked or broiled, made without fat</v>
          </cell>
          <cell r="I1120">
            <v>85</v>
          </cell>
          <cell r="J1120">
            <v>128.67553000000001</v>
          </cell>
          <cell r="K1120">
            <v>1.5138297647058825</v>
          </cell>
          <cell r="L1120">
            <v>-4.7200000000000002E-17</v>
          </cell>
          <cell r="M1120">
            <v>0.70320240000000001</v>
          </cell>
          <cell r="N1120">
            <v>0.33342519999999998</v>
          </cell>
          <cell r="O1120">
            <v>2.5425400000000001E-2</v>
          </cell>
          <cell r="P1120">
            <v>0.40139829999999999</v>
          </cell>
          <cell r="Q1120">
            <v>0.66468179999999999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0.25612879999999999</v>
          </cell>
          <cell r="Y1120">
            <v>0</v>
          </cell>
          <cell r="Z1120">
            <v>0</v>
          </cell>
          <cell r="AA1120">
            <v>0</v>
          </cell>
          <cell r="AB1120">
            <v>7.0443199999999997E-2</v>
          </cell>
        </row>
        <row r="1121">
          <cell r="A1121">
            <v>26137140</v>
          </cell>
          <cell r="B1121" t="str">
            <v>Salmon, coated, fried, made with oil</v>
          </cell>
          <cell r="I1121">
            <v>85</v>
          </cell>
          <cell r="J1121">
            <v>182.55600000000001</v>
          </cell>
          <cell r="K1121">
            <v>2.1477176470588235</v>
          </cell>
          <cell r="L1121">
            <v>0</v>
          </cell>
          <cell r="M1121">
            <v>1.6912858</v>
          </cell>
          <cell r="N1121">
            <v>0.31761450000000002</v>
          </cell>
          <cell r="O1121">
            <v>2.6314000000000001E-2</v>
          </cell>
          <cell r="P1121">
            <v>0.44972839999999997</v>
          </cell>
          <cell r="Q1121">
            <v>3.4250384999999999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0.2856978</v>
          </cell>
          <cell r="Y1121">
            <v>0</v>
          </cell>
          <cell r="Z1121">
            <v>0</v>
          </cell>
          <cell r="AA1121">
            <v>0</v>
          </cell>
          <cell r="AB1121">
            <v>0.33961829999999998</v>
          </cell>
        </row>
        <row r="1122">
          <cell r="A1122">
            <v>26137160</v>
          </cell>
          <cell r="B1122" t="str">
            <v>Salmon, steamed or poached</v>
          </cell>
          <cell r="I1122">
            <v>85</v>
          </cell>
          <cell r="J1122">
            <v>107.24074</v>
          </cell>
          <cell r="K1122">
            <v>1.2616557647058824</v>
          </cell>
          <cell r="L1122">
            <v>0</v>
          </cell>
          <cell r="M1122">
            <v>0.68397629999999998</v>
          </cell>
          <cell r="N1122">
            <v>0.43487389999999998</v>
          </cell>
          <cell r="O1122">
            <v>6.0448999999999998E-3</v>
          </cell>
          <cell r="P1122">
            <v>0</v>
          </cell>
          <cell r="Q1122">
            <v>0.68482080000000001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0.27978520000000001</v>
          </cell>
          <cell r="Y1122">
            <v>0</v>
          </cell>
          <cell r="Z1122">
            <v>0</v>
          </cell>
          <cell r="AA1122">
            <v>0</v>
          </cell>
          <cell r="AB1122">
            <v>2.8710099999999999E-2</v>
          </cell>
        </row>
        <row r="1123">
          <cell r="A1123">
            <v>26137170</v>
          </cell>
          <cell r="B1123" t="str">
            <v>Salmon, dried</v>
          </cell>
          <cell r="I1123">
            <v>30</v>
          </cell>
          <cell r="J1123">
            <v>38.1</v>
          </cell>
          <cell r="K1123">
            <v>1.27</v>
          </cell>
          <cell r="L1123">
            <v>0</v>
          </cell>
          <cell r="M1123">
            <v>0.24299999999999999</v>
          </cell>
          <cell r="N1123">
            <v>0.1545</v>
          </cell>
          <cell r="O1123">
            <v>2.0999999999999999E-3</v>
          </cell>
          <cell r="P1123">
            <v>0</v>
          </cell>
          <cell r="Q1123">
            <v>0.24329999999999999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2.2499999999999999E-2</v>
          </cell>
          <cell r="Y1123">
            <v>0</v>
          </cell>
          <cell r="Z1123">
            <v>0</v>
          </cell>
          <cell r="AA1123">
            <v>0</v>
          </cell>
          <cell r="AB1123">
            <v>1.0200000000000001E-2</v>
          </cell>
        </row>
        <row r="1124">
          <cell r="A1124">
            <v>26137180</v>
          </cell>
          <cell r="B1124" t="str">
            <v>Salmon, canned</v>
          </cell>
          <cell r="I1124">
            <v>85</v>
          </cell>
          <cell r="J1124">
            <v>116.62</v>
          </cell>
          <cell r="K1124">
            <v>1.3720000000000001</v>
          </cell>
          <cell r="L1124">
            <v>0</v>
          </cell>
          <cell r="M1124">
            <v>0.85748000000000002</v>
          </cell>
          <cell r="N1124">
            <v>0.89772750000000001</v>
          </cell>
          <cell r="O1124">
            <v>0.187085</v>
          </cell>
          <cell r="P1124">
            <v>0</v>
          </cell>
          <cell r="Q1124">
            <v>1.2728325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0.34288999999999997</v>
          </cell>
          <cell r="Y1124">
            <v>0</v>
          </cell>
          <cell r="Z1124">
            <v>0</v>
          </cell>
          <cell r="AA1124">
            <v>0</v>
          </cell>
          <cell r="AB1124">
            <v>2.3375E-2</v>
          </cell>
        </row>
        <row r="1125">
          <cell r="A1125">
            <v>26137190</v>
          </cell>
          <cell r="B1125" t="str">
            <v>Salmon, smoked</v>
          </cell>
          <cell r="I1125">
            <v>55</v>
          </cell>
          <cell r="J1125">
            <v>64.349999999999994</v>
          </cell>
          <cell r="K1125">
            <v>1.17</v>
          </cell>
          <cell r="L1125">
            <v>0</v>
          </cell>
          <cell r="M1125">
            <v>0.51095000000000002</v>
          </cell>
          <cell r="N1125">
            <v>0.2475</v>
          </cell>
          <cell r="O1125">
            <v>6.0499999999999998E-3</v>
          </cell>
          <cell r="P1125">
            <v>0</v>
          </cell>
          <cell r="Q1125">
            <v>0.54725000000000001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0.36959999999999998</v>
          </cell>
          <cell r="Y1125">
            <v>0</v>
          </cell>
          <cell r="Z1125">
            <v>0</v>
          </cell>
          <cell r="AA1125">
            <v>0</v>
          </cell>
          <cell r="AB1125">
            <v>3.4446299999999999E-2</v>
          </cell>
        </row>
        <row r="1126">
          <cell r="A1126">
            <v>26139110</v>
          </cell>
          <cell r="B1126" t="str">
            <v>Sardines, cooked</v>
          </cell>
          <cell r="I1126">
            <v>85</v>
          </cell>
          <cell r="J1126">
            <v>176.8</v>
          </cell>
          <cell r="K1126">
            <v>2.08</v>
          </cell>
          <cell r="L1126">
            <v>0</v>
          </cell>
          <cell r="M1126">
            <v>1.2988</v>
          </cell>
          <cell r="N1126">
            <v>0.8347</v>
          </cell>
          <cell r="O1126">
            <v>0.32469999999999999</v>
          </cell>
          <cell r="P1126">
            <v>0</v>
          </cell>
          <cell r="Q1126">
            <v>4.3757999999999999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0.26095000000000002</v>
          </cell>
          <cell r="Y1126">
            <v>0</v>
          </cell>
          <cell r="Z1126">
            <v>0</v>
          </cell>
          <cell r="AA1126">
            <v>0</v>
          </cell>
          <cell r="AB1126">
            <v>0.20761350000000001</v>
          </cell>
        </row>
        <row r="1127">
          <cell r="A1127">
            <v>26139180</v>
          </cell>
          <cell r="B1127" t="str">
            <v>Sardines, canned in oil</v>
          </cell>
          <cell r="I1127">
            <v>85</v>
          </cell>
          <cell r="J1127">
            <v>176.8</v>
          </cell>
          <cell r="K1127">
            <v>2.08</v>
          </cell>
          <cell r="L1127">
            <v>0</v>
          </cell>
          <cell r="M1127">
            <v>1.2988</v>
          </cell>
          <cell r="N1127">
            <v>0.8347</v>
          </cell>
          <cell r="O1127">
            <v>0.32469999999999999</v>
          </cell>
          <cell r="P1127">
            <v>0</v>
          </cell>
          <cell r="Q1127">
            <v>4.3757999999999999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0.26095000000000002</v>
          </cell>
          <cell r="Y1127">
            <v>0</v>
          </cell>
          <cell r="Z1127">
            <v>0</v>
          </cell>
          <cell r="AA1127">
            <v>0</v>
          </cell>
          <cell r="AB1127">
            <v>0.20285449999999999</v>
          </cell>
        </row>
        <row r="1128">
          <cell r="A1128">
            <v>26139190</v>
          </cell>
          <cell r="B1128" t="str">
            <v>Sardines, skinless, boneless, packed in water</v>
          </cell>
          <cell r="I1128">
            <v>55</v>
          </cell>
          <cell r="J1128">
            <v>101.75</v>
          </cell>
          <cell r="K1128">
            <v>1.85</v>
          </cell>
          <cell r="L1128">
            <v>5.5E-2</v>
          </cell>
          <cell r="M1128">
            <v>1.4762</v>
          </cell>
          <cell r="N1128">
            <v>0.76780000000000004</v>
          </cell>
          <cell r="O1128">
            <v>0.13200000000000001</v>
          </cell>
          <cell r="P1128">
            <v>0</v>
          </cell>
          <cell r="Q1128">
            <v>1.1610499999999999</v>
          </cell>
          <cell r="R1128">
            <v>0</v>
          </cell>
          <cell r="S1128">
            <v>0</v>
          </cell>
          <cell r="T1128">
            <v>0</v>
          </cell>
          <cell r="U1128">
            <v>12.1275</v>
          </cell>
          <cell r="V1128">
            <v>0</v>
          </cell>
          <cell r="W1128">
            <v>0</v>
          </cell>
          <cell r="X1128">
            <v>0.22770000000000001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</row>
        <row r="1129">
          <cell r="A1129">
            <v>26141120</v>
          </cell>
          <cell r="B1129" t="str">
            <v>Sea bass, baked or broiled, fat added in cooking</v>
          </cell>
          <cell r="I1129">
            <v>85</v>
          </cell>
          <cell r="J1129">
            <v>100.44826</v>
          </cell>
          <cell r="K1129">
            <v>1.1817442352941177</v>
          </cell>
          <cell r="L1129">
            <v>2.7715999999999999E-3</v>
          </cell>
          <cell r="M1129">
            <v>0.74798980000000004</v>
          </cell>
          <cell r="N1129">
            <v>0.48256640000000001</v>
          </cell>
          <cell r="O1129">
            <v>8.3006E-3</v>
          </cell>
          <cell r="P1129">
            <v>0</v>
          </cell>
          <cell r="Q1129">
            <v>1.6062368</v>
          </cell>
          <cell r="R1129">
            <v>0</v>
          </cell>
          <cell r="S1129">
            <v>0</v>
          </cell>
          <cell r="T1129">
            <v>0.92385859999999997</v>
          </cell>
          <cell r="U1129">
            <v>0</v>
          </cell>
          <cell r="V1129">
            <v>0</v>
          </cell>
          <cell r="W1129">
            <v>0</v>
          </cell>
          <cell r="X1129">
            <v>0.26306960000000001</v>
          </cell>
          <cell r="Y1129">
            <v>0</v>
          </cell>
          <cell r="Z1129">
            <v>0</v>
          </cell>
          <cell r="AA1129">
            <v>0</v>
          </cell>
          <cell r="AB1129">
            <v>0.39995710000000001</v>
          </cell>
        </row>
        <row r="1130">
          <cell r="A1130">
            <v>26141121</v>
          </cell>
          <cell r="B1130" t="str">
            <v>Sea bass, baked or broiled, fat not added in cooking</v>
          </cell>
          <cell r="I1130">
            <v>85</v>
          </cell>
          <cell r="J1130">
            <v>81.201002000000003</v>
          </cell>
          <cell r="K1130">
            <v>0.95530590588235298</v>
          </cell>
          <cell r="L1130">
            <v>2.8533999999999999E-3</v>
          </cell>
          <cell r="M1130">
            <v>0.42704839999999999</v>
          </cell>
          <cell r="N1130">
            <v>0.4968051</v>
          </cell>
          <cell r="O1130">
            <v>8.5392999999999997E-3</v>
          </cell>
          <cell r="P1130">
            <v>0</v>
          </cell>
          <cell r="Q1130">
            <v>0.62057989999999996</v>
          </cell>
          <cell r="R1130">
            <v>0</v>
          </cell>
          <cell r="S1130">
            <v>0</v>
          </cell>
          <cell r="T1130">
            <v>0.95111820000000002</v>
          </cell>
          <cell r="U1130">
            <v>0</v>
          </cell>
          <cell r="V1130">
            <v>0</v>
          </cell>
          <cell r="W1130">
            <v>0</v>
          </cell>
          <cell r="X1130">
            <v>0.27081919999999998</v>
          </cell>
          <cell r="Y1130">
            <v>0</v>
          </cell>
          <cell r="Z1130">
            <v>0</v>
          </cell>
          <cell r="AA1130">
            <v>0</v>
          </cell>
          <cell r="AB1130">
            <v>0.37212879999999998</v>
          </cell>
        </row>
        <row r="1131">
          <cell r="A1131">
            <v>26141140</v>
          </cell>
          <cell r="B1131" t="str">
            <v>Sea bass, coated, fried</v>
          </cell>
          <cell r="I1131">
            <v>85</v>
          </cell>
          <cell r="J1131">
            <v>164.05418</v>
          </cell>
          <cell r="K1131">
            <v>1.9300491764705883</v>
          </cell>
          <cell r="L1131">
            <v>0</v>
          </cell>
          <cell r="M1131">
            <v>1.5068843000000001</v>
          </cell>
          <cell r="N1131">
            <v>0.36695270000000002</v>
          </cell>
          <cell r="O1131">
            <v>2.8164100000000001E-2</v>
          </cell>
          <cell r="P1131">
            <v>0.44972839999999997</v>
          </cell>
          <cell r="Q1131">
            <v>3.3831011000000002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0.28138079999999999</v>
          </cell>
          <cell r="Y1131">
            <v>0</v>
          </cell>
          <cell r="Z1131">
            <v>0</v>
          </cell>
          <cell r="AA1131">
            <v>0</v>
          </cell>
          <cell r="AB1131">
            <v>0.41282760000000002</v>
          </cell>
        </row>
        <row r="1132">
          <cell r="A1132">
            <v>26141160</v>
          </cell>
          <cell r="B1132" t="str">
            <v>Sea bass, steamed or poached</v>
          </cell>
          <cell r="I1132">
            <v>85</v>
          </cell>
          <cell r="J1132">
            <v>81.908278999999993</v>
          </cell>
          <cell r="K1132">
            <v>0.96362681176470577</v>
          </cell>
          <cell r="L1132">
            <v>0</v>
          </cell>
          <cell r="M1132">
            <v>0.4314962</v>
          </cell>
          <cell r="N1132">
            <v>0.50242710000000002</v>
          </cell>
          <cell r="O1132">
            <v>8.5781999999999994E-3</v>
          </cell>
          <cell r="P1132">
            <v>0</v>
          </cell>
          <cell r="Q1132">
            <v>0.62740050000000003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0.27387420000000001</v>
          </cell>
          <cell r="Y1132">
            <v>0</v>
          </cell>
          <cell r="Z1132">
            <v>0</v>
          </cell>
          <cell r="AA1132">
            <v>0</v>
          </cell>
          <cell r="AB1132">
            <v>0.38593539999999998</v>
          </cell>
        </row>
        <row r="1133">
          <cell r="A1133">
            <v>26143160</v>
          </cell>
          <cell r="B1133" t="str">
            <v>Shark, steamed or poached</v>
          </cell>
          <cell r="I1133">
            <v>85</v>
          </cell>
          <cell r="J1133">
            <v>109.77397999999999</v>
          </cell>
          <cell r="K1133">
            <v>1.291458588235294</v>
          </cell>
          <cell r="L1133">
            <v>0</v>
          </cell>
          <cell r="M1133">
            <v>0.78108409999999995</v>
          </cell>
          <cell r="N1133">
            <v>0.71184199999999997</v>
          </cell>
          <cell r="O1133">
            <v>2.88442E-2</v>
          </cell>
          <cell r="P1133">
            <v>0</v>
          </cell>
          <cell r="Q1133">
            <v>1.0090762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0.28316279999999999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</row>
        <row r="1134">
          <cell r="A1134">
            <v>26149120</v>
          </cell>
          <cell r="B1134" t="str">
            <v>Swordfish, baked or broiled, fat added in cooking</v>
          </cell>
          <cell r="I1134">
            <v>85</v>
          </cell>
          <cell r="J1134">
            <v>138.56694999999999</v>
          </cell>
          <cell r="K1134">
            <v>1.6301994117647058</v>
          </cell>
          <cell r="L1134">
            <v>2.7715999999999999E-3</v>
          </cell>
          <cell r="M1134">
            <v>1.63283</v>
          </cell>
          <cell r="N1134">
            <v>0.61152110000000004</v>
          </cell>
          <cell r="O1134">
            <v>4.2453999999999999E-3</v>
          </cell>
          <cell r="P1134">
            <v>0</v>
          </cell>
          <cell r="Q1134">
            <v>1.9338953000000001</v>
          </cell>
          <cell r="R1134">
            <v>0</v>
          </cell>
          <cell r="S1134">
            <v>0</v>
          </cell>
          <cell r="T1134">
            <v>0.92385859999999997</v>
          </cell>
          <cell r="U1134">
            <v>0</v>
          </cell>
          <cell r="V1134">
            <v>0</v>
          </cell>
          <cell r="W1134">
            <v>0</v>
          </cell>
          <cell r="X1134">
            <v>0.273613</v>
          </cell>
          <cell r="Y1134">
            <v>0</v>
          </cell>
          <cell r="Z1134">
            <v>0</v>
          </cell>
          <cell r="AA1134">
            <v>0</v>
          </cell>
          <cell r="AB1134">
            <v>9.0976199999999993E-2</v>
          </cell>
        </row>
        <row r="1135">
          <cell r="A1135">
            <v>26149121</v>
          </cell>
          <cell r="B1135" t="str">
            <v>Swordfish, baked or broiled, fat not added in cooking</v>
          </cell>
          <cell r="I1135">
            <v>85</v>
          </cell>
          <cell r="J1135">
            <v>120.44443</v>
          </cell>
          <cell r="K1135">
            <v>1.4169932941176471</v>
          </cell>
          <cell r="L1135">
            <v>2.8533999999999999E-3</v>
          </cell>
          <cell r="M1135">
            <v>1.3379969</v>
          </cell>
          <cell r="N1135">
            <v>0.62956480000000004</v>
          </cell>
          <cell r="O1135">
            <v>4.3644000000000001E-3</v>
          </cell>
          <cell r="P1135">
            <v>0</v>
          </cell>
          <cell r="Q1135">
            <v>0.95790640000000005</v>
          </cell>
          <cell r="R1135">
            <v>0</v>
          </cell>
          <cell r="S1135">
            <v>0</v>
          </cell>
          <cell r="T1135">
            <v>0.95111820000000002</v>
          </cell>
          <cell r="U1135">
            <v>0</v>
          </cell>
          <cell r="V1135">
            <v>0</v>
          </cell>
          <cell r="W1135">
            <v>0</v>
          </cell>
          <cell r="X1135">
            <v>0.28167379999999997</v>
          </cell>
          <cell r="Y1135">
            <v>0</v>
          </cell>
          <cell r="Z1135">
            <v>0</v>
          </cell>
          <cell r="AA1135">
            <v>0</v>
          </cell>
          <cell r="AB1135">
            <v>3.9243399999999998E-2</v>
          </cell>
        </row>
        <row r="1136">
          <cell r="A1136">
            <v>26149160</v>
          </cell>
          <cell r="B1136" t="str">
            <v>Swordfish, steamed or poached</v>
          </cell>
          <cell r="I1136">
            <v>85</v>
          </cell>
          <cell r="J1136">
            <v>121.5958</v>
          </cell>
          <cell r="K1136">
            <v>1.4305388235294116</v>
          </cell>
          <cell r="L1136">
            <v>0</v>
          </cell>
          <cell r="M1136">
            <v>1.3527532</v>
          </cell>
          <cell r="N1136">
            <v>0.63668910000000001</v>
          </cell>
          <cell r="O1136">
            <v>4.3560999999999999E-3</v>
          </cell>
          <cell r="P1136">
            <v>0</v>
          </cell>
          <cell r="Q1136">
            <v>0.96854430000000002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0.28485159999999998</v>
          </cell>
          <cell r="Y1136">
            <v>0</v>
          </cell>
          <cell r="Z1136">
            <v>0</v>
          </cell>
          <cell r="AA1136">
            <v>0</v>
          </cell>
          <cell r="AB1136">
            <v>3.9687500000000001E-2</v>
          </cell>
        </row>
        <row r="1137">
          <cell r="A1137">
            <v>26151110</v>
          </cell>
          <cell r="B1137" t="str">
            <v>Trout, cooked, NS as to cooking method</v>
          </cell>
          <cell r="I1137">
            <v>85</v>
          </cell>
          <cell r="J1137">
            <v>136.13383999999999</v>
          </cell>
          <cell r="K1137">
            <v>1.6015745882352941</v>
          </cell>
          <cell r="L1137">
            <v>2.7715999999999999E-3</v>
          </cell>
          <cell r="M1137">
            <v>1.4552132</v>
          </cell>
          <cell r="N1137">
            <v>0.5944893</v>
          </cell>
          <cell r="O1137">
            <v>2.04662E-2</v>
          </cell>
          <cell r="P1137">
            <v>0</v>
          </cell>
          <cell r="Q1137">
            <v>2.2258681999999999</v>
          </cell>
          <cell r="R1137">
            <v>0</v>
          </cell>
          <cell r="S1137">
            <v>0</v>
          </cell>
          <cell r="T1137">
            <v>0.92385859999999997</v>
          </cell>
          <cell r="U1137">
            <v>0</v>
          </cell>
          <cell r="V1137">
            <v>0</v>
          </cell>
          <cell r="W1137">
            <v>0</v>
          </cell>
          <cell r="X1137">
            <v>0.2492819</v>
          </cell>
          <cell r="Y1137">
            <v>0</v>
          </cell>
          <cell r="Z1137">
            <v>0</v>
          </cell>
          <cell r="AA1137">
            <v>0</v>
          </cell>
          <cell r="AB1137">
            <v>8.1020999999999996E-2</v>
          </cell>
        </row>
        <row r="1138">
          <cell r="A1138">
            <v>26151120</v>
          </cell>
          <cell r="B1138" t="str">
            <v>Trout, baked or broiled, made with oil</v>
          </cell>
          <cell r="I1138">
            <v>85</v>
          </cell>
          <cell r="J1138">
            <v>136.13383999999999</v>
          </cell>
          <cell r="K1138">
            <v>1.6015745882352941</v>
          </cell>
          <cell r="L1138">
            <v>2.7715999999999999E-3</v>
          </cell>
          <cell r="M1138">
            <v>1.4552132</v>
          </cell>
          <cell r="N1138">
            <v>0.5944893</v>
          </cell>
          <cell r="O1138">
            <v>2.04662E-2</v>
          </cell>
          <cell r="P1138">
            <v>0</v>
          </cell>
          <cell r="Q1138">
            <v>2.2258681999999999</v>
          </cell>
          <cell r="R1138">
            <v>0</v>
          </cell>
          <cell r="S1138">
            <v>0</v>
          </cell>
          <cell r="T1138">
            <v>0.92385859999999997</v>
          </cell>
          <cell r="U1138">
            <v>0</v>
          </cell>
          <cell r="V1138">
            <v>0</v>
          </cell>
          <cell r="W1138">
            <v>0</v>
          </cell>
          <cell r="X1138">
            <v>0.2492819</v>
          </cell>
          <cell r="Y1138">
            <v>0</v>
          </cell>
          <cell r="Z1138">
            <v>0</v>
          </cell>
          <cell r="AA1138">
            <v>0</v>
          </cell>
          <cell r="AB1138">
            <v>8.9131500000000002E-2</v>
          </cell>
        </row>
        <row r="1139">
          <cell r="A1139">
            <v>26151123</v>
          </cell>
          <cell r="B1139" t="str">
            <v>Trout, baked or broiled, made without fat</v>
          </cell>
          <cell r="I1139">
            <v>85</v>
          </cell>
          <cell r="J1139">
            <v>117.93953</v>
          </cell>
          <cell r="K1139">
            <v>1.3875238823529412</v>
          </cell>
          <cell r="L1139">
            <v>2.8533999999999999E-3</v>
          </cell>
          <cell r="M1139">
            <v>1.1551392</v>
          </cell>
          <cell r="N1139">
            <v>0.61203050000000003</v>
          </cell>
          <cell r="O1139">
            <v>2.1063800000000001E-2</v>
          </cell>
          <cell r="P1139">
            <v>0</v>
          </cell>
          <cell r="Q1139">
            <v>1.2584943</v>
          </cell>
          <cell r="R1139">
            <v>0</v>
          </cell>
          <cell r="S1139">
            <v>0</v>
          </cell>
          <cell r="T1139">
            <v>0.95111820000000002</v>
          </cell>
          <cell r="U1139">
            <v>0</v>
          </cell>
          <cell r="V1139">
            <v>0</v>
          </cell>
          <cell r="W1139">
            <v>0</v>
          </cell>
          <cell r="X1139">
            <v>0.25662479999999999</v>
          </cell>
          <cell r="Y1139">
            <v>0</v>
          </cell>
          <cell r="Z1139">
            <v>0</v>
          </cell>
          <cell r="AA1139">
            <v>0</v>
          </cell>
          <cell r="AB1139">
            <v>3.9243399999999998E-2</v>
          </cell>
        </row>
        <row r="1140">
          <cell r="A1140">
            <v>26151130</v>
          </cell>
          <cell r="B1140" t="str">
            <v>Trout, coated, baked or broiled, made with oil</v>
          </cell>
          <cell r="I1140">
            <v>85</v>
          </cell>
          <cell r="J1140">
            <v>164.65017</v>
          </cell>
          <cell r="K1140">
            <v>1.9370608235294118</v>
          </cell>
          <cell r="L1140">
            <v>-4.7200000000000002E-17</v>
          </cell>
          <cell r="M1140">
            <v>1.5358400000000001</v>
          </cell>
          <cell r="N1140">
            <v>0.45379960000000003</v>
          </cell>
          <cell r="O1140">
            <v>3.5465999999999998E-2</v>
          </cell>
          <cell r="P1140">
            <v>0.38383479999999998</v>
          </cell>
          <cell r="Q1140">
            <v>2.5984345000000002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0.23008200000000001</v>
          </cell>
          <cell r="Y1140">
            <v>0</v>
          </cell>
          <cell r="Z1140">
            <v>0</v>
          </cell>
          <cell r="AA1140">
            <v>0</v>
          </cell>
          <cell r="AB1140">
            <v>4.4895200000000003E-2</v>
          </cell>
        </row>
        <row r="1141">
          <cell r="A1141">
            <v>26151133</v>
          </cell>
          <cell r="B1141" t="str">
            <v>Trout, coated, baked or broiled, made without fat</v>
          </cell>
          <cell r="I1141">
            <v>85</v>
          </cell>
          <cell r="J1141">
            <v>137.63852</v>
          </cell>
          <cell r="K1141">
            <v>1.619276705882353</v>
          </cell>
          <cell r="L1141">
            <v>-4.7200000000000002E-17</v>
          </cell>
          <cell r="M1141">
            <v>1.0674169</v>
          </cell>
          <cell r="N1141">
            <v>0.4745645</v>
          </cell>
          <cell r="O1141">
            <v>3.7100899999999999E-2</v>
          </cell>
          <cell r="P1141">
            <v>0.40139829999999999</v>
          </cell>
          <cell r="Q1141">
            <v>1.1146001000000001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0.2405862</v>
          </cell>
          <cell r="Y1141">
            <v>0</v>
          </cell>
          <cell r="Z1141">
            <v>0</v>
          </cell>
          <cell r="AA1141">
            <v>0</v>
          </cell>
          <cell r="AB1141">
            <v>7.6070799999999994E-2</v>
          </cell>
        </row>
        <row r="1142">
          <cell r="A1142">
            <v>26151140</v>
          </cell>
          <cell r="B1142" t="str">
            <v>Trout, coated, fried, made with oil</v>
          </cell>
          <cell r="I1142">
            <v>85</v>
          </cell>
          <cell r="J1142">
            <v>191.19018</v>
          </cell>
          <cell r="K1142">
            <v>2.2492962352941177</v>
          </cell>
          <cell r="L1142">
            <v>0</v>
          </cell>
          <cell r="M1142">
            <v>2.0446705000000001</v>
          </cell>
          <cell r="N1142">
            <v>0.45206109999999999</v>
          </cell>
          <cell r="O1142">
            <v>3.7414999999999997E-2</v>
          </cell>
          <cell r="P1142">
            <v>0.44972839999999997</v>
          </cell>
          <cell r="Q1142">
            <v>3.8542806999999999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0.27089639999999998</v>
          </cell>
          <cell r="Y1142">
            <v>0</v>
          </cell>
          <cell r="Z1142">
            <v>0</v>
          </cell>
          <cell r="AA1142">
            <v>0</v>
          </cell>
          <cell r="AB1142">
            <v>0.15099770000000001</v>
          </cell>
        </row>
        <row r="1143">
          <cell r="A1143">
            <v>26151143</v>
          </cell>
          <cell r="B1143" t="str">
            <v>Trout, coated, fried, made without fat</v>
          </cell>
          <cell r="I1143">
            <v>85</v>
          </cell>
          <cell r="J1143">
            <v>146.27397999999999</v>
          </cell>
          <cell r="K1143">
            <v>1.7208703529411764</v>
          </cell>
          <cell r="L1143">
            <v>0</v>
          </cell>
          <cell r="M1143">
            <v>1.2783990000000001</v>
          </cell>
          <cell r="N1143">
            <v>0.4882184</v>
          </cell>
          <cell r="O1143">
            <v>4.0390599999999999E-2</v>
          </cell>
          <cell r="P1143">
            <v>0.48569909999999999</v>
          </cell>
          <cell r="Q1143">
            <v>1.3622411999999999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0.2925296</v>
          </cell>
          <cell r="Y1143">
            <v>0</v>
          </cell>
          <cell r="Z1143">
            <v>0</v>
          </cell>
          <cell r="AA1143">
            <v>0</v>
          </cell>
          <cell r="AB1143">
            <v>0.1007859</v>
          </cell>
        </row>
        <row r="1144">
          <cell r="A1144">
            <v>26151160</v>
          </cell>
          <cell r="B1144" t="str">
            <v>Trout, steamed or poached</v>
          </cell>
          <cell r="I1144">
            <v>85</v>
          </cell>
          <cell r="J1144">
            <v>119.06255</v>
          </cell>
          <cell r="K1144">
            <v>1.4007358823529412</v>
          </cell>
          <cell r="L1144">
            <v>0</v>
          </cell>
          <cell r="M1144">
            <v>1.1678263</v>
          </cell>
          <cell r="N1144">
            <v>0.61895639999999996</v>
          </cell>
          <cell r="O1144">
            <v>2.12444E-2</v>
          </cell>
          <cell r="P1144">
            <v>0</v>
          </cell>
          <cell r="Q1144">
            <v>1.2725337999999999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0.25951920000000001</v>
          </cell>
          <cell r="Y1144">
            <v>0</v>
          </cell>
          <cell r="Z1144">
            <v>0</v>
          </cell>
          <cell r="AA1144">
            <v>0</v>
          </cell>
          <cell r="AB1144">
            <v>3.9687500000000001E-2</v>
          </cell>
        </row>
        <row r="1145">
          <cell r="A1145">
            <v>26151190</v>
          </cell>
          <cell r="B1145" t="str">
            <v>Trout, smoked</v>
          </cell>
          <cell r="I1145">
            <v>55</v>
          </cell>
          <cell r="J1145">
            <v>76.972705000000005</v>
          </cell>
          <cell r="K1145">
            <v>1.3995037272727273</v>
          </cell>
          <cell r="L1145">
            <v>0</v>
          </cell>
          <cell r="M1145">
            <v>0.75498759999999998</v>
          </cell>
          <cell r="N1145">
            <v>0.40014889999999997</v>
          </cell>
          <cell r="O1145">
            <v>1.37459E-2</v>
          </cell>
          <cell r="P1145">
            <v>0</v>
          </cell>
          <cell r="Q1145">
            <v>0.82267990000000002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0.18652779999999999</v>
          </cell>
          <cell r="Y1145">
            <v>0</v>
          </cell>
          <cell r="Z1145">
            <v>0</v>
          </cell>
          <cell r="AA1145">
            <v>0</v>
          </cell>
          <cell r="AB1145">
            <v>2.5657599999999999E-2</v>
          </cell>
        </row>
        <row r="1146">
          <cell r="A1146">
            <v>26153100</v>
          </cell>
          <cell r="B1146" t="str">
            <v>Tuna, fresh, raw</v>
          </cell>
          <cell r="I1146">
            <v>110</v>
          </cell>
          <cell r="J1146">
            <v>119.9</v>
          </cell>
          <cell r="K1146">
            <v>1.0900000000000001</v>
          </cell>
          <cell r="L1146">
            <v>0</v>
          </cell>
          <cell r="M1146">
            <v>0.18920000000000001</v>
          </cell>
          <cell r="N1146">
            <v>0.11</v>
          </cell>
          <cell r="O1146">
            <v>4.4000000000000003E-3</v>
          </cell>
          <cell r="P1146">
            <v>0</v>
          </cell>
          <cell r="Q1146">
            <v>0.16170000000000001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4.9500000000000002E-2</v>
          </cell>
          <cell r="Y1146">
            <v>0</v>
          </cell>
          <cell r="Z1146">
            <v>0</v>
          </cell>
          <cell r="AA1146">
            <v>0</v>
          </cell>
          <cell r="AB1146">
            <v>1.7600000000000001E-2</v>
          </cell>
        </row>
        <row r="1147">
          <cell r="A1147">
            <v>26153110</v>
          </cell>
          <cell r="B1147" t="str">
            <v>Tuna, fresh, cooked, NS as to cooking method</v>
          </cell>
          <cell r="I1147">
            <v>85</v>
          </cell>
          <cell r="J1147">
            <v>110.18069</v>
          </cell>
          <cell r="K1147">
            <v>1.2962434117647059</v>
          </cell>
          <cell r="L1147">
            <v>2.7715999999999999E-3</v>
          </cell>
          <cell r="M1147">
            <v>0.47304859999999999</v>
          </cell>
          <cell r="N1147">
            <v>8.1103599999999998E-2</v>
          </cell>
          <cell r="O1147">
            <v>3.4344000000000002E-3</v>
          </cell>
          <cell r="P1147">
            <v>0</v>
          </cell>
          <cell r="Q1147">
            <v>1.1228593</v>
          </cell>
          <cell r="R1147">
            <v>0</v>
          </cell>
          <cell r="S1147">
            <v>0</v>
          </cell>
          <cell r="T1147">
            <v>0.92385859999999997</v>
          </cell>
          <cell r="U1147">
            <v>0</v>
          </cell>
          <cell r="V1147">
            <v>0</v>
          </cell>
          <cell r="W1147">
            <v>0</v>
          </cell>
          <cell r="X1147">
            <v>0.24441570000000001</v>
          </cell>
          <cell r="Y1147">
            <v>0</v>
          </cell>
          <cell r="Z1147">
            <v>0</v>
          </cell>
          <cell r="AA1147">
            <v>0</v>
          </cell>
          <cell r="AB1147">
            <v>2.1609099999999999E-2</v>
          </cell>
        </row>
        <row r="1148">
          <cell r="A1148">
            <v>26153120</v>
          </cell>
          <cell r="B1148" t="str">
            <v>Tuna, fresh, baked or broiled, fat added in cooking</v>
          </cell>
          <cell r="I1148">
            <v>85</v>
          </cell>
          <cell r="J1148">
            <v>110.18069</v>
          </cell>
          <cell r="K1148">
            <v>1.2962434117647059</v>
          </cell>
          <cell r="L1148">
            <v>2.7715999999999999E-3</v>
          </cell>
          <cell r="M1148">
            <v>0.47304859999999999</v>
          </cell>
          <cell r="N1148">
            <v>8.1103599999999998E-2</v>
          </cell>
          <cell r="O1148">
            <v>3.4344000000000002E-3</v>
          </cell>
          <cell r="P1148">
            <v>0</v>
          </cell>
          <cell r="Q1148">
            <v>1.1228593</v>
          </cell>
          <cell r="R1148">
            <v>0</v>
          </cell>
          <cell r="S1148">
            <v>0</v>
          </cell>
          <cell r="T1148">
            <v>0.92385859999999997</v>
          </cell>
          <cell r="U1148">
            <v>0</v>
          </cell>
          <cell r="V1148">
            <v>0</v>
          </cell>
          <cell r="W1148">
            <v>0</v>
          </cell>
          <cell r="X1148">
            <v>0.24441570000000001</v>
          </cell>
          <cell r="Y1148">
            <v>0</v>
          </cell>
          <cell r="Z1148">
            <v>0</v>
          </cell>
          <cell r="AA1148">
            <v>0</v>
          </cell>
          <cell r="AB1148">
            <v>2.1609099999999999E-2</v>
          </cell>
        </row>
        <row r="1149">
          <cell r="A1149">
            <v>26153122</v>
          </cell>
          <cell r="B1149" t="str">
            <v>Tuna, fresh, baked or broiled, fat not added in cooking</v>
          </cell>
          <cell r="I1149">
            <v>85</v>
          </cell>
          <cell r="J1149">
            <v>91.220600000000005</v>
          </cell>
          <cell r="K1149">
            <v>1.0731835294117649</v>
          </cell>
          <cell r="L1149">
            <v>2.8533999999999999E-3</v>
          </cell>
          <cell r="M1149">
            <v>0.1439947</v>
          </cell>
          <cell r="N1149">
            <v>8.3496699999999993E-2</v>
          </cell>
          <cell r="O1149">
            <v>3.5295000000000001E-3</v>
          </cell>
          <cell r="P1149">
            <v>0</v>
          </cell>
          <cell r="Q1149">
            <v>0.1229398</v>
          </cell>
          <cell r="R1149">
            <v>0</v>
          </cell>
          <cell r="S1149">
            <v>0</v>
          </cell>
          <cell r="T1149">
            <v>0.95111820000000002</v>
          </cell>
          <cell r="U1149">
            <v>0</v>
          </cell>
          <cell r="V1149">
            <v>0</v>
          </cell>
          <cell r="W1149">
            <v>0</v>
          </cell>
          <cell r="X1149">
            <v>0.25161499999999998</v>
          </cell>
          <cell r="Y1149">
            <v>0</v>
          </cell>
          <cell r="Z1149">
            <v>0</v>
          </cell>
          <cell r="AA1149">
            <v>0</v>
          </cell>
          <cell r="AB1149">
            <v>1.33595E-2</v>
          </cell>
        </row>
        <row r="1150">
          <cell r="A1150">
            <v>26153130</v>
          </cell>
          <cell r="B1150" t="str">
            <v>Tuna, fresh, coated, baked or broiled, fat added in cooking</v>
          </cell>
          <cell r="I1150">
            <v>85</v>
          </cell>
          <cell r="J1150">
            <v>144.74242000000001</v>
          </cell>
          <cell r="K1150">
            <v>1.702852</v>
          </cell>
          <cell r="L1150">
            <v>-4.7200000000000002E-17</v>
          </cell>
          <cell r="M1150">
            <v>0.77964540000000004</v>
          </cell>
          <cell r="N1150">
            <v>6.1909899999999997E-2</v>
          </cell>
          <cell r="O1150">
            <v>2.2485700000000001E-2</v>
          </cell>
          <cell r="P1150">
            <v>0.38383479999999998</v>
          </cell>
          <cell r="Q1150">
            <v>1.7557988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0.22636319999999999</v>
          </cell>
          <cell r="Y1150">
            <v>0</v>
          </cell>
          <cell r="Z1150">
            <v>0</v>
          </cell>
          <cell r="AA1150">
            <v>0</v>
          </cell>
          <cell r="AB1150">
            <v>2.57031E-2</v>
          </cell>
        </row>
        <row r="1151">
          <cell r="A1151">
            <v>26153160</v>
          </cell>
          <cell r="B1151" t="str">
            <v>Tuna, fresh, steamed or poached</v>
          </cell>
          <cell r="I1151">
            <v>85</v>
          </cell>
          <cell r="J1151">
            <v>92.041261000000006</v>
          </cell>
          <cell r="K1151">
            <v>1.0828383647058824</v>
          </cell>
          <cell r="L1151">
            <v>0</v>
          </cell>
          <cell r="M1151">
            <v>0.14523939999999999</v>
          </cell>
          <cell r="N1151">
            <v>8.4441500000000003E-2</v>
          </cell>
          <cell r="O1151">
            <v>3.5117E-3</v>
          </cell>
          <cell r="P1151">
            <v>0</v>
          </cell>
          <cell r="Q1151">
            <v>0.124129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0.25445269999999998</v>
          </cell>
          <cell r="Y1151">
            <v>0</v>
          </cell>
          <cell r="Z1151">
            <v>0</v>
          </cell>
          <cell r="AA1151">
            <v>0</v>
          </cell>
          <cell r="AB1151">
            <v>1.3510599999999999E-2</v>
          </cell>
        </row>
        <row r="1152">
          <cell r="A1152">
            <v>26155110</v>
          </cell>
          <cell r="B1152" t="str">
            <v>Tuna, canned, NS as to oil or water pack</v>
          </cell>
          <cell r="I1152">
            <v>85</v>
          </cell>
          <cell r="J1152">
            <v>73.099999999999994</v>
          </cell>
          <cell r="K1152">
            <v>0.86</v>
          </cell>
          <cell r="L1152">
            <v>0</v>
          </cell>
          <cell r="M1152">
            <v>0.17935000000000001</v>
          </cell>
          <cell r="N1152">
            <v>0.19040000000000001</v>
          </cell>
          <cell r="O1152">
            <v>1.4449999999999999E-2</v>
          </cell>
          <cell r="P1152">
            <v>0</v>
          </cell>
          <cell r="Q1152">
            <v>0.23544999999999999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0.20995</v>
          </cell>
          <cell r="Y1152">
            <v>0</v>
          </cell>
          <cell r="Z1152">
            <v>0</v>
          </cell>
          <cell r="AA1152">
            <v>0</v>
          </cell>
          <cell r="AB1152">
            <v>1.6999999999999999E-3</v>
          </cell>
        </row>
        <row r="1153">
          <cell r="A1153">
            <v>26155190</v>
          </cell>
          <cell r="B1153" t="str">
            <v>Tuna, canned, water pack</v>
          </cell>
          <cell r="I1153">
            <v>85</v>
          </cell>
          <cell r="J1153">
            <v>73.099999999999994</v>
          </cell>
          <cell r="K1153">
            <v>0.86</v>
          </cell>
          <cell r="L1153">
            <v>0</v>
          </cell>
          <cell r="M1153">
            <v>0.17935000000000001</v>
          </cell>
          <cell r="N1153">
            <v>0.19040000000000001</v>
          </cell>
          <cell r="O1153">
            <v>1.4449999999999999E-2</v>
          </cell>
          <cell r="P1153">
            <v>0</v>
          </cell>
          <cell r="Q1153">
            <v>0.23544999999999999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0.20995</v>
          </cell>
          <cell r="Y1153">
            <v>0</v>
          </cell>
          <cell r="Z1153">
            <v>0</v>
          </cell>
          <cell r="AA1153">
            <v>0</v>
          </cell>
          <cell r="AB1153">
            <v>1.6999999999999999E-3</v>
          </cell>
        </row>
        <row r="1154">
          <cell r="A1154">
            <v>26157110</v>
          </cell>
          <cell r="B1154" t="str">
            <v>Whiting, cooked, NS as to cooking method</v>
          </cell>
          <cell r="I1154">
            <v>85</v>
          </cell>
          <cell r="J1154">
            <v>159.74610000000001</v>
          </cell>
          <cell r="K1154">
            <v>1.8793658823529413</v>
          </cell>
          <cell r="L1154">
            <v>0</v>
          </cell>
          <cell r="M1154">
            <v>1.3440519</v>
          </cell>
          <cell r="N1154">
            <v>0.13813980000000001</v>
          </cell>
          <cell r="O1154">
            <v>5.1605100000000001E-2</v>
          </cell>
          <cell r="P1154">
            <v>0.4499011</v>
          </cell>
          <cell r="Q1154">
            <v>3.1850581999999998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0.28386499999999998</v>
          </cell>
          <cell r="Y1154">
            <v>0</v>
          </cell>
          <cell r="Z1154">
            <v>0</v>
          </cell>
          <cell r="AA1154">
            <v>0</v>
          </cell>
          <cell r="AB1154">
            <v>2.48886E-2</v>
          </cell>
        </row>
        <row r="1155">
          <cell r="A1155">
            <v>26157120</v>
          </cell>
          <cell r="B1155" t="str">
            <v>Whiting, baked or broiled, made with oil</v>
          </cell>
          <cell r="I1155">
            <v>85</v>
          </cell>
          <cell r="J1155">
            <v>94.771006</v>
          </cell>
          <cell r="K1155">
            <v>1.114953011764706</v>
          </cell>
          <cell r="L1155">
            <v>2.7715999999999999E-3</v>
          </cell>
          <cell r="M1155">
            <v>0.53387629999999997</v>
          </cell>
          <cell r="N1155">
            <v>0.1816721</v>
          </cell>
          <cell r="O1155">
            <v>3.9120000000000002E-2</v>
          </cell>
          <cell r="P1155">
            <v>0</v>
          </cell>
          <cell r="Q1155">
            <v>1.3458942</v>
          </cell>
          <cell r="R1155">
            <v>0</v>
          </cell>
          <cell r="S1155">
            <v>0</v>
          </cell>
          <cell r="T1155">
            <v>0.92385859999999997</v>
          </cell>
          <cell r="U1155">
            <v>0</v>
          </cell>
          <cell r="V1155">
            <v>0</v>
          </cell>
          <cell r="W1155">
            <v>0</v>
          </cell>
          <cell r="X1155">
            <v>0.26631369999999999</v>
          </cell>
          <cell r="Y1155">
            <v>0</v>
          </cell>
          <cell r="Z1155">
            <v>0</v>
          </cell>
          <cell r="AA1155">
            <v>0</v>
          </cell>
          <cell r="AB1155">
            <v>8.6324999999999995E-3</v>
          </cell>
        </row>
        <row r="1156">
          <cell r="A1156">
            <v>26157122</v>
          </cell>
          <cell r="B1156" t="str">
            <v>Whiting, baked or broiled, made with margarine</v>
          </cell>
          <cell r="I1156">
            <v>85</v>
          </cell>
          <cell r="J1156">
            <v>86.574607999999998</v>
          </cell>
          <cell r="K1156">
            <v>1.0185248</v>
          </cell>
          <cell r="L1156">
            <v>2.7675999999999998E-3</v>
          </cell>
          <cell r="M1156">
            <v>0.46025260000000001</v>
          </cell>
          <cell r="N1156">
            <v>0.1814095</v>
          </cell>
          <cell r="O1156">
            <v>3.9593999999999997E-2</v>
          </cell>
          <cell r="P1156">
            <v>0</v>
          </cell>
          <cell r="Q1156">
            <v>0.94225510000000001</v>
          </cell>
          <cell r="R1156">
            <v>0</v>
          </cell>
          <cell r="S1156">
            <v>0</v>
          </cell>
          <cell r="T1156">
            <v>0.92252350000000005</v>
          </cell>
          <cell r="U1156">
            <v>0</v>
          </cell>
          <cell r="V1156">
            <v>0</v>
          </cell>
          <cell r="W1156">
            <v>0</v>
          </cell>
          <cell r="X1156">
            <v>0.28413070000000001</v>
          </cell>
          <cell r="Y1156">
            <v>0</v>
          </cell>
          <cell r="Z1156">
            <v>0</v>
          </cell>
          <cell r="AA1156">
            <v>0</v>
          </cell>
          <cell r="AB1156">
            <v>9.3632199999999999E-2</v>
          </cell>
        </row>
        <row r="1157">
          <cell r="A1157">
            <v>26157123</v>
          </cell>
          <cell r="B1157" t="str">
            <v>Whiting, baked or broiled, made without fat</v>
          </cell>
          <cell r="I1157">
            <v>85</v>
          </cell>
          <cell r="J1157">
            <v>75.356235999999996</v>
          </cell>
          <cell r="K1157">
            <v>0.88654395294117638</v>
          </cell>
          <cell r="L1157">
            <v>2.8533999999999999E-3</v>
          </cell>
          <cell r="M1157">
            <v>0.2066172</v>
          </cell>
          <cell r="N1157">
            <v>0.18703249999999999</v>
          </cell>
          <cell r="O1157">
            <v>4.0267999999999998E-2</v>
          </cell>
          <cell r="P1157">
            <v>0</v>
          </cell>
          <cell r="Q1157">
            <v>0.35255560000000002</v>
          </cell>
          <cell r="R1157">
            <v>0</v>
          </cell>
          <cell r="S1157">
            <v>0</v>
          </cell>
          <cell r="T1157">
            <v>0.95111820000000002</v>
          </cell>
          <cell r="U1157">
            <v>0</v>
          </cell>
          <cell r="V1157">
            <v>0</v>
          </cell>
          <cell r="W1157">
            <v>0</v>
          </cell>
          <cell r="X1157">
            <v>0.27415909999999999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</row>
        <row r="1158">
          <cell r="A1158">
            <v>26157130</v>
          </cell>
          <cell r="B1158" t="str">
            <v>Whiting, coated, baked or broiled, made with oil</v>
          </cell>
          <cell r="I1158">
            <v>85</v>
          </cell>
          <cell r="J1158">
            <v>132.99144000000001</v>
          </cell>
          <cell r="K1158">
            <v>1.5646051764705884</v>
          </cell>
          <cell r="L1158">
            <v>-4.7200000000000002E-17</v>
          </cell>
          <cell r="M1158">
            <v>0.80401979999999995</v>
          </cell>
          <cell r="N1158">
            <v>0.1386782</v>
          </cell>
          <cell r="O1158">
            <v>4.97212E-2</v>
          </cell>
          <cell r="P1158">
            <v>0.38383479999999998</v>
          </cell>
          <cell r="Q1158">
            <v>2.0036919000000002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0.24306920000000001</v>
          </cell>
          <cell r="Y1158">
            <v>0</v>
          </cell>
          <cell r="Z1158">
            <v>0</v>
          </cell>
          <cell r="AA1158">
            <v>0</v>
          </cell>
          <cell r="AB1158">
            <v>1.5797499999999999E-2</v>
          </cell>
        </row>
        <row r="1159">
          <cell r="A1159">
            <v>26157133</v>
          </cell>
          <cell r="B1159" t="str">
            <v>Whiting, coated, baked or broiled, made without fat</v>
          </cell>
          <cell r="I1159">
            <v>85</v>
          </cell>
          <cell r="J1159">
            <v>104.72071</v>
          </cell>
          <cell r="K1159">
            <v>1.2320083529411765</v>
          </cell>
          <cell r="L1159">
            <v>-4.7200000000000002E-17</v>
          </cell>
          <cell r="M1159">
            <v>0.33870060000000002</v>
          </cell>
          <cell r="N1159">
            <v>0.14502380000000001</v>
          </cell>
          <cell r="O1159">
            <v>5.1969899999999999E-2</v>
          </cell>
          <cell r="P1159">
            <v>0.40139829999999999</v>
          </cell>
          <cell r="Q1159">
            <v>0.41283239999999999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0.25418649999999998</v>
          </cell>
          <cell r="Y1159">
            <v>0</v>
          </cell>
          <cell r="Z1159">
            <v>0</v>
          </cell>
          <cell r="AA1159">
            <v>0</v>
          </cell>
          <cell r="AB1159">
            <v>2.7382000000000001E-3</v>
          </cell>
        </row>
        <row r="1160">
          <cell r="A1160">
            <v>26157140</v>
          </cell>
          <cell r="B1160" t="str">
            <v>Whiting, coated, fried, made with oil</v>
          </cell>
          <cell r="I1160">
            <v>85</v>
          </cell>
          <cell r="J1160">
            <v>159.73708999999999</v>
          </cell>
          <cell r="K1160">
            <v>1.8792598823529412</v>
          </cell>
          <cell r="L1160">
            <v>0</v>
          </cell>
          <cell r="M1160">
            <v>1.3440683</v>
          </cell>
          <cell r="N1160">
            <v>0.13814689999999999</v>
          </cell>
          <cell r="O1160">
            <v>5.1599800000000001E-2</v>
          </cell>
          <cell r="P1160">
            <v>0.44972839999999997</v>
          </cell>
          <cell r="Q1160">
            <v>3.1851316000000001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0.28384769999999998</v>
          </cell>
          <cell r="Y1160">
            <v>0</v>
          </cell>
          <cell r="Z1160">
            <v>0</v>
          </cell>
          <cell r="AA1160">
            <v>0</v>
          </cell>
          <cell r="AB1160">
            <v>8.64042E-2</v>
          </cell>
        </row>
        <row r="1161">
          <cell r="A1161">
            <v>26158000</v>
          </cell>
          <cell r="B1161" t="str">
            <v>Tilapia, cooked, NS as to cooking method</v>
          </cell>
          <cell r="I1161">
            <v>85</v>
          </cell>
          <cell r="J1161">
            <v>99.637220999999997</v>
          </cell>
          <cell r="K1161">
            <v>1.1722025999999999</v>
          </cell>
          <cell r="L1161">
            <v>2.7715999999999999E-3</v>
          </cell>
          <cell r="M1161">
            <v>0.80800649999999996</v>
          </cell>
          <cell r="N1161">
            <v>7.3804300000000003E-2</v>
          </cell>
          <cell r="O1161">
            <v>8.3006E-3</v>
          </cell>
          <cell r="P1161">
            <v>0</v>
          </cell>
          <cell r="Q1161">
            <v>1.2980430999999999</v>
          </cell>
          <cell r="R1161">
            <v>0</v>
          </cell>
          <cell r="S1161">
            <v>0</v>
          </cell>
          <cell r="T1161">
            <v>0.92385859999999997</v>
          </cell>
          <cell r="U1161">
            <v>0</v>
          </cell>
          <cell r="V1161">
            <v>0</v>
          </cell>
          <cell r="W1161">
            <v>0</v>
          </cell>
          <cell r="X1161">
            <v>0.25009300000000001</v>
          </cell>
          <cell r="Y1161">
            <v>0</v>
          </cell>
          <cell r="Z1161">
            <v>0</v>
          </cell>
          <cell r="AA1161">
            <v>0</v>
          </cell>
          <cell r="AB1161">
            <v>8.6324999999999995E-3</v>
          </cell>
        </row>
        <row r="1162">
          <cell r="A1162">
            <v>26158010</v>
          </cell>
          <cell r="B1162" t="str">
            <v>Tilapia, baked or broiled, made with oil</v>
          </cell>
          <cell r="I1162">
            <v>85</v>
          </cell>
          <cell r="J1162">
            <v>99.637220999999997</v>
          </cell>
          <cell r="K1162">
            <v>1.1722025999999999</v>
          </cell>
          <cell r="L1162">
            <v>2.7715999999999999E-3</v>
          </cell>
          <cell r="M1162">
            <v>0.80800649999999996</v>
          </cell>
          <cell r="N1162">
            <v>7.3804300000000003E-2</v>
          </cell>
          <cell r="O1162">
            <v>8.3006E-3</v>
          </cell>
          <cell r="P1162">
            <v>0</v>
          </cell>
          <cell r="Q1162">
            <v>1.2980430999999999</v>
          </cell>
          <cell r="R1162">
            <v>0</v>
          </cell>
          <cell r="S1162">
            <v>0</v>
          </cell>
          <cell r="T1162">
            <v>0.92385859999999997</v>
          </cell>
          <cell r="U1162">
            <v>0</v>
          </cell>
          <cell r="V1162">
            <v>0</v>
          </cell>
          <cell r="W1162">
            <v>0</v>
          </cell>
          <cell r="X1162">
            <v>0.25009300000000001</v>
          </cell>
          <cell r="Y1162">
            <v>0</v>
          </cell>
          <cell r="Z1162">
            <v>0</v>
          </cell>
          <cell r="AA1162">
            <v>0</v>
          </cell>
          <cell r="AB1162">
            <v>8.6324999999999995E-3</v>
          </cell>
        </row>
        <row r="1163">
          <cell r="A1163">
            <v>26158011</v>
          </cell>
          <cell r="B1163" t="str">
            <v>Tilapia, baked or broiled, made with butter</v>
          </cell>
          <cell r="I1163">
            <v>85</v>
          </cell>
          <cell r="J1163">
            <v>96.137784999999994</v>
          </cell>
          <cell r="K1163">
            <v>1.1310327647058822</v>
          </cell>
          <cell r="L1163">
            <v>2.7683E-3</v>
          </cell>
          <cell r="M1163">
            <v>1.7758319</v>
          </cell>
          <cell r="N1163">
            <v>7.3717000000000005E-2</v>
          </cell>
          <cell r="O1163">
            <v>8.8927999999999993E-3</v>
          </cell>
          <cell r="P1163">
            <v>0</v>
          </cell>
          <cell r="Q1163">
            <v>0.3713554</v>
          </cell>
          <cell r="R1163">
            <v>0</v>
          </cell>
          <cell r="S1163">
            <v>0</v>
          </cell>
          <cell r="T1163">
            <v>0.92276579999999997</v>
          </cell>
          <cell r="U1163">
            <v>0</v>
          </cell>
          <cell r="V1163">
            <v>0</v>
          </cell>
          <cell r="W1163">
            <v>0</v>
          </cell>
          <cell r="X1163">
            <v>0.26607740000000002</v>
          </cell>
          <cell r="Y1163">
            <v>0</v>
          </cell>
          <cell r="Z1163">
            <v>0</v>
          </cell>
          <cell r="AA1163">
            <v>0</v>
          </cell>
          <cell r="AB1163">
            <v>8.3058300000000002E-2</v>
          </cell>
        </row>
        <row r="1164">
          <cell r="A1164">
            <v>26158012</v>
          </cell>
          <cell r="B1164" t="str">
            <v>Tilapia, baked or broiled, made with margarine</v>
          </cell>
          <cell r="I1164">
            <v>85</v>
          </cell>
          <cell r="J1164">
            <v>91.570508000000004</v>
          </cell>
          <cell r="K1164">
            <v>1.0773000941176472</v>
          </cell>
          <cell r="L1164">
            <v>2.7675999999999998E-3</v>
          </cell>
          <cell r="M1164">
            <v>0.78299269999999999</v>
          </cell>
          <cell r="N1164">
            <v>7.3697600000000002E-2</v>
          </cell>
          <cell r="O1164">
            <v>8.8191999999999993E-3</v>
          </cell>
          <cell r="P1164">
            <v>0</v>
          </cell>
          <cell r="Q1164">
            <v>0.97078439999999999</v>
          </cell>
          <cell r="R1164">
            <v>0</v>
          </cell>
          <cell r="S1164">
            <v>0</v>
          </cell>
          <cell r="T1164">
            <v>0.92252350000000005</v>
          </cell>
          <cell r="U1164">
            <v>0</v>
          </cell>
          <cell r="V1164">
            <v>0</v>
          </cell>
          <cell r="W1164">
            <v>0</v>
          </cell>
          <cell r="X1164">
            <v>0.26695600000000003</v>
          </cell>
          <cell r="Y1164">
            <v>0</v>
          </cell>
          <cell r="Z1164">
            <v>0</v>
          </cell>
          <cell r="AA1164">
            <v>0</v>
          </cell>
          <cell r="AB1164">
            <v>9.3632199999999999E-2</v>
          </cell>
        </row>
        <row r="1165">
          <cell r="A1165">
            <v>26158013</v>
          </cell>
          <cell r="B1165" t="str">
            <v>Tilapia, baked or broiled, made without fat</v>
          </cell>
          <cell r="I1165">
            <v>85</v>
          </cell>
          <cell r="J1165">
            <v>80.366034999999997</v>
          </cell>
          <cell r="K1165">
            <v>0.94548276470588233</v>
          </cell>
          <cell r="L1165">
            <v>2.8533999999999999E-3</v>
          </cell>
          <cell r="M1165">
            <v>0.48883589999999999</v>
          </cell>
          <cell r="N1165">
            <v>7.5981999999999994E-2</v>
          </cell>
          <cell r="O1165">
            <v>8.5392999999999997E-3</v>
          </cell>
          <cell r="P1165">
            <v>0</v>
          </cell>
          <cell r="Q1165">
            <v>0.30329260000000002</v>
          </cell>
          <cell r="R1165">
            <v>0</v>
          </cell>
          <cell r="S1165">
            <v>0</v>
          </cell>
          <cell r="T1165">
            <v>0.95111820000000002</v>
          </cell>
          <cell r="U1165">
            <v>0</v>
          </cell>
          <cell r="V1165">
            <v>0</v>
          </cell>
          <cell r="W1165">
            <v>0</v>
          </cell>
          <cell r="X1165">
            <v>0.25745970000000001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</row>
        <row r="1166">
          <cell r="A1166">
            <v>26158014</v>
          </cell>
          <cell r="B1166" t="str">
            <v>Tilapia, baked or broiled, made with cooking spray</v>
          </cell>
          <cell r="I1166">
            <v>85</v>
          </cell>
          <cell r="J1166">
            <v>82.667969999999997</v>
          </cell>
          <cell r="K1166">
            <v>0.97256435294117638</v>
          </cell>
          <cell r="L1166">
            <v>2.8422999999999999E-3</v>
          </cell>
          <cell r="M1166">
            <v>0.50352269999999999</v>
          </cell>
          <cell r="N1166">
            <v>7.5686900000000001E-2</v>
          </cell>
          <cell r="O1166">
            <v>8.5061000000000008E-3</v>
          </cell>
          <cell r="P1166">
            <v>0</v>
          </cell>
          <cell r="Q1166">
            <v>0.37520439999999999</v>
          </cell>
          <cell r="R1166">
            <v>0</v>
          </cell>
          <cell r="S1166">
            <v>0</v>
          </cell>
          <cell r="T1166">
            <v>0.94742510000000002</v>
          </cell>
          <cell r="U1166">
            <v>0</v>
          </cell>
          <cell r="V1166">
            <v>0</v>
          </cell>
          <cell r="W1166">
            <v>0</v>
          </cell>
          <cell r="X1166">
            <v>0.25665480000000002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</row>
        <row r="1167">
          <cell r="A1167">
            <v>26158020</v>
          </cell>
          <cell r="B1167" t="str">
            <v>Tilapia, coated, baked or broiled, made  with oil</v>
          </cell>
          <cell r="I1167">
            <v>85</v>
          </cell>
          <cell r="J1167">
            <v>136.79070999999999</v>
          </cell>
          <cell r="K1167">
            <v>1.6093024705882353</v>
          </cell>
          <cell r="L1167">
            <v>-4.7200000000000002E-17</v>
          </cell>
          <cell r="M1167">
            <v>1.0417989999999999</v>
          </cell>
          <cell r="N1167">
            <v>5.6337999999999999E-2</v>
          </cell>
          <cell r="O1167">
            <v>2.6179500000000001E-2</v>
          </cell>
          <cell r="P1167">
            <v>0.38383479999999998</v>
          </cell>
          <cell r="Q1167">
            <v>1.8901851999999999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0.23070109999999999</v>
          </cell>
          <cell r="Y1167">
            <v>0</v>
          </cell>
          <cell r="Z1167">
            <v>0</v>
          </cell>
          <cell r="AA1167">
            <v>0</v>
          </cell>
          <cell r="AB1167">
            <v>1.5797499999999999E-2</v>
          </cell>
        </row>
        <row r="1168">
          <cell r="A1168">
            <v>26158021</v>
          </cell>
          <cell r="B1168" t="str">
            <v>Tilapia, coated, baked or broiled, made with butter</v>
          </cell>
          <cell r="I1168">
            <v>85</v>
          </cell>
          <cell r="J1168">
            <v>131.38368</v>
          </cell>
          <cell r="K1168">
            <v>1.5456903529411765</v>
          </cell>
          <cell r="L1168">
            <v>0</v>
          </cell>
          <cell r="M1168">
            <v>2.5179575999999999</v>
          </cell>
          <cell r="N1168">
            <v>5.6236399999999999E-2</v>
          </cell>
          <cell r="O1168">
            <v>2.70508E-2</v>
          </cell>
          <cell r="P1168">
            <v>0.3831427</v>
          </cell>
          <cell r="Q1168">
            <v>0.47523209999999999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0.25512360000000001</v>
          </cell>
          <cell r="Y1168">
            <v>0</v>
          </cell>
          <cell r="Z1168">
            <v>0</v>
          </cell>
          <cell r="AA1168">
            <v>0</v>
          </cell>
          <cell r="AB1168">
            <v>0.12933449999999999</v>
          </cell>
        </row>
        <row r="1169">
          <cell r="A1169">
            <v>26158023</v>
          </cell>
          <cell r="B1169" t="str">
            <v>Tilapia, coated, baked or broiled, made without fat</v>
          </cell>
          <cell r="I1169">
            <v>85</v>
          </cell>
          <cell r="J1169">
            <v>108.60527</v>
          </cell>
          <cell r="K1169">
            <v>1.2777090588235294</v>
          </cell>
          <cell r="L1169">
            <v>-4.7200000000000002E-17</v>
          </cell>
          <cell r="M1169">
            <v>0.5575312</v>
          </cell>
          <cell r="N1169">
            <v>5.89159E-2</v>
          </cell>
          <cell r="O1169">
            <v>2.7367699999999998E-2</v>
          </cell>
          <cell r="P1169">
            <v>0.40139829999999999</v>
          </cell>
          <cell r="Q1169">
            <v>0.37463419999999997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0.24123800000000001</v>
          </cell>
          <cell r="Y1169">
            <v>0</v>
          </cell>
          <cell r="Z1169">
            <v>0</v>
          </cell>
          <cell r="AA1169">
            <v>0</v>
          </cell>
          <cell r="AB1169">
            <v>2.7382000000000001E-3</v>
          </cell>
        </row>
        <row r="1170">
          <cell r="A1170">
            <v>26158024</v>
          </cell>
          <cell r="B1170" t="str">
            <v>Tilapia, coated, baked or broiled, made with cooking spray</v>
          </cell>
          <cell r="I1170">
            <v>85</v>
          </cell>
          <cell r="J1170">
            <v>110.30664</v>
          </cell>
          <cell r="K1170">
            <v>1.2977251764705882</v>
          </cell>
          <cell r="L1170">
            <v>0</v>
          </cell>
          <cell r="M1170">
            <v>0.56872219999999996</v>
          </cell>
          <cell r="N1170">
            <v>5.8738400000000003E-2</v>
          </cell>
          <cell r="O1170">
            <v>2.7285199999999999E-2</v>
          </cell>
          <cell r="P1170">
            <v>0.40018870000000001</v>
          </cell>
          <cell r="Q1170">
            <v>0.43022779999999999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0.24066219999999999</v>
          </cell>
          <cell r="Y1170">
            <v>0</v>
          </cell>
          <cell r="Z1170">
            <v>0</v>
          </cell>
          <cell r="AA1170">
            <v>0</v>
          </cell>
          <cell r="AB1170">
            <v>2.7299999999999998E-3</v>
          </cell>
        </row>
        <row r="1171">
          <cell r="A1171">
            <v>26158030</v>
          </cell>
          <cell r="B1171" t="str">
            <v>Tilapia, coated, fried, made with oil</v>
          </cell>
          <cell r="I1171">
            <v>85</v>
          </cell>
          <cell r="J1171">
            <v>163.43745000000001</v>
          </cell>
          <cell r="K1171">
            <v>1.9227935294117648</v>
          </cell>
          <cell r="L1171">
            <v>0</v>
          </cell>
          <cell r="M1171">
            <v>1.5525222000000001</v>
          </cell>
          <cell r="N1171">
            <v>5.6122199999999997E-2</v>
          </cell>
          <cell r="O1171">
            <v>2.8164100000000001E-2</v>
          </cell>
          <cell r="P1171">
            <v>0.44972839999999997</v>
          </cell>
          <cell r="Q1171">
            <v>3.1487447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0.27151310000000001</v>
          </cell>
          <cell r="Y1171">
            <v>0</v>
          </cell>
          <cell r="Z1171">
            <v>0</v>
          </cell>
          <cell r="AA1171">
            <v>0</v>
          </cell>
          <cell r="AB1171">
            <v>5.2067799999999997E-2</v>
          </cell>
        </row>
        <row r="1172">
          <cell r="A1172">
            <v>26158031</v>
          </cell>
          <cell r="B1172" t="str">
            <v>Tilapia, coated, fried, made with butter</v>
          </cell>
          <cell r="I1172">
            <v>85</v>
          </cell>
          <cell r="J1172">
            <v>152.82395</v>
          </cell>
          <cell r="K1172">
            <v>1.7979288235294117</v>
          </cell>
          <cell r="L1172">
            <v>0</v>
          </cell>
          <cell r="M1172">
            <v>3.9252281999999998</v>
          </cell>
          <cell r="N1172">
            <v>5.6122199999999997E-2</v>
          </cell>
          <cell r="O1172">
            <v>2.96592E-2</v>
          </cell>
          <cell r="P1172">
            <v>0.44972839999999997</v>
          </cell>
          <cell r="Q1172">
            <v>0.74737719999999996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0.31195899999999999</v>
          </cell>
          <cell r="Y1172">
            <v>0</v>
          </cell>
          <cell r="Z1172">
            <v>0</v>
          </cell>
          <cell r="AA1172">
            <v>0</v>
          </cell>
          <cell r="AB1172">
            <v>0.20893590000000001</v>
          </cell>
        </row>
        <row r="1173">
          <cell r="A1173">
            <v>26158033</v>
          </cell>
          <cell r="B1173" t="str">
            <v>Tilapia, coated, fried, made without fat</v>
          </cell>
          <cell r="I1173">
            <v>85</v>
          </cell>
          <cell r="J1173">
            <v>116.3015</v>
          </cell>
          <cell r="K1173">
            <v>1.3682529411764706</v>
          </cell>
          <cell r="L1173">
            <v>0</v>
          </cell>
          <cell r="M1173">
            <v>0.74688699999999997</v>
          </cell>
          <cell r="N1173">
            <v>6.0610999999999998E-2</v>
          </cell>
          <cell r="O1173">
            <v>3.0399800000000001E-2</v>
          </cell>
          <cell r="P1173">
            <v>0.48569909999999999</v>
          </cell>
          <cell r="Q1173">
            <v>0.60027410000000003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0.2931956</v>
          </cell>
          <cell r="Y1173">
            <v>0</v>
          </cell>
          <cell r="Z1173">
            <v>0</v>
          </cell>
          <cell r="AA1173">
            <v>0</v>
          </cell>
          <cell r="AB1173">
            <v>2.7899000000000001E-3</v>
          </cell>
        </row>
        <row r="1174">
          <cell r="A1174">
            <v>26158034</v>
          </cell>
          <cell r="B1174" t="str">
            <v>Tilapia, coated, fried, made with cooking spray</v>
          </cell>
          <cell r="I1174">
            <v>85</v>
          </cell>
          <cell r="J1174">
            <v>118.02781</v>
          </cell>
          <cell r="K1174">
            <v>1.3885624705882353</v>
          </cell>
          <cell r="L1174">
            <v>0</v>
          </cell>
          <cell r="M1174">
            <v>0.75781200000000004</v>
          </cell>
          <cell r="N1174">
            <v>6.04231E-2</v>
          </cell>
          <cell r="O1174">
            <v>3.0305599999999999E-2</v>
          </cell>
          <cell r="P1174">
            <v>0.4841935</v>
          </cell>
          <cell r="Q1174">
            <v>0.65676279999999998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0.29244219999999999</v>
          </cell>
          <cell r="Y1174">
            <v>0</v>
          </cell>
          <cell r="Z1174">
            <v>0</v>
          </cell>
          <cell r="AA1174">
            <v>0</v>
          </cell>
          <cell r="AB1174">
            <v>2.7813E-3</v>
          </cell>
        </row>
        <row r="1175">
          <cell r="A1175">
            <v>26158050</v>
          </cell>
          <cell r="B1175" t="str">
            <v>Tilapia, steamed or poached</v>
          </cell>
          <cell r="I1175">
            <v>85</v>
          </cell>
          <cell r="J1175">
            <v>81.063862999999998</v>
          </cell>
          <cell r="K1175">
            <v>0.95369250588235288</v>
          </cell>
          <cell r="L1175">
            <v>0</v>
          </cell>
          <cell r="M1175">
            <v>0.4939829</v>
          </cell>
          <cell r="N1175">
            <v>7.6841800000000002E-2</v>
          </cell>
          <cell r="O1175">
            <v>8.5781999999999994E-3</v>
          </cell>
          <cell r="P1175">
            <v>0</v>
          </cell>
          <cell r="Q1175">
            <v>0.30652269999999998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0.26036359999999997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</row>
        <row r="1176">
          <cell r="A1176">
            <v>26203110</v>
          </cell>
          <cell r="B1176" t="str">
            <v>Frog legs, NS as to cooking method</v>
          </cell>
          <cell r="I1176">
            <v>85</v>
          </cell>
          <cell r="J1176">
            <v>149.25273000000001</v>
          </cell>
          <cell r="K1176">
            <v>1.7559144705882355</v>
          </cell>
          <cell r="L1176">
            <v>0</v>
          </cell>
          <cell r="M1176">
            <v>1.2386079999999999</v>
          </cell>
          <cell r="N1176">
            <v>2.09687E-2</v>
          </cell>
          <cell r="O1176">
            <v>3.3098000000000002E-2</v>
          </cell>
          <cell r="P1176">
            <v>0.44972839999999997</v>
          </cell>
          <cell r="Q1176">
            <v>2.9877788999999999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0.2752135</v>
          </cell>
          <cell r="Y1176">
            <v>0</v>
          </cell>
          <cell r="Z1176">
            <v>0</v>
          </cell>
          <cell r="AA1176">
            <v>0</v>
          </cell>
          <cell r="AB1176">
            <v>0.37616630000000001</v>
          </cell>
        </row>
        <row r="1177">
          <cell r="A1177">
            <v>26205110</v>
          </cell>
          <cell r="B1177" t="str">
            <v>Octopus, cooked, NS as to cooking method</v>
          </cell>
          <cell r="I1177">
            <v>85</v>
          </cell>
          <cell r="J1177">
            <v>154.80327</v>
          </cell>
          <cell r="K1177">
            <v>1.8212149411764706</v>
          </cell>
          <cell r="L1177">
            <v>0</v>
          </cell>
          <cell r="M1177">
            <v>1.3317338000000001</v>
          </cell>
          <cell r="N1177">
            <v>9.6826200000000001E-2</v>
          </cell>
          <cell r="O1177">
            <v>5.46834E-2</v>
          </cell>
          <cell r="P1177">
            <v>0.44972839999999997</v>
          </cell>
          <cell r="Q1177">
            <v>3.0722705000000001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0.38129059999999998</v>
          </cell>
          <cell r="Y1177">
            <v>0</v>
          </cell>
          <cell r="Z1177">
            <v>0</v>
          </cell>
          <cell r="AA1177">
            <v>0</v>
          </cell>
          <cell r="AB1177">
            <v>5.6259999999999998E-2</v>
          </cell>
        </row>
        <row r="1178">
          <cell r="A1178">
            <v>26205160</v>
          </cell>
          <cell r="B1178" t="str">
            <v>Octopus, steamed</v>
          </cell>
          <cell r="I1178">
            <v>85</v>
          </cell>
          <cell r="J1178">
            <v>138.48410000000001</v>
          </cell>
          <cell r="K1178">
            <v>1.629224705882353</v>
          </cell>
          <cell r="L1178">
            <v>0</v>
          </cell>
          <cell r="M1178">
            <v>0.38252009999999997</v>
          </cell>
          <cell r="N1178">
            <v>0.2651464</v>
          </cell>
          <cell r="O1178">
            <v>8.9641999999999999E-2</v>
          </cell>
          <cell r="P1178">
            <v>0</v>
          </cell>
          <cell r="Q1178">
            <v>0.40278609999999998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0.60488500000000001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</row>
        <row r="1179">
          <cell r="A1179">
            <v>26211100</v>
          </cell>
          <cell r="B1179" t="str">
            <v>Roe, sturgeon</v>
          </cell>
          <cell r="I1179">
            <v>16</v>
          </cell>
          <cell r="J1179">
            <v>42.24</v>
          </cell>
          <cell r="K1179">
            <v>2.64</v>
          </cell>
          <cell r="L1179">
            <v>0</v>
          </cell>
          <cell r="M1179">
            <v>0.64959999999999996</v>
          </cell>
          <cell r="N1179">
            <v>1.0465599999999999</v>
          </cell>
          <cell r="O1179">
            <v>4.3999999999999997E-2</v>
          </cell>
          <cell r="P1179">
            <v>0</v>
          </cell>
          <cell r="Q1179">
            <v>1.1848000000000001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0.24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</row>
        <row r="1180">
          <cell r="A1180">
            <v>26213100</v>
          </cell>
          <cell r="B1180" t="str">
            <v>Squid, raw</v>
          </cell>
          <cell r="I1180">
            <v>85</v>
          </cell>
          <cell r="J1180">
            <v>78.2</v>
          </cell>
          <cell r="K1180">
            <v>0.92</v>
          </cell>
          <cell r="L1180">
            <v>0</v>
          </cell>
          <cell r="M1180">
            <v>0.30430000000000001</v>
          </cell>
          <cell r="N1180">
            <v>0.4148</v>
          </cell>
          <cell r="O1180">
            <v>2.7199999999999998E-2</v>
          </cell>
          <cell r="P1180">
            <v>0</v>
          </cell>
          <cell r="Q1180">
            <v>0.44540000000000002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3.7400000000000003E-2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</row>
        <row r="1181">
          <cell r="A1181">
            <v>26213120</v>
          </cell>
          <cell r="B1181" t="str">
            <v>Squid, baked or broiled, fat added in cooking</v>
          </cell>
          <cell r="I1181">
            <v>85</v>
          </cell>
          <cell r="J1181">
            <v>96.393078000000003</v>
          </cell>
          <cell r="K1181">
            <v>1.1340362117647058</v>
          </cell>
          <cell r="L1181">
            <v>2.7715999999999999E-3</v>
          </cell>
          <cell r="M1181">
            <v>0.62390129999999999</v>
          </cell>
          <cell r="N1181">
            <v>0.39578550000000001</v>
          </cell>
          <cell r="O1181">
            <v>2.6143400000000001E-2</v>
          </cell>
          <cell r="P1181">
            <v>0</v>
          </cell>
          <cell r="Q1181">
            <v>1.4286198999999999</v>
          </cell>
          <cell r="R1181">
            <v>0</v>
          </cell>
          <cell r="S1181">
            <v>0</v>
          </cell>
          <cell r="T1181">
            <v>0.92385859999999997</v>
          </cell>
          <cell r="U1181">
            <v>0</v>
          </cell>
          <cell r="V1181">
            <v>0</v>
          </cell>
          <cell r="W1181">
            <v>0</v>
          </cell>
          <cell r="X1181">
            <v>0.24360470000000001</v>
          </cell>
          <cell r="Y1181">
            <v>0</v>
          </cell>
          <cell r="Z1181">
            <v>0</v>
          </cell>
          <cell r="AA1181">
            <v>0</v>
          </cell>
          <cell r="AB1181">
            <v>0.15524779999999999</v>
          </cell>
        </row>
        <row r="1182">
          <cell r="A1182">
            <v>26213140</v>
          </cell>
          <cell r="B1182" t="str">
            <v>Squid, coated, fried</v>
          </cell>
          <cell r="I1182">
            <v>85</v>
          </cell>
          <cell r="J1182">
            <v>160.97054</v>
          </cell>
          <cell r="K1182">
            <v>1.8937710588235295</v>
          </cell>
          <cell r="L1182">
            <v>0</v>
          </cell>
          <cell r="M1182">
            <v>1.4125251000000001</v>
          </cell>
          <cell r="N1182">
            <v>0.30096289999999998</v>
          </cell>
          <cell r="O1182">
            <v>4.1732100000000001E-2</v>
          </cell>
          <cell r="P1182">
            <v>0.44972839999999997</v>
          </cell>
          <cell r="Q1182">
            <v>3.2480378000000001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0.26657930000000002</v>
          </cell>
          <cell r="Y1182">
            <v>0</v>
          </cell>
          <cell r="Z1182">
            <v>0</v>
          </cell>
          <cell r="AA1182">
            <v>0</v>
          </cell>
          <cell r="AB1182">
            <v>0.49835879999999999</v>
          </cell>
        </row>
        <row r="1183">
          <cell r="A1183">
            <v>26213160</v>
          </cell>
          <cell r="B1183" t="str">
            <v>Squid, steamed or boiled</v>
          </cell>
          <cell r="I1183">
            <v>85</v>
          </cell>
          <cell r="J1183">
            <v>77.856716000000006</v>
          </cell>
          <cell r="K1183">
            <v>0.91596136470588241</v>
          </cell>
          <cell r="L1183">
            <v>0</v>
          </cell>
          <cell r="M1183">
            <v>0.30296420000000002</v>
          </cell>
          <cell r="N1183">
            <v>0.41297909999999999</v>
          </cell>
          <cell r="O1183">
            <v>2.7170099999999999E-2</v>
          </cell>
          <cell r="P1183">
            <v>0</v>
          </cell>
          <cell r="Q1183">
            <v>0.44344479999999997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0.18185519999999999</v>
          </cell>
          <cell r="Y1183">
            <v>0</v>
          </cell>
          <cell r="Z1183">
            <v>0</v>
          </cell>
          <cell r="AA1183">
            <v>0</v>
          </cell>
          <cell r="AB1183">
            <v>3.01138E-2</v>
          </cell>
        </row>
        <row r="1184">
          <cell r="A1184">
            <v>26213170</v>
          </cell>
          <cell r="B1184" t="str">
            <v>Squid, dried</v>
          </cell>
          <cell r="I1184">
            <v>30</v>
          </cell>
          <cell r="J1184">
            <v>27.462686999999999</v>
          </cell>
          <cell r="K1184">
            <v>0.91542289999999993</v>
          </cell>
          <cell r="L1184">
            <v>0</v>
          </cell>
          <cell r="M1184">
            <v>0.10686569999999999</v>
          </cell>
          <cell r="N1184">
            <v>0.14567160000000001</v>
          </cell>
          <cell r="O1184">
            <v>9.5881000000000004E-3</v>
          </cell>
          <cell r="P1184">
            <v>0</v>
          </cell>
          <cell r="Q1184">
            <v>0.1564179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7.0982100000000006E-2</v>
          </cell>
          <cell r="Y1184">
            <v>0</v>
          </cell>
          <cell r="Z1184">
            <v>0</v>
          </cell>
          <cell r="AA1184">
            <v>0</v>
          </cell>
          <cell r="AB1184">
            <v>7.6724200000000006E-2</v>
          </cell>
        </row>
        <row r="1185">
          <cell r="A1185">
            <v>26213190</v>
          </cell>
          <cell r="B1185" t="str">
            <v>Squid, canned</v>
          </cell>
          <cell r="I1185">
            <v>85</v>
          </cell>
          <cell r="J1185">
            <v>77.733598000000001</v>
          </cell>
          <cell r="K1185">
            <v>0.91451291764705878</v>
          </cell>
          <cell r="L1185">
            <v>0</v>
          </cell>
          <cell r="M1185">
            <v>0.30248510000000001</v>
          </cell>
          <cell r="N1185">
            <v>0.41232600000000003</v>
          </cell>
          <cell r="O1185">
            <v>2.71594E-2</v>
          </cell>
          <cell r="P1185">
            <v>0</v>
          </cell>
          <cell r="Q1185">
            <v>0.44274350000000001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0.2336638</v>
          </cell>
          <cell r="Y1185">
            <v>0</v>
          </cell>
          <cell r="Z1185">
            <v>0</v>
          </cell>
          <cell r="AA1185">
            <v>0</v>
          </cell>
          <cell r="AB1185">
            <v>0.1810177</v>
          </cell>
        </row>
        <row r="1186">
          <cell r="A1186">
            <v>26215120</v>
          </cell>
          <cell r="B1186" t="str">
            <v>Turtle, cooked, NS as to cooking method</v>
          </cell>
          <cell r="I1186">
            <v>85</v>
          </cell>
          <cell r="J1186">
            <v>93.959969999999998</v>
          </cell>
          <cell r="K1186">
            <v>1.1054114117647058</v>
          </cell>
          <cell r="L1186">
            <v>2.7715999999999999E-3</v>
          </cell>
          <cell r="M1186">
            <v>0.436552</v>
          </cell>
          <cell r="N1186">
            <v>4.5418E-2</v>
          </cell>
          <cell r="O1186">
            <v>9.5892500000000006E-2</v>
          </cell>
          <cell r="P1186">
            <v>0</v>
          </cell>
          <cell r="Q1186">
            <v>1.1415131999999999</v>
          </cell>
          <cell r="R1186">
            <v>0</v>
          </cell>
          <cell r="S1186">
            <v>0</v>
          </cell>
          <cell r="T1186">
            <v>0.92385859999999997</v>
          </cell>
          <cell r="U1186">
            <v>0</v>
          </cell>
          <cell r="V1186">
            <v>0</v>
          </cell>
          <cell r="W1186">
            <v>0</v>
          </cell>
          <cell r="X1186">
            <v>0.26306960000000001</v>
          </cell>
          <cell r="Y1186">
            <v>0</v>
          </cell>
          <cell r="Z1186">
            <v>0</v>
          </cell>
          <cell r="AA1186">
            <v>0</v>
          </cell>
          <cell r="AB1186">
            <v>8.6324999999999995E-3</v>
          </cell>
        </row>
        <row r="1187">
          <cell r="A1187">
            <v>26303100</v>
          </cell>
          <cell r="B1187" t="str">
            <v>Clams, raw</v>
          </cell>
          <cell r="I1187">
            <v>110</v>
          </cell>
          <cell r="J1187">
            <v>94.6</v>
          </cell>
          <cell r="K1187">
            <v>0.86</v>
          </cell>
          <cell r="L1187">
            <v>0</v>
          </cell>
          <cell r="M1187">
            <v>0.20569999999999999</v>
          </cell>
          <cell r="N1187">
            <v>0.1177</v>
          </cell>
          <cell r="O1187">
            <v>4.2900000000000001E-2</v>
          </cell>
          <cell r="P1187">
            <v>0</v>
          </cell>
          <cell r="Q1187">
            <v>0.2112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0.66110000000000002</v>
          </cell>
          <cell r="Y1187">
            <v>0</v>
          </cell>
          <cell r="Z1187">
            <v>0</v>
          </cell>
          <cell r="AA1187">
            <v>0</v>
          </cell>
          <cell r="AB1187">
            <v>1.6500000000000001E-2</v>
          </cell>
        </row>
        <row r="1188">
          <cell r="A1188">
            <v>26303110</v>
          </cell>
          <cell r="B1188" t="str">
            <v>Clams, cooked, NS as to cooking method</v>
          </cell>
          <cell r="I1188">
            <v>85</v>
          </cell>
          <cell r="J1188">
            <v>91.526861999999994</v>
          </cell>
          <cell r="K1188">
            <v>1.0767866117647058</v>
          </cell>
          <cell r="L1188">
            <v>2.7715999999999999E-3</v>
          </cell>
          <cell r="M1188">
            <v>0.48521419999999998</v>
          </cell>
          <cell r="N1188">
            <v>8.6780800000000005E-2</v>
          </cell>
          <cell r="O1188">
            <v>3.18207E-2</v>
          </cell>
          <cell r="P1188">
            <v>0</v>
          </cell>
          <cell r="Q1188">
            <v>1.1593559</v>
          </cell>
          <cell r="R1188">
            <v>0</v>
          </cell>
          <cell r="S1188">
            <v>0</v>
          </cell>
          <cell r="T1188">
            <v>0.92385859999999997</v>
          </cell>
          <cell r="U1188">
            <v>0</v>
          </cell>
          <cell r="V1188">
            <v>0</v>
          </cell>
          <cell r="W1188">
            <v>0</v>
          </cell>
          <cell r="X1188">
            <v>0.69535170000000002</v>
          </cell>
          <cell r="Y1188">
            <v>0</v>
          </cell>
          <cell r="Z1188">
            <v>0</v>
          </cell>
          <cell r="AA1188">
            <v>0</v>
          </cell>
          <cell r="AB1188">
            <v>0.20673330000000001</v>
          </cell>
        </row>
        <row r="1189">
          <cell r="A1189">
            <v>26303120</v>
          </cell>
          <cell r="B1189" t="str">
            <v>Clams, baked or broiled, fat added in cooking</v>
          </cell>
          <cell r="I1189">
            <v>85</v>
          </cell>
          <cell r="J1189">
            <v>91.526861999999994</v>
          </cell>
          <cell r="K1189">
            <v>1.0767866117647058</v>
          </cell>
          <cell r="L1189">
            <v>2.7715999999999999E-3</v>
          </cell>
          <cell r="M1189">
            <v>0.48521419999999998</v>
          </cell>
          <cell r="N1189">
            <v>8.6780800000000005E-2</v>
          </cell>
          <cell r="O1189">
            <v>3.18207E-2</v>
          </cell>
          <cell r="P1189">
            <v>0</v>
          </cell>
          <cell r="Q1189">
            <v>1.1593559</v>
          </cell>
          <cell r="R1189">
            <v>0</v>
          </cell>
          <cell r="S1189">
            <v>0</v>
          </cell>
          <cell r="T1189">
            <v>0.92385859999999997</v>
          </cell>
          <cell r="U1189">
            <v>0</v>
          </cell>
          <cell r="V1189">
            <v>0</v>
          </cell>
          <cell r="W1189">
            <v>0</v>
          </cell>
          <cell r="X1189">
            <v>0.69535170000000002</v>
          </cell>
          <cell r="Y1189">
            <v>0</v>
          </cell>
          <cell r="Z1189">
            <v>0</v>
          </cell>
          <cell r="AA1189">
            <v>0</v>
          </cell>
          <cell r="AB1189">
            <v>8.20964E-2</v>
          </cell>
        </row>
        <row r="1190">
          <cell r="A1190">
            <v>26303140</v>
          </cell>
          <cell r="B1190" t="str">
            <v>Clams, coated, fried</v>
          </cell>
          <cell r="I1190">
            <v>85</v>
          </cell>
          <cell r="J1190">
            <v>157.27018000000001</v>
          </cell>
          <cell r="K1190">
            <v>1.850237411764706</v>
          </cell>
          <cell r="L1190">
            <v>0</v>
          </cell>
          <cell r="M1190">
            <v>1.3070647</v>
          </cell>
          <cell r="N1190">
            <v>6.5989800000000001E-2</v>
          </cell>
          <cell r="O1190">
            <v>4.6049199999999998E-2</v>
          </cell>
          <cell r="P1190">
            <v>0.44972839999999997</v>
          </cell>
          <cell r="Q1190">
            <v>3.0432844000000001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0.61009639999999998</v>
          </cell>
          <cell r="Y1190">
            <v>0</v>
          </cell>
          <cell r="Z1190">
            <v>0</v>
          </cell>
          <cell r="AA1190">
            <v>0</v>
          </cell>
          <cell r="AB1190">
            <v>0.24957480000000001</v>
          </cell>
        </row>
        <row r="1191">
          <cell r="A1191">
            <v>26303160</v>
          </cell>
          <cell r="B1191" t="str">
            <v>Clams, steamed or boiled</v>
          </cell>
          <cell r="I1191">
            <v>85</v>
          </cell>
          <cell r="J1191">
            <v>72.779104000000004</v>
          </cell>
          <cell r="K1191">
            <v>0.8562247529411765</v>
          </cell>
          <cell r="L1191">
            <v>0</v>
          </cell>
          <cell r="M1191">
            <v>0.15825220000000001</v>
          </cell>
          <cell r="N1191">
            <v>9.0550699999999998E-2</v>
          </cell>
          <cell r="O1191">
            <v>3.3093999999999998E-2</v>
          </cell>
          <cell r="P1191">
            <v>0</v>
          </cell>
          <cell r="Q1191">
            <v>0.16248360000000001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0.65322690000000005</v>
          </cell>
          <cell r="Y1191">
            <v>0</v>
          </cell>
          <cell r="Z1191">
            <v>0</v>
          </cell>
          <cell r="AA1191">
            <v>0</v>
          </cell>
          <cell r="AB1191">
            <v>1.2694E-2</v>
          </cell>
        </row>
        <row r="1192">
          <cell r="A1192">
            <v>26305110</v>
          </cell>
          <cell r="B1192" t="str">
            <v>Crab, cooked, NS as to cooking method</v>
          </cell>
          <cell r="I1192">
            <v>85</v>
          </cell>
          <cell r="J1192">
            <v>70.086465000000004</v>
          </cell>
          <cell r="K1192">
            <v>0.82454664705882352</v>
          </cell>
          <cell r="L1192">
            <v>0</v>
          </cell>
          <cell r="M1192">
            <v>0.1697275</v>
          </cell>
          <cell r="N1192">
            <v>0.14186180000000001</v>
          </cell>
          <cell r="O1192">
            <v>7.6975799999999997E-2</v>
          </cell>
          <cell r="P1192">
            <v>0</v>
          </cell>
          <cell r="Q1192">
            <v>0.2178591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0.54999799999999999</v>
          </cell>
          <cell r="Y1192">
            <v>0</v>
          </cell>
          <cell r="Z1192">
            <v>0</v>
          </cell>
          <cell r="AA1192">
            <v>0</v>
          </cell>
          <cell r="AB1192">
            <v>1.18218E-2</v>
          </cell>
        </row>
        <row r="1193">
          <cell r="A1193">
            <v>26305120</v>
          </cell>
          <cell r="B1193" t="str">
            <v>Crab, baked or broiled, fat added in cooking</v>
          </cell>
          <cell r="I1193">
            <v>85</v>
          </cell>
          <cell r="J1193">
            <v>89.093754000000004</v>
          </cell>
          <cell r="K1193">
            <v>1.048161811764706</v>
          </cell>
          <cell r="L1193">
            <v>2.7715999999999999E-3</v>
          </cell>
          <cell r="M1193">
            <v>0.49656869999999997</v>
          </cell>
          <cell r="N1193">
            <v>0.13625399999999999</v>
          </cell>
          <cell r="O1193">
            <v>7.3994500000000005E-2</v>
          </cell>
          <cell r="P1193">
            <v>0</v>
          </cell>
          <cell r="Q1193">
            <v>1.2128843</v>
          </cell>
          <cell r="R1193">
            <v>0</v>
          </cell>
          <cell r="S1193">
            <v>0</v>
          </cell>
          <cell r="T1193">
            <v>0.92385859999999997</v>
          </cell>
          <cell r="U1193">
            <v>0</v>
          </cell>
          <cell r="V1193">
            <v>0</v>
          </cell>
          <cell r="W1193">
            <v>0</v>
          </cell>
          <cell r="X1193">
            <v>0.52827829999999998</v>
          </cell>
          <cell r="Y1193">
            <v>0</v>
          </cell>
          <cell r="Z1193">
            <v>0</v>
          </cell>
          <cell r="AA1193">
            <v>0</v>
          </cell>
          <cell r="AB1193">
            <v>1.9987000000000001E-2</v>
          </cell>
        </row>
        <row r="1194">
          <cell r="A1194">
            <v>26305130</v>
          </cell>
          <cell r="B1194" t="str">
            <v>Crab, coated, baked or broiled, fat added in cooking</v>
          </cell>
          <cell r="I1194">
            <v>85</v>
          </cell>
          <cell r="J1194">
            <v>128.74243000000001</v>
          </cell>
          <cell r="K1194">
            <v>1.514616823529412</v>
          </cell>
          <cell r="L1194">
            <v>-4.7200000000000002E-17</v>
          </cell>
          <cell r="M1194">
            <v>0.80406489999999997</v>
          </cell>
          <cell r="N1194">
            <v>0.10400860000000001</v>
          </cell>
          <cell r="O1194">
            <v>7.6326500000000005E-2</v>
          </cell>
          <cell r="P1194">
            <v>0.38383479999999998</v>
          </cell>
          <cell r="Q1194">
            <v>1.8251797999999999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0.443052</v>
          </cell>
          <cell r="Y1194">
            <v>0</v>
          </cell>
          <cell r="Z1194">
            <v>0</v>
          </cell>
          <cell r="AA1194">
            <v>0</v>
          </cell>
          <cell r="AB1194">
            <v>2.4464900000000001E-2</v>
          </cell>
        </row>
        <row r="1195">
          <cell r="A1195">
            <v>26305160</v>
          </cell>
          <cell r="B1195" t="str">
            <v>Crab, hard shell, steamed</v>
          </cell>
          <cell r="I1195">
            <v>85</v>
          </cell>
          <cell r="J1195">
            <v>70.086465000000004</v>
          </cell>
          <cell r="K1195">
            <v>0.82454664705882352</v>
          </cell>
          <cell r="L1195">
            <v>0</v>
          </cell>
          <cell r="M1195">
            <v>0.1697275</v>
          </cell>
          <cell r="N1195">
            <v>0.14186180000000001</v>
          </cell>
          <cell r="O1195">
            <v>7.6975799999999997E-2</v>
          </cell>
          <cell r="P1195">
            <v>0</v>
          </cell>
          <cell r="Q1195">
            <v>0.2178591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0.54999799999999999</v>
          </cell>
          <cell r="Y1195">
            <v>0</v>
          </cell>
          <cell r="Z1195">
            <v>0</v>
          </cell>
          <cell r="AA1195">
            <v>0</v>
          </cell>
          <cell r="AB1195">
            <v>1.18218E-2</v>
          </cell>
        </row>
        <row r="1196">
          <cell r="A1196">
            <v>26305180</v>
          </cell>
          <cell r="B1196" t="str">
            <v>Crab, canned</v>
          </cell>
          <cell r="I1196">
            <v>85</v>
          </cell>
          <cell r="J1196">
            <v>70.55</v>
          </cell>
          <cell r="K1196">
            <v>0.83</v>
          </cell>
          <cell r="L1196">
            <v>0</v>
          </cell>
          <cell r="M1196">
            <v>0.17085</v>
          </cell>
          <cell r="N1196">
            <v>0.14280000000000001</v>
          </cell>
          <cell r="O1196">
            <v>7.7350000000000002E-2</v>
          </cell>
          <cell r="P1196">
            <v>0</v>
          </cell>
          <cell r="Q1196">
            <v>0.21929999999999999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0.47854999999999998</v>
          </cell>
          <cell r="Y1196">
            <v>0</v>
          </cell>
          <cell r="Z1196">
            <v>0</v>
          </cell>
          <cell r="AA1196">
            <v>0</v>
          </cell>
          <cell r="AB1196">
            <v>1.1900000000000001E-2</v>
          </cell>
        </row>
        <row r="1197">
          <cell r="A1197">
            <v>26309140</v>
          </cell>
          <cell r="B1197" t="str">
            <v>Crayfish, coated, fried</v>
          </cell>
          <cell r="I1197">
            <v>85</v>
          </cell>
          <cell r="J1197">
            <v>151.71963</v>
          </cell>
          <cell r="K1197">
            <v>1.7849368235294116</v>
          </cell>
          <cell r="L1197">
            <v>0</v>
          </cell>
          <cell r="M1197">
            <v>1.2897962999999999</v>
          </cell>
          <cell r="N1197">
            <v>8.7575299999999995E-2</v>
          </cell>
          <cell r="O1197">
            <v>3.8648500000000002E-2</v>
          </cell>
          <cell r="P1197">
            <v>0.44972839999999997</v>
          </cell>
          <cell r="Q1197">
            <v>3.1055738000000002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0.2752135</v>
          </cell>
          <cell r="Y1197">
            <v>0</v>
          </cell>
          <cell r="Z1197">
            <v>0</v>
          </cell>
          <cell r="AA1197">
            <v>0</v>
          </cell>
          <cell r="AB1197">
            <v>0.20359550000000001</v>
          </cell>
        </row>
        <row r="1198">
          <cell r="A1198">
            <v>26309160</v>
          </cell>
          <cell r="B1198" t="str">
            <v>Crayfish, boiled or steamed</v>
          </cell>
          <cell r="I1198">
            <v>85</v>
          </cell>
          <cell r="J1198">
            <v>69.242050000000006</v>
          </cell>
          <cell r="K1198">
            <v>0.81461235294117651</v>
          </cell>
          <cell r="L1198">
            <v>0</v>
          </cell>
          <cell r="M1198">
            <v>0.15283920000000001</v>
          </cell>
          <cell r="N1198">
            <v>0.14017289999999999</v>
          </cell>
          <cell r="O1198">
            <v>5.0798900000000001E-2</v>
          </cell>
          <cell r="P1198">
            <v>0</v>
          </cell>
          <cell r="Q1198">
            <v>0.30990040000000002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0.29582900000000001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</row>
        <row r="1199">
          <cell r="A1199">
            <v>26311110</v>
          </cell>
          <cell r="B1199" t="str">
            <v>Lobster, cooked, NS as to cooking method</v>
          </cell>
          <cell r="I1199">
            <v>85</v>
          </cell>
          <cell r="J1199">
            <v>75.152957000000001</v>
          </cell>
          <cell r="K1199">
            <v>0.88415243529411769</v>
          </cell>
          <cell r="L1199">
            <v>0</v>
          </cell>
          <cell r="M1199">
            <v>0.1756384</v>
          </cell>
          <cell r="N1199">
            <v>0.164661</v>
          </cell>
          <cell r="O1199">
            <v>8.1197900000000003E-2</v>
          </cell>
          <cell r="P1199">
            <v>0</v>
          </cell>
          <cell r="Q1199">
            <v>0.2871012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0.62683979999999995</v>
          </cell>
          <cell r="Y1199">
            <v>0</v>
          </cell>
          <cell r="Z1199">
            <v>0</v>
          </cell>
          <cell r="AA1199">
            <v>0</v>
          </cell>
          <cell r="AB1199">
            <v>1.09774E-2</v>
          </cell>
        </row>
        <row r="1200">
          <cell r="A1200">
            <v>26311120</v>
          </cell>
          <cell r="B1200" t="str">
            <v>Lobster, baked or broiled, fat added in cooking</v>
          </cell>
          <cell r="I1200">
            <v>85</v>
          </cell>
          <cell r="J1200">
            <v>84.227537999999996</v>
          </cell>
          <cell r="K1200">
            <v>0.99091221176470579</v>
          </cell>
          <cell r="L1200">
            <v>2.7715999999999999E-3</v>
          </cell>
          <cell r="M1200">
            <v>0.480348</v>
          </cell>
          <cell r="N1200">
            <v>0.1378761</v>
          </cell>
          <cell r="O1200">
            <v>6.8317299999999997E-2</v>
          </cell>
          <cell r="P1200">
            <v>0</v>
          </cell>
          <cell r="Q1200">
            <v>1.2437037</v>
          </cell>
          <cell r="R1200">
            <v>0</v>
          </cell>
          <cell r="S1200">
            <v>0</v>
          </cell>
          <cell r="T1200">
            <v>0.92385859999999997</v>
          </cell>
          <cell r="U1200">
            <v>0</v>
          </cell>
          <cell r="V1200">
            <v>0</v>
          </cell>
          <cell r="W1200">
            <v>0</v>
          </cell>
          <cell r="X1200">
            <v>0.55098729999999996</v>
          </cell>
          <cell r="Y1200">
            <v>0</v>
          </cell>
          <cell r="Z1200">
            <v>0</v>
          </cell>
          <cell r="AA1200">
            <v>0</v>
          </cell>
          <cell r="AB1200">
            <v>1.7553900000000001E-2</v>
          </cell>
        </row>
        <row r="1201">
          <cell r="A1201">
            <v>26311121</v>
          </cell>
          <cell r="B1201" t="str">
            <v>Lobster, baked or broiled, fat not added in cooking</v>
          </cell>
          <cell r="I1201">
            <v>85</v>
          </cell>
          <cell r="J1201">
            <v>64.501671000000002</v>
          </cell>
          <cell r="K1201">
            <v>0.75884318823529417</v>
          </cell>
          <cell r="L1201">
            <v>2.8533999999999999E-3</v>
          </cell>
          <cell r="M1201">
            <v>0.15150939999999999</v>
          </cell>
          <cell r="N1201">
            <v>0.1419443</v>
          </cell>
          <cell r="O1201">
            <v>7.0326799999999995E-2</v>
          </cell>
          <cell r="P1201">
            <v>0</v>
          </cell>
          <cell r="Q1201">
            <v>0.24734980000000001</v>
          </cell>
          <cell r="R1201">
            <v>0</v>
          </cell>
          <cell r="S1201">
            <v>0</v>
          </cell>
          <cell r="T1201">
            <v>0.95111820000000002</v>
          </cell>
          <cell r="U1201">
            <v>0</v>
          </cell>
          <cell r="V1201">
            <v>0</v>
          </cell>
          <cell r="W1201">
            <v>0</v>
          </cell>
          <cell r="X1201">
            <v>0.56723230000000002</v>
          </cell>
          <cell r="Y1201">
            <v>0</v>
          </cell>
          <cell r="Z1201">
            <v>0</v>
          </cell>
          <cell r="AA1201">
            <v>0</v>
          </cell>
          <cell r="AB1201">
            <v>9.1845999999999994E-3</v>
          </cell>
        </row>
        <row r="1202">
          <cell r="A1202">
            <v>26311140</v>
          </cell>
          <cell r="B1202" t="str">
            <v>Lobster, coated, fried</v>
          </cell>
          <cell r="I1202">
            <v>85</v>
          </cell>
          <cell r="J1202">
            <v>151.71963</v>
          </cell>
          <cell r="K1202">
            <v>1.7849368235294116</v>
          </cell>
          <cell r="L1202">
            <v>0</v>
          </cell>
          <cell r="M1202">
            <v>1.3033642999999999</v>
          </cell>
          <cell r="N1202">
            <v>0.1048436</v>
          </cell>
          <cell r="O1202">
            <v>7.3802000000000006E-2</v>
          </cell>
          <cell r="P1202">
            <v>0.44972839999999997</v>
          </cell>
          <cell r="Q1202">
            <v>3.107424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0.50031890000000001</v>
          </cell>
          <cell r="Y1202">
            <v>0</v>
          </cell>
          <cell r="Z1202">
            <v>0</v>
          </cell>
          <cell r="AA1202">
            <v>0</v>
          </cell>
          <cell r="AB1202">
            <v>8.1486600000000006E-2</v>
          </cell>
        </row>
        <row r="1203">
          <cell r="A1203">
            <v>26311160</v>
          </cell>
          <cell r="B1203" t="str">
            <v>Lobster, steamed or boiled</v>
          </cell>
          <cell r="I1203">
            <v>85</v>
          </cell>
          <cell r="J1203">
            <v>75.152957000000001</v>
          </cell>
          <cell r="K1203">
            <v>0.88415243529411769</v>
          </cell>
          <cell r="L1203">
            <v>0</v>
          </cell>
          <cell r="M1203">
            <v>0.1756384</v>
          </cell>
          <cell r="N1203">
            <v>0.164661</v>
          </cell>
          <cell r="O1203">
            <v>8.1197900000000003E-2</v>
          </cell>
          <cell r="P1203">
            <v>0</v>
          </cell>
          <cell r="Q1203">
            <v>0.2871012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0.62683979999999995</v>
          </cell>
          <cell r="Y1203">
            <v>0</v>
          </cell>
          <cell r="Z1203">
            <v>0</v>
          </cell>
          <cell r="AA1203">
            <v>0</v>
          </cell>
          <cell r="AB1203">
            <v>1.09774E-2</v>
          </cell>
        </row>
        <row r="1204">
          <cell r="A1204">
            <v>26313100</v>
          </cell>
          <cell r="B1204" t="str">
            <v>Mussels, raw</v>
          </cell>
          <cell r="I1204">
            <v>85</v>
          </cell>
          <cell r="J1204">
            <v>73.099999999999994</v>
          </cell>
          <cell r="K1204">
            <v>0.86</v>
          </cell>
          <cell r="L1204">
            <v>0</v>
          </cell>
          <cell r="M1204">
            <v>0.36125000000000002</v>
          </cell>
          <cell r="N1204">
            <v>0.37485000000000002</v>
          </cell>
          <cell r="O1204">
            <v>2.2100000000000002E-2</v>
          </cell>
          <cell r="P1204">
            <v>0</v>
          </cell>
          <cell r="Q1204">
            <v>0.5151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0.24310000000000001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</row>
        <row r="1205">
          <cell r="A1205">
            <v>26313110</v>
          </cell>
          <cell r="B1205" t="str">
            <v>Mussels, cooked, NS as to cooking method</v>
          </cell>
          <cell r="I1205">
            <v>85</v>
          </cell>
          <cell r="J1205">
            <v>72.779104000000004</v>
          </cell>
          <cell r="K1205">
            <v>0.8562247529411765</v>
          </cell>
          <cell r="L1205">
            <v>0</v>
          </cell>
          <cell r="M1205">
            <v>0.35966419999999999</v>
          </cell>
          <cell r="N1205">
            <v>0.37320449999999999</v>
          </cell>
          <cell r="O1205">
            <v>2.2092500000000001E-2</v>
          </cell>
          <cell r="P1205">
            <v>0</v>
          </cell>
          <cell r="Q1205">
            <v>0.51283880000000004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0.3866522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</row>
        <row r="1206">
          <cell r="A1206">
            <v>26313160</v>
          </cell>
          <cell r="B1206" t="str">
            <v>Mussels, steamed or poached</v>
          </cell>
          <cell r="I1206">
            <v>85</v>
          </cell>
          <cell r="J1206">
            <v>72.779104000000004</v>
          </cell>
          <cell r="K1206">
            <v>0.8562247529411765</v>
          </cell>
          <cell r="L1206">
            <v>0</v>
          </cell>
          <cell r="M1206">
            <v>0.35966419999999999</v>
          </cell>
          <cell r="N1206">
            <v>0.37320449999999999</v>
          </cell>
          <cell r="O1206">
            <v>2.2092500000000001E-2</v>
          </cell>
          <cell r="P1206">
            <v>0</v>
          </cell>
          <cell r="Q1206">
            <v>0.51283880000000004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0.3866522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</row>
        <row r="1207">
          <cell r="A1207">
            <v>26315100</v>
          </cell>
          <cell r="B1207" t="str">
            <v>Oysters, raw</v>
          </cell>
          <cell r="I1207">
            <v>110</v>
          </cell>
          <cell r="J1207">
            <v>56.1</v>
          </cell>
          <cell r="K1207">
            <v>0.51</v>
          </cell>
          <cell r="L1207">
            <v>0</v>
          </cell>
          <cell r="M1207">
            <v>0.52139999999999997</v>
          </cell>
          <cell r="N1207">
            <v>0.34429999999999999</v>
          </cell>
          <cell r="O1207">
            <v>6.4899999999999999E-2</v>
          </cell>
          <cell r="P1207">
            <v>0</v>
          </cell>
          <cell r="Q1207">
            <v>0.58079999999999998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9.35E-2</v>
          </cell>
          <cell r="Y1207">
            <v>0</v>
          </cell>
          <cell r="Z1207">
            <v>0</v>
          </cell>
          <cell r="AA1207">
            <v>0</v>
          </cell>
          <cell r="AB1207">
            <v>3.7400000000000003E-2</v>
          </cell>
        </row>
        <row r="1208">
          <cell r="A1208">
            <v>26315110</v>
          </cell>
          <cell r="B1208" t="str">
            <v>Oysters, cooked, NS as to cooking method</v>
          </cell>
          <cell r="I1208">
            <v>85</v>
          </cell>
          <cell r="J1208">
            <v>135.68473</v>
          </cell>
          <cell r="K1208">
            <v>1.5962909411764705</v>
          </cell>
          <cell r="L1208">
            <v>0</v>
          </cell>
          <cell r="M1208">
            <v>1.4840654</v>
          </cell>
          <cell r="N1208">
            <v>0.1930356</v>
          </cell>
          <cell r="O1208">
            <v>5.83838E-2</v>
          </cell>
          <cell r="P1208">
            <v>0.44972839999999997</v>
          </cell>
          <cell r="Q1208">
            <v>3.2505047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0.29186509999999999</v>
          </cell>
          <cell r="Y1208">
            <v>0</v>
          </cell>
          <cell r="Z1208">
            <v>0</v>
          </cell>
          <cell r="AA1208">
            <v>0</v>
          </cell>
          <cell r="AB1208">
            <v>4.5858599999999999E-2</v>
          </cell>
        </row>
        <row r="1209">
          <cell r="A1209">
            <v>26315120</v>
          </cell>
          <cell r="B1209" t="str">
            <v>Oysters, baked or broiled, fat added in cooking</v>
          </cell>
          <cell r="I1209">
            <v>85</v>
          </cell>
          <cell r="J1209">
            <v>63.140604000000003</v>
          </cell>
          <cell r="K1209">
            <v>0.74283063529411764</v>
          </cell>
          <cell r="L1209">
            <v>2.7715999999999999E-3</v>
          </cell>
          <cell r="M1209">
            <v>0.71798150000000005</v>
          </cell>
          <cell r="N1209">
            <v>0.25385429999999998</v>
          </cell>
          <cell r="O1209">
            <v>4.8041399999999998E-2</v>
          </cell>
          <cell r="P1209">
            <v>0</v>
          </cell>
          <cell r="Q1209">
            <v>1.431864</v>
          </cell>
          <cell r="R1209">
            <v>0</v>
          </cell>
          <cell r="S1209">
            <v>0</v>
          </cell>
          <cell r="T1209">
            <v>0.92385859999999997</v>
          </cell>
          <cell r="U1209">
            <v>0</v>
          </cell>
          <cell r="V1209">
            <v>0</v>
          </cell>
          <cell r="W1209">
            <v>0</v>
          </cell>
          <cell r="X1209">
            <v>0.27685720000000003</v>
          </cell>
          <cell r="Y1209">
            <v>0</v>
          </cell>
          <cell r="Z1209">
            <v>0</v>
          </cell>
          <cell r="AA1209">
            <v>0</v>
          </cell>
          <cell r="AB1209">
            <v>3.6207700000000002E-2</v>
          </cell>
        </row>
        <row r="1210">
          <cell r="A1210">
            <v>26315130</v>
          </cell>
          <cell r="B1210" t="str">
            <v>Oysters, steamed</v>
          </cell>
          <cell r="I1210">
            <v>85</v>
          </cell>
          <cell r="J1210">
            <v>43.159700999999998</v>
          </cell>
          <cell r="K1210">
            <v>0.50776118823529415</v>
          </cell>
          <cell r="L1210">
            <v>0</v>
          </cell>
          <cell r="M1210">
            <v>0.40113130000000002</v>
          </cell>
          <cell r="N1210">
            <v>0.26488210000000001</v>
          </cell>
          <cell r="O1210">
            <v>5.0019399999999999E-2</v>
          </cell>
          <cell r="P1210">
            <v>0</v>
          </cell>
          <cell r="Q1210">
            <v>0.4468299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0.2165522</v>
          </cell>
          <cell r="Y1210">
            <v>0</v>
          </cell>
          <cell r="Z1210">
            <v>0</v>
          </cell>
          <cell r="AA1210">
            <v>0</v>
          </cell>
          <cell r="AB1210">
            <v>2.8773099999999999E-2</v>
          </cell>
        </row>
        <row r="1211">
          <cell r="A1211">
            <v>26315140</v>
          </cell>
          <cell r="B1211" t="str">
            <v>Oysters, coated, fried</v>
          </cell>
          <cell r="I1211">
            <v>85</v>
          </cell>
          <cell r="J1211">
            <v>135.68473</v>
          </cell>
          <cell r="K1211">
            <v>1.5962909411764705</v>
          </cell>
          <cell r="L1211">
            <v>0</v>
          </cell>
          <cell r="M1211">
            <v>1.4840654</v>
          </cell>
          <cell r="N1211">
            <v>0.1930356</v>
          </cell>
          <cell r="O1211">
            <v>5.83838E-2</v>
          </cell>
          <cell r="P1211">
            <v>0.44972839999999997</v>
          </cell>
          <cell r="Q1211">
            <v>3.2505047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0.29186509999999999</v>
          </cell>
          <cell r="Y1211">
            <v>0</v>
          </cell>
          <cell r="Z1211">
            <v>0</v>
          </cell>
          <cell r="AA1211">
            <v>0</v>
          </cell>
          <cell r="AB1211">
            <v>0.1286243</v>
          </cell>
        </row>
        <row r="1212">
          <cell r="A1212">
            <v>26315160</v>
          </cell>
          <cell r="B1212" t="str">
            <v>Oysters, coated, baked or broiled, fat added in cooking</v>
          </cell>
          <cell r="I1212">
            <v>85</v>
          </cell>
          <cell r="J1212">
            <v>108.83468000000001</v>
          </cell>
          <cell r="K1212">
            <v>1.280408</v>
          </cell>
          <cell r="L1212">
            <v>-4.7200000000000002E-17</v>
          </cell>
          <cell r="M1212">
            <v>0.96661330000000001</v>
          </cell>
          <cell r="N1212">
            <v>0.19377800000000001</v>
          </cell>
          <cell r="O1212">
            <v>5.6536200000000002E-2</v>
          </cell>
          <cell r="P1212">
            <v>0.38383479999999998</v>
          </cell>
          <cell r="Q1212">
            <v>1.9916754999999999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0.25112719999999999</v>
          </cell>
          <cell r="Y1212">
            <v>0</v>
          </cell>
          <cell r="Z1212">
            <v>0</v>
          </cell>
          <cell r="AA1212">
            <v>0</v>
          </cell>
          <cell r="AB1212">
            <v>3.6846900000000002E-2</v>
          </cell>
        </row>
        <row r="1213">
          <cell r="A1213">
            <v>26315190</v>
          </cell>
          <cell r="B1213" t="str">
            <v>Oysters, smoked</v>
          </cell>
          <cell r="I1213">
            <v>55</v>
          </cell>
          <cell r="J1213">
            <v>27.841190999999998</v>
          </cell>
          <cell r="K1213">
            <v>0.50620347272727273</v>
          </cell>
          <cell r="L1213">
            <v>0</v>
          </cell>
          <cell r="M1213">
            <v>0.25875930000000003</v>
          </cell>
          <cell r="N1213">
            <v>0.17086850000000001</v>
          </cell>
          <cell r="O1213">
            <v>3.2306700000000001E-2</v>
          </cell>
          <cell r="P1213">
            <v>0</v>
          </cell>
          <cell r="Q1213">
            <v>0.2882382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0.20508860000000001</v>
          </cell>
          <cell r="Y1213">
            <v>0</v>
          </cell>
          <cell r="Z1213">
            <v>0</v>
          </cell>
          <cell r="AA1213">
            <v>0</v>
          </cell>
          <cell r="AB1213">
            <v>1.8560799999999999E-2</v>
          </cell>
        </row>
        <row r="1214">
          <cell r="A1214">
            <v>26317110</v>
          </cell>
          <cell r="B1214" t="str">
            <v>Scallops, cooked, NS as to cooking method</v>
          </cell>
          <cell r="I1214">
            <v>85</v>
          </cell>
          <cell r="J1214">
            <v>77.739250999999996</v>
          </cell>
          <cell r="K1214">
            <v>0.91457942352941168</v>
          </cell>
          <cell r="L1214">
            <v>2.7715999999999999E-3</v>
          </cell>
          <cell r="M1214">
            <v>0.4373631</v>
          </cell>
          <cell r="N1214">
            <v>8.3536700000000005E-2</v>
          </cell>
          <cell r="O1214">
            <v>5.0565000000000002E-3</v>
          </cell>
          <cell r="P1214">
            <v>0</v>
          </cell>
          <cell r="Q1214">
            <v>1.1090717000000001</v>
          </cell>
          <cell r="R1214">
            <v>0</v>
          </cell>
          <cell r="S1214">
            <v>0</v>
          </cell>
          <cell r="T1214">
            <v>0.92385859999999997</v>
          </cell>
          <cell r="U1214">
            <v>0</v>
          </cell>
          <cell r="V1214">
            <v>0</v>
          </cell>
          <cell r="W1214">
            <v>0</v>
          </cell>
          <cell r="X1214">
            <v>0.52584520000000001</v>
          </cell>
          <cell r="Y1214">
            <v>0</v>
          </cell>
          <cell r="Z1214">
            <v>0</v>
          </cell>
          <cell r="AA1214">
            <v>0</v>
          </cell>
          <cell r="AB1214">
            <v>0.48693059999999999</v>
          </cell>
        </row>
        <row r="1215">
          <cell r="A1215">
            <v>26317120</v>
          </cell>
          <cell r="B1215" t="str">
            <v>Scallops, baked or broiled, fat added in cooking</v>
          </cell>
          <cell r="I1215">
            <v>85</v>
          </cell>
          <cell r="J1215">
            <v>77.739250999999996</v>
          </cell>
          <cell r="K1215">
            <v>0.91457942352941168</v>
          </cell>
          <cell r="L1215">
            <v>2.7715999999999999E-3</v>
          </cell>
          <cell r="M1215">
            <v>0.4373631</v>
          </cell>
          <cell r="N1215">
            <v>8.3536700000000005E-2</v>
          </cell>
          <cell r="O1215">
            <v>5.0565000000000002E-3</v>
          </cell>
          <cell r="P1215">
            <v>0</v>
          </cell>
          <cell r="Q1215">
            <v>1.1090717000000001</v>
          </cell>
          <cell r="R1215">
            <v>0</v>
          </cell>
          <cell r="S1215">
            <v>0</v>
          </cell>
          <cell r="T1215">
            <v>0.92385859999999997</v>
          </cell>
          <cell r="U1215">
            <v>0</v>
          </cell>
          <cell r="V1215">
            <v>0</v>
          </cell>
          <cell r="W1215">
            <v>0</v>
          </cell>
          <cell r="X1215">
            <v>0.52584520000000001</v>
          </cell>
          <cell r="Y1215">
            <v>0</v>
          </cell>
          <cell r="Z1215">
            <v>0</v>
          </cell>
          <cell r="AA1215">
            <v>0</v>
          </cell>
          <cell r="AB1215">
            <v>2.4634E-2</v>
          </cell>
        </row>
        <row r="1216">
          <cell r="A1216">
            <v>26317121</v>
          </cell>
          <cell r="B1216" t="str">
            <v>Scallops, baked or broiled, fat not added in cooking</v>
          </cell>
          <cell r="I1216">
            <v>85</v>
          </cell>
          <cell r="J1216">
            <v>57.821938000000003</v>
          </cell>
          <cell r="K1216">
            <v>0.68025809411764704</v>
          </cell>
          <cell r="L1216">
            <v>2.8533999999999999E-3</v>
          </cell>
          <cell r="M1216">
            <v>0.1072562</v>
          </cell>
          <cell r="N1216">
            <v>8.6001599999999997E-2</v>
          </cell>
          <cell r="O1216">
            <v>5.1993999999999999E-3</v>
          </cell>
          <cell r="P1216">
            <v>0</v>
          </cell>
          <cell r="Q1216">
            <v>0.10874540000000001</v>
          </cell>
          <cell r="R1216">
            <v>0</v>
          </cell>
          <cell r="S1216">
            <v>0</v>
          </cell>
          <cell r="T1216">
            <v>0.95111820000000002</v>
          </cell>
          <cell r="U1216">
            <v>0</v>
          </cell>
          <cell r="V1216">
            <v>0</v>
          </cell>
          <cell r="W1216">
            <v>0</v>
          </cell>
          <cell r="X1216">
            <v>0.54134839999999995</v>
          </cell>
          <cell r="Y1216">
            <v>0</v>
          </cell>
          <cell r="Z1216">
            <v>0</v>
          </cell>
          <cell r="AA1216">
            <v>0</v>
          </cell>
          <cell r="AB1216">
            <v>4.1748000000000002E-3</v>
          </cell>
        </row>
        <row r="1217">
          <cell r="A1217">
            <v>26317130</v>
          </cell>
          <cell r="B1217" t="str">
            <v>Scallops, steamed or boiled</v>
          </cell>
          <cell r="I1217">
            <v>85</v>
          </cell>
          <cell r="J1217">
            <v>58.392536999999997</v>
          </cell>
          <cell r="K1217">
            <v>0.68697102352941175</v>
          </cell>
          <cell r="L1217">
            <v>0</v>
          </cell>
          <cell r="M1217">
            <v>0.1083224</v>
          </cell>
          <cell r="N1217">
            <v>8.7165699999999999E-2</v>
          </cell>
          <cell r="O1217">
            <v>5.1672000000000003E-3</v>
          </cell>
          <cell r="P1217">
            <v>0</v>
          </cell>
          <cell r="Q1217">
            <v>0.1100149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0.47635670000000002</v>
          </cell>
          <cell r="Y1217">
            <v>0</v>
          </cell>
          <cell r="Z1217">
            <v>0</v>
          </cell>
          <cell r="AA1217">
            <v>0</v>
          </cell>
          <cell r="AB1217">
            <v>4.2313000000000003E-3</v>
          </cell>
        </row>
        <row r="1218">
          <cell r="A1218">
            <v>26317140</v>
          </cell>
          <cell r="B1218" t="str">
            <v>Scallops, coated, fried</v>
          </cell>
          <cell r="I1218">
            <v>85</v>
          </cell>
          <cell r="J1218">
            <v>146.78582</v>
          </cell>
          <cell r="K1218">
            <v>1.7268920000000001</v>
          </cell>
          <cell r="L1218">
            <v>0</v>
          </cell>
          <cell r="M1218">
            <v>1.2706778000000001</v>
          </cell>
          <cell r="N1218">
            <v>6.3522899999999993E-2</v>
          </cell>
          <cell r="O1218">
            <v>2.56972E-2</v>
          </cell>
          <cell r="P1218">
            <v>0.44972839999999997</v>
          </cell>
          <cell r="Q1218">
            <v>3.0050473000000002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0.48120039999999997</v>
          </cell>
          <cell r="Y1218">
            <v>0</v>
          </cell>
          <cell r="Z1218">
            <v>0</v>
          </cell>
          <cell r="AA1218">
            <v>0</v>
          </cell>
          <cell r="AB1218">
            <v>0.35338829999999999</v>
          </cell>
        </row>
        <row r="1219">
          <cell r="A1219">
            <v>26317160</v>
          </cell>
          <cell r="B1219" t="str">
            <v>Scallops, coated, baked or broiled, fat added in cooking</v>
          </cell>
          <cell r="I1219">
            <v>85</v>
          </cell>
          <cell r="J1219">
            <v>119.97846</v>
          </cell>
          <cell r="K1219">
            <v>1.4115112941176471</v>
          </cell>
          <cell r="L1219">
            <v>-4.7200000000000002E-17</v>
          </cell>
          <cell r="M1219">
            <v>0.75240499999999999</v>
          </cell>
          <cell r="N1219">
            <v>6.3767199999999996E-2</v>
          </cell>
          <cell r="O1219">
            <v>2.3723899999999999E-2</v>
          </cell>
          <cell r="P1219">
            <v>0.38383479999999998</v>
          </cell>
          <cell r="Q1219">
            <v>1.7452741000000001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0.44119049999999999</v>
          </cell>
          <cell r="Y1219">
            <v>0</v>
          </cell>
          <cell r="Z1219">
            <v>0</v>
          </cell>
          <cell r="AA1219">
            <v>0</v>
          </cell>
          <cell r="AB1219">
            <v>2.7811700000000002E-2</v>
          </cell>
        </row>
        <row r="1220">
          <cell r="A1220">
            <v>26319110</v>
          </cell>
          <cell r="B1220" t="str">
            <v>Shrimp, cooked, NS as to cooking method</v>
          </cell>
          <cell r="I1220">
            <v>85</v>
          </cell>
          <cell r="J1220">
            <v>148.01927000000001</v>
          </cell>
          <cell r="K1220">
            <v>1.7414031764705884</v>
          </cell>
          <cell r="L1220">
            <v>0</v>
          </cell>
          <cell r="M1220">
            <v>1.3527024999999999</v>
          </cell>
          <cell r="N1220">
            <v>8.5108400000000001E-2</v>
          </cell>
          <cell r="O1220">
            <v>5.5300099999999998E-2</v>
          </cell>
          <cell r="P1220">
            <v>0.44972839999999997</v>
          </cell>
          <cell r="Q1220">
            <v>3.1068072999999998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0.58851089999999995</v>
          </cell>
          <cell r="Y1220">
            <v>0</v>
          </cell>
          <cell r="Z1220">
            <v>0</v>
          </cell>
          <cell r="AA1220">
            <v>0</v>
          </cell>
          <cell r="AB1220">
            <v>3.5991000000000002E-2</v>
          </cell>
        </row>
        <row r="1221">
          <cell r="A1221">
            <v>26319120</v>
          </cell>
          <cell r="B1221" t="str">
            <v>Shrimp, baked or broiled, made with oil</v>
          </cell>
          <cell r="I1221">
            <v>85</v>
          </cell>
          <cell r="J1221">
            <v>79.361322999999999</v>
          </cell>
          <cell r="K1221">
            <v>0.93366262352941176</v>
          </cell>
          <cell r="L1221">
            <v>2.7715999999999999E-3</v>
          </cell>
          <cell r="M1221">
            <v>0.54523080000000002</v>
          </cell>
          <cell r="N1221">
            <v>0.11192299999999999</v>
          </cell>
          <cell r="O1221">
            <v>4.3986200000000003E-2</v>
          </cell>
          <cell r="P1221">
            <v>0</v>
          </cell>
          <cell r="Q1221">
            <v>1.2428927000000001</v>
          </cell>
          <cell r="R1221">
            <v>0</v>
          </cell>
          <cell r="S1221">
            <v>0</v>
          </cell>
          <cell r="T1221">
            <v>0.92385859999999997</v>
          </cell>
          <cell r="U1221">
            <v>0</v>
          </cell>
          <cell r="V1221">
            <v>0</v>
          </cell>
          <cell r="W1221">
            <v>0</v>
          </cell>
          <cell r="X1221">
            <v>0.66696549999999999</v>
          </cell>
          <cell r="Y1221">
            <v>0</v>
          </cell>
          <cell r="Z1221">
            <v>0</v>
          </cell>
          <cell r="AA1221">
            <v>0</v>
          </cell>
          <cell r="AB1221">
            <v>2.3231100000000001E-2</v>
          </cell>
        </row>
        <row r="1222">
          <cell r="A1222">
            <v>26319121</v>
          </cell>
          <cell r="B1222" t="str">
            <v>Shrimp, baked or broiled, made with butter</v>
          </cell>
          <cell r="I1222">
            <v>85</v>
          </cell>
          <cell r="J1222">
            <v>75.885870999999995</v>
          </cell>
          <cell r="K1222">
            <v>0.89277495294117637</v>
          </cell>
          <cell r="L1222">
            <v>2.7683E-3</v>
          </cell>
          <cell r="M1222">
            <v>1.5133671</v>
          </cell>
          <cell r="N1222">
            <v>0.1117906</v>
          </cell>
          <cell r="O1222">
            <v>4.4536199999999998E-2</v>
          </cell>
          <cell r="P1222">
            <v>0</v>
          </cell>
          <cell r="Q1222">
            <v>0.3162702</v>
          </cell>
          <cell r="R1222">
            <v>0</v>
          </cell>
          <cell r="S1222">
            <v>0</v>
          </cell>
          <cell r="T1222">
            <v>0.92276579999999997</v>
          </cell>
          <cell r="U1222">
            <v>0</v>
          </cell>
          <cell r="V1222">
            <v>0</v>
          </cell>
          <cell r="W1222">
            <v>0</v>
          </cell>
          <cell r="X1222">
            <v>0.68245679999999997</v>
          </cell>
          <cell r="Y1222">
            <v>0</v>
          </cell>
          <cell r="Z1222">
            <v>0</v>
          </cell>
          <cell r="AA1222">
            <v>0</v>
          </cell>
          <cell r="AB1222">
            <v>9.7639699999999996E-2</v>
          </cell>
        </row>
        <row r="1223">
          <cell r="A1223">
            <v>26319123</v>
          </cell>
          <cell r="B1223" t="str">
            <v>Shrimp, baked or broiled, made without fat</v>
          </cell>
          <cell r="I1223">
            <v>85</v>
          </cell>
          <cell r="J1223">
            <v>59.491871000000003</v>
          </cell>
          <cell r="K1223">
            <v>0.69990436470588235</v>
          </cell>
          <cell r="L1223">
            <v>2.8533999999999999E-3</v>
          </cell>
          <cell r="M1223">
            <v>0.21830669999999999</v>
          </cell>
          <cell r="N1223">
            <v>0.11522540000000001</v>
          </cell>
          <cell r="O1223">
            <v>4.52778E-2</v>
          </cell>
          <cell r="P1223">
            <v>0</v>
          </cell>
          <cell r="Q1223">
            <v>0.24651490000000001</v>
          </cell>
          <cell r="R1223">
            <v>0</v>
          </cell>
          <cell r="S1223">
            <v>0</v>
          </cell>
          <cell r="T1223">
            <v>0.95111820000000002</v>
          </cell>
          <cell r="U1223">
            <v>0</v>
          </cell>
          <cell r="V1223">
            <v>0</v>
          </cell>
          <cell r="W1223">
            <v>0</v>
          </cell>
          <cell r="X1223">
            <v>0.68663249999999998</v>
          </cell>
          <cell r="Y1223">
            <v>0</v>
          </cell>
          <cell r="Z1223">
            <v>0</v>
          </cell>
          <cell r="AA1223">
            <v>0</v>
          </cell>
          <cell r="AB1223">
            <v>1.50294E-2</v>
          </cell>
        </row>
        <row r="1224">
          <cell r="A1224">
            <v>26319124</v>
          </cell>
          <cell r="B1224" t="str">
            <v>Shrimp, baked or broiled, made with cooking spray</v>
          </cell>
          <cell r="I1224">
            <v>85</v>
          </cell>
          <cell r="J1224">
            <v>61.874859000000001</v>
          </cell>
          <cell r="K1224">
            <v>0.72793951764705889</v>
          </cell>
          <cell r="L1224">
            <v>2.8422999999999999E-3</v>
          </cell>
          <cell r="M1224">
            <v>0.234044</v>
          </cell>
          <cell r="N1224">
            <v>0.11477800000000001</v>
          </cell>
          <cell r="O1224">
            <v>4.5102000000000003E-2</v>
          </cell>
          <cell r="P1224">
            <v>0</v>
          </cell>
          <cell r="Q1224">
            <v>0.31864710000000002</v>
          </cell>
          <cell r="R1224">
            <v>0</v>
          </cell>
          <cell r="S1224">
            <v>0</v>
          </cell>
          <cell r="T1224">
            <v>0.94742510000000002</v>
          </cell>
          <cell r="U1224">
            <v>0</v>
          </cell>
          <cell r="V1224">
            <v>0</v>
          </cell>
          <cell r="W1224">
            <v>0</v>
          </cell>
          <cell r="X1224">
            <v>0.68416109999999997</v>
          </cell>
          <cell r="Y1224">
            <v>0</v>
          </cell>
          <cell r="Z1224">
            <v>0</v>
          </cell>
          <cell r="AA1224">
            <v>0</v>
          </cell>
          <cell r="AB1224">
            <v>1.4971E-2</v>
          </cell>
        </row>
        <row r="1225">
          <cell r="A1225">
            <v>26319130</v>
          </cell>
          <cell r="B1225" t="str">
            <v>Shrimp, steamed or boiled</v>
          </cell>
          <cell r="I1225">
            <v>85</v>
          </cell>
          <cell r="J1225">
            <v>60.085075000000003</v>
          </cell>
          <cell r="K1225">
            <v>0.70688323529411767</v>
          </cell>
          <cell r="L1225">
            <v>0</v>
          </cell>
          <cell r="M1225">
            <v>0.22087609999999999</v>
          </cell>
          <cell r="N1225">
            <v>0.1167851</v>
          </cell>
          <cell r="O1225">
            <v>4.5788099999999998E-2</v>
          </cell>
          <cell r="P1225">
            <v>0</v>
          </cell>
          <cell r="Q1225">
            <v>0.24964929999999999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0.62360749999999998</v>
          </cell>
          <cell r="Y1225">
            <v>0</v>
          </cell>
          <cell r="Z1225">
            <v>0</v>
          </cell>
          <cell r="AA1225">
            <v>0</v>
          </cell>
          <cell r="AB1225">
            <v>1.5232799999999999E-2</v>
          </cell>
        </row>
        <row r="1226">
          <cell r="A1226">
            <v>26319140</v>
          </cell>
          <cell r="B1226" t="str">
            <v>Shrimp, coated, fried, made with oil</v>
          </cell>
          <cell r="I1226">
            <v>85</v>
          </cell>
          <cell r="J1226">
            <v>148.01927000000001</v>
          </cell>
          <cell r="K1226">
            <v>1.7414031764705884</v>
          </cell>
          <cell r="L1226">
            <v>0</v>
          </cell>
          <cell r="M1226">
            <v>1.3527024999999999</v>
          </cell>
          <cell r="N1226">
            <v>8.5108400000000001E-2</v>
          </cell>
          <cell r="O1226">
            <v>5.5300099999999998E-2</v>
          </cell>
          <cell r="P1226">
            <v>0.44972839999999997</v>
          </cell>
          <cell r="Q1226">
            <v>3.1068072999999998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0.58851089999999995</v>
          </cell>
          <cell r="Y1226">
            <v>0</v>
          </cell>
          <cell r="Z1226">
            <v>0</v>
          </cell>
          <cell r="AA1226">
            <v>0</v>
          </cell>
          <cell r="AB1226">
            <v>0.51861440000000003</v>
          </cell>
        </row>
        <row r="1227">
          <cell r="A1227">
            <v>26319142</v>
          </cell>
          <cell r="B1227" t="str">
            <v>Shrimp, coated, fried, made with margarine</v>
          </cell>
          <cell r="I1227">
            <v>85</v>
          </cell>
          <cell r="J1227">
            <v>99.650125000000003</v>
          </cell>
          <cell r="K1227">
            <v>1.172354411764706</v>
          </cell>
          <cell r="L1227">
            <v>0</v>
          </cell>
          <cell r="M1227">
            <v>0.53108509999999998</v>
          </cell>
          <cell r="N1227">
            <v>9.19156E-2</v>
          </cell>
          <cell r="O1227">
            <v>5.9706200000000001E-2</v>
          </cell>
          <cell r="P1227">
            <v>0.48569909999999999</v>
          </cell>
          <cell r="Q1227">
            <v>0.55498239999999999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0.635548</v>
          </cell>
          <cell r="Y1227">
            <v>0</v>
          </cell>
          <cell r="Z1227">
            <v>0</v>
          </cell>
          <cell r="AA1227">
            <v>0</v>
          </cell>
          <cell r="AB1227">
            <v>0.244336</v>
          </cell>
        </row>
        <row r="1228">
          <cell r="A1228">
            <v>26319143</v>
          </cell>
          <cell r="B1228" t="str">
            <v>Shrimp, coated, fried, made without fat</v>
          </cell>
          <cell r="I1228">
            <v>85</v>
          </cell>
          <cell r="J1228">
            <v>99.650125000000003</v>
          </cell>
          <cell r="K1228">
            <v>1.172354411764706</v>
          </cell>
          <cell r="L1228">
            <v>0</v>
          </cell>
          <cell r="M1228">
            <v>0.53108509999999998</v>
          </cell>
          <cell r="N1228">
            <v>9.19156E-2</v>
          </cell>
          <cell r="O1228">
            <v>5.9706200000000001E-2</v>
          </cell>
          <cell r="P1228">
            <v>0.48569909999999999</v>
          </cell>
          <cell r="Q1228">
            <v>0.55498239999999999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0.635548</v>
          </cell>
          <cell r="Y1228">
            <v>0</v>
          </cell>
          <cell r="Z1228">
            <v>0</v>
          </cell>
          <cell r="AA1228">
            <v>0</v>
          </cell>
          <cell r="AB1228">
            <v>2.28001E-2</v>
          </cell>
        </row>
        <row r="1229">
          <cell r="A1229">
            <v>26319145</v>
          </cell>
          <cell r="B1229" t="str">
            <v>Shrimp, coated, fried, from fast food / restaurant</v>
          </cell>
          <cell r="I1229">
            <v>85</v>
          </cell>
          <cell r="J1229">
            <v>261.8</v>
          </cell>
          <cell r="K1229">
            <v>3.08</v>
          </cell>
          <cell r="L1229">
            <v>0.63035770000000002</v>
          </cell>
          <cell r="M1229">
            <v>2.8568500000000001</v>
          </cell>
          <cell r="N1229">
            <v>7.6499999999999999E-2</v>
          </cell>
          <cell r="O1229">
            <v>3.5700000000000003E-2</v>
          </cell>
          <cell r="P1229">
            <v>0.6446423</v>
          </cell>
          <cell r="Q1229">
            <v>7.9143499999999998</v>
          </cell>
          <cell r="R1229">
            <v>5.984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0.95625000000000004</v>
          </cell>
          <cell r="Y1229">
            <v>0</v>
          </cell>
          <cell r="Z1229">
            <v>0</v>
          </cell>
          <cell r="AA1229">
            <v>0</v>
          </cell>
          <cell r="AB1229">
            <v>0.1173</v>
          </cell>
        </row>
        <row r="1230">
          <cell r="A1230">
            <v>26319160</v>
          </cell>
          <cell r="B1230" t="str">
            <v>Shrimp, coated, baked or broiled, made with oil</v>
          </cell>
          <cell r="I1230">
            <v>85</v>
          </cell>
          <cell r="J1230">
            <v>121.31323999999999</v>
          </cell>
          <cell r="K1230">
            <v>1.427214588235294</v>
          </cell>
          <cell r="L1230">
            <v>-4.7200000000000002E-17</v>
          </cell>
          <cell r="M1230">
            <v>0.84121089999999998</v>
          </cell>
          <cell r="N1230">
            <v>8.5435700000000003E-2</v>
          </cell>
          <cell r="O1230">
            <v>5.3419800000000003E-2</v>
          </cell>
          <cell r="P1230">
            <v>0.38383479999999998</v>
          </cell>
          <cell r="Q1230">
            <v>1.8480865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0.54891789999999996</v>
          </cell>
          <cell r="Y1230">
            <v>0</v>
          </cell>
          <cell r="Z1230">
            <v>0</v>
          </cell>
          <cell r="AA1230">
            <v>0</v>
          </cell>
          <cell r="AB1230">
            <v>2.6941300000000001E-2</v>
          </cell>
        </row>
        <row r="1231">
          <cell r="A1231">
            <v>26319163</v>
          </cell>
          <cell r="B1231" t="str">
            <v>Shrimp, coated, baked or broiled, made without fat</v>
          </cell>
          <cell r="I1231">
            <v>85</v>
          </cell>
          <cell r="J1231">
            <v>92.419582000000005</v>
          </cell>
          <cell r="K1231">
            <v>1.0872892000000001</v>
          </cell>
          <cell r="L1231">
            <v>-4.7200000000000002E-17</v>
          </cell>
          <cell r="M1231">
            <v>0.34776459999999998</v>
          </cell>
          <cell r="N1231">
            <v>8.9344999999999994E-2</v>
          </cell>
          <cell r="O1231">
            <v>5.5854500000000001E-2</v>
          </cell>
          <cell r="P1231">
            <v>0.40139829999999999</v>
          </cell>
          <cell r="Q1231">
            <v>0.33060909999999999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0.57401579999999996</v>
          </cell>
          <cell r="Y1231">
            <v>0</v>
          </cell>
          <cell r="Z1231">
            <v>0</v>
          </cell>
          <cell r="AA1231">
            <v>0</v>
          </cell>
          <cell r="AB1231">
            <v>1.4391899999999999E-2</v>
          </cell>
        </row>
        <row r="1232">
          <cell r="A1232">
            <v>26319164</v>
          </cell>
          <cell r="B1232" t="str">
            <v>Shrimp, coated, baked or broiled, made with cooking spray</v>
          </cell>
          <cell r="I1232">
            <v>85</v>
          </cell>
          <cell r="J1232">
            <v>94.069030999999995</v>
          </cell>
          <cell r="K1232">
            <v>1.1066944823529412</v>
          </cell>
          <cell r="L1232">
            <v>0</v>
          </cell>
          <cell r="M1232">
            <v>0.35284660000000001</v>
          </cell>
          <cell r="N1232">
            <v>8.9075799999999997E-2</v>
          </cell>
          <cell r="O1232">
            <v>5.5707899999999998E-2</v>
          </cell>
          <cell r="P1232">
            <v>0.40018870000000001</v>
          </cell>
          <cell r="Q1232">
            <v>0.38564619999999999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0.57243279999999996</v>
          </cell>
          <cell r="Y1232">
            <v>0</v>
          </cell>
          <cell r="Z1232">
            <v>0</v>
          </cell>
          <cell r="AA1232">
            <v>0</v>
          </cell>
          <cell r="AB1232">
            <v>1.43486E-2</v>
          </cell>
        </row>
        <row r="1233">
          <cell r="A1233">
            <v>26319170</v>
          </cell>
          <cell r="B1233" t="str">
            <v>Shrimp, dried</v>
          </cell>
          <cell r="I1233">
            <v>30</v>
          </cell>
          <cell r="J1233">
            <v>30</v>
          </cell>
          <cell r="K1233">
            <v>1</v>
          </cell>
          <cell r="L1233">
            <v>0</v>
          </cell>
          <cell r="M1233">
            <v>5.6399999999999999E-2</v>
          </cell>
          <cell r="N1233">
            <v>0.16350000000000001</v>
          </cell>
          <cell r="O1233">
            <v>4.3499999999999997E-2</v>
          </cell>
          <cell r="P1233">
            <v>0</v>
          </cell>
          <cell r="Q1233">
            <v>0.20519999999999999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0.26100000000000001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</row>
        <row r="1234">
          <cell r="A1234">
            <v>26319180</v>
          </cell>
          <cell r="B1234" t="str">
            <v>Shrimp, canned</v>
          </cell>
          <cell r="I1234">
            <v>85</v>
          </cell>
          <cell r="J1234">
            <v>85</v>
          </cell>
          <cell r="K1234">
            <v>1</v>
          </cell>
          <cell r="L1234">
            <v>0</v>
          </cell>
          <cell r="M1234">
            <v>0.1598</v>
          </cell>
          <cell r="N1234">
            <v>0.46325</v>
          </cell>
          <cell r="O1234">
            <v>0.12325</v>
          </cell>
          <cell r="P1234">
            <v>0</v>
          </cell>
          <cell r="Q1234">
            <v>0.58140000000000003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0.73950000000000005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</row>
        <row r="1235">
          <cell r="A1235">
            <v>26321110</v>
          </cell>
          <cell r="B1235" t="str">
            <v>Snails, cooked, NS as to cooking method</v>
          </cell>
          <cell r="I1235">
            <v>85</v>
          </cell>
          <cell r="J1235">
            <v>94.771006</v>
          </cell>
          <cell r="K1235">
            <v>1.114953011764706</v>
          </cell>
          <cell r="L1235">
            <v>2.7715999999999999E-3</v>
          </cell>
          <cell r="M1235">
            <v>0.62633439999999996</v>
          </cell>
          <cell r="N1235">
            <v>9.6513299999999996E-2</v>
          </cell>
          <cell r="O1235">
            <v>8.3006E-3</v>
          </cell>
          <cell r="P1235">
            <v>0</v>
          </cell>
          <cell r="Q1235">
            <v>1.2080181000000001</v>
          </cell>
          <cell r="R1235">
            <v>0</v>
          </cell>
          <cell r="S1235">
            <v>0</v>
          </cell>
          <cell r="T1235">
            <v>0.92385859999999997</v>
          </cell>
          <cell r="U1235">
            <v>0</v>
          </cell>
          <cell r="V1235">
            <v>0</v>
          </cell>
          <cell r="W1235">
            <v>0</v>
          </cell>
          <cell r="X1235">
            <v>0.26469160000000003</v>
          </cell>
          <cell r="Y1235">
            <v>0</v>
          </cell>
          <cell r="Z1235">
            <v>0</v>
          </cell>
          <cell r="AA1235">
            <v>0</v>
          </cell>
          <cell r="AB1235">
            <v>8.6324999999999995E-3</v>
          </cell>
        </row>
        <row r="1236">
          <cell r="A1236">
            <v>27111000</v>
          </cell>
          <cell r="B1236" t="str">
            <v>Beef with tomato-based sauce</v>
          </cell>
          <cell r="I1236">
            <v>140</v>
          </cell>
          <cell r="J1236">
            <v>208.95522</v>
          </cell>
          <cell r="K1236">
            <v>1.4925372857142858</v>
          </cell>
          <cell r="L1236">
            <v>0.62686569999999997</v>
          </cell>
          <cell r="M1236">
            <v>3.3471841000000002</v>
          </cell>
          <cell r="N1236">
            <v>0</v>
          </cell>
          <cell r="O1236">
            <v>1.2843800000000001E-2</v>
          </cell>
          <cell r="P1236">
            <v>0</v>
          </cell>
          <cell r="Q1236">
            <v>0.40843780000000002</v>
          </cell>
          <cell r="R1236">
            <v>0</v>
          </cell>
          <cell r="S1236">
            <v>0</v>
          </cell>
          <cell r="T1236">
            <v>0</v>
          </cell>
          <cell r="U1236">
            <v>41.791044999999997</v>
          </cell>
          <cell r="V1236">
            <v>0</v>
          </cell>
          <cell r="W1236">
            <v>0</v>
          </cell>
          <cell r="X1236">
            <v>0.50802590000000003</v>
          </cell>
          <cell r="Y1236">
            <v>0</v>
          </cell>
          <cell r="Z1236">
            <v>97.512438000000003</v>
          </cell>
          <cell r="AA1236">
            <v>0</v>
          </cell>
          <cell r="AB1236">
            <v>0.30194799999999999</v>
          </cell>
        </row>
        <row r="1237">
          <cell r="A1237">
            <v>27111050</v>
          </cell>
          <cell r="B1237" t="str">
            <v>Spaghetti sauce with beef or meat other than lamb or mutton, homemade</v>
          </cell>
          <cell r="I1237">
            <v>125</v>
          </cell>
          <cell r="J1237">
            <v>112.20592000000001</v>
          </cell>
          <cell r="K1237">
            <v>0.89764736000000001</v>
          </cell>
          <cell r="L1237">
            <v>1.8248848</v>
          </cell>
          <cell r="M1237">
            <v>1.7449687</v>
          </cell>
          <cell r="N1237">
            <v>0</v>
          </cell>
          <cell r="O1237">
            <v>3.19925E-2</v>
          </cell>
          <cell r="P1237">
            <v>0</v>
          </cell>
          <cell r="Q1237">
            <v>0.79913869999999998</v>
          </cell>
          <cell r="R1237">
            <v>0</v>
          </cell>
          <cell r="S1237">
            <v>0</v>
          </cell>
          <cell r="T1237">
            <v>0</v>
          </cell>
          <cell r="U1237">
            <v>99.934747000000002</v>
          </cell>
          <cell r="V1237">
            <v>0</v>
          </cell>
          <cell r="W1237">
            <v>0</v>
          </cell>
          <cell r="X1237">
            <v>0.53678720000000002</v>
          </cell>
          <cell r="Y1237">
            <v>0</v>
          </cell>
          <cell r="Z1237">
            <v>21.433243000000001</v>
          </cell>
          <cell r="AA1237">
            <v>0</v>
          </cell>
          <cell r="AB1237">
            <v>0.18524689999999999</v>
          </cell>
        </row>
        <row r="1238">
          <cell r="A1238">
            <v>27111100</v>
          </cell>
          <cell r="B1238" t="str">
            <v>Beef goulash</v>
          </cell>
          <cell r="I1238">
            <v>249</v>
          </cell>
          <cell r="J1238">
            <v>254.80878999999999</v>
          </cell>
          <cell r="K1238">
            <v>1.0233284738955823</v>
          </cell>
          <cell r="L1238">
            <v>0.64972099999999999</v>
          </cell>
          <cell r="M1238">
            <v>2.8270989000000002</v>
          </cell>
          <cell r="N1238">
            <v>0</v>
          </cell>
          <cell r="O1238">
            <v>4.3184699999999999E-2</v>
          </cell>
          <cell r="P1238">
            <v>0.2835085</v>
          </cell>
          <cell r="Q1238">
            <v>0.71730389999999999</v>
          </cell>
          <cell r="R1238">
            <v>0</v>
          </cell>
          <cell r="S1238">
            <v>0</v>
          </cell>
          <cell r="T1238">
            <v>0</v>
          </cell>
          <cell r="U1238">
            <v>38.218882000000001</v>
          </cell>
          <cell r="V1238">
            <v>0</v>
          </cell>
          <cell r="W1238">
            <v>0</v>
          </cell>
          <cell r="X1238">
            <v>0.55503219999999998</v>
          </cell>
          <cell r="Y1238">
            <v>0</v>
          </cell>
          <cell r="Z1238">
            <v>108.53473</v>
          </cell>
          <cell r="AA1238">
            <v>0</v>
          </cell>
          <cell r="AB1238">
            <v>1.3369367000000001</v>
          </cell>
        </row>
        <row r="1239">
          <cell r="A1239">
            <v>27111200</v>
          </cell>
          <cell r="B1239" t="str">
            <v>Beef burgundy (beef bourguignonne)</v>
          </cell>
          <cell r="I1239">
            <v>244</v>
          </cell>
          <cell r="J1239">
            <v>269.10518999999999</v>
          </cell>
          <cell r="K1239">
            <v>1.1028901229508197</v>
          </cell>
          <cell r="L1239">
            <v>0.95250170000000001</v>
          </cell>
          <cell r="M1239">
            <v>2.7473114999999999</v>
          </cell>
          <cell r="N1239">
            <v>0</v>
          </cell>
          <cell r="O1239">
            <v>3.4952700000000003E-2</v>
          </cell>
          <cell r="P1239">
            <v>8.8375400000000007E-2</v>
          </cell>
          <cell r="Q1239">
            <v>1.5658761000000001</v>
          </cell>
          <cell r="R1239">
            <v>0</v>
          </cell>
          <cell r="S1239">
            <v>0</v>
          </cell>
          <cell r="T1239">
            <v>0</v>
          </cell>
          <cell r="U1239">
            <v>63.879576999999998</v>
          </cell>
          <cell r="V1239">
            <v>0</v>
          </cell>
          <cell r="W1239">
            <v>0</v>
          </cell>
          <cell r="X1239">
            <v>0.57933250000000003</v>
          </cell>
          <cell r="Y1239">
            <v>0</v>
          </cell>
          <cell r="Z1239">
            <v>93.932152000000002</v>
          </cell>
          <cell r="AA1239">
            <v>0</v>
          </cell>
          <cell r="AB1239">
            <v>9.9018800000000004E-2</v>
          </cell>
        </row>
        <row r="1240">
          <cell r="A1240">
            <v>27111300</v>
          </cell>
          <cell r="B1240" t="str">
            <v>Beef stew, no potatoes, tomato-based sauce, Mexican style</v>
          </cell>
          <cell r="I1240">
            <v>244</v>
          </cell>
          <cell r="J1240">
            <v>243.70269999999999</v>
          </cell>
          <cell r="K1240">
            <v>0.9987815573770491</v>
          </cell>
          <cell r="L1240">
            <v>0.98744149999999997</v>
          </cell>
          <cell r="M1240">
            <v>3.2029521000000001</v>
          </cell>
          <cell r="N1240">
            <v>0</v>
          </cell>
          <cell r="O1240">
            <v>3.3801200000000003E-2</v>
          </cell>
          <cell r="P1240">
            <v>9.6127199999999996E-2</v>
          </cell>
          <cell r="Q1240">
            <v>1.0772908000000001</v>
          </cell>
          <cell r="R1240">
            <v>0</v>
          </cell>
          <cell r="S1240">
            <v>0</v>
          </cell>
          <cell r="T1240">
            <v>0</v>
          </cell>
          <cell r="U1240">
            <v>62.380744999999997</v>
          </cell>
          <cell r="V1240">
            <v>0</v>
          </cell>
          <cell r="W1240">
            <v>0</v>
          </cell>
          <cell r="X1240">
            <v>0.92652869999999998</v>
          </cell>
          <cell r="Y1240">
            <v>0</v>
          </cell>
          <cell r="Z1240">
            <v>103.78904</v>
          </cell>
          <cell r="AA1240">
            <v>0</v>
          </cell>
          <cell r="AB1240">
            <v>0.1940028</v>
          </cell>
        </row>
        <row r="1241">
          <cell r="A1241">
            <v>27111310</v>
          </cell>
          <cell r="B1241" t="str">
            <v>Beef stew, no potatoes, tomato-based sauce, with chili peppers, Mexican style</v>
          </cell>
          <cell r="I1241">
            <v>244</v>
          </cell>
          <cell r="J1241">
            <v>206.89930000000001</v>
          </cell>
          <cell r="K1241">
            <v>0.84794795081967222</v>
          </cell>
          <cell r="L1241">
            <v>1.6606615</v>
          </cell>
          <cell r="M1241">
            <v>2.4090329000000001</v>
          </cell>
          <cell r="N1241">
            <v>0</v>
          </cell>
          <cell r="O1241">
            <v>3.6350199999999999E-2</v>
          </cell>
          <cell r="P1241">
            <v>7.1912699999999996E-2</v>
          </cell>
          <cell r="Q1241">
            <v>0.87291580000000002</v>
          </cell>
          <cell r="R1241">
            <v>0</v>
          </cell>
          <cell r="S1241">
            <v>0</v>
          </cell>
          <cell r="T1241">
            <v>0</v>
          </cell>
          <cell r="U1241">
            <v>108.13079999999999</v>
          </cell>
          <cell r="V1241">
            <v>0</v>
          </cell>
          <cell r="W1241">
            <v>0</v>
          </cell>
          <cell r="X1241">
            <v>0.6974378</v>
          </cell>
          <cell r="Y1241">
            <v>0</v>
          </cell>
          <cell r="Z1241">
            <v>77.644482999999994</v>
          </cell>
          <cell r="AA1241">
            <v>0</v>
          </cell>
          <cell r="AB1241">
            <v>0.14129890000000001</v>
          </cell>
        </row>
        <row r="1242">
          <cell r="A1242">
            <v>27111400</v>
          </cell>
          <cell r="B1242" t="str">
            <v>Chili con carne, NS as to beans</v>
          </cell>
          <cell r="I1242">
            <v>254</v>
          </cell>
          <cell r="J1242">
            <v>222.99646999999999</v>
          </cell>
          <cell r="K1242">
            <v>0.87793885826771645</v>
          </cell>
          <cell r="L1242">
            <v>4.7106963000000004</v>
          </cell>
          <cell r="M1242">
            <v>3.5862485999999998</v>
          </cell>
          <cell r="N1242">
            <v>0</v>
          </cell>
          <cell r="O1242">
            <v>7.0861999999999994E-2</v>
          </cell>
          <cell r="P1242">
            <v>0.75478840000000003</v>
          </cell>
          <cell r="Q1242">
            <v>0.56895839999999998</v>
          </cell>
          <cell r="R1242">
            <v>0</v>
          </cell>
          <cell r="S1242">
            <v>66.342455999999999</v>
          </cell>
          <cell r="T1242">
            <v>0</v>
          </cell>
          <cell r="U1242">
            <v>108.17189</v>
          </cell>
          <cell r="V1242">
            <v>0</v>
          </cell>
          <cell r="W1242">
            <v>0</v>
          </cell>
          <cell r="X1242">
            <v>0.84453990000000001</v>
          </cell>
          <cell r="Y1242">
            <v>0</v>
          </cell>
          <cell r="Z1242">
            <v>48.286127999999998</v>
          </cell>
          <cell r="AA1242">
            <v>0</v>
          </cell>
          <cell r="AB1242">
            <v>0.40134760000000003</v>
          </cell>
        </row>
        <row r="1243">
          <cell r="A1243">
            <v>27111405</v>
          </cell>
          <cell r="B1243" t="str">
            <v>Chili con carne with beans, from restaurant</v>
          </cell>
          <cell r="I1243">
            <v>254</v>
          </cell>
          <cell r="J1243">
            <v>398.78</v>
          </cell>
          <cell r="K1243">
            <v>1.5699999999999998</v>
          </cell>
          <cell r="L1243">
            <v>3.556</v>
          </cell>
          <cell r="M1243">
            <v>10.21842</v>
          </cell>
          <cell r="N1243">
            <v>0</v>
          </cell>
          <cell r="O1243">
            <v>8.6360000000000006E-2</v>
          </cell>
          <cell r="P1243">
            <v>-2.2399999999999999E-16</v>
          </cell>
          <cell r="Q1243">
            <v>1.5874999999999999</v>
          </cell>
          <cell r="R1243">
            <v>0</v>
          </cell>
          <cell r="S1243">
            <v>62.23</v>
          </cell>
          <cell r="T1243">
            <v>0</v>
          </cell>
          <cell r="U1243">
            <v>80.899000000000001</v>
          </cell>
          <cell r="V1243">
            <v>0</v>
          </cell>
          <cell r="W1243">
            <v>0</v>
          </cell>
          <cell r="X1243">
            <v>0.96774000000000004</v>
          </cell>
          <cell r="Y1243">
            <v>0</v>
          </cell>
          <cell r="Z1243">
            <v>105.13314</v>
          </cell>
          <cell r="AA1243">
            <v>0</v>
          </cell>
          <cell r="AB1243">
            <v>1.4173199999999999</v>
          </cell>
        </row>
        <row r="1244">
          <cell r="A1244">
            <v>27111406</v>
          </cell>
          <cell r="B1244" t="str">
            <v>Chili con carne with beans, home recipe</v>
          </cell>
          <cell r="I1244">
            <v>254</v>
          </cell>
          <cell r="J1244">
            <v>222.93572</v>
          </cell>
          <cell r="K1244">
            <v>0.87769968503937013</v>
          </cell>
          <cell r="L1244">
            <v>4.7112765000000003</v>
          </cell>
          <cell r="M1244">
            <v>3.5859200000000002</v>
          </cell>
          <cell r="N1244">
            <v>0</v>
          </cell>
          <cell r="O1244">
            <v>7.0767499999999997E-2</v>
          </cell>
          <cell r="P1244">
            <v>0.74399470000000001</v>
          </cell>
          <cell r="Q1244">
            <v>0.56652389999999997</v>
          </cell>
          <cell r="R1244">
            <v>0</v>
          </cell>
          <cell r="S1244">
            <v>66.350627000000003</v>
          </cell>
          <cell r="T1244">
            <v>0</v>
          </cell>
          <cell r="U1244">
            <v>108.18521</v>
          </cell>
          <cell r="V1244">
            <v>0</v>
          </cell>
          <cell r="W1244">
            <v>0</v>
          </cell>
          <cell r="X1244">
            <v>0.84374709999999997</v>
          </cell>
          <cell r="Y1244">
            <v>0</v>
          </cell>
          <cell r="Z1244">
            <v>48.292074999999997</v>
          </cell>
          <cell r="AA1244">
            <v>0</v>
          </cell>
          <cell r="AB1244">
            <v>0.401397</v>
          </cell>
        </row>
        <row r="1245">
          <cell r="A1245">
            <v>27111407</v>
          </cell>
          <cell r="B1245" t="str">
            <v>Chili con carne with beans, canned</v>
          </cell>
          <cell r="I1245">
            <v>254</v>
          </cell>
          <cell r="J1245">
            <v>271.77999999999997</v>
          </cell>
          <cell r="K1245">
            <v>1.0699999999999998</v>
          </cell>
          <cell r="L1245">
            <v>8.3819999999999997</v>
          </cell>
          <cell r="M1245">
            <v>3.18262</v>
          </cell>
          <cell r="N1245">
            <v>0</v>
          </cell>
          <cell r="O1245">
            <v>8.3820000000000006E-2</v>
          </cell>
          <cell r="P1245">
            <v>-8.1799999999999998E-16</v>
          </cell>
          <cell r="Q1245">
            <v>1.016</v>
          </cell>
          <cell r="R1245">
            <v>0</v>
          </cell>
          <cell r="S1245">
            <v>48.895000000000003</v>
          </cell>
          <cell r="T1245">
            <v>0</v>
          </cell>
          <cell r="U1245">
            <v>43.561</v>
          </cell>
          <cell r="V1245">
            <v>0</v>
          </cell>
          <cell r="W1245">
            <v>0</v>
          </cell>
          <cell r="X1245">
            <v>1.14046</v>
          </cell>
          <cell r="Y1245">
            <v>0</v>
          </cell>
          <cell r="Z1245">
            <v>35.284410000000001</v>
          </cell>
          <cell r="AA1245">
            <v>0</v>
          </cell>
          <cell r="AB1245">
            <v>0.42164000000000001</v>
          </cell>
        </row>
        <row r="1246">
          <cell r="A1246">
            <v>27111410</v>
          </cell>
          <cell r="B1246" t="str">
            <v>Chili con carne with beans</v>
          </cell>
          <cell r="I1246">
            <v>254</v>
          </cell>
          <cell r="J1246">
            <v>250.92565999999999</v>
          </cell>
          <cell r="K1246">
            <v>0.98789629921259836</v>
          </cell>
          <cell r="L1246">
            <v>6.4651296</v>
          </cell>
          <cell r="M1246">
            <v>3.3812392999999998</v>
          </cell>
          <cell r="N1246">
            <v>0</v>
          </cell>
          <cell r="O1246">
            <v>7.7654500000000001E-2</v>
          </cell>
          <cell r="P1246">
            <v>0.13595209999999999</v>
          </cell>
          <cell r="Q1246">
            <v>0.78297380000000005</v>
          </cell>
          <cell r="R1246">
            <v>0</v>
          </cell>
          <cell r="S1246">
            <v>57.614356999999998</v>
          </cell>
          <cell r="T1246">
            <v>0</v>
          </cell>
          <cell r="U1246">
            <v>88.246257999999997</v>
          </cell>
          <cell r="V1246">
            <v>0</v>
          </cell>
          <cell r="W1246">
            <v>0</v>
          </cell>
          <cell r="X1246">
            <v>1.0298151</v>
          </cell>
          <cell r="Y1246">
            <v>0</v>
          </cell>
          <cell r="Z1246">
            <v>41.781941000000003</v>
          </cell>
          <cell r="AA1246">
            <v>0</v>
          </cell>
          <cell r="AB1246">
            <v>0.41152830000000001</v>
          </cell>
        </row>
        <row r="1247">
          <cell r="A1247">
            <v>27111420</v>
          </cell>
          <cell r="B1247" t="str">
            <v>Chili con carne without beans</v>
          </cell>
          <cell r="I1247">
            <v>254</v>
          </cell>
          <cell r="J1247">
            <v>299.72000000000003</v>
          </cell>
          <cell r="K1247">
            <v>1.1800000000000002</v>
          </cell>
          <cell r="L1247">
            <v>1.27</v>
          </cell>
          <cell r="M1247">
            <v>5.7276999999999996</v>
          </cell>
          <cell r="N1247">
            <v>0</v>
          </cell>
          <cell r="O1247">
            <v>7.6200000000000004E-2</v>
          </cell>
          <cell r="P1247">
            <v>0</v>
          </cell>
          <cell r="Q1247">
            <v>1.27254</v>
          </cell>
          <cell r="R1247">
            <v>8.5343999999999998</v>
          </cell>
          <cell r="S1247">
            <v>0</v>
          </cell>
          <cell r="T1247">
            <v>0</v>
          </cell>
          <cell r="U1247">
            <v>62.991999999999997</v>
          </cell>
          <cell r="V1247">
            <v>0</v>
          </cell>
          <cell r="W1247">
            <v>0</v>
          </cell>
          <cell r="X1247">
            <v>1.0439400000000001</v>
          </cell>
          <cell r="Y1247">
            <v>0</v>
          </cell>
          <cell r="Z1247">
            <v>40.325040000000001</v>
          </cell>
          <cell r="AA1247">
            <v>0</v>
          </cell>
          <cell r="AB1247">
            <v>0.56106389999999995</v>
          </cell>
        </row>
        <row r="1248">
          <cell r="A1248">
            <v>27111430</v>
          </cell>
          <cell r="B1248" t="str">
            <v>Chili con carne, NS as to beans, with cheese</v>
          </cell>
          <cell r="I1248">
            <v>254</v>
          </cell>
          <cell r="J1248">
            <v>311.22699</v>
          </cell>
          <cell r="K1248">
            <v>1.2253031102362204</v>
          </cell>
          <cell r="L1248">
            <v>7.9437001</v>
          </cell>
          <cell r="M1248">
            <v>5.5220786999999998</v>
          </cell>
          <cell r="N1248">
            <v>0</v>
          </cell>
          <cell r="O1248">
            <v>0.1737379</v>
          </cell>
          <cell r="P1248">
            <v>-7.7499999999999997E-16</v>
          </cell>
          <cell r="Q1248">
            <v>1.1516073</v>
          </cell>
          <cell r="R1248">
            <v>0</v>
          </cell>
          <cell r="S1248">
            <v>46.338251</v>
          </cell>
          <cell r="T1248">
            <v>0</v>
          </cell>
          <cell r="U1248">
            <v>41.283169000000001</v>
          </cell>
          <cell r="V1248">
            <v>0</v>
          </cell>
          <cell r="W1248">
            <v>0</v>
          </cell>
          <cell r="X1248">
            <v>1.1675549000000001</v>
          </cell>
          <cell r="Y1248">
            <v>0</v>
          </cell>
          <cell r="Z1248">
            <v>33.439366999999997</v>
          </cell>
          <cell r="AA1248">
            <v>0</v>
          </cell>
          <cell r="AB1248">
            <v>0.52138640000000003</v>
          </cell>
        </row>
        <row r="1249">
          <cell r="A1249">
            <v>27111440</v>
          </cell>
          <cell r="B1249" t="str">
            <v>Chili con carne with beans and cheese</v>
          </cell>
          <cell r="I1249">
            <v>254</v>
          </cell>
          <cell r="J1249">
            <v>311.22699</v>
          </cell>
          <cell r="K1249">
            <v>1.2253031102362204</v>
          </cell>
          <cell r="L1249">
            <v>7.9437001</v>
          </cell>
          <cell r="M1249">
            <v>5.5220786999999998</v>
          </cell>
          <cell r="N1249">
            <v>0</v>
          </cell>
          <cell r="O1249">
            <v>0.1737379</v>
          </cell>
          <cell r="P1249">
            <v>-7.7499999999999997E-16</v>
          </cell>
          <cell r="Q1249">
            <v>1.1516073</v>
          </cell>
          <cell r="R1249">
            <v>0</v>
          </cell>
          <cell r="S1249">
            <v>46.338251</v>
          </cell>
          <cell r="T1249">
            <v>0</v>
          </cell>
          <cell r="U1249">
            <v>41.283169000000001</v>
          </cell>
          <cell r="V1249">
            <v>0</v>
          </cell>
          <cell r="W1249">
            <v>0</v>
          </cell>
          <cell r="X1249">
            <v>1.1675549000000001</v>
          </cell>
          <cell r="Y1249">
            <v>0</v>
          </cell>
          <cell r="Z1249">
            <v>33.439366999999997</v>
          </cell>
          <cell r="AA1249">
            <v>0</v>
          </cell>
          <cell r="AB1249">
            <v>0.52138640000000003</v>
          </cell>
        </row>
        <row r="1250">
          <cell r="A1250">
            <v>27111500</v>
          </cell>
          <cell r="B1250" t="str">
            <v>Beef sloppy joe, no bun</v>
          </cell>
          <cell r="I1250">
            <v>251</v>
          </cell>
          <cell r="J1250">
            <v>311.75533000000001</v>
          </cell>
          <cell r="K1250">
            <v>1.2420531075697212</v>
          </cell>
          <cell r="L1250">
            <v>1.8598242</v>
          </cell>
          <cell r="M1250">
            <v>5.7875683000000002</v>
          </cell>
          <cell r="N1250">
            <v>0</v>
          </cell>
          <cell r="O1250">
            <v>5.7920800000000001E-2</v>
          </cell>
          <cell r="P1250">
            <v>7.7881500000000006E-2</v>
          </cell>
          <cell r="Q1250">
            <v>0.57406659999999998</v>
          </cell>
          <cell r="R1250">
            <v>0</v>
          </cell>
          <cell r="S1250">
            <v>0</v>
          </cell>
          <cell r="T1250">
            <v>0</v>
          </cell>
          <cell r="U1250">
            <v>137.48381000000001</v>
          </cell>
          <cell r="V1250">
            <v>0</v>
          </cell>
          <cell r="W1250">
            <v>0</v>
          </cell>
          <cell r="X1250">
            <v>1.2775981000000001</v>
          </cell>
          <cell r="Y1250">
            <v>0</v>
          </cell>
          <cell r="Z1250">
            <v>80.612207999999995</v>
          </cell>
          <cell r="AA1250">
            <v>0</v>
          </cell>
          <cell r="AB1250">
            <v>0.67016900000000001</v>
          </cell>
        </row>
        <row r="1251">
          <cell r="A1251">
            <v>27112000</v>
          </cell>
          <cell r="B1251" t="str">
            <v>Beef with gravy</v>
          </cell>
          <cell r="I1251">
            <v>140</v>
          </cell>
          <cell r="J1251">
            <v>218.85442</v>
          </cell>
          <cell r="K1251">
            <v>1.5632458571428571</v>
          </cell>
          <cell r="L1251">
            <v>4.8569999999999997E-18</v>
          </cell>
          <cell r="M1251">
            <v>3.5949483</v>
          </cell>
          <cell r="N1251">
            <v>0</v>
          </cell>
          <cell r="O1251">
            <v>1.1185499999999999E-2</v>
          </cell>
          <cell r="P1251">
            <v>4.17661E-2</v>
          </cell>
          <cell r="Q1251">
            <v>0.52764520000000004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0.50459699999999996</v>
          </cell>
          <cell r="Y1251">
            <v>0</v>
          </cell>
          <cell r="Z1251">
            <v>97.454256000000001</v>
          </cell>
          <cell r="AA1251">
            <v>0</v>
          </cell>
          <cell r="AB1251">
            <v>5.76196E-2</v>
          </cell>
        </row>
        <row r="1252">
          <cell r="A1252">
            <v>27112010</v>
          </cell>
          <cell r="B1252" t="str">
            <v>Salisbury steak with gravy</v>
          </cell>
          <cell r="I1252">
            <v>140</v>
          </cell>
          <cell r="J1252">
            <v>208.6</v>
          </cell>
          <cell r="K1252">
            <v>1.49</v>
          </cell>
          <cell r="L1252">
            <v>0.37552190000000002</v>
          </cell>
          <cell r="M1252">
            <v>5.5747999999999998</v>
          </cell>
          <cell r="N1252">
            <v>0</v>
          </cell>
          <cell r="O1252">
            <v>6.5799999999999997E-2</v>
          </cell>
          <cell r="P1252">
            <v>1.0244781000000001</v>
          </cell>
          <cell r="Q1252">
            <v>2.0762</v>
          </cell>
          <cell r="R1252">
            <v>0</v>
          </cell>
          <cell r="S1252">
            <v>0</v>
          </cell>
          <cell r="T1252">
            <v>0</v>
          </cell>
          <cell r="U1252">
            <v>4.34</v>
          </cell>
          <cell r="V1252">
            <v>0</v>
          </cell>
          <cell r="W1252">
            <v>0</v>
          </cell>
          <cell r="X1252">
            <v>0.71260000000000001</v>
          </cell>
          <cell r="Y1252">
            <v>0</v>
          </cell>
          <cell r="Z1252">
            <v>27.386099999999999</v>
          </cell>
          <cell r="AA1252">
            <v>0</v>
          </cell>
          <cell r="AB1252">
            <v>0.39760000000000001</v>
          </cell>
        </row>
        <row r="1253">
          <cell r="A1253">
            <v>27113000</v>
          </cell>
          <cell r="B1253" t="str">
            <v>Beef with cream or white sauce (mixture)</v>
          </cell>
          <cell r="I1253">
            <v>140</v>
          </cell>
          <cell r="J1253">
            <v>260.20285999999999</v>
          </cell>
          <cell r="K1253">
            <v>1.858591857142857</v>
          </cell>
          <cell r="L1253">
            <v>9.7139999999999993E-18</v>
          </cell>
          <cell r="M1253">
            <v>4.5200676</v>
          </cell>
          <cell r="N1253">
            <v>0</v>
          </cell>
          <cell r="O1253">
            <v>5.62929E-2</v>
          </cell>
          <cell r="P1253">
            <v>8.3532200000000001E-2</v>
          </cell>
          <cell r="Q1253">
            <v>1.5530032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0.48997879999999999</v>
          </cell>
          <cell r="Y1253">
            <v>0</v>
          </cell>
          <cell r="Z1253">
            <v>97.454256000000001</v>
          </cell>
          <cell r="AA1253">
            <v>0</v>
          </cell>
          <cell r="AB1253">
            <v>0.41985280000000003</v>
          </cell>
        </row>
        <row r="1254">
          <cell r="A1254">
            <v>27113100</v>
          </cell>
          <cell r="B1254" t="str">
            <v>Beef stroganoff</v>
          </cell>
          <cell r="I1254">
            <v>256</v>
          </cell>
          <cell r="J1254">
            <v>350.29793999999998</v>
          </cell>
          <cell r="K1254">
            <v>1.3683513281249999</v>
          </cell>
          <cell r="L1254">
            <v>1.0668994000000001</v>
          </cell>
          <cell r="M1254">
            <v>7.6733867</v>
          </cell>
          <cell r="N1254">
            <v>0</v>
          </cell>
          <cell r="O1254">
            <v>8.8578699999999996E-2</v>
          </cell>
          <cell r="P1254">
            <v>0.47615869999999999</v>
          </cell>
          <cell r="Q1254">
            <v>4.6860667999999999</v>
          </cell>
          <cell r="R1254">
            <v>0</v>
          </cell>
          <cell r="S1254">
            <v>0</v>
          </cell>
          <cell r="T1254">
            <v>0</v>
          </cell>
          <cell r="U1254">
            <v>54.901398</v>
          </cell>
          <cell r="V1254">
            <v>0</v>
          </cell>
          <cell r="W1254">
            <v>0</v>
          </cell>
          <cell r="X1254">
            <v>1.0765940000000001</v>
          </cell>
          <cell r="Y1254">
            <v>0</v>
          </cell>
          <cell r="Z1254">
            <v>69.066209000000001</v>
          </cell>
          <cell r="AA1254">
            <v>0</v>
          </cell>
          <cell r="AB1254">
            <v>0.80151519999999998</v>
          </cell>
        </row>
        <row r="1255">
          <cell r="A1255">
            <v>27113200</v>
          </cell>
          <cell r="B1255" t="str">
            <v>Creamed chipped or dried beef</v>
          </cell>
          <cell r="I1255">
            <v>140</v>
          </cell>
          <cell r="J1255">
            <v>165.44171</v>
          </cell>
          <cell r="K1255">
            <v>1.1817264999999999</v>
          </cell>
          <cell r="L1255">
            <v>0</v>
          </cell>
          <cell r="M1255">
            <v>2.9040460000000001</v>
          </cell>
          <cell r="N1255">
            <v>0</v>
          </cell>
          <cell r="O1255">
            <v>0.13092429999999999</v>
          </cell>
          <cell r="P1255">
            <v>0.1311223</v>
          </cell>
          <cell r="Q1255">
            <v>2.3740456000000001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0.60898779999999997</v>
          </cell>
          <cell r="Y1255">
            <v>0</v>
          </cell>
          <cell r="Z1255">
            <v>0</v>
          </cell>
          <cell r="AA1255">
            <v>17.136382000000001</v>
          </cell>
          <cell r="AB1255">
            <v>1.4014172</v>
          </cell>
        </row>
        <row r="1256">
          <cell r="A1256">
            <v>27114000</v>
          </cell>
          <cell r="B1256" t="str">
            <v>Beef with mushroom sauce</v>
          </cell>
          <cell r="I1256">
            <v>140</v>
          </cell>
          <cell r="J1256">
            <v>228.04757000000001</v>
          </cell>
          <cell r="K1256">
            <v>1.6289112142857143</v>
          </cell>
          <cell r="L1256">
            <v>6.8807499999999994E-2</v>
          </cell>
          <cell r="M1256">
            <v>3.7709448999999999</v>
          </cell>
          <cell r="N1256">
            <v>0</v>
          </cell>
          <cell r="O1256">
            <v>2.68592E-2</v>
          </cell>
          <cell r="P1256">
            <v>0.12625620000000001</v>
          </cell>
          <cell r="Q1256">
            <v>1.1804893000000001</v>
          </cell>
          <cell r="R1256">
            <v>0</v>
          </cell>
          <cell r="S1256">
            <v>0</v>
          </cell>
          <cell r="T1256">
            <v>0</v>
          </cell>
          <cell r="U1256">
            <v>5.4617833999999998</v>
          </cell>
          <cell r="V1256">
            <v>0</v>
          </cell>
          <cell r="W1256">
            <v>0</v>
          </cell>
          <cell r="X1256">
            <v>0.49795919999999999</v>
          </cell>
          <cell r="Y1256">
            <v>0</v>
          </cell>
          <cell r="Z1256">
            <v>97.531846999999999</v>
          </cell>
          <cell r="AA1256">
            <v>0</v>
          </cell>
          <cell r="AB1256">
            <v>0.57969740000000003</v>
          </cell>
        </row>
        <row r="1257">
          <cell r="A1257">
            <v>27115000</v>
          </cell>
          <cell r="B1257" t="str">
            <v>Beef with soy-based sauce</v>
          </cell>
          <cell r="I1257">
            <v>140</v>
          </cell>
          <cell r="J1257">
            <v>245.10133999999999</v>
          </cell>
          <cell r="K1257">
            <v>1.7507238571428572</v>
          </cell>
          <cell r="L1257">
            <v>0.58275600000000005</v>
          </cell>
          <cell r="M1257">
            <v>3.6452201999999998</v>
          </cell>
          <cell r="N1257">
            <v>0</v>
          </cell>
          <cell r="O1257">
            <v>2.3728599999999999E-2</v>
          </cell>
          <cell r="P1257">
            <v>4.8076000000000001E-2</v>
          </cell>
          <cell r="Q1257">
            <v>4.5184455000000003</v>
          </cell>
          <cell r="R1257">
            <v>0</v>
          </cell>
          <cell r="S1257">
            <v>0</v>
          </cell>
          <cell r="T1257">
            <v>0</v>
          </cell>
          <cell r="U1257">
            <v>36.952495999999996</v>
          </cell>
          <cell r="V1257">
            <v>0</v>
          </cell>
          <cell r="W1257">
            <v>0</v>
          </cell>
          <cell r="X1257">
            <v>0.44336740000000002</v>
          </cell>
          <cell r="Y1257">
            <v>0</v>
          </cell>
          <cell r="Z1257">
            <v>64.138976</v>
          </cell>
          <cell r="AA1257">
            <v>0</v>
          </cell>
          <cell r="AB1257">
            <v>4.1472500000000002E-2</v>
          </cell>
        </row>
        <row r="1258">
          <cell r="A1258">
            <v>27115100</v>
          </cell>
          <cell r="B1258" t="str">
            <v>Steak teriyaki</v>
          </cell>
          <cell r="I1258">
            <v>140</v>
          </cell>
          <cell r="J1258">
            <v>266.27999999999997</v>
          </cell>
          <cell r="K1258">
            <v>1.9019999999999999</v>
          </cell>
          <cell r="L1258">
            <v>0</v>
          </cell>
          <cell r="M1258">
            <v>4.2072799999999999</v>
          </cell>
          <cell r="N1258">
            <v>0</v>
          </cell>
          <cell r="O1258">
            <v>1.2824E-2</v>
          </cell>
          <cell r="P1258">
            <v>1.6799999999999999E-2</v>
          </cell>
          <cell r="Q1258">
            <v>0.45214399999999999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0.69445599999999996</v>
          </cell>
          <cell r="Y1258">
            <v>0</v>
          </cell>
          <cell r="Z1258">
            <v>123.2</v>
          </cell>
          <cell r="AA1258">
            <v>0</v>
          </cell>
          <cell r="AB1258">
            <v>7.9816100000000001E-2</v>
          </cell>
        </row>
        <row r="1259">
          <cell r="A1259">
            <v>27116100</v>
          </cell>
          <cell r="B1259" t="str">
            <v>Beef curry</v>
          </cell>
          <cell r="I1259">
            <v>140</v>
          </cell>
          <cell r="J1259">
            <v>138.69878</v>
          </cell>
          <cell r="K1259">
            <v>0.99070557142857141</v>
          </cell>
          <cell r="L1259">
            <v>1.5121096999999999</v>
          </cell>
          <cell r="M1259">
            <v>2.1756212000000001</v>
          </cell>
          <cell r="N1259">
            <v>0</v>
          </cell>
          <cell r="O1259">
            <v>4.4131200000000002E-2</v>
          </cell>
          <cell r="P1259">
            <v>0.73479130000000004</v>
          </cell>
          <cell r="Q1259">
            <v>1.6858044999999999</v>
          </cell>
          <cell r="R1259">
            <v>0</v>
          </cell>
          <cell r="S1259">
            <v>3.1354380000000002</v>
          </cell>
          <cell r="T1259">
            <v>0</v>
          </cell>
          <cell r="U1259">
            <v>53.594458000000003</v>
          </cell>
          <cell r="V1259">
            <v>0</v>
          </cell>
          <cell r="W1259">
            <v>0</v>
          </cell>
          <cell r="X1259">
            <v>0.40906490000000001</v>
          </cell>
          <cell r="Y1259">
            <v>0</v>
          </cell>
          <cell r="Z1259">
            <v>18.936845000000002</v>
          </cell>
          <cell r="AA1259">
            <v>0</v>
          </cell>
          <cell r="AB1259">
            <v>0.21193139999999999</v>
          </cell>
        </row>
        <row r="1260">
          <cell r="A1260">
            <v>27116200</v>
          </cell>
          <cell r="B1260" t="str">
            <v>Beef with barbecue sauce</v>
          </cell>
          <cell r="I1260">
            <v>140</v>
          </cell>
          <cell r="J1260">
            <v>271.88810999999998</v>
          </cell>
          <cell r="K1260">
            <v>1.9420579285714286</v>
          </cell>
          <cell r="L1260">
            <v>0.37762240000000002</v>
          </cell>
          <cell r="M1260">
            <v>3.3622377999999999</v>
          </cell>
          <cell r="N1260">
            <v>0</v>
          </cell>
          <cell r="O1260">
            <v>2.0732899999999999E-2</v>
          </cell>
          <cell r="P1260">
            <v>0</v>
          </cell>
          <cell r="Q1260">
            <v>0.40167829999999999</v>
          </cell>
          <cell r="R1260">
            <v>0</v>
          </cell>
          <cell r="S1260">
            <v>0</v>
          </cell>
          <cell r="T1260">
            <v>0</v>
          </cell>
          <cell r="U1260">
            <v>13.363636</v>
          </cell>
          <cell r="V1260">
            <v>0</v>
          </cell>
          <cell r="W1260">
            <v>0</v>
          </cell>
          <cell r="X1260">
            <v>0.5252559</v>
          </cell>
          <cell r="Y1260">
            <v>0</v>
          </cell>
          <cell r="Z1260">
            <v>97.902097999999995</v>
          </cell>
          <cell r="AA1260">
            <v>0</v>
          </cell>
          <cell r="AB1260">
            <v>0.13991490000000001</v>
          </cell>
        </row>
        <row r="1261">
          <cell r="A1261">
            <v>27116300</v>
          </cell>
          <cell r="B1261" t="str">
            <v>Beef with sweet and sour sauce</v>
          </cell>
          <cell r="I1261">
            <v>140</v>
          </cell>
          <cell r="J1261">
            <v>214.79101</v>
          </cell>
          <cell r="K1261">
            <v>1.5342214999999999</v>
          </cell>
          <cell r="L1261">
            <v>0.56926489999999996</v>
          </cell>
          <cell r="M1261">
            <v>2.0887842000000001</v>
          </cell>
          <cell r="N1261">
            <v>0</v>
          </cell>
          <cell r="O1261">
            <v>3.6409900000000002E-2</v>
          </cell>
          <cell r="P1261">
            <v>0.42031839999999998</v>
          </cell>
          <cell r="Q1261">
            <v>3.0687245999999999</v>
          </cell>
          <cell r="R1261">
            <v>0</v>
          </cell>
          <cell r="S1261">
            <v>0</v>
          </cell>
          <cell r="T1261">
            <v>22.811173</v>
          </cell>
          <cell r="U1261">
            <v>28.856003999999999</v>
          </cell>
          <cell r="V1261">
            <v>0</v>
          </cell>
          <cell r="W1261">
            <v>0</v>
          </cell>
          <cell r="X1261">
            <v>0.41439720000000002</v>
          </cell>
          <cell r="Y1261">
            <v>0</v>
          </cell>
          <cell r="Z1261">
            <v>34.828296000000002</v>
          </cell>
          <cell r="AA1261">
            <v>0</v>
          </cell>
          <cell r="AB1261">
            <v>0.161772</v>
          </cell>
        </row>
        <row r="1262">
          <cell r="A1262">
            <v>27116350</v>
          </cell>
          <cell r="B1262" t="str">
            <v>Stewed seasoned ground beef, Mexican style</v>
          </cell>
          <cell r="I1262">
            <v>140</v>
          </cell>
          <cell r="J1262">
            <v>244.35721000000001</v>
          </cell>
          <cell r="K1262">
            <v>1.7454086428571429</v>
          </cell>
          <cell r="L1262">
            <v>0.26502189999999998</v>
          </cell>
          <cell r="M1262">
            <v>7.0040369</v>
          </cell>
          <cell r="N1262">
            <v>0</v>
          </cell>
          <cell r="O1262">
            <v>2.3350300000000001E-2</v>
          </cell>
          <cell r="P1262">
            <v>4.1121199999999997E-2</v>
          </cell>
          <cell r="Q1262">
            <v>0.50414440000000005</v>
          </cell>
          <cell r="R1262">
            <v>0</v>
          </cell>
          <cell r="S1262">
            <v>0</v>
          </cell>
          <cell r="T1262">
            <v>0</v>
          </cell>
          <cell r="U1262">
            <v>17.851215</v>
          </cell>
          <cell r="V1262">
            <v>0</v>
          </cell>
          <cell r="W1262">
            <v>0</v>
          </cell>
          <cell r="X1262">
            <v>0.29063450000000002</v>
          </cell>
          <cell r="Y1262">
            <v>0</v>
          </cell>
          <cell r="Z1262">
            <v>59.074815000000001</v>
          </cell>
          <cell r="AA1262">
            <v>0</v>
          </cell>
          <cell r="AB1262">
            <v>1.0746815000000001</v>
          </cell>
        </row>
        <row r="1263">
          <cell r="A1263">
            <v>27116400</v>
          </cell>
          <cell r="B1263" t="str">
            <v>Steak tartare</v>
          </cell>
          <cell r="I1263">
            <v>224</v>
          </cell>
          <cell r="J1263">
            <v>441.57774999999998</v>
          </cell>
          <cell r="K1263">
            <v>1.9713292410714285</v>
          </cell>
          <cell r="L1263">
            <v>0.84497069999999996</v>
          </cell>
          <cell r="M1263">
            <v>11.663797000000001</v>
          </cell>
          <cell r="N1263">
            <v>0</v>
          </cell>
          <cell r="O1263">
            <v>7.14312E-2</v>
          </cell>
          <cell r="P1263">
            <v>0</v>
          </cell>
          <cell r="Q1263">
            <v>1.6859031</v>
          </cell>
          <cell r="R1263">
            <v>0</v>
          </cell>
          <cell r="S1263">
            <v>0</v>
          </cell>
          <cell r="T1263">
            <v>0</v>
          </cell>
          <cell r="U1263">
            <v>35.358111000000001</v>
          </cell>
          <cell r="V1263">
            <v>0</v>
          </cell>
          <cell r="W1263">
            <v>0</v>
          </cell>
          <cell r="X1263">
            <v>0.32321230000000001</v>
          </cell>
          <cell r="Y1263">
            <v>0</v>
          </cell>
          <cell r="Z1263">
            <v>110.05128999999999</v>
          </cell>
          <cell r="AA1263">
            <v>0</v>
          </cell>
          <cell r="AB1263">
            <v>1.4327968</v>
          </cell>
        </row>
        <row r="1264">
          <cell r="A1264">
            <v>27118120</v>
          </cell>
          <cell r="B1264" t="str">
            <v>Stewed seasoned ground beef, Puerto Rican style</v>
          </cell>
          <cell r="I1264">
            <v>200</v>
          </cell>
          <cell r="J1264">
            <v>429.82625999999999</v>
          </cell>
          <cell r="K1264">
            <v>2.1491313000000001</v>
          </cell>
          <cell r="L1264">
            <v>1.2449218</v>
          </cell>
          <cell r="M1264">
            <v>10.484304</v>
          </cell>
          <cell r="N1264">
            <v>0</v>
          </cell>
          <cell r="O1264">
            <v>4.0090800000000003E-2</v>
          </cell>
          <cell r="P1264">
            <v>0.11760279999999999</v>
          </cell>
          <cell r="Q1264">
            <v>5.0900546999999996</v>
          </cell>
          <cell r="R1264">
            <v>0</v>
          </cell>
          <cell r="S1264">
            <v>0</v>
          </cell>
          <cell r="T1264">
            <v>0</v>
          </cell>
          <cell r="U1264">
            <v>75.303911999999997</v>
          </cell>
          <cell r="V1264">
            <v>0</v>
          </cell>
          <cell r="W1264">
            <v>0</v>
          </cell>
          <cell r="X1264">
            <v>0.98760349999999997</v>
          </cell>
          <cell r="Y1264">
            <v>0</v>
          </cell>
          <cell r="Z1264">
            <v>63.587705</v>
          </cell>
          <cell r="AA1264">
            <v>3.4865773</v>
          </cell>
          <cell r="AB1264">
            <v>1.2316479</v>
          </cell>
        </row>
        <row r="1265">
          <cell r="A1265">
            <v>27118130</v>
          </cell>
          <cell r="B1265" t="str">
            <v>Stewed dried beef, Puerto Rican style</v>
          </cell>
          <cell r="I1265">
            <v>200</v>
          </cell>
          <cell r="J1265">
            <v>361.40201999999999</v>
          </cell>
          <cell r="K1265">
            <v>1.8070101000000001</v>
          </cell>
          <cell r="L1265">
            <v>0.9687886</v>
          </cell>
          <cell r="M1265">
            <v>4.3920114999999997</v>
          </cell>
          <cell r="N1265">
            <v>0</v>
          </cell>
          <cell r="O1265">
            <v>2.1851200000000001E-2</v>
          </cell>
          <cell r="P1265">
            <v>5.9214000000000003E-2</v>
          </cell>
          <cell r="Q1265">
            <v>10.985659</v>
          </cell>
          <cell r="R1265">
            <v>0</v>
          </cell>
          <cell r="S1265">
            <v>0</v>
          </cell>
          <cell r="T1265">
            <v>0</v>
          </cell>
          <cell r="U1265">
            <v>52.599366000000003</v>
          </cell>
          <cell r="V1265">
            <v>0</v>
          </cell>
          <cell r="W1265">
            <v>0</v>
          </cell>
          <cell r="X1265">
            <v>2.6093548000000002</v>
          </cell>
          <cell r="Y1265">
            <v>0</v>
          </cell>
          <cell r="Z1265">
            <v>0</v>
          </cell>
          <cell r="AA1265">
            <v>80.395221000000006</v>
          </cell>
          <cell r="AB1265">
            <v>0.18936249999999999</v>
          </cell>
        </row>
        <row r="1266">
          <cell r="A1266">
            <v>27118180</v>
          </cell>
          <cell r="B1266" t="str">
            <v>Beef stew, meat with gravy, no potatoes, Puerto Rican style</v>
          </cell>
          <cell r="I1266">
            <v>235</v>
          </cell>
          <cell r="J1266">
            <v>276.65600000000001</v>
          </cell>
          <cell r="K1266">
            <v>1.1772595744680852</v>
          </cell>
          <cell r="L1266">
            <v>0.4761842</v>
          </cell>
          <cell r="M1266">
            <v>5.8905970999999999</v>
          </cell>
          <cell r="N1266">
            <v>0</v>
          </cell>
          <cell r="O1266">
            <v>1.7597700000000001E-2</v>
          </cell>
          <cell r="P1266">
            <v>0.1034021</v>
          </cell>
          <cell r="Q1266">
            <v>3.1834984</v>
          </cell>
          <cell r="R1266">
            <v>0</v>
          </cell>
          <cell r="S1266">
            <v>0</v>
          </cell>
          <cell r="T1266">
            <v>0</v>
          </cell>
          <cell r="U1266">
            <v>28.555925999999999</v>
          </cell>
          <cell r="V1266">
            <v>0</v>
          </cell>
          <cell r="W1266">
            <v>0</v>
          </cell>
          <cell r="X1266">
            <v>0.53354219999999997</v>
          </cell>
          <cell r="Y1266">
            <v>0</v>
          </cell>
          <cell r="Z1266">
            <v>66.374637000000007</v>
          </cell>
          <cell r="AA1266">
            <v>1.0747039</v>
          </cell>
          <cell r="AB1266">
            <v>0.49495820000000001</v>
          </cell>
        </row>
        <row r="1267">
          <cell r="A1267">
            <v>27120020</v>
          </cell>
          <cell r="B1267" t="str">
            <v>Ham or pork with gravy</v>
          </cell>
          <cell r="I1267">
            <v>140</v>
          </cell>
          <cell r="J1267">
            <v>223.86070000000001</v>
          </cell>
          <cell r="K1267">
            <v>1.599005</v>
          </cell>
          <cell r="L1267">
            <v>0</v>
          </cell>
          <cell r="M1267">
            <v>3.6897313</v>
          </cell>
          <cell r="N1267">
            <v>0</v>
          </cell>
          <cell r="O1267">
            <v>2.1898500000000001E-2</v>
          </cell>
          <cell r="P1267">
            <v>4.1791000000000002E-2</v>
          </cell>
          <cell r="Q1267">
            <v>0.91118410000000005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0.48908059999999998</v>
          </cell>
          <cell r="Y1267">
            <v>0</v>
          </cell>
          <cell r="Z1267">
            <v>97.033163999999999</v>
          </cell>
          <cell r="AA1267">
            <v>0</v>
          </cell>
          <cell r="AB1267">
            <v>1.55792E-2</v>
          </cell>
        </row>
        <row r="1268">
          <cell r="A1268">
            <v>27120030</v>
          </cell>
          <cell r="B1268" t="str">
            <v>Ham or pork with barbecue sauce</v>
          </cell>
          <cell r="I1268">
            <v>140</v>
          </cell>
          <cell r="J1268">
            <v>275.95618000000002</v>
          </cell>
          <cell r="K1268">
            <v>1.9711155714285715</v>
          </cell>
          <cell r="L1268">
            <v>0.376494</v>
          </cell>
          <cell r="M1268">
            <v>3.4449203000000002</v>
          </cell>
          <cell r="N1268">
            <v>0</v>
          </cell>
          <cell r="O1268">
            <v>3.1508399999999999E-2</v>
          </cell>
          <cell r="P1268">
            <v>0</v>
          </cell>
          <cell r="Q1268">
            <v>0.78408370000000005</v>
          </cell>
          <cell r="R1268">
            <v>0</v>
          </cell>
          <cell r="S1268">
            <v>0</v>
          </cell>
          <cell r="T1268">
            <v>0</v>
          </cell>
          <cell r="U1268">
            <v>13.323705</v>
          </cell>
          <cell r="V1268">
            <v>0</v>
          </cell>
          <cell r="W1268">
            <v>0</v>
          </cell>
          <cell r="X1268">
            <v>0.70241509999999996</v>
          </cell>
          <cell r="Y1268">
            <v>0</v>
          </cell>
          <cell r="Z1268">
            <v>97.129811000000004</v>
          </cell>
          <cell r="AA1268">
            <v>0</v>
          </cell>
          <cell r="AB1268">
            <v>9.2261399999999993E-2</v>
          </cell>
        </row>
        <row r="1269">
          <cell r="A1269">
            <v>27120060</v>
          </cell>
          <cell r="B1269" t="str">
            <v>Sweet and sour pork</v>
          </cell>
          <cell r="I1269">
            <v>140</v>
          </cell>
          <cell r="J1269">
            <v>217.72882000000001</v>
          </cell>
          <cell r="K1269">
            <v>1.5552058571428573</v>
          </cell>
          <cell r="L1269">
            <v>0.56926489999999996</v>
          </cell>
          <cell r="M1269">
            <v>1.707281</v>
          </cell>
          <cell r="N1269">
            <v>0</v>
          </cell>
          <cell r="O1269">
            <v>3.5316100000000003E-2</v>
          </cell>
          <cell r="P1269">
            <v>0.51467929999999995</v>
          </cell>
          <cell r="Q1269">
            <v>3.3407634000000002</v>
          </cell>
          <cell r="R1269">
            <v>0</v>
          </cell>
          <cell r="S1269">
            <v>0</v>
          </cell>
          <cell r="T1269">
            <v>22.811173</v>
          </cell>
          <cell r="U1269">
            <v>28.856003999999999</v>
          </cell>
          <cell r="V1269">
            <v>0</v>
          </cell>
          <cell r="W1269">
            <v>0</v>
          </cell>
          <cell r="X1269">
            <v>0.44927470000000003</v>
          </cell>
          <cell r="Y1269">
            <v>0</v>
          </cell>
          <cell r="Z1269">
            <v>31.301053</v>
          </cell>
          <cell r="AA1269">
            <v>0</v>
          </cell>
          <cell r="AB1269">
            <v>4.20817E-2</v>
          </cell>
        </row>
        <row r="1270">
          <cell r="A1270">
            <v>27120090</v>
          </cell>
          <cell r="B1270" t="str">
            <v>Ham or pork with (mushroom) soup (mixture)</v>
          </cell>
          <cell r="I1270">
            <v>140</v>
          </cell>
          <cell r="J1270">
            <v>194.74963</v>
          </cell>
          <cell r="K1270">
            <v>1.3910687857142856</v>
          </cell>
          <cell r="L1270">
            <v>0.13342370000000001</v>
          </cell>
          <cell r="M1270">
            <v>3.1056319000000001</v>
          </cell>
          <cell r="N1270">
            <v>0</v>
          </cell>
          <cell r="O1270">
            <v>3.5935799999999997E-2</v>
          </cell>
          <cell r="P1270">
            <v>0.2724839</v>
          </cell>
          <cell r="Q1270">
            <v>2.2115855</v>
          </cell>
          <cell r="R1270">
            <v>0</v>
          </cell>
          <cell r="S1270">
            <v>0</v>
          </cell>
          <cell r="T1270">
            <v>0</v>
          </cell>
          <cell r="U1270">
            <v>11.365413</v>
          </cell>
          <cell r="V1270">
            <v>0</v>
          </cell>
          <cell r="W1270">
            <v>0</v>
          </cell>
          <cell r="X1270">
            <v>0.44635259999999999</v>
          </cell>
          <cell r="Y1270">
            <v>0</v>
          </cell>
          <cell r="Z1270">
            <v>67.586961000000002</v>
          </cell>
          <cell r="AA1270">
            <v>0</v>
          </cell>
          <cell r="AB1270">
            <v>0.23882229999999999</v>
          </cell>
        </row>
        <row r="1271">
          <cell r="A1271">
            <v>27120100</v>
          </cell>
          <cell r="B1271" t="str">
            <v>Ham or pork with tomato-based sauce</v>
          </cell>
          <cell r="I1271">
            <v>140</v>
          </cell>
          <cell r="J1271">
            <v>213.95858000000001</v>
          </cell>
          <cell r="K1271">
            <v>1.5282755714285716</v>
          </cell>
          <cell r="L1271">
            <v>0.62724009999999997</v>
          </cell>
          <cell r="M1271">
            <v>3.4418757000000002</v>
          </cell>
          <cell r="N1271">
            <v>0</v>
          </cell>
          <cell r="O1271">
            <v>2.35642E-2</v>
          </cell>
          <cell r="P1271">
            <v>0</v>
          </cell>
          <cell r="Q1271">
            <v>0.79213460000000002</v>
          </cell>
          <cell r="R1271">
            <v>0</v>
          </cell>
          <cell r="S1271">
            <v>0</v>
          </cell>
          <cell r="T1271">
            <v>0</v>
          </cell>
          <cell r="U1271">
            <v>41.816009999999999</v>
          </cell>
          <cell r="V1271">
            <v>0</v>
          </cell>
          <cell r="W1271">
            <v>0</v>
          </cell>
          <cell r="X1271">
            <v>0.4925023</v>
          </cell>
          <cell r="Y1271">
            <v>0</v>
          </cell>
          <cell r="Z1271">
            <v>97.091128999999995</v>
          </cell>
          <cell r="AA1271">
            <v>0</v>
          </cell>
          <cell r="AB1271">
            <v>3.9455799999999999E-2</v>
          </cell>
        </row>
        <row r="1272">
          <cell r="A1272">
            <v>27120110</v>
          </cell>
          <cell r="B1272" t="str">
            <v>Sausage with tomato-based sauce</v>
          </cell>
          <cell r="I1272">
            <v>140</v>
          </cell>
          <cell r="J1272">
            <v>327.27091999999999</v>
          </cell>
          <cell r="K1272">
            <v>2.3376494285714284</v>
          </cell>
          <cell r="L1272">
            <v>0.62748999999999999</v>
          </cell>
          <cell r="M1272">
            <v>8.6321712999999995</v>
          </cell>
          <cell r="N1272">
            <v>0</v>
          </cell>
          <cell r="O1272">
            <v>1.47753E-2</v>
          </cell>
          <cell r="P1272">
            <v>0</v>
          </cell>
          <cell r="Q1272">
            <v>5.0433465999999996</v>
          </cell>
          <cell r="R1272">
            <v>0</v>
          </cell>
          <cell r="S1272">
            <v>0</v>
          </cell>
          <cell r="T1272">
            <v>0</v>
          </cell>
          <cell r="U1272">
            <v>41.832669000000003</v>
          </cell>
          <cell r="V1272">
            <v>0</v>
          </cell>
          <cell r="W1272">
            <v>0</v>
          </cell>
          <cell r="X1272">
            <v>1.2090088000000001</v>
          </cell>
          <cell r="Y1272">
            <v>0</v>
          </cell>
          <cell r="Z1272">
            <v>0</v>
          </cell>
          <cell r="AA1272">
            <v>77.205747000000002</v>
          </cell>
          <cell r="AB1272">
            <v>0.1171315</v>
          </cell>
        </row>
        <row r="1273">
          <cell r="A1273">
            <v>27120120</v>
          </cell>
          <cell r="B1273" t="str">
            <v>Sausage gravy</v>
          </cell>
          <cell r="I1273">
            <v>125</v>
          </cell>
          <cell r="J1273">
            <v>183.46491</v>
          </cell>
          <cell r="K1273">
            <v>1.4677192800000001</v>
          </cell>
          <cell r="L1273">
            <v>0</v>
          </cell>
          <cell r="M1273">
            <v>4.5102577000000004</v>
          </cell>
          <cell r="N1273">
            <v>0</v>
          </cell>
          <cell r="O1273">
            <v>0.1080242</v>
          </cell>
          <cell r="P1273">
            <v>0.12545519999999999</v>
          </cell>
          <cell r="Q1273">
            <v>2.6374789000000001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0.26046049999999998</v>
          </cell>
          <cell r="Y1273">
            <v>0</v>
          </cell>
          <cell r="Z1273">
            <v>0</v>
          </cell>
          <cell r="AA1273">
            <v>17.490206000000001</v>
          </cell>
          <cell r="AB1273">
            <v>0.82696519999999996</v>
          </cell>
        </row>
        <row r="1274">
          <cell r="A1274">
            <v>27120130</v>
          </cell>
          <cell r="B1274" t="str">
            <v>Pork stew, no potatoes, tomato-based sauce, Mexican style</v>
          </cell>
          <cell r="I1274">
            <v>244</v>
          </cell>
          <cell r="J1274">
            <v>236.79517999999999</v>
          </cell>
          <cell r="K1274">
            <v>0.97047204918032781</v>
          </cell>
          <cell r="L1274">
            <v>0.98744149999999997</v>
          </cell>
          <cell r="M1274">
            <v>2.8575758000000002</v>
          </cell>
          <cell r="N1274">
            <v>0</v>
          </cell>
          <cell r="O1274">
            <v>3.1038199999999998E-2</v>
          </cell>
          <cell r="P1274">
            <v>9.6127199999999996E-2</v>
          </cell>
          <cell r="Q1274">
            <v>1.4737827999999999</v>
          </cell>
          <cell r="R1274">
            <v>0</v>
          </cell>
          <cell r="S1274">
            <v>0</v>
          </cell>
          <cell r="T1274">
            <v>0</v>
          </cell>
          <cell r="U1274">
            <v>62.380744999999997</v>
          </cell>
          <cell r="V1274">
            <v>0</v>
          </cell>
          <cell r="W1274">
            <v>0</v>
          </cell>
          <cell r="X1274">
            <v>0.90580609999999995</v>
          </cell>
          <cell r="Y1274">
            <v>0</v>
          </cell>
          <cell r="Z1274">
            <v>103.78904</v>
          </cell>
          <cell r="AA1274">
            <v>0</v>
          </cell>
          <cell r="AB1274">
            <v>8.6633799999999997E-2</v>
          </cell>
        </row>
        <row r="1275">
          <cell r="A1275">
            <v>27120150</v>
          </cell>
          <cell r="B1275" t="str">
            <v>Pork or ham with soy-based sauce</v>
          </cell>
          <cell r="I1275">
            <v>140</v>
          </cell>
          <cell r="J1275">
            <v>248.30829</v>
          </cell>
          <cell r="K1275">
            <v>1.7736306428571429</v>
          </cell>
          <cell r="L1275">
            <v>0.58275600000000005</v>
          </cell>
          <cell r="M1275">
            <v>3.7061522</v>
          </cell>
          <cell r="N1275">
            <v>0</v>
          </cell>
          <cell r="O1275">
            <v>3.0783899999999999E-2</v>
          </cell>
          <cell r="P1275">
            <v>4.8076000000000001E-2</v>
          </cell>
          <cell r="Q1275">
            <v>4.7705117000000001</v>
          </cell>
          <cell r="R1275">
            <v>0</v>
          </cell>
          <cell r="S1275">
            <v>0</v>
          </cell>
          <cell r="T1275">
            <v>0</v>
          </cell>
          <cell r="U1275">
            <v>36.952495999999996</v>
          </cell>
          <cell r="V1275">
            <v>0</v>
          </cell>
          <cell r="W1275">
            <v>0</v>
          </cell>
          <cell r="X1275">
            <v>0.45427099999999998</v>
          </cell>
          <cell r="Y1275">
            <v>0</v>
          </cell>
          <cell r="Z1275">
            <v>63.823732999999997</v>
          </cell>
          <cell r="AA1275">
            <v>0</v>
          </cell>
          <cell r="AB1275">
            <v>6.0622700000000002E-2</v>
          </cell>
        </row>
        <row r="1276">
          <cell r="A1276">
            <v>27120160</v>
          </cell>
          <cell r="B1276" t="str">
            <v>Pork curry</v>
          </cell>
          <cell r="I1276">
            <v>140</v>
          </cell>
          <cell r="J1276">
            <v>118.02862</v>
          </cell>
          <cell r="K1276">
            <v>0.84306157142857141</v>
          </cell>
          <cell r="L1276">
            <v>1.5061662</v>
          </cell>
          <cell r="M1276">
            <v>1.2941491000000001</v>
          </cell>
          <cell r="N1276">
            <v>0</v>
          </cell>
          <cell r="O1276">
            <v>4.2248300000000003E-2</v>
          </cell>
          <cell r="P1276">
            <v>0.51990999999999998</v>
          </cell>
          <cell r="Q1276">
            <v>1.6672853000000001</v>
          </cell>
          <cell r="R1276">
            <v>0</v>
          </cell>
          <cell r="S1276">
            <v>3.1231138000000001</v>
          </cell>
          <cell r="T1276">
            <v>0</v>
          </cell>
          <cell r="U1276">
            <v>53.383797999999999</v>
          </cell>
          <cell r="V1276">
            <v>0</v>
          </cell>
          <cell r="W1276">
            <v>0</v>
          </cell>
          <cell r="X1276">
            <v>0.40742440000000002</v>
          </cell>
          <cell r="Y1276">
            <v>0</v>
          </cell>
          <cell r="Z1276">
            <v>22.137967</v>
          </cell>
          <cell r="AA1276">
            <v>0</v>
          </cell>
          <cell r="AB1276">
            <v>1.22151E-2</v>
          </cell>
        </row>
        <row r="1277">
          <cell r="A1277">
            <v>27120210</v>
          </cell>
          <cell r="B1277" t="str">
            <v>Frankfurter or hot dog, with chili, no bun</v>
          </cell>
          <cell r="I1277">
            <v>140</v>
          </cell>
          <cell r="J1277">
            <v>286.97685999999999</v>
          </cell>
          <cell r="K1277">
            <v>2.0498347142857143</v>
          </cell>
          <cell r="L1277">
            <v>2.4436363999999999</v>
          </cell>
          <cell r="M1277">
            <v>8.4857586999999999</v>
          </cell>
          <cell r="N1277">
            <v>0</v>
          </cell>
          <cell r="O1277">
            <v>3.3669400000000002E-2</v>
          </cell>
          <cell r="P1277">
            <v>-2.3899999999999999E-16</v>
          </cell>
          <cell r="Q1277">
            <v>1.0203339</v>
          </cell>
          <cell r="R1277">
            <v>0</v>
          </cell>
          <cell r="S1277">
            <v>14.254545</v>
          </cell>
          <cell r="T1277">
            <v>0</v>
          </cell>
          <cell r="U1277">
            <v>12.699503999999999</v>
          </cell>
          <cell r="V1277">
            <v>0</v>
          </cell>
          <cell r="W1277">
            <v>0</v>
          </cell>
          <cell r="X1277">
            <v>0.90295369999999997</v>
          </cell>
          <cell r="Y1277">
            <v>0</v>
          </cell>
          <cell r="Z1277">
            <v>10.286598</v>
          </cell>
          <cell r="AA1277">
            <v>51.416590999999997</v>
          </cell>
          <cell r="AB1277">
            <v>1.2176992</v>
          </cell>
        </row>
        <row r="1278">
          <cell r="A1278">
            <v>27120250</v>
          </cell>
          <cell r="B1278" t="str">
            <v>Frankfurters or hot dogs with tomato-based sauce</v>
          </cell>
          <cell r="I1278">
            <v>140</v>
          </cell>
          <cell r="J1278">
            <v>317.50995999999998</v>
          </cell>
          <cell r="K1278">
            <v>2.2679282857142855</v>
          </cell>
          <cell r="L1278">
            <v>0.62748999999999999</v>
          </cell>
          <cell r="M1278">
            <v>11.203207000000001</v>
          </cell>
          <cell r="N1278">
            <v>0</v>
          </cell>
          <cell r="O1278">
            <v>1.9655800000000001E-2</v>
          </cell>
          <cell r="P1278">
            <v>0</v>
          </cell>
          <cell r="Q1278">
            <v>1.1223704999999999</v>
          </cell>
          <cell r="R1278">
            <v>0</v>
          </cell>
          <cell r="S1278">
            <v>0</v>
          </cell>
          <cell r="T1278">
            <v>0</v>
          </cell>
          <cell r="U1278">
            <v>41.832669000000003</v>
          </cell>
          <cell r="V1278">
            <v>0</v>
          </cell>
          <cell r="W1278">
            <v>0</v>
          </cell>
          <cell r="X1278">
            <v>1.2587896000000001</v>
          </cell>
          <cell r="Y1278">
            <v>0</v>
          </cell>
          <cell r="Z1278">
            <v>0</v>
          </cell>
          <cell r="AA1278">
            <v>76.098855</v>
          </cell>
          <cell r="AB1278">
            <v>1.6203186999999999</v>
          </cell>
        </row>
        <row r="1279">
          <cell r="A1279">
            <v>27121000</v>
          </cell>
          <cell r="B1279" t="str">
            <v>Pork with chili and tomatoes</v>
          </cell>
          <cell r="I1279">
            <v>236</v>
          </cell>
          <cell r="J1279">
            <v>216.50622000000001</v>
          </cell>
          <cell r="K1279">
            <v>0.91739923728813566</v>
          </cell>
          <cell r="L1279">
            <v>1.5400263000000001</v>
          </cell>
          <cell r="M1279">
            <v>3.1697565999999999</v>
          </cell>
          <cell r="N1279">
            <v>0</v>
          </cell>
          <cell r="O1279">
            <v>3.6137900000000001E-2</v>
          </cell>
          <cell r="P1279">
            <v>4.5527400000000003E-2</v>
          </cell>
          <cell r="Q1279">
            <v>1.0539946</v>
          </cell>
          <cell r="R1279">
            <v>0</v>
          </cell>
          <cell r="S1279">
            <v>0</v>
          </cell>
          <cell r="T1279">
            <v>0</v>
          </cell>
          <cell r="U1279">
            <v>116.50230000000001</v>
          </cell>
          <cell r="V1279">
            <v>0</v>
          </cell>
          <cell r="W1279">
            <v>0</v>
          </cell>
          <cell r="X1279">
            <v>0.26615840000000002</v>
          </cell>
          <cell r="Y1279">
            <v>0</v>
          </cell>
          <cell r="Z1279">
            <v>87.60445</v>
          </cell>
          <cell r="AA1279">
            <v>0</v>
          </cell>
          <cell r="AB1279">
            <v>9.1857999999999992E-3</v>
          </cell>
        </row>
        <row r="1280">
          <cell r="A1280">
            <v>27121410</v>
          </cell>
          <cell r="B1280" t="str">
            <v>Chili con carne with beans, made with pork</v>
          </cell>
          <cell r="I1280">
            <v>254</v>
          </cell>
          <cell r="J1280">
            <v>241.99017000000001</v>
          </cell>
          <cell r="K1280">
            <v>0.95271720472440946</v>
          </cell>
          <cell r="L1280">
            <v>4.7020106000000004</v>
          </cell>
          <cell r="M1280">
            <v>4.2527127</v>
          </cell>
          <cell r="N1280">
            <v>0</v>
          </cell>
          <cell r="O1280">
            <v>6.9860599999999995E-2</v>
          </cell>
          <cell r="P1280">
            <v>0.75339670000000003</v>
          </cell>
          <cell r="Q1280">
            <v>1.2983186</v>
          </cell>
          <cell r="R1280">
            <v>0</v>
          </cell>
          <cell r="S1280">
            <v>66.220132000000007</v>
          </cell>
          <cell r="T1280">
            <v>0</v>
          </cell>
          <cell r="U1280">
            <v>107.97244000000001</v>
          </cell>
          <cell r="V1280">
            <v>0</v>
          </cell>
          <cell r="W1280">
            <v>0</v>
          </cell>
          <cell r="X1280">
            <v>0.85246180000000005</v>
          </cell>
          <cell r="Y1280">
            <v>0</v>
          </cell>
          <cell r="Z1280">
            <v>46.373609999999999</v>
          </cell>
          <cell r="AA1280">
            <v>0</v>
          </cell>
          <cell r="AB1280">
            <v>0.2836303</v>
          </cell>
        </row>
        <row r="1281">
          <cell r="A1281">
            <v>27130100</v>
          </cell>
          <cell r="B1281" t="str">
            <v>Lamb or mutton curry</v>
          </cell>
          <cell r="I1281">
            <v>236</v>
          </cell>
          <cell r="J1281">
            <v>211.10368</v>
          </cell>
          <cell r="K1281">
            <v>0.89450711864406773</v>
          </cell>
          <cell r="L1281">
            <v>2.6288757999999999</v>
          </cell>
          <cell r="M1281">
            <v>3.4614031000000001</v>
          </cell>
          <cell r="N1281">
            <v>0</v>
          </cell>
          <cell r="O1281">
            <v>7.63543E-2</v>
          </cell>
          <cell r="P1281">
            <v>1.2774702</v>
          </cell>
          <cell r="Q1281">
            <v>3.1401810000000001</v>
          </cell>
          <cell r="R1281">
            <v>0</v>
          </cell>
          <cell r="S1281">
            <v>5.4511104000000001</v>
          </cell>
          <cell r="T1281">
            <v>0</v>
          </cell>
          <cell r="U1281">
            <v>93.176552999999998</v>
          </cell>
          <cell r="V1281">
            <v>0</v>
          </cell>
          <cell r="W1281">
            <v>0</v>
          </cell>
          <cell r="X1281">
            <v>0.71169130000000003</v>
          </cell>
          <cell r="Y1281">
            <v>0</v>
          </cell>
          <cell r="Z1281">
            <v>26.086458</v>
          </cell>
          <cell r="AA1281">
            <v>0</v>
          </cell>
          <cell r="AB1281">
            <v>0.23235</v>
          </cell>
        </row>
        <row r="1282">
          <cell r="A1282">
            <v>27133010</v>
          </cell>
          <cell r="B1282" t="str">
            <v>Stewed goat, Puerto Rican style</v>
          </cell>
          <cell r="I1282">
            <v>177</v>
          </cell>
          <cell r="J1282">
            <v>361.85343999999998</v>
          </cell>
          <cell r="K1282">
            <v>2.0443697175141242</v>
          </cell>
          <cell r="L1282">
            <v>0.7048219</v>
          </cell>
          <cell r="M1282">
            <v>4.8639470999999999</v>
          </cell>
          <cell r="N1282">
            <v>0</v>
          </cell>
          <cell r="O1282">
            <v>2.87823E-2</v>
          </cell>
          <cell r="P1282">
            <v>2.0245900000000001E-2</v>
          </cell>
          <cell r="Q1282">
            <v>2.5491041000000001</v>
          </cell>
          <cell r="R1282">
            <v>0</v>
          </cell>
          <cell r="S1282">
            <v>0</v>
          </cell>
          <cell r="T1282">
            <v>0</v>
          </cell>
          <cell r="U1282">
            <v>40.186914999999999</v>
          </cell>
          <cell r="V1282">
            <v>0</v>
          </cell>
          <cell r="W1282">
            <v>0</v>
          </cell>
          <cell r="X1282">
            <v>1.0510162000000001</v>
          </cell>
          <cell r="Y1282">
            <v>0</v>
          </cell>
          <cell r="Z1282">
            <v>103.64915999999999</v>
          </cell>
          <cell r="AA1282">
            <v>8.6425111000000001</v>
          </cell>
          <cell r="AB1282">
            <v>0.50810460000000002</v>
          </cell>
        </row>
        <row r="1283">
          <cell r="A1283">
            <v>27136050</v>
          </cell>
          <cell r="B1283" t="str">
            <v>Venison/deer with tomato-based sauce (mixture)</v>
          </cell>
          <cell r="I1283">
            <v>140</v>
          </cell>
          <cell r="J1283">
            <v>196.39586</v>
          </cell>
          <cell r="K1283">
            <v>1.4028275714285714</v>
          </cell>
          <cell r="L1283">
            <v>0.62724009999999997</v>
          </cell>
          <cell r="M1283">
            <v>2.2017522999999999</v>
          </cell>
          <cell r="N1283">
            <v>0</v>
          </cell>
          <cell r="O1283">
            <v>1.18557E-2</v>
          </cell>
          <cell r="P1283">
            <v>0</v>
          </cell>
          <cell r="Q1283">
            <v>0.30623260000000002</v>
          </cell>
          <cell r="R1283">
            <v>0</v>
          </cell>
          <cell r="S1283">
            <v>0</v>
          </cell>
          <cell r="T1283">
            <v>0</v>
          </cell>
          <cell r="U1283">
            <v>41.816009999999999</v>
          </cell>
          <cell r="V1283">
            <v>0</v>
          </cell>
          <cell r="W1283">
            <v>0</v>
          </cell>
          <cell r="X1283">
            <v>0.48664800000000003</v>
          </cell>
          <cell r="Y1283">
            <v>0</v>
          </cell>
          <cell r="Z1283">
            <v>97.570689000000002</v>
          </cell>
          <cell r="AA1283">
            <v>0</v>
          </cell>
          <cell r="AB1283">
            <v>0.17956920000000001</v>
          </cell>
        </row>
        <row r="1284">
          <cell r="A1284">
            <v>27136080</v>
          </cell>
          <cell r="B1284" t="str">
            <v>Venison or deer with gravy</v>
          </cell>
          <cell r="I1284">
            <v>140</v>
          </cell>
          <cell r="J1284">
            <v>206.30846</v>
          </cell>
          <cell r="K1284">
            <v>1.473631857142857</v>
          </cell>
          <cell r="L1284">
            <v>0</v>
          </cell>
          <cell r="M1284">
            <v>2.4503482999999999</v>
          </cell>
          <cell r="N1284">
            <v>0</v>
          </cell>
          <cell r="O1284">
            <v>1.0196999999999999E-2</v>
          </cell>
          <cell r="P1284">
            <v>4.1791000000000002E-2</v>
          </cell>
          <cell r="Q1284">
            <v>0.42557210000000001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0.48322989999999999</v>
          </cell>
          <cell r="Y1284">
            <v>0</v>
          </cell>
          <cell r="Z1284">
            <v>97.512438000000003</v>
          </cell>
          <cell r="AA1284">
            <v>0</v>
          </cell>
          <cell r="AB1284">
            <v>0.17495569999999999</v>
          </cell>
        </row>
        <row r="1285">
          <cell r="A1285">
            <v>27136100</v>
          </cell>
          <cell r="B1285" t="str">
            <v>Chili con carne with venison/deer and beans</v>
          </cell>
          <cell r="I1285">
            <v>254</v>
          </cell>
          <cell r="J1285">
            <v>190.94497000000001</v>
          </cell>
          <cell r="K1285">
            <v>0.75175185039370085</v>
          </cell>
          <cell r="L1285">
            <v>4.5425826000000002</v>
          </cell>
          <cell r="M1285">
            <v>2.2711695999999999</v>
          </cell>
          <cell r="N1285">
            <v>0</v>
          </cell>
          <cell r="O1285">
            <v>6.6328200000000004E-2</v>
          </cell>
          <cell r="P1285">
            <v>0.28293279999999998</v>
          </cell>
          <cell r="Q1285">
            <v>0.52479759999999998</v>
          </cell>
          <cell r="R1285">
            <v>0</v>
          </cell>
          <cell r="S1285">
            <v>66.322038000000006</v>
          </cell>
          <cell r="T1285">
            <v>0</v>
          </cell>
          <cell r="U1285">
            <v>132.96088</v>
          </cell>
          <cell r="V1285">
            <v>0</v>
          </cell>
          <cell r="W1285">
            <v>0</v>
          </cell>
          <cell r="X1285">
            <v>0.7801129</v>
          </cell>
          <cell r="Y1285">
            <v>0</v>
          </cell>
          <cell r="Z1285">
            <v>53.190607</v>
          </cell>
          <cell r="AA1285">
            <v>0</v>
          </cell>
          <cell r="AB1285">
            <v>9.8979899999999996E-2</v>
          </cell>
        </row>
        <row r="1286">
          <cell r="A1286">
            <v>27141000</v>
          </cell>
          <cell r="B1286" t="str">
            <v>Chicken or turkey cacciatore</v>
          </cell>
          <cell r="I1286">
            <v>244</v>
          </cell>
          <cell r="J1286">
            <v>399.28505999999999</v>
          </cell>
          <cell r="K1286">
            <v>1.6364141803278689</v>
          </cell>
          <cell r="L1286">
            <v>1.5337949</v>
          </cell>
          <cell r="M1286">
            <v>5.6637407</v>
          </cell>
          <cell r="N1286">
            <v>0</v>
          </cell>
          <cell r="O1286">
            <v>5.6758099999999999E-2</v>
          </cell>
          <cell r="P1286">
            <v>0.66612179999999999</v>
          </cell>
          <cell r="Q1286">
            <v>5.9725769</v>
          </cell>
          <cell r="R1286">
            <v>0</v>
          </cell>
          <cell r="S1286">
            <v>0</v>
          </cell>
          <cell r="T1286">
            <v>0</v>
          </cell>
          <cell r="U1286">
            <v>80.592336000000003</v>
          </cell>
          <cell r="V1286">
            <v>0</v>
          </cell>
          <cell r="W1286">
            <v>0</v>
          </cell>
          <cell r="X1286">
            <v>0.70614710000000003</v>
          </cell>
          <cell r="Y1286">
            <v>0</v>
          </cell>
          <cell r="Z1286">
            <v>0</v>
          </cell>
          <cell r="AA1286">
            <v>0</v>
          </cell>
          <cell r="AB1286">
            <v>0.1157847</v>
          </cell>
        </row>
        <row r="1287">
          <cell r="A1287">
            <v>27141030</v>
          </cell>
          <cell r="B1287" t="str">
            <v>Spaghetti sauce with poultry</v>
          </cell>
          <cell r="I1287">
            <v>125</v>
          </cell>
          <cell r="J1287">
            <v>91.247148999999993</v>
          </cell>
          <cell r="K1287">
            <v>0.729977192</v>
          </cell>
          <cell r="L1287">
            <v>1.828125</v>
          </cell>
          <cell r="M1287">
            <v>0.63270709999999997</v>
          </cell>
          <cell r="N1287">
            <v>0</v>
          </cell>
          <cell r="O1287">
            <v>3.1206999999999999E-2</v>
          </cell>
          <cell r="P1287">
            <v>0</v>
          </cell>
          <cell r="Q1287">
            <v>1.0799259000000001</v>
          </cell>
          <cell r="R1287">
            <v>0</v>
          </cell>
          <cell r="S1287">
            <v>0</v>
          </cell>
          <cell r="T1287">
            <v>0</v>
          </cell>
          <cell r="U1287">
            <v>100.11219</v>
          </cell>
          <cell r="V1287">
            <v>0</v>
          </cell>
          <cell r="W1287">
            <v>0</v>
          </cell>
          <cell r="X1287">
            <v>0.52916470000000004</v>
          </cell>
          <cell r="Y1287">
            <v>0</v>
          </cell>
          <cell r="Z1287">
            <v>0</v>
          </cell>
          <cell r="AA1287">
            <v>0</v>
          </cell>
          <cell r="AB1287">
            <v>2.2681699999999999E-2</v>
          </cell>
        </row>
        <row r="1288">
          <cell r="A1288">
            <v>27141035</v>
          </cell>
          <cell r="B1288" t="str">
            <v>Spaghetti sauce with poultry and added vegetables</v>
          </cell>
          <cell r="I1288">
            <v>125</v>
          </cell>
          <cell r="J1288">
            <v>85.018978000000004</v>
          </cell>
          <cell r="K1288">
            <v>0.68015182400000007</v>
          </cell>
          <cell r="L1288">
            <v>1.7444853</v>
          </cell>
          <cell r="M1288">
            <v>0.59314250000000002</v>
          </cell>
          <cell r="N1288">
            <v>0</v>
          </cell>
          <cell r="O1288">
            <v>2.7592599999999998E-2</v>
          </cell>
          <cell r="P1288">
            <v>0</v>
          </cell>
          <cell r="Q1288">
            <v>0.95354039999999995</v>
          </cell>
          <cell r="R1288">
            <v>0</v>
          </cell>
          <cell r="S1288">
            <v>0</v>
          </cell>
          <cell r="T1288">
            <v>0</v>
          </cell>
          <cell r="U1288">
            <v>100.45344</v>
          </cell>
          <cell r="V1288">
            <v>0</v>
          </cell>
          <cell r="W1288">
            <v>0</v>
          </cell>
          <cell r="X1288">
            <v>0.42528719999999998</v>
          </cell>
          <cell r="Y1288">
            <v>0</v>
          </cell>
          <cell r="Z1288">
            <v>0</v>
          </cell>
          <cell r="AA1288">
            <v>0</v>
          </cell>
          <cell r="AB1288">
            <v>2.10089E-2</v>
          </cell>
        </row>
        <row r="1289">
          <cell r="A1289">
            <v>27141050</v>
          </cell>
          <cell r="B1289" t="str">
            <v>Stewed chicken with tomato-based sauce, Mexican style</v>
          </cell>
          <cell r="I1289">
            <v>140</v>
          </cell>
          <cell r="J1289">
            <v>151.07361</v>
          </cell>
          <cell r="K1289">
            <v>1.0790972142857143</v>
          </cell>
          <cell r="L1289">
            <v>0.5328176</v>
          </cell>
          <cell r="M1289">
            <v>1.9059419</v>
          </cell>
          <cell r="N1289">
            <v>0</v>
          </cell>
          <cell r="O1289">
            <v>1.4850800000000001E-2</v>
          </cell>
          <cell r="P1289">
            <v>3.5443000000000002E-2</v>
          </cell>
          <cell r="Q1289">
            <v>2.7203928999999998</v>
          </cell>
          <cell r="R1289">
            <v>0</v>
          </cell>
          <cell r="S1289">
            <v>0</v>
          </cell>
          <cell r="T1289">
            <v>0</v>
          </cell>
          <cell r="U1289">
            <v>33.989685999999999</v>
          </cell>
          <cell r="V1289">
            <v>0</v>
          </cell>
          <cell r="W1289">
            <v>0</v>
          </cell>
          <cell r="X1289">
            <v>0.50019619999999998</v>
          </cell>
          <cell r="Y1289">
            <v>0</v>
          </cell>
          <cell r="Z1289">
            <v>0</v>
          </cell>
          <cell r="AA1289">
            <v>0</v>
          </cell>
          <cell r="AB1289">
            <v>0.37753589999999998</v>
          </cell>
        </row>
        <row r="1290">
          <cell r="A1290">
            <v>27141500</v>
          </cell>
          <cell r="B1290" t="str">
            <v>Chili con carne with chicken or turkey and beans</v>
          </cell>
          <cell r="I1290">
            <v>254</v>
          </cell>
          <cell r="J1290">
            <v>192.30197000000001</v>
          </cell>
          <cell r="K1290">
            <v>0.75709437007874025</v>
          </cell>
          <cell r="L1290">
            <v>4.8085326999999998</v>
          </cell>
          <cell r="M1290">
            <v>1.5487301</v>
          </cell>
          <cell r="N1290">
            <v>0</v>
          </cell>
          <cell r="O1290">
            <v>7.30576E-2</v>
          </cell>
          <cell r="P1290">
            <v>0.74049419999999999</v>
          </cell>
          <cell r="Q1290">
            <v>1.8301799999999999</v>
          </cell>
          <cell r="R1290">
            <v>0</v>
          </cell>
          <cell r="S1290">
            <v>69.425132000000005</v>
          </cell>
          <cell r="T1290">
            <v>0</v>
          </cell>
          <cell r="U1290">
            <v>106.12333</v>
          </cell>
          <cell r="V1290">
            <v>0</v>
          </cell>
          <cell r="W1290">
            <v>0</v>
          </cell>
          <cell r="X1290">
            <v>0.85160860000000005</v>
          </cell>
          <cell r="Y1290">
            <v>0</v>
          </cell>
          <cell r="Z1290">
            <v>0</v>
          </cell>
          <cell r="AA1290">
            <v>0</v>
          </cell>
          <cell r="AB1290">
            <v>6.9947099999999998E-2</v>
          </cell>
        </row>
        <row r="1291">
          <cell r="A1291">
            <v>27142000</v>
          </cell>
          <cell r="B1291" t="str">
            <v>Chicken with gravy</v>
          </cell>
          <cell r="I1291">
            <v>140</v>
          </cell>
          <cell r="J1291">
            <v>180.38032999999999</v>
          </cell>
          <cell r="K1291">
            <v>1.2884309285714284</v>
          </cell>
          <cell r="L1291">
            <v>0</v>
          </cell>
          <cell r="M1291">
            <v>1.8080406</v>
          </cell>
          <cell r="N1291">
            <v>0</v>
          </cell>
          <cell r="O1291">
            <v>1.8379E-2</v>
          </cell>
          <cell r="P1291">
            <v>4.1815999999999999E-2</v>
          </cell>
          <cell r="Q1291">
            <v>1.0845260999999999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0.73708410000000002</v>
          </cell>
          <cell r="Y1291">
            <v>0</v>
          </cell>
          <cell r="Z1291">
            <v>0</v>
          </cell>
          <cell r="AA1291">
            <v>0</v>
          </cell>
          <cell r="AB1291">
            <v>7.0892000000000004E-3</v>
          </cell>
        </row>
        <row r="1292">
          <cell r="A1292">
            <v>27142200</v>
          </cell>
          <cell r="B1292" t="str">
            <v>Turkey with gravy</v>
          </cell>
          <cell r="I1292">
            <v>140</v>
          </cell>
          <cell r="J1292">
            <v>175.20908</v>
          </cell>
          <cell r="K1292">
            <v>1.2514934285714285</v>
          </cell>
          <cell r="L1292">
            <v>0</v>
          </cell>
          <cell r="M1292">
            <v>1.3717045000000001</v>
          </cell>
          <cell r="N1292">
            <v>0</v>
          </cell>
          <cell r="O1292">
            <v>1.7013E-2</v>
          </cell>
          <cell r="P1292">
            <v>4.1815999999999999E-2</v>
          </cell>
          <cell r="Q1292">
            <v>1.1771206999999999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0.49891410000000003</v>
          </cell>
          <cell r="Y1292">
            <v>0</v>
          </cell>
          <cell r="Z1292">
            <v>0</v>
          </cell>
          <cell r="AA1292">
            <v>0</v>
          </cell>
          <cell r="AB1292">
            <v>5.2409400000000002E-2</v>
          </cell>
        </row>
        <row r="1293">
          <cell r="A1293">
            <v>27143000</v>
          </cell>
          <cell r="B1293" t="str">
            <v>Chicken or turkey with cream sauce</v>
          </cell>
          <cell r="I1293">
            <v>140</v>
          </cell>
          <cell r="J1293">
            <v>221.7561</v>
          </cell>
          <cell r="K1293">
            <v>1.5839721428571429</v>
          </cell>
          <cell r="L1293">
            <v>0</v>
          </cell>
          <cell r="M1293">
            <v>2.7339929999999999</v>
          </cell>
          <cell r="N1293">
            <v>0</v>
          </cell>
          <cell r="O1293">
            <v>6.3537300000000005E-2</v>
          </cell>
          <cell r="P1293">
            <v>8.3623699999999995E-2</v>
          </cell>
          <cell r="Q1293">
            <v>2.1108989999999999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0.72777840000000005</v>
          </cell>
          <cell r="Y1293">
            <v>0</v>
          </cell>
          <cell r="Z1293">
            <v>0</v>
          </cell>
          <cell r="AA1293">
            <v>0</v>
          </cell>
          <cell r="AB1293">
            <v>0.29022789999999998</v>
          </cell>
        </row>
        <row r="1294">
          <cell r="A1294">
            <v>27144000</v>
          </cell>
          <cell r="B1294" t="str">
            <v>Chicken or turkey with mushroom sauce</v>
          </cell>
          <cell r="I1294">
            <v>140</v>
          </cell>
          <cell r="J1294">
            <v>189.55381</v>
          </cell>
          <cell r="K1294">
            <v>1.3539557857142857</v>
          </cell>
          <cell r="L1294">
            <v>6.8889699999999998E-2</v>
          </cell>
          <cell r="M1294">
            <v>1.9828231999999999</v>
          </cell>
          <cell r="N1294">
            <v>0</v>
          </cell>
          <cell r="O1294">
            <v>3.4077099999999999E-2</v>
          </cell>
          <cell r="P1294">
            <v>0.1264072</v>
          </cell>
          <cell r="Q1294">
            <v>1.7385946999999999</v>
          </cell>
          <cell r="R1294">
            <v>0</v>
          </cell>
          <cell r="S1294">
            <v>0</v>
          </cell>
          <cell r="T1294">
            <v>0</v>
          </cell>
          <cell r="U1294">
            <v>5.4683140999999997</v>
          </cell>
          <cell r="V1294">
            <v>0</v>
          </cell>
          <cell r="W1294">
            <v>0</v>
          </cell>
          <cell r="X1294">
            <v>0.73062369999999999</v>
          </cell>
          <cell r="Y1294">
            <v>0</v>
          </cell>
          <cell r="Z1294">
            <v>0</v>
          </cell>
          <cell r="AA1294">
            <v>0</v>
          </cell>
          <cell r="AB1294">
            <v>9.57847E-2</v>
          </cell>
        </row>
        <row r="1295">
          <cell r="A1295">
            <v>27145000</v>
          </cell>
          <cell r="B1295" t="str">
            <v>Chicken or turkey with teriyaki</v>
          </cell>
          <cell r="I1295">
            <v>140</v>
          </cell>
          <cell r="J1295">
            <v>219.47800000000001</v>
          </cell>
          <cell r="K1295">
            <v>1.5677000000000001</v>
          </cell>
          <cell r="L1295">
            <v>-2.4300000000000002E-18</v>
          </cell>
          <cell r="M1295">
            <v>1.989792</v>
          </cell>
          <cell r="N1295">
            <v>0</v>
          </cell>
          <cell r="O1295">
            <v>2.1644E-2</v>
          </cell>
          <cell r="P1295">
            <v>1.4E-2</v>
          </cell>
          <cell r="Q1295">
            <v>1.1807460000000001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0.97144600000000003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</row>
        <row r="1296">
          <cell r="A1296">
            <v>27146000</v>
          </cell>
          <cell r="B1296" t="str">
            <v>Chicken or turkey with barbecue sauce, skin eaten</v>
          </cell>
          <cell r="I1296">
            <v>140</v>
          </cell>
          <cell r="J1296">
            <v>306.45999999999998</v>
          </cell>
          <cell r="K1296">
            <v>2.1890000000000001</v>
          </cell>
          <cell r="L1296">
            <v>0.378</v>
          </cell>
          <cell r="M1296">
            <v>3.7330999999999999</v>
          </cell>
          <cell r="N1296">
            <v>0</v>
          </cell>
          <cell r="O1296">
            <v>2.8559999999999999E-2</v>
          </cell>
          <cell r="P1296">
            <v>0</v>
          </cell>
          <cell r="Q1296">
            <v>2.95302</v>
          </cell>
          <cell r="R1296">
            <v>0</v>
          </cell>
          <cell r="S1296">
            <v>0</v>
          </cell>
          <cell r="T1296">
            <v>0</v>
          </cell>
          <cell r="U1296">
            <v>13.377000000000001</v>
          </cell>
          <cell r="V1296">
            <v>0</v>
          </cell>
          <cell r="W1296">
            <v>0</v>
          </cell>
          <cell r="X1296">
            <v>0.51170000000000004</v>
          </cell>
          <cell r="Y1296">
            <v>0</v>
          </cell>
          <cell r="Z1296">
            <v>0</v>
          </cell>
          <cell r="AA1296">
            <v>0</v>
          </cell>
          <cell r="AB1296">
            <v>7.0328299999999996E-2</v>
          </cell>
        </row>
        <row r="1297">
          <cell r="A1297">
            <v>27146010</v>
          </cell>
          <cell r="B1297" t="str">
            <v>Chicken or turkey with barbecue sauce, skin not eaten</v>
          </cell>
          <cell r="I1297">
            <v>140</v>
          </cell>
          <cell r="J1297">
            <v>229.55403000000001</v>
          </cell>
          <cell r="K1297">
            <v>1.639671642857143</v>
          </cell>
          <cell r="L1297">
            <v>0.27956510000000001</v>
          </cell>
          <cell r="M1297">
            <v>1.0359441</v>
          </cell>
          <cell r="N1297">
            <v>0</v>
          </cell>
          <cell r="O1297">
            <v>1.79133E-2</v>
          </cell>
          <cell r="P1297">
            <v>0</v>
          </cell>
          <cell r="Q1297">
            <v>0.93592189999999997</v>
          </cell>
          <cell r="R1297">
            <v>0</v>
          </cell>
          <cell r="S1297">
            <v>0</v>
          </cell>
          <cell r="T1297">
            <v>0</v>
          </cell>
          <cell r="U1297">
            <v>9.8934990000000003</v>
          </cell>
          <cell r="V1297">
            <v>0</v>
          </cell>
          <cell r="W1297">
            <v>0</v>
          </cell>
          <cell r="X1297">
            <v>0.51309700000000003</v>
          </cell>
          <cell r="Y1297">
            <v>0</v>
          </cell>
          <cell r="Z1297">
            <v>0</v>
          </cell>
          <cell r="AA1297">
            <v>0</v>
          </cell>
          <cell r="AB1297">
            <v>0.23998920000000001</v>
          </cell>
        </row>
        <row r="1298">
          <cell r="A1298">
            <v>27146011</v>
          </cell>
          <cell r="B1298" t="str">
            <v>Chicken, shredded or pulled, with barbecue sauce</v>
          </cell>
          <cell r="I1298">
            <v>140</v>
          </cell>
          <cell r="J1298">
            <v>233.25399999999999</v>
          </cell>
          <cell r="K1298">
            <v>1.6660999999999999</v>
          </cell>
          <cell r="L1298">
            <v>0.378</v>
          </cell>
          <cell r="M1298">
            <v>1.566516</v>
          </cell>
          <cell r="N1298">
            <v>0</v>
          </cell>
          <cell r="O1298">
            <v>2.7972E-2</v>
          </cell>
          <cell r="P1298">
            <v>0</v>
          </cell>
          <cell r="Q1298">
            <v>0.96077800000000002</v>
          </cell>
          <cell r="R1298">
            <v>0</v>
          </cell>
          <cell r="S1298">
            <v>0</v>
          </cell>
          <cell r="T1298">
            <v>0</v>
          </cell>
          <cell r="U1298">
            <v>13.377000000000001</v>
          </cell>
          <cell r="V1298">
            <v>0</v>
          </cell>
          <cell r="W1298">
            <v>0</v>
          </cell>
          <cell r="X1298">
            <v>0.76953800000000006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</row>
        <row r="1299">
          <cell r="A1299">
            <v>27146050</v>
          </cell>
          <cell r="B1299" t="str">
            <v>Chicken wing with hot pepper sauce</v>
          </cell>
          <cell r="I1299">
            <v>140</v>
          </cell>
          <cell r="J1299">
            <v>442.29966999999999</v>
          </cell>
          <cell r="K1299">
            <v>3.1592833571428569</v>
          </cell>
          <cell r="L1299">
            <v>8.0637E-2</v>
          </cell>
          <cell r="M1299">
            <v>11.638721</v>
          </cell>
          <cell r="N1299">
            <v>0</v>
          </cell>
          <cell r="O1299">
            <v>8.2870299999999994E-2</v>
          </cell>
          <cell r="P1299">
            <v>0.25157269999999998</v>
          </cell>
          <cell r="Q1299">
            <v>4.2828888999999997</v>
          </cell>
          <cell r="R1299">
            <v>0</v>
          </cell>
          <cell r="S1299">
            <v>0</v>
          </cell>
          <cell r="T1299">
            <v>0</v>
          </cell>
          <cell r="U1299">
            <v>11.519575</v>
          </cell>
          <cell r="V1299">
            <v>0</v>
          </cell>
          <cell r="W1299">
            <v>0</v>
          </cell>
          <cell r="X1299">
            <v>1.1929913999999999</v>
          </cell>
          <cell r="Y1299">
            <v>0</v>
          </cell>
          <cell r="Z1299">
            <v>0</v>
          </cell>
          <cell r="AA1299">
            <v>0</v>
          </cell>
          <cell r="AB1299">
            <v>0.70627629999999997</v>
          </cell>
        </row>
        <row r="1300">
          <cell r="A1300">
            <v>27146100</v>
          </cell>
          <cell r="B1300" t="str">
            <v>Sweet and sour chicken or turkey</v>
          </cell>
          <cell r="I1300">
            <v>140</v>
          </cell>
          <cell r="J1300">
            <v>350</v>
          </cell>
          <cell r="K1300">
            <v>2.5</v>
          </cell>
          <cell r="L1300">
            <v>0.69569020000000004</v>
          </cell>
          <cell r="M1300">
            <v>2.7061999999999999</v>
          </cell>
          <cell r="N1300">
            <v>0</v>
          </cell>
          <cell r="O1300">
            <v>6.3E-2</v>
          </cell>
          <cell r="P1300">
            <v>0.70430979999999999</v>
          </cell>
          <cell r="Q1300">
            <v>8.9865999999999993</v>
          </cell>
          <cell r="R1300">
            <v>0</v>
          </cell>
          <cell r="S1300">
            <v>0</v>
          </cell>
          <cell r="T1300">
            <v>42</v>
          </cell>
          <cell r="U1300">
            <v>26.04</v>
          </cell>
          <cell r="V1300">
            <v>0</v>
          </cell>
          <cell r="W1300">
            <v>0</v>
          </cell>
          <cell r="X1300">
            <v>0.34439999999999998</v>
          </cell>
          <cell r="Y1300">
            <v>0</v>
          </cell>
          <cell r="Z1300">
            <v>0</v>
          </cell>
          <cell r="AA1300">
            <v>0</v>
          </cell>
          <cell r="AB1300">
            <v>0.10780000000000001</v>
          </cell>
        </row>
        <row r="1301">
          <cell r="A1301">
            <v>27146110</v>
          </cell>
          <cell r="B1301" t="str">
            <v>Sweet and sour chicken or turkey, without vegetables</v>
          </cell>
          <cell r="I1301">
            <v>140</v>
          </cell>
          <cell r="J1301">
            <v>350</v>
          </cell>
          <cell r="K1301">
            <v>2.5</v>
          </cell>
          <cell r="L1301">
            <v>0.69569020000000004</v>
          </cell>
          <cell r="M1301">
            <v>2.7061999999999999</v>
          </cell>
          <cell r="N1301">
            <v>0</v>
          </cell>
          <cell r="O1301">
            <v>6.3E-2</v>
          </cell>
          <cell r="P1301">
            <v>0.70430979999999999</v>
          </cell>
          <cell r="Q1301">
            <v>8.9865999999999993</v>
          </cell>
          <cell r="R1301">
            <v>0</v>
          </cell>
          <cell r="S1301">
            <v>0</v>
          </cell>
          <cell r="T1301">
            <v>42</v>
          </cell>
          <cell r="U1301">
            <v>26.04</v>
          </cell>
          <cell r="V1301">
            <v>0</v>
          </cell>
          <cell r="W1301">
            <v>0</v>
          </cell>
          <cell r="X1301">
            <v>0.34439999999999998</v>
          </cell>
          <cell r="Y1301">
            <v>0</v>
          </cell>
          <cell r="Z1301">
            <v>0</v>
          </cell>
          <cell r="AA1301">
            <v>0</v>
          </cell>
          <cell r="AB1301">
            <v>0.10780000000000001</v>
          </cell>
        </row>
        <row r="1302">
          <cell r="A1302">
            <v>27146150</v>
          </cell>
          <cell r="B1302" t="str">
            <v>Chicken curry</v>
          </cell>
          <cell r="I1302">
            <v>140</v>
          </cell>
          <cell r="J1302">
            <v>108.48929</v>
          </cell>
          <cell r="K1302">
            <v>0.77492349999999999</v>
          </cell>
          <cell r="L1302">
            <v>1.516788</v>
          </cell>
          <cell r="M1302">
            <v>0.88922990000000002</v>
          </cell>
          <cell r="N1302">
            <v>0</v>
          </cell>
          <cell r="O1302">
            <v>4.2221399999999999E-2</v>
          </cell>
          <cell r="P1302">
            <v>0.5235765</v>
          </cell>
          <cell r="Q1302">
            <v>1.7244412</v>
          </cell>
          <cell r="R1302">
            <v>0</v>
          </cell>
          <cell r="S1302">
            <v>3.1451386000000001</v>
          </cell>
          <cell r="T1302">
            <v>0</v>
          </cell>
          <cell r="U1302">
            <v>53.760272000000001</v>
          </cell>
          <cell r="V1302">
            <v>0</v>
          </cell>
          <cell r="W1302">
            <v>0</v>
          </cell>
          <cell r="X1302">
            <v>0.3997909</v>
          </cell>
          <cell r="Y1302">
            <v>0</v>
          </cell>
          <cell r="Z1302">
            <v>0</v>
          </cell>
          <cell r="AA1302">
            <v>0</v>
          </cell>
          <cell r="AB1302">
            <v>6.6795599999999997E-2</v>
          </cell>
        </row>
        <row r="1303">
          <cell r="A1303">
            <v>27146160</v>
          </cell>
          <cell r="B1303" t="str">
            <v>Chicken with mole sauce</v>
          </cell>
          <cell r="I1303">
            <v>140</v>
          </cell>
          <cell r="J1303">
            <v>214.0094</v>
          </cell>
          <cell r="K1303">
            <v>1.5286385714285715</v>
          </cell>
          <cell r="L1303">
            <v>0.4249734</v>
          </cell>
          <cell r="M1303">
            <v>2.3663992999999999</v>
          </cell>
          <cell r="N1303">
            <v>0</v>
          </cell>
          <cell r="O1303">
            <v>2.7213399999999999E-2</v>
          </cell>
          <cell r="P1303">
            <v>0.61617189999999999</v>
          </cell>
          <cell r="Q1303">
            <v>2.2048190999999999</v>
          </cell>
          <cell r="R1303">
            <v>0</v>
          </cell>
          <cell r="S1303">
            <v>0</v>
          </cell>
          <cell r="T1303">
            <v>1.8196547999999999</v>
          </cell>
          <cell r="U1303">
            <v>17.667545</v>
          </cell>
          <cell r="V1303">
            <v>0</v>
          </cell>
          <cell r="W1303">
            <v>0</v>
          </cell>
          <cell r="X1303">
            <v>0.68196820000000002</v>
          </cell>
          <cell r="Y1303">
            <v>2.0600488000000001</v>
          </cell>
          <cell r="Z1303">
            <v>0</v>
          </cell>
          <cell r="AA1303">
            <v>0</v>
          </cell>
          <cell r="AB1303">
            <v>7.3230999999999999E-3</v>
          </cell>
        </row>
        <row r="1304">
          <cell r="A1304">
            <v>27146200</v>
          </cell>
          <cell r="B1304" t="str">
            <v>Chicken or turkey with cheese sauce</v>
          </cell>
          <cell r="I1304">
            <v>140</v>
          </cell>
          <cell r="J1304">
            <v>242.87962999999999</v>
          </cell>
          <cell r="K1304">
            <v>1.7348545</v>
          </cell>
          <cell r="L1304">
            <v>-4.8600000000000003E-18</v>
          </cell>
          <cell r="M1304">
            <v>4.9042406999999999</v>
          </cell>
          <cell r="N1304">
            <v>0</v>
          </cell>
          <cell r="O1304">
            <v>0.1443334</v>
          </cell>
          <cell r="P1304">
            <v>4.1849299999999999E-2</v>
          </cell>
          <cell r="Q1304">
            <v>1.4996991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0.73794170000000003</v>
          </cell>
          <cell r="Y1304">
            <v>0</v>
          </cell>
          <cell r="Z1304">
            <v>0</v>
          </cell>
          <cell r="AA1304">
            <v>0</v>
          </cell>
          <cell r="AB1304">
            <v>0.18559020000000001</v>
          </cell>
        </row>
        <row r="1305">
          <cell r="A1305">
            <v>27146250</v>
          </cell>
          <cell r="B1305" t="str">
            <v>Chicken or turkey cordon bleu</v>
          </cell>
          <cell r="I1305">
            <v>140</v>
          </cell>
          <cell r="J1305">
            <v>301.79392999999999</v>
          </cell>
          <cell r="K1305">
            <v>2.1556709285714284</v>
          </cell>
          <cell r="L1305">
            <v>6.1026400000000001E-2</v>
          </cell>
          <cell r="M1305">
            <v>5.0766882999999998</v>
          </cell>
          <cell r="N1305">
            <v>0</v>
          </cell>
          <cell r="O1305">
            <v>0.1387853</v>
          </cell>
          <cell r="P1305">
            <v>0.91789889999999996</v>
          </cell>
          <cell r="Q1305">
            <v>2.1893194</v>
          </cell>
          <cell r="R1305">
            <v>0</v>
          </cell>
          <cell r="S1305">
            <v>0</v>
          </cell>
          <cell r="T1305">
            <v>0</v>
          </cell>
          <cell r="U1305">
            <v>1.8492850000000001</v>
          </cell>
          <cell r="V1305">
            <v>0</v>
          </cell>
          <cell r="W1305">
            <v>0</v>
          </cell>
          <cell r="X1305">
            <v>0.86498249999999999</v>
          </cell>
          <cell r="Y1305">
            <v>0</v>
          </cell>
          <cell r="Z1305">
            <v>0</v>
          </cell>
          <cell r="AA1305">
            <v>13.955938</v>
          </cell>
          <cell r="AB1305">
            <v>0.41595559999999998</v>
          </cell>
        </row>
        <row r="1306">
          <cell r="A1306">
            <v>27146300</v>
          </cell>
          <cell r="B1306" t="str">
            <v>Chicken or turkey parmigiana</v>
          </cell>
          <cell r="I1306">
            <v>140</v>
          </cell>
          <cell r="J1306">
            <v>219.00928999999999</v>
          </cell>
          <cell r="K1306">
            <v>1.5643520714285715</v>
          </cell>
          <cell r="L1306">
            <v>0.57595010000000002</v>
          </cell>
          <cell r="M1306">
            <v>3.5172351000000002</v>
          </cell>
          <cell r="N1306">
            <v>0</v>
          </cell>
          <cell r="O1306">
            <v>0.1193418</v>
          </cell>
          <cell r="P1306">
            <v>0.4052982</v>
          </cell>
          <cell r="Q1306">
            <v>2.2967355</v>
          </cell>
          <cell r="R1306">
            <v>0</v>
          </cell>
          <cell r="S1306">
            <v>0</v>
          </cell>
          <cell r="T1306">
            <v>0</v>
          </cell>
          <cell r="U1306">
            <v>38.396672000000002</v>
          </cell>
          <cell r="V1306">
            <v>0</v>
          </cell>
          <cell r="W1306">
            <v>0</v>
          </cell>
          <cell r="X1306">
            <v>0.52750680000000005</v>
          </cell>
          <cell r="Y1306">
            <v>0</v>
          </cell>
          <cell r="Z1306">
            <v>0</v>
          </cell>
          <cell r="AA1306">
            <v>0</v>
          </cell>
          <cell r="AB1306">
            <v>0.19259109999999999</v>
          </cell>
        </row>
        <row r="1307">
          <cell r="A1307">
            <v>27146350</v>
          </cell>
          <cell r="B1307" t="str">
            <v>Orange chicken</v>
          </cell>
          <cell r="I1307">
            <v>140</v>
          </cell>
          <cell r="J1307">
            <v>366.8</v>
          </cell>
          <cell r="K1307">
            <v>2.62</v>
          </cell>
          <cell r="L1307">
            <v>0.22857420000000001</v>
          </cell>
          <cell r="M1307">
            <v>3.3908</v>
          </cell>
          <cell r="N1307">
            <v>0</v>
          </cell>
          <cell r="O1307">
            <v>1.9599999999999999E-2</v>
          </cell>
          <cell r="P1307">
            <v>0.89142580000000005</v>
          </cell>
          <cell r="Q1307">
            <v>8.5204000000000004</v>
          </cell>
          <cell r="R1307">
            <v>0</v>
          </cell>
          <cell r="S1307">
            <v>0</v>
          </cell>
          <cell r="T1307">
            <v>17.5</v>
          </cell>
          <cell r="U1307">
            <v>0</v>
          </cell>
          <cell r="V1307">
            <v>0</v>
          </cell>
          <cell r="W1307">
            <v>0</v>
          </cell>
          <cell r="X1307">
            <v>0.7742</v>
          </cell>
          <cell r="Y1307">
            <v>0</v>
          </cell>
          <cell r="Z1307">
            <v>0</v>
          </cell>
          <cell r="AA1307">
            <v>0</v>
          </cell>
          <cell r="AB1307">
            <v>7.4200000000000002E-2</v>
          </cell>
        </row>
        <row r="1308">
          <cell r="A1308">
            <v>27146360</v>
          </cell>
          <cell r="B1308" t="str">
            <v>Sesame chicken</v>
          </cell>
          <cell r="I1308">
            <v>140</v>
          </cell>
          <cell r="J1308">
            <v>410.2</v>
          </cell>
          <cell r="K1308">
            <v>2.9299999999999997</v>
          </cell>
          <cell r="L1308">
            <v>0.108858</v>
          </cell>
          <cell r="M1308">
            <v>3.3740000000000001</v>
          </cell>
          <cell r="N1308">
            <v>0</v>
          </cell>
          <cell r="O1308">
            <v>1.6799999999999999E-2</v>
          </cell>
          <cell r="P1308">
            <v>0.87114199999999997</v>
          </cell>
          <cell r="Q1308">
            <v>9.6389999999999993</v>
          </cell>
          <cell r="R1308">
            <v>0</v>
          </cell>
          <cell r="S1308">
            <v>0</v>
          </cell>
          <cell r="T1308">
            <v>0</v>
          </cell>
          <cell r="U1308">
            <v>8.68</v>
          </cell>
          <cell r="V1308">
            <v>0</v>
          </cell>
          <cell r="W1308">
            <v>0</v>
          </cell>
          <cell r="X1308">
            <v>0.67479999999999996</v>
          </cell>
          <cell r="Y1308">
            <v>6.9457500000000003</v>
          </cell>
          <cell r="Z1308">
            <v>0</v>
          </cell>
          <cell r="AA1308">
            <v>0</v>
          </cell>
          <cell r="AB1308">
            <v>6.3E-2</v>
          </cell>
        </row>
        <row r="1309">
          <cell r="A1309">
            <v>27146400</v>
          </cell>
          <cell r="B1309" t="str">
            <v>Chicken kiev</v>
          </cell>
          <cell r="I1309">
            <v>140</v>
          </cell>
          <cell r="J1309">
            <v>353.80437999999998</v>
          </cell>
          <cell r="K1309">
            <v>2.5271741428571426</v>
          </cell>
          <cell r="L1309">
            <v>-3.8900000000000001E-17</v>
          </cell>
          <cell r="M1309">
            <v>8.9383300000000006</v>
          </cell>
          <cell r="N1309">
            <v>0</v>
          </cell>
          <cell r="O1309">
            <v>3.2538499999999998E-2</v>
          </cell>
          <cell r="P1309">
            <v>0.27582089999999998</v>
          </cell>
          <cell r="Q1309">
            <v>2.1954688999999998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0.53882450000000004</v>
          </cell>
          <cell r="Y1309">
            <v>0</v>
          </cell>
          <cell r="Z1309">
            <v>0</v>
          </cell>
          <cell r="AA1309">
            <v>0</v>
          </cell>
          <cell r="AB1309">
            <v>0.62801070000000003</v>
          </cell>
        </row>
        <row r="1310">
          <cell r="A1310">
            <v>27148010</v>
          </cell>
          <cell r="B1310" t="str">
            <v>Stuffed chicken, drumstick or breast, Puerto Rican style (Muslo de pollo o pechuga rellena)</v>
          </cell>
          <cell r="I1310">
            <v>140</v>
          </cell>
          <cell r="J1310">
            <v>250.51315</v>
          </cell>
          <cell r="K1310">
            <v>1.7893796428571429</v>
          </cell>
          <cell r="L1310">
            <v>5.7425900000000002E-2</v>
          </cell>
          <cell r="M1310">
            <v>3.201695</v>
          </cell>
          <cell r="N1310">
            <v>0</v>
          </cell>
          <cell r="O1310">
            <v>8.7781300000000007E-2</v>
          </cell>
          <cell r="P1310">
            <v>0.25407410000000002</v>
          </cell>
          <cell r="Q1310">
            <v>1.5962605999999999</v>
          </cell>
          <cell r="R1310">
            <v>0</v>
          </cell>
          <cell r="S1310">
            <v>0</v>
          </cell>
          <cell r="T1310">
            <v>0</v>
          </cell>
          <cell r="U1310">
            <v>2.9814815000000001</v>
          </cell>
          <cell r="V1310">
            <v>0</v>
          </cell>
          <cell r="W1310">
            <v>0</v>
          </cell>
          <cell r="X1310">
            <v>0.7511506</v>
          </cell>
          <cell r="Y1310">
            <v>0</v>
          </cell>
          <cell r="Z1310">
            <v>0</v>
          </cell>
          <cell r="AA1310">
            <v>7.7777778</v>
          </cell>
          <cell r="AB1310">
            <v>0.1735862</v>
          </cell>
        </row>
        <row r="1311">
          <cell r="A1311">
            <v>27150010</v>
          </cell>
          <cell r="B1311" t="str">
            <v>Fish with cream or white sauce, not tuna or lobster (mixture)</v>
          </cell>
          <cell r="I1311">
            <v>140</v>
          </cell>
          <cell r="J1311">
            <v>163.82089999999999</v>
          </cell>
          <cell r="K1311">
            <v>1.1701492857142857</v>
          </cell>
          <cell r="L1311">
            <v>0</v>
          </cell>
          <cell r="M1311">
            <v>1.3565373000000001</v>
          </cell>
          <cell r="N1311">
            <v>0.1540697</v>
          </cell>
          <cell r="O1311">
            <v>6.3132300000000002E-2</v>
          </cell>
          <cell r="P1311">
            <v>8.3582100000000006E-2</v>
          </cell>
          <cell r="Q1311">
            <v>1.480796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0.49395620000000001</v>
          </cell>
          <cell r="Y1311">
            <v>0</v>
          </cell>
          <cell r="Z1311">
            <v>0</v>
          </cell>
          <cell r="AA1311">
            <v>0</v>
          </cell>
          <cell r="AB1311">
            <v>0.37995990000000002</v>
          </cell>
        </row>
        <row r="1312">
          <cell r="A1312">
            <v>27150060</v>
          </cell>
          <cell r="B1312" t="str">
            <v>Lobster newburg</v>
          </cell>
          <cell r="I1312">
            <v>140</v>
          </cell>
          <cell r="J1312">
            <v>270.01184999999998</v>
          </cell>
          <cell r="K1312">
            <v>1.9286560714285712</v>
          </cell>
          <cell r="L1312">
            <v>0</v>
          </cell>
          <cell r="M1312">
            <v>12.346012</v>
          </cell>
          <cell r="N1312">
            <v>9.9910799999999994E-2</v>
          </cell>
          <cell r="O1312">
            <v>0.12409000000000001</v>
          </cell>
          <cell r="P1312">
            <v>6.3537099999999999E-2</v>
          </cell>
          <cell r="Q1312">
            <v>1.2296526000000001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0.53363590000000005</v>
          </cell>
          <cell r="Y1312">
            <v>0</v>
          </cell>
          <cell r="Z1312">
            <v>0</v>
          </cell>
          <cell r="AA1312">
            <v>0</v>
          </cell>
          <cell r="AB1312">
            <v>1.0021871</v>
          </cell>
        </row>
        <row r="1313">
          <cell r="A1313">
            <v>27150070</v>
          </cell>
          <cell r="B1313" t="str">
            <v>Lobster with butter sauce (mixture)</v>
          </cell>
          <cell r="I1313">
            <v>140</v>
          </cell>
          <cell r="J1313">
            <v>222.36546000000001</v>
          </cell>
          <cell r="K1313">
            <v>1.5883247142857144</v>
          </cell>
          <cell r="L1313">
            <v>0</v>
          </cell>
          <cell r="M1313">
            <v>8.2556597000000007</v>
          </cell>
          <cell r="N1313">
            <v>0.24264289999999999</v>
          </cell>
          <cell r="O1313">
            <v>0.1231912</v>
          </cell>
          <cell r="P1313">
            <v>0</v>
          </cell>
          <cell r="Q1313">
            <v>0.89679620000000004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0.70484139999999995</v>
          </cell>
          <cell r="Y1313">
            <v>0</v>
          </cell>
          <cell r="Z1313">
            <v>0</v>
          </cell>
          <cell r="AA1313">
            <v>0</v>
          </cell>
          <cell r="AB1313">
            <v>0.52648700000000004</v>
          </cell>
        </row>
        <row r="1314">
          <cell r="A1314">
            <v>27150100</v>
          </cell>
          <cell r="B1314" t="str">
            <v>Shrimp curry</v>
          </cell>
          <cell r="I1314">
            <v>140</v>
          </cell>
          <cell r="J1314">
            <v>99.653056000000007</v>
          </cell>
          <cell r="K1314">
            <v>0.71180754285714287</v>
          </cell>
          <cell r="L1314">
            <v>1.5277007</v>
          </cell>
          <cell r="M1314">
            <v>0.66731189999999996</v>
          </cell>
          <cell r="N1314">
            <v>5.6662299999999999E-2</v>
          </cell>
          <cell r="O1314">
            <v>5.9499200000000002E-2</v>
          </cell>
          <cell r="P1314">
            <v>0.74236760000000002</v>
          </cell>
          <cell r="Q1314">
            <v>1.6674195999999999</v>
          </cell>
          <cell r="R1314">
            <v>0</v>
          </cell>
          <cell r="S1314">
            <v>3.1677666000000002</v>
          </cell>
          <cell r="T1314">
            <v>0</v>
          </cell>
          <cell r="U1314">
            <v>54.147055999999999</v>
          </cell>
          <cell r="V1314">
            <v>0</v>
          </cell>
          <cell r="W1314">
            <v>0</v>
          </cell>
          <cell r="X1314">
            <v>0.41046300000000002</v>
          </cell>
          <cell r="Y1314">
            <v>0</v>
          </cell>
          <cell r="Z1314">
            <v>0</v>
          </cell>
          <cell r="AA1314">
            <v>0</v>
          </cell>
          <cell r="AB1314">
            <v>1.9575200000000001E-2</v>
          </cell>
        </row>
        <row r="1315">
          <cell r="A1315">
            <v>27150110</v>
          </cell>
          <cell r="B1315" t="str">
            <v>Shrimp cocktail</v>
          </cell>
          <cell r="I1315">
            <v>140</v>
          </cell>
          <cell r="J1315">
            <v>169.02215000000001</v>
          </cell>
          <cell r="K1315">
            <v>1.2073010714285715</v>
          </cell>
          <cell r="L1315">
            <v>0.87197230000000003</v>
          </cell>
          <cell r="M1315">
            <v>0.47701250000000001</v>
          </cell>
          <cell r="N1315">
            <v>0.25269760000000002</v>
          </cell>
          <cell r="O1315">
            <v>9.59121E-2</v>
          </cell>
          <cell r="P1315">
            <v>0</v>
          </cell>
          <cell r="Q1315">
            <v>0.54018690000000003</v>
          </cell>
          <cell r="R1315">
            <v>0</v>
          </cell>
          <cell r="S1315">
            <v>0</v>
          </cell>
          <cell r="T1315">
            <v>0</v>
          </cell>
          <cell r="U1315">
            <v>34.418685000000004</v>
          </cell>
          <cell r="V1315">
            <v>0</v>
          </cell>
          <cell r="W1315">
            <v>0</v>
          </cell>
          <cell r="X1315">
            <v>1.3432394000000001</v>
          </cell>
          <cell r="Y1315">
            <v>0</v>
          </cell>
          <cell r="Z1315">
            <v>0</v>
          </cell>
          <cell r="AA1315">
            <v>0</v>
          </cell>
          <cell r="AB1315">
            <v>3.2044999999999997E-2</v>
          </cell>
        </row>
        <row r="1316">
          <cell r="A1316">
            <v>27150151</v>
          </cell>
          <cell r="B1316" t="str">
            <v>Spaghetti sauce with seafood</v>
          </cell>
          <cell r="I1316">
            <v>125</v>
          </cell>
          <cell r="J1316">
            <v>79.140625</v>
          </cell>
          <cell r="K1316">
            <v>0.63312500000000005</v>
          </cell>
          <cell r="L1316">
            <v>1.828125</v>
          </cell>
          <cell r="M1316">
            <v>0.27964840000000002</v>
          </cell>
          <cell r="N1316">
            <v>8.4492200000000003E-2</v>
          </cell>
          <cell r="O1316">
            <v>5.1015600000000001E-2</v>
          </cell>
          <cell r="P1316">
            <v>0</v>
          </cell>
          <cell r="Q1316">
            <v>0.80093749999999997</v>
          </cell>
          <cell r="R1316">
            <v>0</v>
          </cell>
          <cell r="S1316">
            <v>0</v>
          </cell>
          <cell r="T1316">
            <v>0</v>
          </cell>
          <cell r="U1316">
            <v>100.11219</v>
          </cell>
          <cell r="V1316">
            <v>0</v>
          </cell>
          <cell r="W1316">
            <v>0</v>
          </cell>
          <cell r="X1316">
            <v>0.55890629999999997</v>
          </cell>
          <cell r="Y1316">
            <v>0</v>
          </cell>
          <cell r="Z1316">
            <v>0</v>
          </cell>
          <cell r="AA1316">
            <v>0</v>
          </cell>
          <cell r="AB1316">
            <v>9.9219000000000009E-3</v>
          </cell>
        </row>
        <row r="1317">
          <cell r="A1317">
            <v>27150155</v>
          </cell>
          <cell r="B1317" t="str">
            <v>Spaghetti sauce with seafood and added vegetables</v>
          </cell>
          <cell r="I1317">
            <v>125</v>
          </cell>
          <cell r="J1317">
            <v>72.912453999999997</v>
          </cell>
          <cell r="K1317">
            <v>0.58329963200000001</v>
          </cell>
          <cell r="L1317">
            <v>1.7444853</v>
          </cell>
          <cell r="M1317">
            <v>0.24008389999999999</v>
          </cell>
          <cell r="N1317">
            <v>8.4492200000000003E-2</v>
          </cell>
          <cell r="O1317">
            <v>4.7401199999999998E-2</v>
          </cell>
          <cell r="P1317">
            <v>0</v>
          </cell>
          <cell r="Q1317">
            <v>0.67455189999999998</v>
          </cell>
          <cell r="R1317">
            <v>0</v>
          </cell>
          <cell r="S1317">
            <v>0</v>
          </cell>
          <cell r="T1317">
            <v>0</v>
          </cell>
          <cell r="U1317">
            <v>100.45344</v>
          </cell>
          <cell r="V1317">
            <v>0</v>
          </cell>
          <cell r="W1317">
            <v>0</v>
          </cell>
          <cell r="X1317">
            <v>0.45502870000000001</v>
          </cell>
          <cell r="Y1317">
            <v>0</v>
          </cell>
          <cell r="Z1317">
            <v>0</v>
          </cell>
          <cell r="AA1317">
            <v>0</v>
          </cell>
          <cell r="AB1317">
            <v>8.2491000000000005E-3</v>
          </cell>
        </row>
        <row r="1318">
          <cell r="A1318">
            <v>27150160</v>
          </cell>
          <cell r="B1318" t="str">
            <v>Shrimp with lobster sauce (mixture)</v>
          </cell>
          <cell r="I1318">
            <v>140</v>
          </cell>
          <cell r="J1318">
            <v>174.13595000000001</v>
          </cell>
          <cell r="K1318">
            <v>1.2438282142857144</v>
          </cell>
          <cell r="L1318">
            <v>0.33478520000000001</v>
          </cell>
          <cell r="M1318">
            <v>1.8511937000000001</v>
          </cell>
          <cell r="N1318">
            <v>0.36016860000000001</v>
          </cell>
          <cell r="O1318">
            <v>0.1094311</v>
          </cell>
          <cell r="P1318">
            <v>1.66672E-2</v>
          </cell>
          <cell r="Q1318">
            <v>2.5208762</v>
          </cell>
          <cell r="R1318">
            <v>0</v>
          </cell>
          <cell r="S1318">
            <v>1.8849655999999999</v>
          </cell>
          <cell r="T1318">
            <v>0</v>
          </cell>
          <cell r="U1318">
            <v>1.3112296999999999</v>
          </cell>
          <cell r="V1318">
            <v>0</v>
          </cell>
          <cell r="W1318">
            <v>0</v>
          </cell>
          <cell r="X1318">
            <v>1.1051625</v>
          </cell>
          <cell r="Y1318">
            <v>0</v>
          </cell>
          <cell r="Z1318">
            <v>10.819679000000001</v>
          </cell>
          <cell r="AA1318">
            <v>0</v>
          </cell>
          <cell r="AB1318">
            <v>1.47259E-2</v>
          </cell>
        </row>
        <row r="1319">
          <cell r="A1319">
            <v>27150170</v>
          </cell>
          <cell r="B1319" t="str">
            <v>Sweet and sour shrimp</v>
          </cell>
          <cell r="I1319">
            <v>140</v>
          </cell>
          <cell r="J1319">
            <v>200.65200999999999</v>
          </cell>
          <cell r="K1319">
            <v>1.4332286428571428</v>
          </cell>
          <cell r="L1319">
            <v>0.57224180000000002</v>
          </cell>
          <cell r="M1319">
            <v>1.5535546</v>
          </cell>
          <cell r="N1319">
            <v>5.8642800000000002E-2</v>
          </cell>
          <cell r="O1319">
            <v>5.0343800000000001E-2</v>
          </cell>
          <cell r="P1319">
            <v>0.37851669999999998</v>
          </cell>
          <cell r="Q1319">
            <v>4.0140197000000004</v>
          </cell>
          <cell r="R1319">
            <v>0</v>
          </cell>
          <cell r="S1319">
            <v>0</v>
          </cell>
          <cell r="T1319">
            <v>22.93046</v>
          </cell>
          <cell r="U1319">
            <v>29.006900999999999</v>
          </cell>
          <cell r="V1319">
            <v>0</v>
          </cell>
          <cell r="W1319">
            <v>0</v>
          </cell>
          <cell r="X1319">
            <v>0.60660020000000003</v>
          </cell>
          <cell r="Y1319">
            <v>0</v>
          </cell>
          <cell r="Z1319">
            <v>0</v>
          </cell>
          <cell r="AA1319">
            <v>0</v>
          </cell>
          <cell r="AB1319">
            <v>4.0578799999999998E-2</v>
          </cell>
        </row>
        <row r="1320">
          <cell r="A1320">
            <v>27150190</v>
          </cell>
          <cell r="B1320" t="str">
            <v>Lobster sauce (broth-based)</v>
          </cell>
          <cell r="I1320">
            <v>58.5</v>
          </cell>
          <cell r="J1320">
            <v>71.745800000000003</v>
          </cell>
          <cell r="K1320">
            <v>1.2264239316239316</v>
          </cell>
          <cell r="L1320">
            <v>0.26496920000000002</v>
          </cell>
          <cell r="M1320">
            <v>0.9519765</v>
          </cell>
          <cell r="N1320">
            <v>0</v>
          </cell>
          <cell r="O1320">
            <v>9.3364999999999993E-3</v>
          </cell>
          <cell r="P1320">
            <v>1.3191400000000001E-2</v>
          </cell>
          <cell r="Q1320">
            <v>1.4717838999999999</v>
          </cell>
          <cell r="R1320">
            <v>0</v>
          </cell>
          <cell r="S1320">
            <v>1.4918750999999999</v>
          </cell>
          <cell r="T1320">
            <v>0</v>
          </cell>
          <cell r="U1320">
            <v>1.0377860999999999</v>
          </cell>
          <cell r="V1320">
            <v>0</v>
          </cell>
          <cell r="W1320">
            <v>0</v>
          </cell>
          <cell r="X1320">
            <v>0.41869990000000001</v>
          </cell>
          <cell r="Y1320">
            <v>0</v>
          </cell>
          <cell r="Z1320">
            <v>9.7866795</v>
          </cell>
          <cell r="AA1320">
            <v>0</v>
          </cell>
          <cell r="AB1320">
            <v>4.5754900000000001E-2</v>
          </cell>
        </row>
        <row r="1321">
          <cell r="A1321">
            <v>27150200</v>
          </cell>
          <cell r="B1321" t="str">
            <v>Oyster sauce</v>
          </cell>
          <cell r="I1321">
            <v>64</v>
          </cell>
          <cell r="J1321">
            <v>80.989462000000003</v>
          </cell>
          <cell r="K1321">
            <v>1.26546034375</v>
          </cell>
          <cell r="L1321">
            <v>1.59936E-2</v>
          </cell>
          <cell r="M1321">
            <v>1.2894247999999999</v>
          </cell>
          <cell r="N1321">
            <v>0.13885629999999999</v>
          </cell>
          <cell r="O1321">
            <v>5.0294999999999999E-2</v>
          </cell>
          <cell r="P1321">
            <v>9.5655599999999993E-2</v>
          </cell>
          <cell r="Q1321">
            <v>1.4823348999999999</v>
          </cell>
          <cell r="R1321">
            <v>0</v>
          </cell>
          <cell r="S1321">
            <v>0</v>
          </cell>
          <cell r="T1321">
            <v>0</v>
          </cell>
          <cell r="U1321">
            <v>0.48465520000000001</v>
          </cell>
          <cell r="V1321">
            <v>0</v>
          </cell>
          <cell r="W1321">
            <v>0</v>
          </cell>
          <cell r="X1321">
            <v>0.15462899999999999</v>
          </cell>
          <cell r="Y1321">
            <v>0</v>
          </cell>
          <cell r="Z1321">
            <v>0</v>
          </cell>
          <cell r="AA1321">
            <v>0</v>
          </cell>
          <cell r="AB1321">
            <v>0.23391129999999999</v>
          </cell>
        </row>
        <row r="1322">
          <cell r="A1322">
            <v>27150210</v>
          </cell>
          <cell r="B1322" t="str">
            <v>Fish sauce</v>
          </cell>
          <cell r="I1322">
            <v>15</v>
          </cell>
          <cell r="J1322">
            <v>5.25</v>
          </cell>
          <cell r="K1322">
            <v>0.35</v>
          </cell>
          <cell r="L1322">
            <v>0</v>
          </cell>
          <cell r="M1322">
            <v>4.4999999999999999E-4</v>
          </cell>
          <cell r="N1322">
            <v>0</v>
          </cell>
          <cell r="O1322">
            <v>6.45E-3</v>
          </cell>
          <cell r="P1322">
            <v>0</v>
          </cell>
          <cell r="Q1322">
            <v>4.4999999999999999E-4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1.1776500000000001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</row>
        <row r="1323">
          <cell r="A1323">
            <v>27150230</v>
          </cell>
          <cell r="B1323" t="str">
            <v>Shrimp scampi</v>
          </cell>
          <cell r="I1323">
            <v>136</v>
          </cell>
          <cell r="J1323">
            <v>265.20942000000002</v>
          </cell>
          <cell r="K1323">
            <v>1.9500692647058826</v>
          </cell>
          <cell r="L1323">
            <v>9.2885599999999999E-2</v>
          </cell>
          <cell r="M1323">
            <v>2.5379334999999998</v>
          </cell>
          <cell r="N1323">
            <v>0.323019</v>
          </cell>
          <cell r="O1323">
            <v>0.11141719999999999</v>
          </cell>
          <cell r="P1323">
            <v>0</v>
          </cell>
          <cell r="Q1323">
            <v>2.1622142000000002</v>
          </cell>
          <cell r="R1323">
            <v>0</v>
          </cell>
          <cell r="S1323">
            <v>0</v>
          </cell>
          <cell r="T1323">
            <v>1.9996206000000001</v>
          </cell>
          <cell r="U1323">
            <v>3.0316828</v>
          </cell>
          <cell r="V1323">
            <v>0</v>
          </cell>
          <cell r="W1323">
            <v>0</v>
          </cell>
          <cell r="X1323">
            <v>1.1098983</v>
          </cell>
          <cell r="Y1323">
            <v>0</v>
          </cell>
          <cell r="Z1323">
            <v>0</v>
          </cell>
          <cell r="AA1323">
            <v>0</v>
          </cell>
          <cell r="AB1323">
            <v>0.18733079999999999</v>
          </cell>
        </row>
        <row r="1324">
          <cell r="A1324">
            <v>27150250</v>
          </cell>
          <cell r="B1324" t="str">
            <v>Fish moochim (Korean style), dried fish with soy sauce</v>
          </cell>
          <cell r="I1324">
            <v>140</v>
          </cell>
          <cell r="J1324">
            <v>475.70580999999999</v>
          </cell>
          <cell r="K1324">
            <v>3.3978986428571427</v>
          </cell>
          <cell r="L1324">
            <v>1.554E-16</v>
          </cell>
          <cell r="M1324">
            <v>3.2295071000000002</v>
          </cell>
          <cell r="N1324">
            <v>0.34435149999999998</v>
          </cell>
          <cell r="O1324">
            <v>0.19497900000000001</v>
          </cell>
          <cell r="P1324">
            <v>1.1199262999999999</v>
          </cell>
          <cell r="Q1324">
            <v>9.1029243999999991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6.9513737000000004</v>
          </cell>
          <cell r="Y1324">
            <v>5.6636496999999997</v>
          </cell>
          <cell r="Z1324">
            <v>0</v>
          </cell>
          <cell r="AA1324">
            <v>0</v>
          </cell>
          <cell r="AB1324">
            <v>0</v>
          </cell>
        </row>
        <row r="1325">
          <cell r="A1325">
            <v>27150310</v>
          </cell>
          <cell r="B1325" t="str">
            <v>Fish with tomato-based sauce</v>
          </cell>
          <cell r="I1325">
            <v>140</v>
          </cell>
          <cell r="J1325">
            <v>112.52988000000001</v>
          </cell>
          <cell r="K1325">
            <v>0.80378485714285719</v>
          </cell>
          <cell r="L1325">
            <v>0.62748999999999999</v>
          </cell>
          <cell r="M1325">
            <v>0.1811355</v>
          </cell>
          <cell r="N1325">
            <v>0.1542231</v>
          </cell>
          <cell r="O1325">
            <v>1.9655800000000001E-2</v>
          </cell>
          <cell r="P1325">
            <v>0</v>
          </cell>
          <cell r="Q1325">
            <v>0.33563749999999998</v>
          </cell>
          <cell r="R1325">
            <v>0</v>
          </cell>
          <cell r="S1325">
            <v>0</v>
          </cell>
          <cell r="T1325">
            <v>0</v>
          </cell>
          <cell r="U1325">
            <v>41.832669000000003</v>
          </cell>
          <cell r="V1325">
            <v>0</v>
          </cell>
          <cell r="W1325">
            <v>0</v>
          </cell>
          <cell r="X1325">
            <v>0.49060239999999999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</row>
        <row r="1326">
          <cell r="A1326">
            <v>27150320</v>
          </cell>
          <cell r="B1326" t="str">
            <v>Fish curry</v>
          </cell>
          <cell r="I1326">
            <v>140</v>
          </cell>
          <cell r="J1326">
            <v>92.722545999999994</v>
          </cell>
          <cell r="K1326">
            <v>0.66230389999999995</v>
          </cell>
          <cell r="L1326">
            <v>1.5107391999999999</v>
          </cell>
          <cell r="M1326">
            <v>0.5767795</v>
          </cell>
          <cell r="N1326">
            <v>3.4513200000000001E-2</v>
          </cell>
          <cell r="O1326">
            <v>4.2589500000000002E-2</v>
          </cell>
          <cell r="P1326">
            <v>0.73412540000000004</v>
          </cell>
          <cell r="Q1326">
            <v>1.5724830999999999</v>
          </cell>
          <cell r="R1326">
            <v>0</v>
          </cell>
          <cell r="S1326">
            <v>3.1325962000000001</v>
          </cell>
          <cell r="T1326">
            <v>0</v>
          </cell>
          <cell r="U1326">
            <v>53.545883000000003</v>
          </cell>
          <cell r="V1326">
            <v>0</v>
          </cell>
          <cell r="W1326">
            <v>0</v>
          </cell>
          <cell r="X1326">
            <v>0.40424169999999998</v>
          </cell>
          <cell r="Y1326">
            <v>0</v>
          </cell>
          <cell r="Z1326">
            <v>0</v>
          </cell>
          <cell r="AA1326">
            <v>0</v>
          </cell>
          <cell r="AB1326">
            <v>1.6540099999999999E-2</v>
          </cell>
        </row>
        <row r="1327">
          <cell r="A1327">
            <v>27150350</v>
          </cell>
          <cell r="B1327" t="str">
            <v>Sardines with tomato-based sauce (mixture)</v>
          </cell>
          <cell r="I1327">
            <v>140</v>
          </cell>
          <cell r="J1327">
            <v>259</v>
          </cell>
          <cell r="K1327">
            <v>1.85</v>
          </cell>
          <cell r="L1327">
            <v>0.14000000000000001</v>
          </cell>
          <cell r="M1327">
            <v>3.7576000000000001</v>
          </cell>
          <cell r="N1327">
            <v>1.9543999999999999</v>
          </cell>
          <cell r="O1327">
            <v>0.33600000000000002</v>
          </cell>
          <cell r="P1327">
            <v>0</v>
          </cell>
          <cell r="Q1327">
            <v>2.9554</v>
          </cell>
          <cell r="R1327">
            <v>0</v>
          </cell>
          <cell r="S1327">
            <v>0</v>
          </cell>
          <cell r="T1327">
            <v>0</v>
          </cell>
          <cell r="U1327">
            <v>30.87</v>
          </cell>
          <cell r="V1327">
            <v>0</v>
          </cell>
          <cell r="W1327">
            <v>0</v>
          </cell>
          <cell r="X1327">
            <v>0.5796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</row>
        <row r="1328">
          <cell r="A1328">
            <v>27150410</v>
          </cell>
          <cell r="B1328" t="str">
            <v>Shrimp teriyaki</v>
          </cell>
          <cell r="I1328">
            <v>140</v>
          </cell>
          <cell r="J1328">
            <v>161.56</v>
          </cell>
          <cell r="K1328">
            <v>1.1539999999999999</v>
          </cell>
          <cell r="L1328">
            <v>0</v>
          </cell>
          <cell r="M1328">
            <v>0.641872</v>
          </cell>
          <cell r="N1328">
            <v>0.340032</v>
          </cell>
          <cell r="O1328">
            <v>0.116312</v>
          </cell>
          <cell r="P1328">
            <v>1.6799999999999999E-2</v>
          </cell>
          <cell r="Q1328">
            <v>0.72687999999999997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1.810648</v>
          </cell>
          <cell r="Y1328">
            <v>0</v>
          </cell>
          <cell r="Z1328">
            <v>0</v>
          </cell>
          <cell r="AA1328">
            <v>0</v>
          </cell>
          <cell r="AB1328">
            <v>4.3119999999999999E-2</v>
          </cell>
        </row>
        <row r="1329">
          <cell r="A1329">
            <v>27151030</v>
          </cell>
          <cell r="B1329" t="str">
            <v>Ceviche</v>
          </cell>
          <cell r="I1329">
            <v>85</v>
          </cell>
          <cell r="J1329">
            <v>52.494872000000001</v>
          </cell>
          <cell r="K1329">
            <v>0.61758672941176473</v>
          </cell>
          <cell r="L1329">
            <v>0.4044141</v>
          </cell>
          <cell r="M1329">
            <v>0.13380400000000001</v>
          </cell>
          <cell r="N1329">
            <v>0.12878229999999999</v>
          </cell>
          <cell r="O1329">
            <v>2.09115E-2</v>
          </cell>
          <cell r="P1329">
            <v>5.81973E-2</v>
          </cell>
          <cell r="Q1329">
            <v>0.2103382</v>
          </cell>
          <cell r="R1329">
            <v>0</v>
          </cell>
          <cell r="S1329">
            <v>0</v>
          </cell>
          <cell r="T1329">
            <v>22.639887999999999</v>
          </cell>
          <cell r="U1329">
            <v>20.540220999999999</v>
          </cell>
          <cell r="V1329">
            <v>0</v>
          </cell>
          <cell r="W1329">
            <v>0</v>
          </cell>
          <cell r="X1329">
            <v>0.1340837</v>
          </cell>
          <cell r="Y1329">
            <v>0</v>
          </cell>
          <cell r="Z1329">
            <v>0</v>
          </cell>
          <cell r="AA1329">
            <v>0</v>
          </cell>
          <cell r="AB1329">
            <v>5.97853E-2</v>
          </cell>
        </row>
        <row r="1330">
          <cell r="A1330">
            <v>27151070</v>
          </cell>
          <cell r="B1330" t="str">
            <v>Stewed codfish, no potatoes, Puerto Rican style</v>
          </cell>
          <cell r="I1330">
            <v>140</v>
          </cell>
          <cell r="J1330">
            <v>105.06026</v>
          </cell>
          <cell r="K1330">
            <v>0.75043042857142861</v>
          </cell>
          <cell r="L1330">
            <v>1.0659935</v>
          </cell>
          <cell r="M1330">
            <v>0.62457609999999997</v>
          </cell>
          <cell r="N1330">
            <v>9.7623399999999999E-2</v>
          </cell>
          <cell r="O1330">
            <v>1.8621700000000001E-2</v>
          </cell>
          <cell r="P1330">
            <v>0</v>
          </cell>
          <cell r="Q1330">
            <v>0.55881550000000002</v>
          </cell>
          <cell r="R1330">
            <v>0</v>
          </cell>
          <cell r="S1330">
            <v>0</v>
          </cell>
          <cell r="T1330">
            <v>0</v>
          </cell>
          <cell r="U1330">
            <v>59.413912000000003</v>
          </cell>
          <cell r="V1330">
            <v>0</v>
          </cell>
          <cell r="W1330">
            <v>0</v>
          </cell>
          <cell r="X1330">
            <v>0.27569480000000002</v>
          </cell>
          <cell r="Y1330">
            <v>0</v>
          </cell>
          <cell r="Z1330">
            <v>0</v>
          </cell>
          <cell r="AA1330">
            <v>0</v>
          </cell>
          <cell r="AB1330">
            <v>3.6608999999999999E-3</v>
          </cell>
        </row>
        <row r="1331">
          <cell r="A1331">
            <v>27160100</v>
          </cell>
          <cell r="B1331" t="str">
            <v>Meatballs, NS as to type of meat, with sauce</v>
          </cell>
          <cell r="I1331">
            <v>140</v>
          </cell>
          <cell r="J1331">
            <v>259.69760000000002</v>
          </cell>
          <cell r="K1331">
            <v>1.8549828571428573</v>
          </cell>
          <cell r="L1331">
            <v>0</v>
          </cell>
          <cell r="M1331">
            <v>6.3661117000000003</v>
          </cell>
          <cell r="N1331">
            <v>0</v>
          </cell>
          <cell r="O1331">
            <v>3.11939E-2</v>
          </cell>
          <cell r="P1331">
            <v>0</v>
          </cell>
          <cell r="Q1331">
            <v>0.71380840000000001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1.1381783999999999</v>
          </cell>
          <cell r="Y1331">
            <v>0</v>
          </cell>
          <cell r="Z1331">
            <v>83.410109000000006</v>
          </cell>
          <cell r="AA1331">
            <v>0</v>
          </cell>
          <cell r="AB1331">
            <v>0.6984264</v>
          </cell>
        </row>
        <row r="1332">
          <cell r="A1332">
            <v>27162010</v>
          </cell>
          <cell r="B1332" t="str">
            <v>Meat with tomato-based sauce</v>
          </cell>
          <cell r="I1332">
            <v>125</v>
          </cell>
          <cell r="J1332">
            <v>186.60429999999999</v>
          </cell>
          <cell r="K1332">
            <v>1.4928344</v>
          </cell>
          <cell r="L1332">
            <v>0.55981289999999995</v>
          </cell>
          <cell r="M1332">
            <v>2.9891521000000001</v>
          </cell>
          <cell r="N1332">
            <v>0</v>
          </cell>
          <cell r="O1332">
            <v>1.1464E-2</v>
          </cell>
          <cell r="P1332">
            <v>0</v>
          </cell>
          <cell r="Q1332">
            <v>0.3647492</v>
          </cell>
          <cell r="R1332">
            <v>0</v>
          </cell>
          <cell r="S1332">
            <v>0</v>
          </cell>
          <cell r="T1332">
            <v>0</v>
          </cell>
          <cell r="U1332">
            <v>37.320860000000003</v>
          </cell>
          <cell r="V1332">
            <v>0</v>
          </cell>
          <cell r="W1332">
            <v>0</v>
          </cell>
          <cell r="X1332">
            <v>0.44404159999999998</v>
          </cell>
          <cell r="Y1332">
            <v>0</v>
          </cell>
          <cell r="Z1332">
            <v>87.082006000000007</v>
          </cell>
          <cell r="AA1332">
            <v>0</v>
          </cell>
          <cell r="AB1332">
            <v>4.2774600000000003E-2</v>
          </cell>
        </row>
        <row r="1333">
          <cell r="A1333">
            <v>27162040</v>
          </cell>
          <cell r="B1333" t="str">
            <v>Spaghetti sauce with meat</v>
          </cell>
          <cell r="I1333">
            <v>125</v>
          </cell>
          <cell r="J1333">
            <v>111.82706</v>
          </cell>
          <cell r="K1333">
            <v>0.89461648000000005</v>
          </cell>
          <cell r="L1333">
            <v>1.828125</v>
          </cell>
          <cell r="M1333">
            <v>1.7337456</v>
          </cell>
          <cell r="N1333">
            <v>0</v>
          </cell>
          <cell r="O1333">
            <v>3.1996400000000001E-2</v>
          </cell>
          <cell r="P1333">
            <v>0</v>
          </cell>
          <cell r="Q1333">
            <v>0.7994597</v>
          </cell>
          <cell r="R1333">
            <v>0</v>
          </cell>
          <cell r="S1333">
            <v>0</v>
          </cell>
          <cell r="T1333">
            <v>0</v>
          </cell>
          <cell r="U1333">
            <v>100.11219</v>
          </cell>
          <cell r="V1333">
            <v>0</v>
          </cell>
          <cell r="W1333">
            <v>0</v>
          </cell>
          <cell r="X1333">
            <v>0.53685930000000004</v>
          </cell>
          <cell r="Y1333">
            <v>0</v>
          </cell>
          <cell r="Z1333">
            <v>21.269880000000001</v>
          </cell>
          <cell r="AA1333">
            <v>0</v>
          </cell>
          <cell r="AB1333">
            <v>0.1839017</v>
          </cell>
        </row>
        <row r="1334">
          <cell r="A1334">
            <v>27162050</v>
          </cell>
          <cell r="B1334" t="str">
            <v>Spaghetti sauce with combination of meats, homemade</v>
          </cell>
          <cell r="I1334">
            <v>125</v>
          </cell>
          <cell r="J1334">
            <v>112.40369</v>
          </cell>
          <cell r="K1334">
            <v>0.89922952</v>
          </cell>
          <cell r="L1334">
            <v>1.8095962999999999</v>
          </cell>
          <cell r="M1334">
            <v>1.6598093</v>
          </cell>
          <cell r="N1334">
            <v>0</v>
          </cell>
          <cell r="O1334">
            <v>3.1355399999999999E-2</v>
          </cell>
          <cell r="P1334">
            <v>0</v>
          </cell>
          <cell r="Q1334">
            <v>0.88887609999999995</v>
          </cell>
          <cell r="R1334">
            <v>0</v>
          </cell>
          <cell r="S1334">
            <v>0</v>
          </cell>
          <cell r="T1334">
            <v>0</v>
          </cell>
          <cell r="U1334">
            <v>99.097516999999996</v>
          </cell>
          <cell r="V1334">
            <v>0</v>
          </cell>
          <cell r="W1334">
            <v>0</v>
          </cell>
          <cell r="X1334">
            <v>0.49333660000000001</v>
          </cell>
          <cell r="Y1334">
            <v>0</v>
          </cell>
          <cell r="Z1334">
            <v>22.634025999999999</v>
          </cell>
          <cell r="AA1334">
            <v>0</v>
          </cell>
          <cell r="AB1334">
            <v>0.1021787</v>
          </cell>
        </row>
        <row r="1335">
          <cell r="A1335">
            <v>27162060</v>
          </cell>
          <cell r="B1335" t="str">
            <v>Spaghetti sauce with meat and added vegetables</v>
          </cell>
          <cell r="I1335">
            <v>125</v>
          </cell>
          <cell r="J1335">
            <v>105.59889</v>
          </cell>
          <cell r="K1335">
            <v>0.84479112000000001</v>
          </cell>
          <cell r="L1335">
            <v>1.7444853</v>
          </cell>
          <cell r="M1335">
            <v>1.6941809999999999</v>
          </cell>
          <cell r="N1335">
            <v>0</v>
          </cell>
          <cell r="O1335">
            <v>2.8382000000000001E-2</v>
          </cell>
          <cell r="P1335">
            <v>0</v>
          </cell>
          <cell r="Q1335">
            <v>0.67307410000000001</v>
          </cell>
          <cell r="R1335">
            <v>0</v>
          </cell>
          <cell r="S1335">
            <v>0</v>
          </cell>
          <cell r="T1335">
            <v>0</v>
          </cell>
          <cell r="U1335">
            <v>100.45344</v>
          </cell>
          <cell r="V1335">
            <v>0</v>
          </cell>
          <cell r="W1335">
            <v>0</v>
          </cell>
          <cell r="X1335">
            <v>0.43298179999999997</v>
          </cell>
          <cell r="Y1335">
            <v>0</v>
          </cell>
          <cell r="Z1335">
            <v>21.269880000000001</v>
          </cell>
          <cell r="AA1335">
            <v>0</v>
          </cell>
          <cell r="AB1335">
            <v>0.1822289</v>
          </cell>
        </row>
        <row r="1336">
          <cell r="A1336">
            <v>27211000</v>
          </cell>
          <cell r="B1336" t="str">
            <v>Beef and potatoes, no sauce</v>
          </cell>
          <cell r="I1336">
            <v>190</v>
          </cell>
          <cell r="J1336">
            <v>239.23442</v>
          </cell>
          <cell r="K1336">
            <v>1.2591285263157894</v>
          </cell>
          <cell r="L1336">
            <v>0</v>
          </cell>
          <cell r="M1336">
            <v>2.0927798000000002</v>
          </cell>
          <cell r="N1336">
            <v>0</v>
          </cell>
          <cell r="O1336">
            <v>1.39639E-2</v>
          </cell>
          <cell r="P1336">
            <v>2.3579702</v>
          </cell>
          <cell r="Q1336">
            <v>2.3588741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0.55124519999999999</v>
          </cell>
          <cell r="Y1336">
            <v>0</v>
          </cell>
          <cell r="Z1336">
            <v>39.299503999999999</v>
          </cell>
          <cell r="AA1336">
            <v>0</v>
          </cell>
          <cell r="AB1336">
            <v>5.9390400000000003E-2</v>
          </cell>
        </row>
        <row r="1337">
          <cell r="A1337">
            <v>27211100</v>
          </cell>
          <cell r="B1337" t="str">
            <v>Beef stew with potatoes, tomato-based sauce</v>
          </cell>
          <cell r="I1337">
            <v>252</v>
          </cell>
          <cell r="J1337">
            <v>238.82415</v>
          </cell>
          <cell r="K1337">
            <v>0.94771488095238099</v>
          </cell>
          <cell r="L1337">
            <v>0.24449290000000001</v>
          </cell>
          <cell r="M1337">
            <v>2.0142207000000001</v>
          </cell>
          <cell r="N1337">
            <v>0</v>
          </cell>
          <cell r="O1337">
            <v>2.4306500000000002E-2</v>
          </cell>
          <cell r="P1337">
            <v>1.7895464999999999</v>
          </cell>
          <cell r="Q1337">
            <v>1.5934899</v>
          </cell>
          <cell r="R1337">
            <v>0</v>
          </cell>
          <cell r="S1337">
            <v>0</v>
          </cell>
          <cell r="T1337">
            <v>0</v>
          </cell>
          <cell r="U1337">
            <v>14.381935</v>
          </cell>
          <cell r="V1337">
            <v>0</v>
          </cell>
          <cell r="W1337">
            <v>0</v>
          </cell>
          <cell r="X1337">
            <v>0.44990279999999999</v>
          </cell>
          <cell r="Y1337">
            <v>0</v>
          </cell>
          <cell r="Z1337">
            <v>61.263150000000003</v>
          </cell>
          <cell r="AA1337">
            <v>0</v>
          </cell>
          <cell r="AB1337">
            <v>5.4477900000000003E-2</v>
          </cell>
        </row>
        <row r="1338">
          <cell r="A1338">
            <v>27211200</v>
          </cell>
          <cell r="B1338" t="str">
            <v>Beef stew with potatoes, gravy</v>
          </cell>
          <cell r="I1338">
            <v>252</v>
          </cell>
          <cell r="J1338">
            <v>230.37979000000001</v>
          </cell>
          <cell r="K1338">
            <v>0.91420551587301591</v>
          </cell>
          <cell r="L1338">
            <v>0.26126139999999998</v>
          </cell>
          <cell r="M1338">
            <v>2.1427307999999998</v>
          </cell>
          <cell r="N1338">
            <v>0</v>
          </cell>
          <cell r="O1338">
            <v>2.8693699999999999E-2</v>
          </cell>
          <cell r="P1338">
            <v>1.751196</v>
          </cell>
          <cell r="Q1338">
            <v>1.6898568</v>
          </cell>
          <cell r="R1338">
            <v>0</v>
          </cell>
          <cell r="S1338">
            <v>0</v>
          </cell>
          <cell r="T1338">
            <v>0</v>
          </cell>
          <cell r="U1338">
            <v>15.368319</v>
          </cell>
          <cell r="V1338">
            <v>0</v>
          </cell>
          <cell r="W1338">
            <v>0</v>
          </cell>
          <cell r="X1338">
            <v>0.4075011</v>
          </cell>
          <cell r="Y1338">
            <v>0</v>
          </cell>
          <cell r="Z1338">
            <v>65.464879999999994</v>
          </cell>
          <cell r="AA1338">
            <v>0</v>
          </cell>
          <cell r="AB1338">
            <v>5.7753899999999997E-2</v>
          </cell>
        </row>
        <row r="1339">
          <cell r="A1339">
            <v>27211400</v>
          </cell>
          <cell r="B1339" t="str">
            <v>Corned beef hash</v>
          </cell>
          <cell r="I1339">
            <v>220</v>
          </cell>
          <cell r="J1339">
            <v>360.8</v>
          </cell>
          <cell r="K1339">
            <v>1.6400000000000001</v>
          </cell>
          <cell r="L1339">
            <v>0</v>
          </cell>
          <cell r="M1339">
            <v>9.5039999999999996</v>
          </cell>
          <cell r="N1339">
            <v>0</v>
          </cell>
          <cell r="O1339">
            <v>4.1799999999999997E-2</v>
          </cell>
          <cell r="P1339">
            <v>2.42</v>
          </cell>
          <cell r="Q1339">
            <v>0.66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0.90639999999999998</v>
          </cell>
          <cell r="Y1339">
            <v>0</v>
          </cell>
          <cell r="Z1339">
            <v>0</v>
          </cell>
          <cell r="AA1339">
            <v>92.307599999999994</v>
          </cell>
          <cell r="AB1339">
            <v>0</v>
          </cell>
        </row>
        <row r="1340">
          <cell r="A1340">
            <v>27211500</v>
          </cell>
          <cell r="B1340" t="str">
            <v>Beef and potatoes with cheese sauce</v>
          </cell>
          <cell r="I1340">
            <v>249</v>
          </cell>
          <cell r="J1340">
            <v>299.16070999999999</v>
          </cell>
          <cell r="K1340">
            <v>1.2014486345381525</v>
          </cell>
          <cell r="L1340">
            <v>-2.76E-16</v>
          </cell>
          <cell r="M1340">
            <v>6.6177188999999998</v>
          </cell>
          <cell r="N1340">
            <v>0</v>
          </cell>
          <cell r="O1340">
            <v>0.2229796</v>
          </cell>
          <cell r="P1340">
            <v>2.0966048000000002</v>
          </cell>
          <cell r="Q1340">
            <v>1.1174002000000001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0.74747569999999997</v>
          </cell>
          <cell r="Y1340">
            <v>0</v>
          </cell>
          <cell r="Z1340">
            <v>33.816206000000001</v>
          </cell>
          <cell r="AA1340">
            <v>0</v>
          </cell>
          <cell r="AB1340">
            <v>0.82309019999999999</v>
          </cell>
        </row>
        <row r="1341">
          <cell r="A1341">
            <v>27211550</v>
          </cell>
          <cell r="B1341" t="str">
            <v>Stewed, seasoned, ground beef with potatoes, Mexican style</v>
          </cell>
          <cell r="I1341">
            <v>222</v>
          </cell>
          <cell r="J1341">
            <v>308.56741</v>
          </cell>
          <cell r="K1341">
            <v>1.3899432882882883</v>
          </cell>
          <cell r="L1341">
            <v>0.59753369999999995</v>
          </cell>
          <cell r="M1341">
            <v>7.6830499999999997</v>
          </cell>
          <cell r="N1341">
            <v>0</v>
          </cell>
          <cell r="O1341">
            <v>3.2768699999999998E-2</v>
          </cell>
          <cell r="P1341">
            <v>1.0748594</v>
          </cell>
          <cell r="Q1341">
            <v>0.58430899999999997</v>
          </cell>
          <cell r="R1341">
            <v>0</v>
          </cell>
          <cell r="S1341">
            <v>0</v>
          </cell>
          <cell r="T1341">
            <v>0</v>
          </cell>
          <cell r="U1341">
            <v>39.087744000000001</v>
          </cell>
          <cell r="V1341">
            <v>0</v>
          </cell>
          <cell r="W1341">
            <v>0</v>
          </cell>
          <cell r="X1341">
            <v>0.34408250000000001</v>
          </cell>
          <cell r="Y1341">
            <v>0</v>
          </cell>
          <cell r="Z1341">
            <v>64.619321999999997</v>
          </cell>
          <cell r="AA1341">
            <v>0</v>
          </cell>
          <cell r="AB1341">
            <v>1.1755464</v>
          </cell>
        </row>
        <row r="1342">
          <cell r="A1342">
            <v>27212000</v>
          </cell>
          <cell r="B1342" t="str">
            <v>Beef and noodles, no sauce</v>
          </cell>
          <cell r="I1342">
            <v>156</v>
          </cell>
          <cell r="J1342">
            <v>294.29626999999999</v>
          </cell>
          <cell r="K1342">
            <v>1.8865145512820511</v>
          </cell>
          <cell r="L1342">
            <v>0</v>
          </cell>
          <cell r="M1342">
            <v>4.1979965999999997</v>
          </cell>
          <cell r="N1342">
            <v>0</v>
          </cell>
          <cell r="O1342">
            <v>2.4672900000000001E-2</v>
          </cell>
          <cell r="P1342">
            <v>1.2066261</v>
          </cell>
          <cell r="Q1342">
            <v>1.5322720000000001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0.59726250000000003</v>
          </cell>
          <cell r="Y1342">
            <v>0</v>
          </cell>
          <cell r="Z1342">
            <v>46.766956</v>
          </cell>
          <cell r="AA1342">
            <v>0</v>
          </cell>
          <cell r="AB1342">
            <v>0.86043440000000004</v>
          </cell>
        </row>
        <row r="1343">
          <cell r="A1343">
            <v>27212050</v>
          </cell>
          <cell r="B1343" t="str">
            <v>Beef and macaroni with cheese sauce</v>
          </cell>
          <cell r="I1343">
            <v>246</v>
          </cell>
          <cell r="J1343">
            <v>313.26335</v>
          </cell>
          <cell r="K1343">
            <v>1.2734282520325204</v>
          </cell>
          <cell r="L1343">
            <v>0</v>
          </cell>
          <cell r="M1343">
            <v>4.9524546000000003</v>
          </cell>
          <cell r="N1343">
            <v>0</v>
          </cell>
          <cell r="O1343">
            <v>0.1153526</v>
          </cell>
          <cell r="P1343">
            <v>1.0957494999999999</v>
          </cell>
          <cell r="Q1343">
            <v>0.73163180000000005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0.91320250000000003</v>
          </cell>
          <cell r="Y1343">
            <v>0</v>
          </cell>
          <cell r="Z1343">
            <v>49.661636000000001</v>
          </cell>
          <cell r="AA1343">
            <v>0</v>
          </cell>
          <cell r="AB1343">
            <v>0.45795710000000001</v>
          </cell>
        </row>
        <row r="1344">
          <cell r="A1344">
            <v>27212100</v>
          </cell>
          <cell r="B1344" t="str">
            <v>Beef and noodles with tomato-based sauce</v>
          </cell>
          <cell r="I1344">
            <v>249</v>
          </cell>
          <cell r="J1344">
            <v>266.20866000000001</v>
          </cell>
          <cell r="K1344">
            <v>1.0691110843373495</v>
          </cell>
          <cell r="L1344">
            <v>0.18208759999999999</v>
          </cell>
          <cell r="M1344">
            <v>3.5560193999999998</v>
          </cell>
          <cell r="N1344">
            <v>0</v>
          </cell>
          <cell r="O1344">
            <v>5.5330699999999997E-2</v>
          </cell>
          <cell r="P1344">
            <v>0.71584579999999998</v>
          </cell>
          <cell r="Q1344">
            <v>0.4315774</v>
          </cell>
          <cell r="R1344">
            <v>0</v>
          </cell>
          <cell r="S1344">
            <v>0</v>
          </cell>
          <cell r="T1344">
            <v>0</v>
          </cell>
          <cell r="U1344">
            <v>12.923828</v>
          </cell>
          <cell r="V1344">
            <v>0</v>
          </cell>
          <cell r="W1344">
            <v>0</v>
          </cell>
          <cell r="X1344">
            <v>0.66040339999999997</v>
          </cell>
          <cell r="Y1344">
            <v>0</v>
          </cell>
          <cell r="Z1344">
            <v>57.504219999999997</v>
          </cell>
          <cell r="AA1344">
            <v>0</v>
          </cell>
          <cell r="AB1344">
            <v>0.46825529999999999</v>
          </cell>
        </row>
        <row r="1345">
          <cell r="A1345">
            <v>27212120</v>
          </cell>
          <cell r="B1345" t="str">
            <v>Chili con carne with beans and macaroni</v>
          </cell>
          <cell r="I1345">
            <v>253</v>
          </cell>
          <cell r="J1345">
            <v>298.41583000000003</v>
          </cell>
          <cell r="K1345">
            <v>1.1795092094861661</v>
          </cell>
          <cell r="L1345">
            <v>6.5562699000000002</v>
          </cell>
          <cell r="M1345">
            <v>2.5850081</v>
          </cell>
          <cell r="N1345">
            <v>0</v>
          </cell>
          <cell r="O1345">
            <v>6.9365499999999997E-2</v>
          </cell>
          <cell r="P1345">
            <v>0.97785279999999997</v>
          </cell>
          <cell r="Q1345">
            <v>0.97179939999999998</v>
          </cell>
          <cell r="R1345">
            <v>0</v>
          </cell>
          <cell r="S1345">
            <v>38.244908000000002</v>
          </cell>
          <cell r="T1345">
            <v>0</v>
          </cell>
          <cell r="U1345">
            <v>34.072735999999999</v>
          </cell>
          <cell r="V1345">
            <v>0</v>
          </cell>
          <cell r="W1345">
            <v>0</v>
          </cell>
          <cell r="X1345">
            <v>0.89259330000000003</v>
          </cell>
          <cell r="Y1345">
            <v>0</v>
          </cell>
          <cell r="Z1345">
            <v>27.598915999999999</v>
          </cell>
          <cell r="AA1345">
            <v>0</v>
          </cell>
          <cell r="AB1345">
            <v>0.32980019999999999</v>
          </cell>
        </row>
        <row r="1346">
          <cell r="A1346">
            <v>27212150</v>
          </cell>
          <cell r="B1346" t="str">
            <v>Beef goulash with noodles</v>
          </cell>
          <cell r="I1346">
            <v>249</v>
          </cell>
          <cell r="J1346">
            <v>306.66521999999998</v>
          </cell>
          <cell r="K1346">
            <v>1.2315872289156626</v>
          </cell>
          <cell r="L1346">
            <v>0.45333329999999999</v>
          </cell>
          <cell r="M1346">
            <v>3.0542753999999999</v>
          </cell>
          <cell r="N1346">
            <v>0</v>
          </cell>
          <cell r="O1346">
            <v>3.7942400000000001E-2</v>
          </cell>
          <cell r="P1346">
            <v>1.0429111</v>
          </cell>
          <cell r="Q1346">
            <v>1.2084843000000001</v>
          </cell>
          <cell r="R1346">
            <v>0</v>
          </cell>
          <cell r="S1346">
            <v>0</v>
          </cell>
          <cell r="T1346">
            <v>0</v>
          </cell>
          <cell r="U1346">
            <v>26.666667</v>
          </cell>
          <cell r="V1346">
            <v>0</v>
          </cell>
          <cell r="W1346">
            <v>0</v>
          </cell>
          <cell r="X1346">
            <v>0.35652479999999998</v>
          </cell>
          <cell r="Y1346">
            <v>0</v>
          </cell>
          <cell r="Z1346">
            <v>75.728520000000003</v>
          </cell>
          <cell r="AA1346">
            <v>0</v>
          </cell>
          <cell r="AB1346">
            <v>1.8862783000000001</v>
          </cell>
        </row>
        <row r="1347">
          <cell r="A1347">
            <v>27212200</v>
          </cell>
          <cell r="B1347" t="str">
            <v>Beef and noodles with gravy</v>
          </cell>
          <cell r="I1347">
            <v>249</v>
          </cell>
          <cell r="J1347">
            <v>327.07652999999999</v>
          </cell>
          <cell r="K1347">
            <v>1.3135603614457831</v>
          </cell>
          <cell r="L1347">
            <v>0</v>
          </cell>
          <cell r="M1347">
            <v>2.8744166</v>
          </cell>
          <cell r="N1347">
            <v>0</v>
          </cell>
          <cell r="O1347">
            <v>2.6081400000000001E-2</v>
          </cell>
          <cell r="P1347">
            <v>1.6188853999999999</v>
          </cell>
          <cell r="Q1347">
            <v>2.7520956000000001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0.72050550000000002</v>
          </cell>
          <cell r="Y1347">
            <v>0</v>
          </cell>
          <cell r="Z1347">
            <v>38.544891999999997</v>
          </cell>
          <cell r="AA1347">
            <v>0</v>
          </cell>
          <cell r="AB1347">
            <v>0.18444140000000001</v>
          </cell>
        </row>
        <row r="1348">
          <cell r="A1348">
            <v>27212300</v>
          </cell>
          <cell r="B1348" t="str">
            <v>Beef and noodles with cream or white sauce</v>
          </cell>
          <cell r="I1348">
            <v>249</v>
          </cell>
          <cell r="J1348">
            <v>332.84930000000003</v>
          </cell>
          <cell r="K1348">
            <v>1.3367441767068273</v>
          </cell>
          <cell r="L1348">
            <v>2.7640000000000001E-16</v>
          </cell>
          <cell r="M1348">
            <v>3.6549725999999998</v>
          </cell>
          <cell r="N1348">
            <v>0</v>
          </cell>
          <cell r="O1348">
            <v>9.9437899999999996E-2</v>
          </cell>
          <cell r="P1348">
            <v>1.5287442</v>
          </cell>
          <cell r="Q1348">
            <v>2.7555613999999999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0.71600819999999998</v>
          </cell>
          <cell r="Y1348">
            <v>0</v>
          </cell>
          <cell r="Z1348">
            <v>34.744185999999999</v>
          </cell>
          <cell r="AA1348">
            <v>0</v>
          </cell>
          <cell r="AB1348">
            <v>0.65636280000000002</v>
          </cell>
        </row>
        <row r="1349">
          <cell r="A1349">
            <v>27212350</v>
          </cell>
          <cell r="B1349" t="str">
            <v>Beef stroganoff with noodles</v>
          </cell>
          <cell r="I1349">
            <v>256</v>
          </cell>
          <cell r="J1349">
            <v>305.20963</v>
          </cell>
          <cell r="K1349">
            <v>1.1922251171875</v>
          </cell>
          <cell r="L1349">
            <v>0.7404037</v>
          </cell>
          <cell r="M1349">
            <v>5.5137374000000001</v>
          </cell>
          <cell r="N1349">
            <v>0</v>
          </cell>
          <cell r="O1349">
            <v>6.7872500000000002E-2</v>
          </cell>
          <cell r="P1349">
            <v>0.87053800000000003</v>
          </cell>
          <cell r="Q1349">
            <v>3.5004664000000001</v>
          </cell>
          <cell r="R1349">
            <v>0</v>
          </cell>
          <cell r="S1349">
            <v>0</v>
          </cell>
          <cell r="T1349">
            <v>0</v>
          </cell>
          <cell r="U1349">
            <v>38.100310999999998</v>
          </cell>
          <cell r="V1349">
            <v>0</v>
          </cell>
          <cell r="W1349">
            <v>0</v>
          </cell>
          <cell r="X1349">
            <v>0.75071529999999997</v>
          </cell>
          <cell r="Y1349">
            <v>0</v>
          </cell>
          <cell r="Z1349">
            <v>47.930365000000002</v>
          </cell>
          <cell r="AA1349">
            <v>0</v>
          </cell>
          <cell r="AB1349">
            <v>0.58490909999999996</v>
          </cell>
        </row>
        <row r="1350">
          <cell r="A1350">
            <v>27212500</v>
          </cell>
          <cell r="B1350" t="str">
            <v>Beef and noodles with soy-based sauce (mixture)</v>
          </cell>
          <cell r="I1350">
            <v>249</v>
          </cell>
          <cell r="J1350">
            <v>403.93088999999998</v>
          </cell>
          <cell r="K1350">
            <v>1.6222124096385542</v>
          </cell>
          <cell r="L1350">
            <v>0.83788370000000001</v>
          </cell>
          <cell r="M1350">
            <v>5.2520528999999998</v>
          </cell>
          <cell r="N1350">
            <v>0</v>
          </cell>
          <cell r="O1350">
            <v>3.60252E-2</v>
          </cell>
          <cell r="P1350">
            <v>0.54621019999999998</v>
          </cell>
          <cell r="Q1350">
            <v>6.5075719999999997</v>
          </cell>
          <cell r="R1350">
            <v>0</v>
          </cell>
          <cell r="S1350">
            <v>0</v>
          </cell>
          <cell r="T1350">
            <v>0</v>
          </cell>
          <cell r="U1350">
            <v>53.130119999999998</v>
          </cell>
          <cell r="V1350">
            <v>0</v>
          </cell>
          <cell r="W1350">
            <v>0</v>
          </cell>
          <cell r="X1350">
            <v>0.64653620000000001</v>
          </cell>
          <cell r="Y1350">
            <v>0</v>
          </cell>
          <cell r="Z1350">
            <v>92.218708000000007</v>
          </cell>
          <cell r="AA1350">
            <v>0</v>
          </cell>
          <cell r="AB1350">
            <v>6.6275700000000007E-2</v>
          </cell>
        </row>
        <row r="1351">
          <cell r="A1351">
            <v>27213000</v>
          </cell>
          <cell r="B1351" t="str">
            <v>Beef and rice, no sauce</v>
          </cell>
          <cell r="I1351">
            <v>196</v>
          </cell>
          <cell r="J1351">
            <v>270.23032999999998</v>
          </cell>
          <cell r="K1351">
            <v>1.3787261734693876</v>
          </cell>
          <cell r="L1351">
            <v>5.44E-17</v>
          </cell>
          <cell r="M1351">
            <v>2.0646524999999998</v>
          </cell>
          <cell r="N1351">
            <v>0</v>
          </cell>
          <cell r="O1351">
            <v>1.5363099999999999E-2</v>
          </cell>
          <cell r="P1351">
            <v>0.45560200000000001</v>
          </cell>
          <cell r="Q1351">
            <v>2.6515662999999998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0.58186349999999998</v>
          </cell>
          <cell r="Y1351">
            <v>0</v>
          </cell>
          <cell r="Z1351">
            <v>34.170152999999999</v>
          </cell>
          <cell r="AA1351">
            <v>0</v>
          </cell>
          <cell r="AB1351">
            <v>0.35671370000000002</v>
          </cell>
        </row>
        <row r="1352">
          <cell r="A1352">
            <v>27213010</v>
          </cell>
          <cell r="B1352" t="str">
            <v>Biryani with meat</v>
          </cell>
          <cell r="I1352">
            <v>196</v>
          </cell>
          <cell r="J1352">
            <v>282.54288000000003</v>
          </cell>
          <cell r="K1352">
            <v>1.441545306122449</v>
          </cell>
          <cell r="L1352">
            <v>0.67941399999999996</v>
          </cell>
          <cell r="M1352">
            <v>5.9173654000000004</v>
          </cell>
          <cell r="N1352">
            <v>0</v>
          </cell>
          <cell r="O1352">
            <v>5.9631799999999999E-2</v>
          </cell>
          <cell r="P1352">
            <v>0.98900580000000005</v>
          </cell>
          <cell r="Q1352">
            <v>0.94859720000000003</v>
          </cell>
          <cell r="R1352">
            <v>0</v>
          </cell>
          <cell r="S1352">
            <v>0</v>
          </cell>
          <cell r="T1352">
            <v>0</v>
          </cell>
          <cell r="U1352">
            <v>36.518689999999999</v>
          </cell>
          <cell r="V1352">
            <v>0</v>
          </cell>
          <cell r="W1352">
            <v>0</v>
          </cell>
          <cell r="X1352">
            <v>0.20548739999999999</v>
          </cell>
          <cell r="Y1352">
            <v>0</v>
          </cell>
          <cell r="Z1352">
            <v>46.923217999999999</v>
          </cell>
          <cell r="AA1352">
            <v>0</v>
          </cell>
          <cell r="AB1352">
            <v>0.5100595</v>
          </cell>
        </row>
        <row r="1353">
          <cell r="A1353">
            <v>27213100</v>
          </cell>
          <cell r="B1353" t="str">
            <v>Beef and rice with tomato-based sauce</v>
          </cell>
          <cell r="I1353">
            <v>244</v>
          </cell>
          <cell r="J1353">
            <v>314.20812000000001</v>
          </cell>
          <cell r="K1353">
            <v>1.2877381967213115</v>
          </cell>
          <cell r="L1353">
            <v>1.0567854000000001</v>
          </cell>
          <cell r="M1353">
            <v>2.4464093999999998</v>
          </cell>
          <cell r="N1353">
            <v>0</v>
          </cell>
          <cell r="O1353">
            <v>2.46695E-2</v>
          </cell>
          <cell r="P1353">
            <v>0.4696824</v>
          </cell>
          <cell r="Q1353">
            <v>3.6893346</v>
          </cell>
          <cell r="R1353">
            <v>0</v>
          </cell>
          <cell r="S1353">
            <v>0</v>
          </cell>
          <cell r="T1353">
            <v>0</v>
          </cell>
          <cell r="U1353">
            <v>70.452358000000004</v>
          </cell>
          <cell r="V1353">
            <v>0</v>
          </cell>
          <cell r="W1353">
            <v>0</v>
          </cell>
          <cell r="X1353">
            <v>0.71415090000000003</v>
          </cell>
          <cell r="Y1353">
            <v>0</v>
          </cell>
          <cell r="Z1353">
            <v>35.226179000000002</v>
          </cell>
          <cell r="AA1353">
            <v>0</v>
          </cell>
          <cell r="AB1353">
            <v>2.9125600000000001E-2</v>
          </cell>
        </row>
        <row r="1354">
          <cell r="A1354">
            <v>27213120</v>
          </cell>
          <cell r="B1354" t="str">
            <v>Porcupine balls with tomato-based sauce</v>
          </cell>
          <cell r="I1354">
            <v>176</v>
          </cell>
          <cell r="J1354">
            <v>241.76016999999999</v>
          </cell>
          <cell r="K1354">
            <v>1.3736373295454545</v>
          </cell>
          <cell r="L1354">
            <v>0.64459120000000003</v>
          </cell>
          <cell r="M1354">
            <v>3.7338412000000001</v>
          </cell>
          <cell r="N1354">
            <v>0</v>
          </cell>
          <cell r="O1354">
            <v>2.88121E-2</v>
          </cell>
          <cell r="P1354">
            <v>0.3372887</v>
          </cell>
          <cell r="Q1354">
            <v>0.3881269</v>
          </cell>
          <cell r="R1354">
            <v>0</v>
          </cell>
          <cell r="S1354">
            <v>0</v>
          </cell>
          <cell r="T1354">
            <v>0</v>
          </cell>
          <cell r="U1354">
            <v>51.711095999999998</v>
          </cell>
          <cell r="V1354">
            <v>0</v>
          </cell>
          <cell r="W1354">
            <v>0</v>
          </cell>
          <cell r="X1354">
            <v>0.80359020000000003</v>
          </cell>
          <cell r="Y1354">
            <v>0</v>
          </cell>
          <cell r="Z1354">
            <v>51.228090000000002</v>
          </cell>
          <cell r="AA1354">
            <v>0</v>
          </cell>
          <cell r="AB1354">
            <v>0.42580079999999998</v>
          </cell>
        </row>
        <row r="1355">
          <cell r="A1355">
            <v>27213150</v>
          </cell>
          <cell r="B1355" t="str">
            <v>Chili con carne with beans and rice</v>
          </cell>
          <cell r="I1355">
            <v>250</v>
          </cell>
          <cell r="J1355">
            <v>281.05970000000002</v>
          </cell>
          <cell r="K1355">
            <v>1.1242388000000001</v>
          </cell>
          <cell r="L1355">
            <v>6.3044776000000002</v>
          </cell>
          <cell r="M1355">
            <v>2.4391866000000002</v>
          </cell>
          <cell r="N1355">
            <v>0</v>
          </cell>
          <cell r="O1355">
            <v>6.8940299999999996E-2</v>
          </cell>
          <cell r="P1355">
            <v>0.2358209</v>
          </cell>
          <cell r="Q1355">
            <v>0.80898510000000001</v>
          </cell>
          <cell r="R1355">
            <v>0</v>
          </cell>
          <cell r="S1355">
            <v>36.776119000000001</v>
          </cell>
          <cell r="T1355">
            <v>0</v>
          </cell>
          <cell r="U1355">
            <v>32.764178999999999</v>
          </cell>
          <cell r="V1355">
            <v>0</v>
          </cell>
          <cell r="W1355">
            <v>0</v>
          </cell>
          <cell r="X1355">
            <v>1.083</v>
          </cell>
          <cell r="Y1355">
            <v>0</v>
          </cell>
          <cell r="Z1355">
            <v>26.538985</v>
          </cell>
          <cell r="AA1355">
            <v>0</v>
          </cell>
          <cell r="AB1355">
            <v>0.31713429999999998</v>
          </cell>
        </row>
        <row r="1356">
          <cell r="A1356">
            <v>27213200</v>
          </cell>
          <cell r="B1356" t="str">
            <v>Beef and rice with gravy (mixture)</v>
          </cell>
          <cell r="I1356">
            <v>222</v>
          </cell>
          <cell r="J1356">
            <v>288.93333000000001</v>
          </cell>
          <cell r="K1356">
            <v>1.3015014864864864</v>
          </cell>
          <cell r="L1356">
            <v>-6.1600000000000005E-17</v>
          </cell>
          <cell r="M1356">
            <v>2.4054948999999999</v>
          </cell>
          <cell r="N1356">
            <v>0</v>
          </cell>
          <cell r="O1356">
            <v>2.0047499999999999E-2</v>
          </cell>
          <cell r="P1356">
            <v>0.4946237</v>
          </cell>
          <cell r="Q1356">
            <v>2.8986410999999999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0.66581109999999999</v>
          </cell>
          <cell r="Y1356">
            <v>0</v>
          </cell>
          <cell r="Z1356">
            <v>32.258065000000002</v>
          </cell>
          <cell r="AA1356">
            <v>0</v>
          </cell>
          <cell r="AB1356">
            <v>0.2408814</v>
          </cell>
        </row>
        <row r="1357">
          <cell r="A1357">
            <v>27213420</v>
          </cell>
          <cell r="B1357" t="str">
            <v>Porcupine balls with (mushroom) soup (mixture)</v>
          </cell>
          <cell r="I1357">
            <v>248</v>
          </cell>
          <cell r="J1357">
            <v>347.87047000000001</v>
          </cell>
          <cell r="K1357">
            <v>1.4027035080645163</v>
          </cell>
          <cell r="L1357">
            <v>0.48189409999999999</v>
          </cell>
          <cell r="M1357">
            <v>5.7670465000000002</v>
          </cell>
          <cell r="N1357">
            <v>0</v>
          </cell>
          <cell r="O1357">
            <v>3.9185499999999998E-2</v>
          </cell>
          <cell r="P1357">
            <v>0.61521369999999997</v>
          </cell>
          <cell r="Q1357">
            <v>2.4926917</v>
          </cell>
          <cell r="R1357">
            <v>0</v>
          </cell>
          <cell r="S1357">
            <v>0</v>
          </cell>
          <cell r="T1357">
            <v>0</v>
          </cell>
          <cell r="U1357">
            <v>32.651575999999999</v>
          </cell>
          <cell r="V1357">
            <v>0</v>
          </cell>
          <cell r="W1357">
            <v>0</v>
          </cell>
          <cell r="X1357">
            <v>1.3564635</v>
          </cell>
          <cell r="Y1357">
            <v>0</v>
          </cell>
          <cell r="Z1357">
            <v>72.666247999999996</v>
          </cell>
          <cell r="AA1357">
            <v>0</v>
          </cell>
          <cell r="AB1357">
            <v>0.69987449999999995</v>
          </cell>
        </row>
        <row r="1358">
          <cell r="A1358">
            <v>27213500</v>
          </cell>
          <cell r="B1358" t="str">
            <v>Beef and rice with soy-based sauce</v>
          </cell>
          <cell r="I1358">
            <v>244</v>
          </cell>
          <cell r="J1358">
            <v>407.88193999999999</v>
          </cell>
          <cell r="K1358">
            <v>1.6716472950819672</v>
          </cell>
          <cell r="L1358">
            <v>0.83746940000000003</v>
          </cell>
          <cell r="M1358">
            <v>5.2714508000000002</v>
          </cell>
          <cell r="N1358">
            <v>0</v>
          </cell>
          <cell r="O1358">
            <v>3.83808E-2</v>
          </cell>
          <cell r="P1358">
            <v>0.24032200000000001</v>
          </cell>
          <cell r="Q1358">
            <v>6.5259210999999997</v>
          </cell>
          <cell r="R1358">
            <v>0</v>
          </cell>
          <cell r="S1358">
            <v>0</v>
          </cell>
          <cell r="T1358">
            <v>0</v>
          </cell>
          <cell r="U1358">
            <v>53.103850000000001</v>
          </cell>
          <cell r="V1358">
            <v>0</v>
          </cell>
          <cell r="W1358">
            <v>0</v>
          </cell>
          <cell r="X1358">
            <v>0.63758440000000005</v>
          </cell>
          <cell r="Y1358">
            <v>0</v>
          </cell>
          <cell r="Z1358">
            <v>92.173112000000003</v>
          </cell>
          <cell r="AA1358">
            <v>0</v>
          </cell>
          <cell r="AB1358">
            <v>0.26312360000000001</v>
          </cell>
        </row>
        <row r="1359">
          <cell r="A1359">
            <v>27213600</v>
          </cell>
          <cell r="B1359" t="str">
            <v>Beef and rice with cheese sauce</v>
          </cell>
          <cell r="I1359">
            <v>248</v>
          </cell>
          <cell r="J1359">
            <v>328.86757</v>
          </cell>
          <cell r="K1359">
            <v>1.3260789112903226</v>
          </cell>
          <cell r="L1359">
            <v>1.0356600000000001E-2</v>
          </cell>
          <cell r="M1359">
            <v>5.1979763999999999</v>
          </cell>
          <cell r="N1359">
            <v>0</v>
          </cell>
          <cell r="O1359">
            <v>7.6831399999999994E-2</v>
          </cell>
          <cell r="P1359">
            <v>0.84225260000000002</v>
          </cell>
          <cell r="Q1359">
            <v>0.54427300000000001</v>
          </cell>
          <cell r="R1359">
            <v>0</v>
          </cell>
          <cell r="S1359">
            <v>0</v>
          </cell>
          <cell r="T1359">
            <v>0</v>
          </cell>
          <cell r="U1359">
            <v>0.9415114</v>
          </cell>
          <cell r="V1359">
            <v>0</v>
          </cell>
          <cell r="W1359">
            <v>0</v>
          </cell>
          <cell r="X1359">
            <v>0.6950672</v>
          </cell>
          <cell r="Y1359">
            <v>0</v>
          </cell>
          <cell r="Z1359">
            <v>48.702832000000001</v>
          </cell>
          <cell r="AA1359">
            <v>0</v>
          </cell>
          <cell r="AB1359">
            <v>0.46196510000000002</v>
          </cell>
        </row>
        <row r="1360">
          <cell r="A1360">
            <v>27214100</v>
          </cell>
          <cell r="B1360" t="str">
            <v>Meat loaf made with beef</v>
          </cell>
          <cell r="I1360">
            <v>140</v>
          </cell>
          <cell r="J1360">
            <v>278.637</v>
          </cell>
          <cell r="K1360">
            <v>1.9902642857142858</v>
          </cell>
          <cell r="L1360">
            <v>0.24673539999999999</v>
          </cell>
          <cell r="M1360">
            <v>5.4993433999999999</v>
          </cell>
          <cell r="N1360">
            <v>0</v>
          </cell>
          <cell r="O1360">
            <v>7.9934699999999997E-2</v>
          </cell>
          <cell r="P1360">
            <v>0.43556499999999998</v>
          </cell>
          <cell r="Q1360">
            <v>0.81118619999999997</v>
          </cell>
          <cell r="R1360">
            <v>0</v>
          </cell>
          <cell r="S1360">
            <v>0</v>
          </cell>
          <cell r="T1360">
            <v>0</v>
          </cell>
          <cell r="U1360">
            <v>14.513845</v>
          </cell>
          <cell r="V1360">
            <v>0</v>
          </cell>
          <cell r="W1360">
            <v>0</v>
          </cell>
          <cell r="X1360">
            <v>0.59015260000000003</v>
          </cell>
          <cell r="Y1360">
            <v>0</v>
          </cell>
          <cell r="Z1360">
            <v>70.771016000000003</v>
          </cell>
          <cell r="AA1360">
            <v>0</v>
          </cell>
          <cell r="AB1360">
            <v>0.83194599999999996</v>
          </cell>
        </row>
        <row r="1361">
          <cell r="A1361">
            <v>27214110</v>
          </cell>
          <cell r="B1361" t="str">
            <v>Meat loaf made with beef, with tomato-based sauce</v>
          </cell>
          <cell r="I1361">
            <v>178</v>
          </cell>
          <cell r="J1361">
            <v>283.50040000000001</v>
          </cell>
          <cell r="K1361">
            <v>1.5926988764044945</v>
          </cell>
          <cell r="L1361">
            <v>0.84892889999999999</v>
          </cell>
          <cell r="M1361">
            <v>5.4203899</v>
          </cell>
          <cell r="N1361">
            <v>0</v>
          </cell>
          <cell r="O1361">
            <v>8.4206600000000006E-2</v>
          </cell>
          <cell r="P1361">
            <v>0.42799870000000001</v>
          </cell>
          <cell r="Q1361">
            <v>0.84601760000000004</v>
          </cell>
          <cell r="R1361">
            <v>0</v>
          </cell>
          <cell r="S1361">
            <v>0</v>
          </cell>
          <cell r="T1361">
            <v>0</v>
          </cell>
          <cell r="U1361">
            <v>54.693699000000002</v>
          </cell>
          <cell r="V1361">
            <v>0</v>
          </cell>
          <cell r="W1361">
            <v>0</v>
          </cell>
          <cell r="X1361">
            <v>0.77154840000000002</v>
          </cell>
          <cell r="Y1361">
            <v>0</v>
          </cell>
          <cell r="Z1361">
            <v>69.541633000000004</v>
          </cell>
          <cell r="AA1361">
            <v>0</v>
          </cell>
          <cell r="AB1361">
            <v>0.85317460000000001</v>
          </cell>
        </row>
        <row r="1362">
          <cell r="A1362">
            <v>27218210</v>
          </cell>
          <cell r="B1362" t="str">
            <v>Beef stew with potatoes, Puerto Rican style</v>
          </cell>
          <cell r="I1362">
            <v>212</v>
          </cell>
          <cell r="J1362">
            <v>235.78604000000001</v>
          </cell>
          <cell r="K1362">
            <v>1.1121983018867925</v>
          </cell>
          <cell r="L1362">
            <v>0.36329359999999999</v>
          </cell>
          <cell r="M1362">
            <v>4.5041713000000003</v>
          </cell>
          <cell r="N1362">
            <v>0</v>
          </cell>
          <cell r="O1362">
            <v>1.6458199999999999E-2</v>
          </cell>
          <cell r="P1362">
            <v>0.72833159999999997</v>
          </cell>
          <cell r="Q1362">
            <v>2.4417472999999998</v>
          </cell>
          <cell r="R1362">
            <v>0</v>
          </cell>
          <cell r="S1362">
            <v>0</v>
          </cell>
          <cell r="T1362">
            <v>0</v>
          </cell>
          <cell r="U1362">
            <v>21.786075</v>
          </cell>
          <cell r="V1362">
            <v>0</v>
          </cell>
          <cell r="W1362">
            <v>0</v>
          </cell>
          <cell r="X1362">
            <v>0.62703489999999995</v>
          </cell>
          <cell r="Y1362">
            <v>0</v>
          </cell>
          <cell r="Z1362">
            <v>50.683630000000001</v>
          </cell>
          <cell r="AA1362">
            <v>0.81992019999999999</v>
          </cell>
          <cell r="AB1362">
            <v>0.37265019999999999</v>
          </cell>
        </row>
        <row r="1363">
          <cell r="A1363">
            <v>27220010</v>
          </cell>
          <cell r="B1363" t="str">
            <v>Meat loaf made with ham</v>
          </cell>
          <cell r="I1363">
            <v>140</v>
          </cell>
          <cell r="J1363">
            <v>217.40530000000001</v>
          </cell>
          <cell r="K1363">
            <v>1.5528950000000001</v>
          </cell>
          <cell r="L1363">
            <v>0.13008700000000001</v>
          </cell>
          <cell r="M1363">
            <v>2.7436143</v>
          </cell>
          <cell r="N1363">
            <v>0</v>
          </cell>
          <cell r="O1363">
            <v>3.4416500000000003E-2</v>
          </cell>
          <cell r="P1363">
            <v>0.2215385</v>
          </cell>
          <cell r="Q1363">
            <v>2.1514068000000002</v>
          </cell>
          <cell r="R1363">
            <v>0</v>
          </cell>
          <cell r="S1363">
            <v>0</v>
          </cell>
          <cell r="T1363">
            <v>0</v>
          </cell>
          <cell r="U1363">
            <v>7.6521739000000002</v>
          </cell>
          <cell r="V1363">
            <v>0</v>
          </cell>
          <cell r="W1363">
            <v>0</v>
          </cell>
          <cell r="X1363">
            <v>1.0723628999999999</v>
          </cell>
          <cell r="Y1363">
            <v>0</v>
          </cell>
          <cell r="Z1363">
            <v>22.794537999999999</v>
          </cell>
          <cell r="AA1363">
            <v>74.113528000000002</v>
          </cell>
          <cell r="AB1363">
            <v>0.12796579999999999</v>
          </cell>
        </row>
        <row r="1364">
          <cell r="A1364">
            <v>27220020</v>
          </cell>
          <cell r="B1364" t="str">
            <v>Ham and noodles with cream or white sauce (mixture)</v>
          </cell>
          <cell r="I1364">
            <v>244</v>
          </cell>
          <cell r="J1364">
            <v>323.63567</v>
          </cell>
          <cell r="K1364">
            <v>1.3263756967213114</v>
          </cell>
          <cell r="L1364">
            <v>0</v>
          </cell>
          <cell r="M1364">
            <v>3.5505008999999998</v>
          </cell>
          <cell r="N1364">
            <v>0</v>
          </cell>
          <cell r="O1364">
            <v>9.9535299999999993E-2</v>
          </cell>
          <cell r="P1364">
            <v>1.5278936999999999</v>
          </cell>
          <cell r="Q1364">
            <v>3.1162087000000001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1.1323359</v>
          </cell>
          <cell r="Y1364">
            <v>0</v>
          </cell>
          <cell r="Z1364">
            <v>0</v>
          </cell>
          <cell r="AA1364">
            <v>34.724857999999998</v>
          </cell>
          <cell r="AB1364">
            <v>0.62745490000000004</v>
          </cell>
        </row>
        <row r="1365">
          <cell r="A1365">
            <v>27220050</v>
          </cell>
          <cell r="B1365" t="str">
            <v>Ham or pork with stuffing (mixture)</v>
          </cell>
          <cell r="I1365">
            <v>200</v>
          </cell>
          <cell r="J1365">
            <v>270.97791999999998</v>
          </cell>
          <cell r="K1365">
            <v>1.3548895999999999</v>
          </cell>
          <cell r="L1365">
            <v>1.11E-16</v>
          </cell>
          <cell r="M1365">
            <v>3.5457413</v>
          </cell>
          <cell r="N1365">
            <v>0</v>
          </cell>
          <cell r="O1365">
            <v>3.9167199999999999E-2</v>
          </cell>
          <cell r="P1365">
            <v>0.84121979999999996</v>
          </cell>
          <cell r="Q1365">
            <v>3.9758149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0.60601050000000001</v>
          </cell>
          <cell r="Y1365">
            <v>0</v>
          </cell>
          <cell r="Z1365">
            <v>31.390694</v>
          </cell>
          <cell r="AA1365">
            <v>0</v>
          </cell>
          <cell r="AB1365">
            <v>2.1766562</v>
          </cell>
        </row>
        <row r="1366">
          <cell r="A1366">
            <v>27220080</v>
          </cell>
          <cell r="B1366" t="str">
            <v>Ham croquette</v>
          </cell>
          <cell r="I1366">
            <v>140</v>
          </cell>
          <cell r="J1366">
            <v>362.74081000000001</v>
          </cell>
          <cell r="K1366">
            <v>2.5910057857142856</v>
          </cell>
          <cell r="L1366">
            <v>9.6503699999999998E-2</v>
          </cell>
          <cell r="M1366">
            <v>6.0313568999999996</v>
          </cell>
          <cell r="N1366">
            <v>0</v>
          </cell>
          <cell r="O1366">
            <v>2.4154399999999999E-2</v>
          </cell>
          <cell r="P1366">
            <v>0.15952659999999999</v>
          </cell>
          <cell r="Q1366">
            <v>10.873710000000001</v>
          </cell>
          <cell r="R1366">
            <v>0</v>
          </cell>
          <cell r="S1366">
            <v>0</v>
          </cell>
          <cell r="T1366">
            <v>0</v>
          </cell>
          <cell r="U1366">
            <v>6.8931237999999997</v>
          </cell>
          <cell r="V1366">
            <v>0</v>
          </cell>
          <cell r="W1366">
            <v>0</v>
          </cell>
          <cell r="X1366">
            <v>1.5663762000000001</v>
          </cell>
          <cell r="Y1366">
            <v>0</v>
          </cell>
          <cell r="Z1366">
            <v>0</v>
          </cell>
          <cell r="AA1366">
            <v>95.322053999999994</v>
          </cell>
          <cell r="AB1366">
            <v>0.4095375</v>
          </cell>
        </row>
        <row r="1367">
          <cell r="A1367">
            <v>27220110</v>
          </cell>
          <cell r="B1367" t="str">
            <v>Pork and rice with tomato-based sauce</v>
          </cell>
          <cell r="I1367">
            <v>244</v>
          </cell>
          <cell r="J1367">
            <v>322.78154000000001</v>
          </cell>
          <cell r="K1367">
            <v>1.3228751639344263</v>
          </cell>
          <cell r="L1367">
            <v>1.1163073999999999</v>
          </cell>
          <cell r="M1367">
            <v>2.4499141</v>
          </cell>
          <cell r="N1367">
            <v>0</v>
          </cell>
          <cell r="O1367">
            <v>2.9753100000000001E-2</v>
          </cell>
          <cell r="P1367">
            <v>0.49613659999999998</v>
          </cell>
          <cell r="Q1367">
            <v>3.5324743000000001</v>
          </cell>
          <cell r="R1367">
            <v>0</v>
          </cell>
          <cell r="S1367">
            <v>0</v>
          </cell>
          <cell r="T1367">
            <v>0</v>
          </cell>
          <cell r="U1367">
            <v>74.420496</v>
          </cell>
          <cell r="V1367">
            <v>0</v>
          </cell>
          <cell r="W1367">
            <v>0</v>
          </cell>
          <cell r="X1367">
            <v>0.72173940000000003</v>
          </cell>
          <cell r="Y1367">
            <v>0</v>
          </cell>
          <cell r="Z1367">
            <v>37.027360000000002</v>
          </cell>
          <cell r="AA1367">
            <v>0</v>
          </cell>
          <cell r="AB1367">
            <v>9.7078999999999999E-2</v>
          </cell>
        </row>
        <row r="1368">
          <cell r="A1368">
            <v>27220190</v>
          </cell>
          <cell r="B1368" t="str">
            <v>Sausage and noodles with cream or white sauce (mixture)</v>
          </cell>
          <cell r="I1368">
            <v>244</v>
          </cell>
          <cell r="J1368">
            <v>357.71195999999998</v>
          </cell>
          <cell r="K1368">
            <v>1.4660326229508196</v>
          </cell>
          <cell r="L1368">
            <v>0</v>
          </cell>
          <cell r="M1368">
            <v>5.2813622999999996</v>
          </cell>
          <cell r="N1368">
            <v>0</v>
          </cell>
          <cell r="O1368">
            <v>9.5690399999999995E-2</v>
          </cell>
          <cell r="P1368">
            <v>1.4586957</v>
          </cell>
          <cell r="Q1368">
            <v>4.2033640999999999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0.85407069999999996</v>
          </cell>
          <cell r="Y1368">
            <v>0</v>
          </cell>
          <cell r="Z1368">
            <v>0</v>
          </cell>
          <cell r="AA1368">
            <v>26.222208999999999</v>
          </cell>
          <cell r="AB1368">
            <v>0.57093769999999999</v>
          </cell>
        </row>
        <row r="1369">
          <cell r="A1369">
            <v>27220210</v>
          </cell>
          <cell r="B1369" t="str">
            <v>Ham and noodles, no sauce</v>
          </cell>
          <cell r="I1369">
            <v>157</v>
          </cell>
          <cell r="J1369">
            <v>213.49741</v>
          </cell>
          <cell r="K1369">
            <v>1.3598561146496815</v>
          </cell>
          <cell r="L1369">
            <v>1.7429999999999999E-16</v>
          </cell>
          <cell r="M1369">
            <v>1.7903102</v>
          </cell>
          <cell r="N1369">
            <v>0</v>
          </cell>
          <cell r="O1369">
            <v>1.46477E-2</v>
          </cell>
          <cell r="P1369">
            <v>1.1294964000000001</v>
          </cell>
          <cell r="Q1369">
            <v>2.4685049999999999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0.72133780000000003</v>
          </cell>
          <cell r="Y1369">
            <v>0</v>
          </cell>
          <cell r="Z1369">
            <v>0</v>
          </cell>
          <cell r="AA1369">
            <v>28.237410000000001</v>
          </cell>
          <cell r="AB1369">
            <v>9.2497899999999994E-2</v>
          </cell>
        </row>
        <row r="1370">
          <cell r="A1370">
            <v>27220310</v>
          </cell>
          <cell r="B1370" t="str">
            <v>Ham or pork and rice, no sauce</v>
          </cell>
          <cell r="I1370">
            <v>196</v>
          </cell>
          <cell r="J1370">
            <v>265.15886</v>
          </cell>
          <cell r="K1370">
            <v>1.3528513265306124</v>
          </cell>
          <cell r="L1370">
            <v>0</v>
          </cell>
          <cell r="M1370">
            <v>2.0448289000000002</v>
          </cell>
          <cell r="N1370">
            <v>0</v>
          </cell>
          <cell r="O1370">
            <v>1.8791700000000001E-2</v>
          </cell>
          <cell r="P1370">
            <v>0.444243</v>
          </cell>
          <cell r="Q1370">
            <v>2.7163981000000001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0.57321599999999995</v>
          </cell>
          <cell r="Y1370">
            <v>0</v>
          </cell>
          <cell r="Z1370">
            <v>33.154463999999997</v>
          </cell>
          <cell r="AA1370">
            <v>0</v>
          </cell>
          <cell r="AB1370">
            <v>4.1752999999999998E-2</v>
          </cell>
        </row>
        <row r="1371">
          <cell r="A1371">
            <v>27220510</v>
          </cell>
          <cell r="B1371" t="str">
            <v>Ham or pork and potatoes with gravy</v>
          </cell>
          <cell r="I1371">
            <v>252</v>
          </cell>
          <cell r="J1371">
            <v>299.61554999999998</v>
          </cell>
          <cell r="K1371">
            <v>1.1889505952380952</v>
          </cell>
          <cell r="L1371">
            <v>0</v>
          </cell>
          <cell r="M1371">
            <v>3.0842782999999998</v>
          </cell>
          <cell r="N1371">
            <v>0</v>
          </cell>
          <cell r="O1371">
            <v>2.40457E-2</v>
          </cell>
          <cell r="P1371">
            <v>2.2439678000000001</v>
          </cell>
          <cell r="Q1371">
            <v>4.5969731999999999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0.72061580000000003</v>
          </cell>
          <cell r="Y1371">
            <v>0</v>
          </cell>
          <cell r="Z1371">
            <v>36.015141</v>
          </cell>
          <cell r="AA1371">
            <v>0</v>
          </cell>
          <cell r="AB1371">
            <v>8.1181000000000003E-2</v>
          </cell>
        </row>
        <row r="1372">
          <cell r="A1372">
            <v>27220520</v>
          </cell>
          <cell r="B1372" t="str">
            <v>Ham or pork and potatoes with cheese sauce</v>
          </cell>
          <cell r="I1372">
            <v>249</v>
          </cell>
          <cell r="J1372">
            <v>300.98777000000001</v>
          </cell>
          <cell r="K1372">
            <v>1.2087862248995984</v>
          </cell>
          <cell r="L1372">
            <v>0</v>
          </cell>
          <cell r="M1372">
            <v>6.6528559999999999</v>
          </cell>
          <cell r="N1372">
            <v>0</v>
          </cell>
          <cell r="O1372">
            <v>0.2267749</v>
          </cell>
          <cell r="P1372">
            <v>2.0975543000000001</v>
          </cell>
          <cell r="Q1372">
            <v>1.2508641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0.70985750000000003</v>
          </cell>
          <cell r="Y1372">
            <v>0</v>
          </cell>
          <cell r="Z1372">
            <v>33.665239999999997</v>
          </cell>
          <cell r="AA1372">
            <v>0</v>
          </cell>
          <cell r="AB1372">
            <v>0.50585820000000004</v>
          </cell>
        </row>
        <row r="1373">
          <cell r="A1373">
            <v>27221100</v>
          </cell>
          <cell r="B1373" t="str">
            <v>Stewed pig's feet, Puerto Rican style (Patitas de cerdo guisadas)</v>
          </cell>
          <cell r="I1373">
            <v>184</v>
          </cell>
          <cell r="J1373">
            <v>148.36855</v>
          </cell>
          <cell r="K1373">
            <v>0.80635081521739127</v>
          </cell>
          <cell r="L1373">
            <v>0.18427569999999999</v>
          </cell>
          <cell r="M1373">
            <v>2.6290148000000002</v>
          </cell>
          <cell r="N1373">
            <v>0</v>
          </cell>
          <cell r="O1373">
            <v>1.07711E-2</v>
          </cell>
          <cell r="P1373">
            <v>0.36150690000000002</v>
          </cell>
          <cell r="Q1373">
            <v>1.4586813000000001</v>
          </cell>
          <cell r="R1373">
            <v>0</v>
          </cell>
          <cell r="S1373">
            <v>0</v>
          </cell>
          <cell r="T1373">
            <v>0</v>
          </cell>
          <cell r="U1373">
            <v>22.99483</v>
          </cell>
          <cell r="V1373">
            <v>0</v>
          </cell>
          <cell r="W1373">
            <v>0</v>
          </cell>
          <cell r="X1373">
            <v>0.52128439999999998</v>
          </cell>
          <cell r="Y1373">
            <v>0</v>
          </cell>
          <cell r="Z1373">
            <v>33.1267</v>
          </cell>
          <cell r="AA1373">
            <v>6.3871881000000004</v>
          </cell>
          <cell r="AB1373">
            <v>0.2869602</v>
          </cell>
        </row>
        <row r="1374">
          <cell r="A1374">
            <v>27221150</v>
          </cell>
          <cell r="B1374" t="str">
            <v>Pork stew, with potatoes, tomato-based sauce, Mexican style</v>
          </cell>
          <cell r="I1374">
            <v>244</v>
          </cell>
          <cell r="J1374">
            <v>231.76054999999999</v>
          </cell>
          <cell r="K1374">
            <v>0.94983831967213117</v>
          </cell>
          <cell r="L1374">
            <v>0.88580859999999995</v>
          </cell>
          <cell r="M1374">
            <v>2.5697367</v>
          </cell>
          <cell r="N1374">
            <v>0</v>
          </cell>
          <cell r="O1374">
            <v>3.0857300000000001E-2</v>
          </cell>
          <cell r="P1374">
            <v>0.61362380000000005</v>
          </cell>
          <cell r="Q1374">
            <v>1.3326407</v>
          </cell>
          <cell r="R1374">
            <v>0</v>
          </cell>
          <cell r="S1374">
            <v>0</v>
          </cell>
          <cell r="T1374">
            <v>0</v>
          </cell>
          <cell r="U1374">
            <v>55.960172</v>
          </cell>
          <cell r="V1374">
            <v>0</v>
          </cell>
          <cell r="W1374">
            <v>0</v>
          </cell>
          <cell r="X1374">
            <v>0.81408239999999998</v>
          </cell>
          <cell r="Y1374">
            <v>0</v>
          </cell>
          <cell r="Z1374">
            <v>93.106493999999998</v>
          </cell>
          <cell r="AA1374">
            <v>0</v>
          </cell>
          <cell r="AB1374">
            <v>8.2500400000000002E-2</v>
          </cell>
        </row>
        <row r="1375">
          <cell r="A1375">
            <v>27235000</v>
          </cell>
          <cell r="B1375" t="str">
            <v>Meat loaf made with venison/deer</v>
          </cell>
          <cell r="I1375">
            <v>140</v>
          </cell>
          <cell r="J1375">
            <v>199.59692999999999</v>
          </cell>
          <cell r="K1375">
            <v>1.425692357142857</v>
          </cell>
          <cell r="L1375">
            <v>0.18613289999999999</v>
          </cell>
          <cell r="M1375">
            <v>3.6352079000000002</v>
          </cell>
          <cell r="N1375">
            <v>0</v>
          </cell>
          <cell r="O1375">
            <v>5.3470299999999998E-2</v>
          </cell>
          <cell r="P1375">
            <v>0.32858270000000001</v>
          </cell>
          <cell r="Q1375">
            <v>0.70137539999999998</v>
          </cell>
          <cell r="R1375">
            <v>0</v>
          </cell>
          <cell r="S1375">
            <v>0</v>
          </cell>
          <cell r="T1375">
            <v>0</v>
          </cell>
          <cell r="U1375">
            <v>10.948994000000001</v>
          </cell>
          <cell r="V1375">
            <v>0</v>
          </cell>
          <cell r="W1375">
            <v>0</v>
          </cell>
          <cell r="X1375">
            <v>0.46205079999999998</v>
          </cell>
          <cell r="Y1375">
            <v>0</v>
          </cell>
          <cell r="Z1375">
            <v>69.695627999999999</v>
          </cell>
          <cell r="AA1375">
            <v>0</v>
          </cell>
          <cell r="AB1375">
            <v>0.47947339999999999</v>
          </cell>
        </row>
        <row r="1376">
          <cell r="A1376">
            <v>27241010</v>
          </cell>
          <cell r="B1376" t="str">
            <v>Chicken or turkey and potatoes with gravy (mixture)</v>
          </cell>
          <cell r="I1376">
            <v>242</v>
          </cell>
          <cell r="J1376">
            <v>253.19864999999999</v>
          </cell>
          <cell r="K1376">
            <v>1.0462754132231404</v>
          </cell>
          <cell r="L1376">
            <v>6.2345100000000001E-2</v>
          </cell>
          <cell r="M1376">
            <v>1.8840182999999999</v>
          </cell>
          <cell r="N1376">
            <v>0</v>
          </cell>
          <cell r="O1376">
            <v>2.0233500000000001E-2</v>
          </cell>
          <cell r="P1376">
            <v>1.887545</v>
          </cell>
          <cell r="Q1376">
            <v>4.6266689000000003</v>
          </cell>
          <cell r="R1376">
            <v>0</v>
          </cell>
          <cell r="S1376">
            <v>0</v>
          </cell>
          <cell r="T1376">
            <v>0</v>
          </cell>
          <cell r="U1376">
            <v>3.6673612000000002</v>
          </cell>
          <cell r="V1376">
            <v>0</v>
          </cell>
          <cell r="W1376">
            <v>0</v>
          </cell>
          <cell r="X1376">
            <v>0.83110790000000001</v>
          </cell>
          <cell r="Y1376">
            <v>0</v>
          </cell>
          <cell r="Z1376">
            <v>0</v>
          </cell>
          <cell r="AA1376">
            <v>0</v>
          </cell>
          <cell r="AB1376">
            <v>3.5412199999999998E-2</v>
          </cell>
        </row>
        <row r="1377">
          <cell r="A1377">
            <v>27242000</v>
          </cell>
          <cell r="B1377" t="str">
            <v>Chicken or turkey and noodles, no sauce</v>
          </cell>
          <cell r="I1377">
            <v>157</v>
          </cell>
          <cell r="J1377">
            <v>220.48411999999999</v>
          </cell>
          <cell r="K1377">
            <v>1.4043574522292992</v>
          </cell>
          <cell r="L1377">
            <v>0</v>
          </cell>
          <cell r="M1377">
            <v>1.5712408</v>
          </cell>
          <cell r="N1377">
            <v>0</v>
          </cell>
          <cell r="O1377">
            <v>1.6179599999999999E-2</v>
          </cell>
          <cell r="P1377">
            <v>1.1004673</v>
          </cell>
          <cell r="Q1377">
            <v>3.0304256000000001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0.52732190000000001</v>
          </cell>
          <cell r="Y1377">
            <v>0</v>
          </cell>
          <cell r="Z1377">
            <v>0</v>
          </cell>
          <cell r="AA1377">
            <v>0</v>
          </cell>
          <cell r="AB1377">
            <v>4.60922E-2</v>
          </cell>
        </row>
        <row r="1378">
          <cell r="A1378">
            <v>27242200</v>
          </cell>
          <cell r="B1378" t="str">
            <v>Chicken or turkey and noodles with gravy</v>
          </cell>
          <cell r="I1378">
            <v>224</v>
          </cell>
          <cell r="J1378">
            <v>297.86966000000001</v>
          </cell>
          <cell r="K1378">
            <v>1.3297752678571428</v>
          </cell>
          <cell r="L1378">
            <v>2.4869999999999998E-16</v>
          </cell>
          <cell r="M1378">
            <v>2.2422737000000001</v>
          </cell>
          <cell r="N1378">
            <v>0</v>
          </cell>
          <cell r="O1378">
            <v>2.5768599999999999E-2</v>
          </cell>
          <cell r="P1378">
            <v>1.4414709000000001</v>
          </cell>
          <cell r="Q1378">
            <v>3.5885961000000002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0.74592570000000002</v>
          </cell>
          <cell r="Y1378">
            <v>0</v>
          </cell>
          <cell r="Z1378">
            <v>0</v>
          </cell>
          <cell r="AA1378">
            <v>0</v>
          </cell>
          <cell r="AB1378">
            <v>6.0996500000000002E-2</v>
          </cell>
        </row>
        <row r="1379">
          <cell r="A1379">
            <v>27242300</v>
          </cell>
          <cell r="B1379" t="str">
            <v>Chicken or turkey and noodles with cream or white sauce</v>
          </cell>
          <cell r="I1379">
            <v>224</v>
          </cell>
          <cell r="J1379">
            <v>300.44105999999999</v>
          </cell>
          <cell r="K1379">
            <v>1.3412547321428572</v>
          </cell>
          <cell r="L1379">
            <v>0</v>
          </cell>
          <cell r="M1379">
            <v>2.8971287999999999</v>
          </cell>
          <cell r="N1379">
            <v>0</v>
          </cell>
          <cell r="O1379">
            <v>9.2941499999999996E-2</v>
          </cell>
          <cell r="P1379">
            <v>1.394717</v>
          </cell>
          <cell r="Q1379">
            <v>3.1299008000000001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0.74946489999999999</v>
          </cell>
          <cell r="Y1379">
            <v>0</v>
          </cell>
          <cell r="Z1379">
            <v>0</v>
          </cell>
          <cell r="AA1379">
            <v>0</v>
          </cell>
          <cell r="AB1379">
            <v>0.32114530000000002</v>
          </cell>
        </row>
        <row r="1380">
          <cell r="A1380">
            <v>27242310</v>
          </cell>
          <cell r="B1380" t="str">
            <v>Chicken or turkey and noodles with cheese sauce</v>
          </cell>
          <cell r="I1380">
            <v>224</v>
          </cell>
          <cell r="J1380">
            <v>309.91739000000001</v>
          </cell>
          <cell r="K1380">
            <v>1.3835597767857144</v>
          </cell>
          <cell r="L1380">
            <v>0</v>
          </cell>
          <cell r="M1380">
            <v>5.7959594000000001</v>
          </cell>
          <cell r="N1380">
            <v>0</v>
          </cell>
          <cell r="O1380">
            <v>0.20696870000000001</v>
          </cell>
          <cell r="P1380">
            <v>1.2782609</v>
          </cell>
          <cell r="Q1380">
            <v>1.6955522000000001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0.72596490000000002</v>
          </cell>
          <cell r="Y1380">
            <v>0</v>
          </cell>
          <cell r="Z1380">
            <v>0</v>
          </cell>
          <cell r="AA1380">
            <v>0</v>
          </cell>
          <cell r="AB1380">
            <v>0.47446129999999997</v>
          </cell>
        </row>
        <row r="1381">
          <cell r="A1381">
            <v>27242400</v>
          </cell>
          <cell r="B1381" t="str">
            <v>Chicken or turkey and noodles with tomato-based sauce</v>
          </cell>
          <cell r="I1381">
            <v>224</v>
          </cell>
          <cell r="J1381">
            <v>290.28185999999999</v>
          </cell>
          <cell r="K1381">
            <v>1.2959011607142856</v>
          </cell>
          <cell r="L1381">
            <v>1.0252238</v>
          </cell>
          <cell r="M1381">
            <v>1.9797674999999999</v>
          </cell>
          <cell r="N1381">
            <v>0</v>
          </cell>
          <cell r="O1381">
            <v>2.8351500000000002E-2</v>
          </cell>
          <cell r="P1381">
            <v>1.366965</v>
          </cell>
          <cell r="Q1381">
            <v>3.8469983999999999</v>
          </cell>
          <cell r="R1381">
            <v>0</v>
          </cell>
          <cell r="S1381">
            <v>0</v>
          </cell>
          <cell r="T1381">
            <v>0</v>
          </cell>
          <cell r="U1381">
            <v>68.348251000000005</v>
          </cell>
          <cell r="V1381">
            <v>0</v>
          </cell>
          <cell r="W1381">
            <v>0</v>
          </cell>
          <cell r="X1381">
            <v>0.73019990000000001</v>
          </cell>
          <cell r="Y1381">
            <v>0</v>
          </cell>
          <cell r="Z1381">
            <v>0</v>
          </cell>
          <cell r="AA1381">
            <v>0</v>
          </cell>
          <cell r="AB1381">
            <v>0.1054392</v>
          </cell>
        </row>
        <row r="1382">
          <cell r="A1382">
            <v>27242500</v>
          </cell>
          <cell r="B1382" t="str">
            <v>Chicken or turkey and noodles with soy-based sauce</v>
          </cell>
          <cell r="I1382">
            <v>224</v>
          </cell>
          <cell r="J1382">
            <v>330.14791000000002</v>
          </cell>
          <cell r="K1382">
            <v>1.4738745982142858</v>
          </cell>
          <cell r="L1382">
            <v>0.75375879999999995</v>
          </cell>
          <cell r="M1382">
            <v>3.1733775</v>
          </cell>
          <cell r="N1382">
            <v>0</v>
          </cell>
          <cell r="O1382">
            <v>3.7962000000000003E-2</v>
          </cell>
          <cell r="P1382">
            <v>0.49136980000000002</v>
          </cell>
          <cell r="Q1382">
            <v>6.3268624999999998</v>
          </cell>
          <cell r="R1382">
            <v>0</v>
          </cell>
          <cell r="S1382">
            <v>0</v>
          </cell>
          <cell r="T1382">
            <v>0</v>
          </cell>
          <cell r="U1382">
            <v>47.795771000000002</v>
          </cell>
          <cell r="V1382">
            <v>0</v>
          </cell>
          <cell r="W1382">
            <v>0</v>
          </cell>
          <cell r="X1382">
            <v>0.83361099999999999</v>
          </cell>
          <cell r="Y1382">
            <v>0</v>
          </cell>
          <cell r="Z1382">
            <v>0</v>
          </cell>
          <cell r="AA1382">
            <v>0</v>
          </cell>
          <cell r="AB1382">
            <v>7.8707700000000005E-2</v>
          </cell>
        </row>
        <row r="1383">
          <cell r="A1383">
            <v>27243000</v>
          </cell>
          <cell r="B1383" t="str">
            <v>Chicken or turkey and rice, no sauce</v>
          </cell>
          <cell r="I1383">
            <v>196</v>
          </cell>
          <cell r="J1383">
            <v>275.60467</v>
          </cell>
          <cell r="K1383">
            <v>1.4061462755102041</v>
          </cell>
          <cell r="L1383">
            <v>0</v>
          </cell>
          <cell r="M1383">
            <v>1.7683085999999999</v>
          </cell>
          <cell r="N1383">
            <v>0</v>
          </cell>
          <cell r="O1383">
            <v>1.7628499999999998E-2</v>
          </cell>
          <cell r="P1383">
            <v>0.44866660000000003</v>
          </cell>
          <cell r="Q1383">
            <v>3.8656679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0.65797709999999998</v>
          </cell>
          <cell r="Y1383">
            <v>0</v>
          </cell>
          <cell r="Z1383">
            <v>0</v>
          </cell>
          <cell r="AA1383">
            <v>0</v>
          </cell>
          <cell r="AB1383">
            <v>2.9809700000000001E-2</v>
          </cell>
        </row>
        <row r="1384">
          <cell r="A1384">
            <v>27243100</v>
          </cell>
          <cell r="B1384" t="str">
            <v>Biryani with chicken</v>
          </cell>
          <cell r="I1384">
            <v>196</v>
          </cell>
          <cell r="J1384">
            <v>200.41281000000001</v>
          </cell>
          <cell r="K1384">
            <v>1.0225143367346938</v>
          </cell>
          <cell r="L1384">
            <v>0.7552413</v>
          </cell>
          <cell r="M1384">
            <v>1.8869088999999999</v>
          </cell>
          <cell r="N1384">
            <v>0</v>
          </cell>
          <cell r="O1384">
            <v>6.15857E-2</v>
          </cell>
          <cell r="P1384">
            <v>1.1003902999999999</v>
          </cell>
          <cell r="Q1384">
            <v>0.50612740000000001</v>
          </cell>
          <cell r="R1384">
            <v>0</v>
          </cell>
          <cell r="S1384">
            <v>0</v>
          </cell>
          <cell r="T1384">
            <v>0</v>
          </cell>
          <cell r="U1384">
            <v>40.594427000000003</v>
          </cell>
          <cell r="V1384">
            <v>0</v>
          </cell>
          <cell r="W1384">
            <v>0</v>
          </cell>
          <cell r="X1384">
            <v>0.3165868</v>
          </cell>
          <cell r="Y1384">
            <v>0</v>
          </cell>
          <cell r="Z1384">
            <v>0</v>
          </cell>
          <cell r="AA1384">
            <v>0</v>
          </cell>
          <cell r="AB1384">
            <v>6.5331299999999995E-2</v>
          </cell>
        </row>
        <row r="1385">
          <cell r="A1385">
            <v>27243300</v>
          </cell>
          <cell r="B1385" t="str">
            <v>Chicken or turkey and rice with cream sauce</v>
          </cell>
          <cell r="I1385">
            <v>248</v>
          </cell>
          <cell r="J1385">
            <v>304.08807000000002</v>
          </cell>
          <cell r="K1385">
            <v>1.2261615725806452</v>
          </cell>
          <cell r="L1385">
            <v>0.75344429999999996</v>
          </cell>
          <cell r="M1385">
            <v>3.2419343</v>
          </cell>
          <cell r="N1385">
            <v>0</v>
          </cell>
          <cell r="O1385">
            <v>0.1029742</v>
          </cell>
          <cell r="P1385">
            <v>0.41168909999999997</v>
          </cell>
          <cell r="Q1385">
            <v>3.1082230000000002</v>
          </cell>
          <cell r="R1385">
            <v>0</v>
          </cell>
          <cell r="S1385">
            <v>0</v>
          </cell>
          <cell r="T1385">
            <v>0</v>
          </cell>
          <cell r="U1385">
            <v>34.57329</v>
          </cell>
          <cell r="V1385">
            <v>0</v>
          </cell>
          <cell r="W1385">
            <v>0</v>
          </cell>
          <cell r="X1385">
            <v>0.85262740000000004</v>
          </cell>
          <cell r="Y1385">
            <v>0</v>
          </cell>
          <cell r="Z1385">
            <v>0</v>
          </cell>
          <cell r="AA1385">
            <v>0</v>
          </cell>
          <cell r="AB1385">
            <v>1.5504005999999999</v>
          </cell>
        </row>
        <row r="1386">
          <cell r="A1386">
            <v>27243400</v>
          </cell>
          <cell r="B1386" t="str">
            <v>Chicken or turkey and rice with (mushroom) soup (mixture)</v>
          </cell>
          <cell r="I1386">
            <v>248</v>
          </cell>
          <cell r="J1386">
            <v>316.40359999999998</v>
          </cell>
          <cell r="K1386">
            <v>1.2758209677419354</v>
          </cell>
          <cell r="L1386">
            <v>0.1632209</v>
          </cell>
          <cell r="M1386">
            <v>2.176987</v>
          </cell>
          <cell r="N1386">
            <v>0</v>
          </cell>
          <cell r="O1386">
            <v>4.76421E-2</v>
          </cell>
          <cell r="P1386">
            <v>0.73437799999999998</v>
          </cell>
          <cell r="Q1386">
            <v>4.9874808000000002</v>
          </cell>
          <cell r="R1386">
            <v>0</v>
          </cell>
          <cell r="S1386">
            <v>0</v>
          </cell>
          <cell r="T1386">
            <v>0</v>
          </cell>
          <cell r="U1386">
            <v>12.872881</v>
          </cell>
          <cell r="V1386">
            <v>0</v>
          </cell>
          <cell r="W1386">
            <v>0</v>
          </cell>
          <cell r="X1386">
            <v>0.73589179999999998</v>
          </cell>
          <cell r="Y1386">
            <v>0</v>
          </cell>
          <cell r="Z1386">
            <v>0</v>
          </cell>
          <cell r="AA1386">
            <v>0</v>
          </cell>
          <cell r="AB1386">
            <v>0.63257390000000002</v>
          </cell>
        </row>
        <row r="1387">
          <cell r="A1387">
            <v>27243500</v>
          </cell>
          <cell r="B1387" t="str">
            <v>Chicken or turkey and rice with tomato-based sauce</v>
          </cell>
          <cell r="I1387">
            <v>244</v>
          </cell>
          <cell r="J1387">
            <v>326.70303999999999</v>
          </cell>
          <cell r="K1387">
            <v>1.3389468852459017</v>
          </cell>
          <cell r="L1387">
            <v>1.0417457000000001</v>
          </cell>
          <cell r="M1387">
            <v>2.2490306000000002</v>
          </cell>
          <cell r="N1387">
            <v>0</v>
          </cell>
          <cell r="O1387">
            <v>2.6896699999999999E-2</v>
          </cell>
          <cell r="P1387">
            <v>0.46299810000000002</v>
          </cell>
          <cell r="Q1387">
            <v>5.2651044999999996</v>
          </cell>
          <cell r="R1387">
            <v>0</v>
          </cell>
          <cell r="S1387">
            <v>0</v>
          </cell>
          <cell r="T1387">
            <v>0</v>
          </cell>
          <cell r="U1387">
            <v>69.449714999999998</v>
          </cell>
          <cell r="V1387">
            <v>0</v>
          </cell>
          <cell r="W1387">
            <v>0</v>
          </cell>
          <cell r="X1387">
            <v>0.80960310000000002</v>
          </cell>
          <cell r="Y1387">
            <v>0</v>
          </cell>
          <cell r="Z1387">
            <v>0</v>
          </cell>
          <cell r="AA1387">
            <v>0</v>
          </cell>
          <cell r="AB1387">
            <v>4.1015799999999998E-2</v>
          </cell>
        </row>
        <row r="1388">
          <cell r="A1388">
            <v>27243600</v>
          </cell>
          <cell r="B1388" t="str">
            <v>Chicken or turkey and rice with soy-based sauce (mixture)</v>
          </cell>
          <cell r="I1388">
            <v>244</v>
          </cell>
          <cell r="J1388">
            <v>368.84410000000003</v>
          </cell>
          <cell r="K1388">
            <v>1.5116561475409838</v>
          </cell>
          <cell r="L1388">
            <v>0.83746940000000003</v>
          </cell>
          <cell r="M1388">
            <v>2.9586291</v>
          </cell>
          <cell r="N1388">
            <v>0</v>
          </cell>
          <cell r="O1388">
            <v>3.7730600000000003E-2</v>
          </cell>
          <cell r="P1388">
            <v>0.24032200000000001</v>
          </cell>
          <cell r="Q1388">
            <v>6.9542009</v>
          </cell>
          <cell r="R1388">
            <v>0</v>
          </cell>
          <cell r="S1388">
            <v>0</v>
          </cell>
          <cell r="T1388">
            <v>0</v>
          </cell>
          <cell r="U1388">
            <v>53.103850000000001</v>
          </cell>
          <cell r="V1388">
            <v>0</v>
          </cell>
          <cell r="W1388">
            <v>0</v>
          </cell>
          <cell r="X1388">
            <v>0.69256309999999999</v>
          </cell>
          <cell r="Y1388">
            <v>0</v>
          </cell>
          <cell r="Z1388">
            <v>0</v>
          </cell>
          <cell r="AA1388">
            <v>0</v>
          </cell>
          <cell r="AB1388">
            <v>5.2323799999999997E-2</v>
          </cell>
        </row>
        <row r="1389">
          <cell r="A1389">
            <v>27246100</v>
          </cell>
          <cell r="B1389" t="str">
            <v>Chicken or turkey with dumplings</v>
          </cell>
          <cell r="I1389">
            <v>244</v>
          </cell>
          <cell r="J1389">
            <v>351.17444</v>
          </cell>
          <cell r="K1389">
            <v>1.4392395081967213</v>
          </cell>
          <cell r="L1389">
            <v>0</v>
          </cell>
          <cell r="M1389">
            <v>3.4661119999999999</v>
          </cell>
          <cell r="N1389">
            <v>0</v>
          </cell>
          <cell r="O1389">
            <v>0.1197085</v>
          </cell>
          <cell r="P1389">
            <v>0.64039369999999995</v>
          </cell>
          <cell r="Q1389">
            <v>2.5878473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1.1927220000000001</v>
          </cell>
          <cell r="Y1389">
            <v>0</v>
          </cell>
          <cell r="Z1389">
            <v>0</v>
          </cell>
          <cell r="AA1389">
            <v>0</v>
          </cell>
          <cell r="AB1389">
            <v>0.58965449999999997</v>
          </cell>
        </row>
        <row r="1390">
          <cell r="A1390">
            <v>27246200</v>
          </cell>
          <cell r="B1390" t="str">
            <v>Chicken or turkey with stuffing</v>
          </cell>
          <cell r="I1390">
            <v>200</v>
          </cell>
          <cell r="J1390">
            <v>344.01305000000002</v>
          </cell>
          <cell r="K1390">
            <v>1.7200652500000002</v>
          </cell>
          <cell r="L1390">
            <v>1.11E-16</v>
          </cell>
          <cell r="M1390">
            <v>2.4235353000000002</v>
          </cell>
          <cell r="N1390">
            <v>0</v>
          </cell>
          <cell r="O1390">
            <v>5.0585400000000003E-2</v>
          </cell>
          <cell r="P1390">
            <v>0.98622100000000001</v>
          </cell>
          <cell r="Q1390">
            <v>1.5033363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0.90700199999999997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</row>
        <row r="1391">
          <cell r="A1391">
            <v>27246300</v>
          </cell>
          <cell r="B1391" t="str">
            <v>Chicken or turkey cake, patty, or croquette</v>
          </cell>
          <cell r="I1391">
            <v>140</v>
          </cell>
          <cell r="J1391">
            <v>347.94128999999998</v>
          </cell>
          <cell r="K1391">
            <v>2.4852949285714283</v>
          </cell>
          <cell r="L1391">
            <v>9.5940499999999998E-2</v>
          </cell>
          <cell r="M1391">
            <v>4.5406459000000003</v>
          </cell>
          <cell r="N1391">
            <v>0</v>
          </cell>
          <cell r="O1391">
            <v>3.0266499999999998E-2</v>
          </cell>
          <cell r="P1391">
            <v>0.1585955</v>
          </cell>
          <cell r="Q1391">
            <v>10.376075999999999</v>
          </cell>
          <cell r="R1391">
            <v>0</v>
          </cell>
          <cell r="S1391">
            <v>0</v>
          </cell>
          <cell r="T1391">
            <v>0</v>
          </cell>
          <cell r="U1391">
            <v>6.8528912999999996</v>
          </cell>
          <cell r="V1391">
            <v>0</v>
          </cell>
          <cell r="W1391">
            <v>0</v>
          </cell>
          <cell r="X1391">
            <v>0.76633289999999998</v>
          </cell>
          <cell r="Y1391">
            <v>0</v>
          </cell>
          <cell r="Z1391">
            <v>0</v>
          </cell>
          <cell r="AA1391">
            <v>0</v>
          </cell>
          <cell r="AB1391">
            <v>0.60761050000000005</v>
          </cell>
        </row>
        <row r="1392">
          <cell r="A1392">
            <v>27246500</v>
          </cell>
          <cell r="B1392" t="str">
            <v>Meat loaf made with chicken or turkey</v>
          </cell>
          <cell r="I1392">
            <v>140</v>
          </cell>
          <cell r="J1392">
            <v>216.80663999999999</v>
          </cell>
          <cell r="K1392">
            <v>1.548618857142857</v>
          </cell>
          <cell r="L1392">
            <v>0.33899059999999998</v>
          </cell>
          <cell r="M1392">
            <v>2.3713644</v>
          </cell>
          <cell r="N1392">
            <v>0</v>
          </cell>
          <cell r="O1392">
            <v>7.8174499999999994E-2</v>
          </cell>
          <cell r="P1392">
            <v>0.42865039999999999</v>
          </cell>
          <cell r="Q1392">
            <v>2.5726711999999998</v>
          </cell>
          <cell r="R1392">
            <v>0</v>
          </cell>
          <cell r="S1392">
            <v>0</v>
          </cell>
          <cell r="T1392">
            <v>0</v>
          </cell>
          <cell r="U1392">
            <v>19.345130000000001</v>
          </cell>
          <cell r="V1392">
            <v>0</v>
          </cell>
          <cell r="W1392">
            <v>0</v>
          </cell>
          <cell r="X1392">
            <v>0.56932870000000002</v>
          </cell>
          <cell r="Y1392">
            <v>0</v>
          </cell>
          <cell r="Z1392">
            <v>0</v>
          </cell>
          <cell r="AA1392">
            <v>0</v>
          </cell>
          <cell r="AB1392">
            <v>0.1061911</v>
          </cell>
        </row>
        <row r="1393">
          <cell r="A1393">
            <v>27246505</v>
          </cell>
          <cell r="B1393" t="str">
            <v>Meat loaf made with chicken or turkey, with tomato-based sauce</v>
          </cell>
          <cell r="I1393">
            <v>178</v>
          </cell>
          <cell r="J1393">
            <v>232.29078000000001</v>
          </cell>
          <cell r="K1393">
            <v>1.3050043820224719</v>
          </cell>
          <cell r="L1393">
            <v>0.89748969999999995</v>
          </cell>
          <cell r="M1393">
            <v>2.6930250999999998</v>
          </cell>
          <cell r="N1393">
            <v>0</v>
          </cell>
          <cell r="O1393">
            <v>8.0652199999999993E-2</v>
          </cell>
          <cell r="P1393">
            <v>0.40684300000000001</v>
          </cell>
          <cell r="Q1393">
            <v>2.7083192</v>
          </cell>
          <cell r="R1393">
            <v>0</v>
          </cell>
          <cell r="S1393">
            <v>0</v>
          </cell>
          <cell r="T1393">
            <v>0</v>
          </cell>
          <cell r="U1393">
            <v>56.746566000000001</v>
          </cell>
          <cell r="V1393">
            <v>0</v>
          </cell>
          <cell r="W1393">
            <v>0</v>
          </cell>
          <cell r="X1393">
            <v>0.72781459999999998</v>
          </cell>
          <cell r="Y1393">
            <v>0</v>
          </cell>
          <cell r="Z1393">
            <v>0</v>
          </cell>
          <cell r="AA1393">
            <v>0</v>
          </cell>
          <cell r="AB1393">
            <v>0.1164685</v>
          </cell>
        </row>
        <row r="1394">
          <cell r="A1394">
            <v>27250030</v>
          </cell>
          <cell r="B1394" t="str">
            <v>Codfish ball or cake</v>
          </cell>
          <cell r="I1394">
            <v>85</v>
          </cell>
          <cell r="J1394">
            <v>121.24151999999999</v>
          </cell>
          <cell r="K1394">
            <v>1.4263708235294117</v>
          </cell>
          <cell r="L1394">
            <v>9.4370000000000006E-17</v>
          </cell>
          <cell r="M1394">
            <v>0.87220500000000001</v>
          </cell>
          <cell r="N1394">
            <v>5.6333899999999999E-2</v>
          </cell>
          <cell r="O1394">
            <v>1.7057900000000001E-2</v>
          </cell>
          <cell r="P1394">
            <v>0.64173780000000002</v>
          </cell>
          <cell r="Q1394">
            <v>1.8933556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0.25265919999999997</v>
          </cell>
          <cell r="Y1394">
            <v>0</v>
          </cell>
          <cell r="Z1394">
            <v>0</v>
          </cell>
          <cell r="AA1394">
            <v>0</v>
          </cell>
          <cell r="AB1394">
            <v>0.2457001</v>
          </cell>
        </row>
        <row r="1395">
          <cell r="A1395">
            <v>27250040</v>
          </cell>
          <cell r="B1395" t="str">
            <v>Crab cake</v>
          </cell>
          <cell r="I1395">
            <v>85</v>
          </cell>
          <cell r="J1395">
            <v>165.14222000000001</v>
          </cell>
          <cell r="K1395">
            <v>1.9428496470588237</v>
          </cell>
          <cell r="L1395">
            <v>5.8546500000000001E-2</v>
          </cell>
          <cell r="M1395">
            <v>1.9712521999999999</v>
          </cell>
          <cell r="N1395">
            <v>9.7153799999999998E-2</v>
          </cell>
          <cell r="O1395">
            <v>6.2667799999999996E-2</v>
          </cell>
          <cell r="P1395">
            <v>9.6781000000000006E-2</v>
          </cell>
          <cell r="Q1395">
            <v>5.9312809</v>
          </cell>
          <cell r="R1395">
            <v>0</v>
          </cell>
          <cell r="S1395">
            <v>0</v>
          </cell>
          <cell r="T1395">
            <v>0</v>
          </cell>
          <cell r="U1395">
            <v>4.1818948999999996</v>
          </cell>
          <cell r="V1395">
            <v>0</v>
          </cell>
          <cell r="W1395">
            <v>0</v>
          </cell>
          <cell r="X1395">
            <v>0.33596409999999999</v>
          </cell>
          <cell r="Y1395">
            <v>0</v>
          </cell>
          <cell r="Z1395">
            <v>0</v>
          </cell>
          <cell r="AA1395">
            <v>0</v>
          </cell>
          <cell r="AB1395">
            <v>4.1846800000000003E-2</v>
          </cell>
        </row>
        <row r="1396">
          <cell r="A1396">
            <v>27250050</v>
          </cell>
          <cell r="B1396" t="str">
            <v>Fish cake or patty, NS as to fish</v>
          </cell>
          <cell r="I1396">
            <v>85</v>
          </cell>
          <cell r="J1396">
            <v>138.95739</v>
          </cell>
          <cell r="K1396">
            <v>1.6347928235294118</v>
          </cell>
          <cell r="L1396">
            <v>0</v>
          </cell>
          <cell r="M1396">
            <v>1.8832135999999999</v>
          </cell>
          <cell r="N1396">
            <v>5.4604399999999997E-2</v>
          </cell>
          <cell r="O1396">
            <v>1.90641E-2</v>
          </cell>
          <cell r="P1396">
            <v>0.62599870000000002</v>
          </cell>
          <cell r="Q1396">
            <v>1.9891958999999999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0.1934969</v>
          </cell>
          <cell r="Y1396">
            <v>0</v>
          </cell>
          <cell r="Z1396">
            <v>0</v>
          </cell>
          <cell r="AA1396">
            <v>0</v>
          </cell>
          <cell r="AB1396">
            <v>0.830488</v>
          </cell>
        </row>
        <row r="1397">
          <cell r="A1397">
            <v>27250070</v>
          </cell>
          <cell r="B1397" t="str">
            <v>Salmon cake or patty</v>
          </cell>
          <cell r="I1397">
            <v>85</v>
          </cell>
          <cell r="J1397">
            <v>198.68340000000001</v>
          </cell>
          <cell r="K1397">
            <v>2.3374517647058823</v>
          </cell>
          <cell r="L1397">
            <v>5.8546500000000001E-2</v>
          </cell>
          <cell r="M1397">
            <v>2.7143630000000001</v>
          </cell>
          <cell r="N1397">
            <v>0.67949820000000005</v>
          </cell>
          <cell r="O1397">
            <v>0.1540386</v>
          </cell>
          <cell r="P1397">
            <v>9.6781000000000006E-2</v>
          </cell>
          <cell r="Q1397">
            <v>6.6593559000000004</v>
          </cell>
          <cell r="R1397">
            <v>0</v>
          </cell>
          <cell r="S1397">
            <v>0</v>
          </cell>
          <cell r="T1397">
            <v>0</v>
          </cell>
          <cell r="U1397">
            <v>4.1818948999999996</v>
          </cell>
          <cell r="V1397">
            <v>0</v>
          </cell>
          <cell r="W1397">
            <v>0</v>
          </cell>
          <cell r="X1397">
            <v>0.33365089999999997</v>
          </cell>
          <cell r="Y1397">
            <v>0</v>
          </cell>
          <cell r="Z1397">
            <v>0</v>
          </cell>
          <cell r="AA1397">
            <v>0</v>
          </cell>
          <cell r="AB1397">
            <v>0.2470021</v>
          </cell>
        </row>
        <row r="1398">
          <cell r="A1398">
            <v>27250110</v>
          </cell>
          <cell r="B1398" t="str">
            <v>Scallops and noodles with cheese sauce (mixture)</v>
          </cell>
          <cell r="I1398">
            <v>224</v>
          </cell>
          <cell r="J1398">
            <v>308.33015999999998</v>
          </cell>
          <cell r="K1398">
            <v>1.3764739285714285</v>
          </cell>
          <cell r="L1398">
            <v>0</v>
          </cell>
          <cell r="M1398">
            <v>5.6498439999999999</v>
          </cell>
          <cell r="N1398">
            <v>5.6234300000000001E-2</v>
          </cell>
          <cell r="O1398">
            <v>0.2154336</v>
          </cell>
          <cell r="P1398">
            <v>1.3419551000000001</v>
          </cell>
          <cell r="Q1398">
            <v>1.5515557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0.66642509999999999</v>
          </cell>
          <cell r="Y1398">
            <v>0</v>
          </cell>
          <cell r="Z1398">
            <v>0</v>
          </cell>
          <cell r="AA1398">
            <v>0</v>
          </cell>
          <cell r="AB1398">
            <v>0.39377289999999998</v>
          </cell>
        </row>
        <row r="1399">
          <cell r="A1399">
            <v>27250120</v>
          </cell>
          <cell r="B1399" t="str">
            <v>Shrimp and noodles, no sauce</v>
          </cell>
          <cell r="I1399">
            <v>157</v>
          </cell>
          <cell r="J1399">
            <v>217.04810000000001</v>
          </cell>
          <cell r="K1399">
            <v>1.3824719745222931</v>
          </cell>
          <cell r="L1399">
            <v>0</v>
          </cell>
          <cell r="M1399">
            <v>1.3356607</v>
          </cell>
          <cell r="N1399">
            <v>7.9227199999999998E-2</v>
          </cell>
          <cell r="O1399">
            <v>3.8521100000000003E-2</v>
          </cell>
          <cell r="P1399">
            <v>1.1482204</v>
          </cell>
          <cell r="Q1399">
            <v>3.0622894000000001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0.4557214</v>
          </cell>
          <cell r="Y1399">
            <v>0</v>
          </cell>
          <cell r="Z1399">
            <v>0</v>
          </cell>
          <cell r="AA1399">
            <v>0</v>
          </cell>
          <cell r="AB1399">
            <v>5.8139200000000002E-2</v>
          </cell>
        </row>
        <row r="1400">
          <cell r="A1400">
            <v>27250122</v>
          </cell>
          <cell r="B1400" t="str">
            <v>Shrimp and noodles with gravy (mixture)</v>
          </cell>
          <cell r="I1400">
            <v>224</v>
          </cell>
          <cell r="J1400">
            <v>225.71804</v>
          </cell>
          <cell r="K1400">
            <v>1.0076698214285715</v>
          </cell>
          <cell r="L1400">
            <v>5.80653E-2</v>
          </cell>
          <cell r="M1400">
            <v>1.2822855</v>
          </cell>
          <cell r="N1400">
            <v>0.23827280000000001</v>
          </cell>
          <cell r="O1400">
            <v>0.1002923</v>
          </cell>
          <cell r="P1400">
            <v>1.127791</v>
          </cell>
          <cell r="Q1400">
            <v>2.1560405999999999</v>
          </cell>
          <cell r="R1400">
            <v>0</v>
          </cell>
          <cell r="S1400">
            <v>0</v>
          </cell>
          <cell r="T1400">
            <v>0</v>
          </cell>
          <cell r="U1400">
            <v>3.4156078000000001</v>
          </cell>
          <cell r="V1400">
            <v>0</v>
          </cell>
          <cell r="W1400">
            <v>0</v>
          </cell>
          <cell r="X1400">
            <v>1.2156505</v>
          </cell>
          <cell r="Y1400">
            <v>0</v>
          </cell>
          <cell r="Z1400">
            <v>0</v>
          </cell>
          <cell r="AA1400">
            <v>0</v>
          </cell>
          <cell r="AB1400">
            <v>9.5564999999999997E-2</v>
          </cell>
        </row>
        <row r="1401">
          <cell r="A1401">
            <v>27250124</v>
          </cell>
          <cell r="B1401" t="str">
            <v>Shrimp and noodles with (mushroom) soup (mixture)</v>
          </cell>
          <cell r="I1401">
            <v>224</v>
          </cell>
          <cell r="J1401">
            <v>282.86239999999998</v>
          </cell>
          <cell r="K1401">
            <v>1.2627785714285713</v>
          </cell>
          <cell r="L1401">
            <v>0.15571409999999999</v>
          </cell>
          <cell r="M1401">
            <v>2.0885099</v>
          </cell>
          <cell r="N1401">
            <v>8.6467100000000005E-2</v>
          </cell>
          <cell r="O1401">
            <v>7.3398099999999994E-2</v>
          </cell>
          <cell r="P1401">
            <v>1.5360341</v>
          </cell>
          <cell r="Q1401">
            <v>4.5341554999999998</v>
          </cell>
          <cell r="R1401">
            <v>0</v>
          </cell>
          <cell r="S1401">
            <v>0</v>
          </cell>
          <cell r="T1401">
            <v>0</v>
          </cell>
          <cell r="U1401">
            <v>12.280839</v>
          </cell>
          <cell r="V1401">
            <v>0</v>
          </cell>
          <cell r="W1401">
            <v>0</v>
          </cell>
          <cell r="X1401">
            <v>0.7441818</v>
          </cell>
          <cell r="Y1401">
            <v>0</v>
          </cell>
          <cell r="Z1401">
            <v>0</v>
          </cell>
          <cell r="AA1401">
            <v>0</v>
          </cell>
          <cell r="AB1401">
            <v>0.29214059999999997</v>
          </cell>
        </row>
        <row r="1402">
          <cell r="A1402">
            <v>27250126</v>
          </cell>
          <cell r="B1402" t="str">
            <v>Shrimp and noodles with cream or white sauce</v>
          </cell>
          <cell r="I1402">
            <v>224</v>
          </cell>
          <cell r="J1402">
            <v>305.60840999999999</v>
          </cell>
          <cell r="K1402">
            <v>1.3643232589285714</v>
          </cell>
          <cell r="L1402">
            <v>0</v>
          </cell>
          <cell r="M1402">
            <v>2.7684581000000001</v>
          </cell>
          <cell r="N1402">
            <v>9.1954400000000006E-2</v>
          </cell>
          <cell r="O1402">
            <v>0.1226633</v>
          </cell>
          <cell r="P1402">
            <v>1.4659395</v>
          </cell>
          <cell r="Q1402">
            <v>3.4028079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0.64348470000000002</v>
          </cell>
          <cell r="Y1402">
            <v>0</v>
          </cell>
          <cell r="Z1402">
            <v>0</v>
          </cell>
          <cell r="AA1402">
            <v>0</v>
          </cell>
          <cell r="AB1402">
            <v>0.29447400000000001</v>
          </cell>
        </row>
        <row r="1403">
          <cell r="A1403">
            <v>27250128</v>
          </cell>
          <cell r="B1403" t="str">
            <v>Shrimp and noodles with soy-based sauce</v>
          </cell>
          <cell r="I1403">
            <v>224</v>
          </cell>
          <cell r="J1403">
            <v>294.92928000000001</v>
          </cell>
          <cell r="K1403">
            <v>1.3166485714285714</v>
          </cell>
          <cell r="L1403">
            <v>0.75212120000000005</v>
          </cell>
          <cell r="M1403">
            <v>2.3261959999999999</v>
          </cell>
          <cell r="N1403">
            <v>0.2284716</v>
          </cell>
          <cell r="O1403">
            <v>0.1090264</v>
          </cell>
          <cell r="P1403">
            <v>0.49030230000000002</v>
          </cell>
          <cell r="Q1403">
            <v>6.0958914999999996</v>
          </cell>
          <cell r="R1403">
            <v>0</v>
          </cell>
          <cell r="S1403">
            <v>0</v>
          </cell>
          <cell r="T1403">
            <v>0</v>
          </cell>
          <cell r="U1403">
            <v>47.691932000000001</v>
          </cell>
          <cell r="V1403">
            <v>0</v>
          </cell>
          <cell r="W1403">
            <v>0</v>
          </cell>
          <cell r="X1403">
            <v>1.3161221999999999</v>
          </cell>
          <cell r="Y1403">
            <v>0</v>
          </cell>
          <cell r="Z1403">
            <v>0</v>
          </cell>
          <cell r="AA1403">
            <v>0</v>
          </cell>
          <cell r="AB1403">
            <v>7.5964199999999996E-2</v>
          </cell>
        </row>
        <row r="1404">
          <cell r="A1404">
            <v>27250130</v>
          </cell>
          <cell r="B1404" t="str">
            <v>Shrimp and noodles with cheese sauce</v>
          </cell>
          <cell r="I1404">
            <v>224</v>
          </cell>
          <cell r="J1404">
            <v>289.06101000000001</v>
          </cell>
          <cell r="K1404">
            <v>1.2904509375</v>
          </cell>
          <cell r="L1404">
            <v>2.4869999999999998E-16</v>
          </cell>
          <cell r="M1404">
            <v>5.3432218999999996</v>
          </cell>
          <cell r="N1404">
            <v>8.1994700000000004E-2</v>
          </cell>
          <cell r="O1404">
            <v>0.22481989999999999</v>
          </cell>
          <cell r="P1404">
            <v>1.2477453999999999</v>
          </cell>
          <cell r="Q1404">
            <v>1.5519575999999999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0.65739939999999997</v>
          </cell>
          <cell r="Y1404">
            <v>0</v>
          </cell>
          <cell r="Z1404">
            <v>0</v>
          </cell>
          <cell r="AA1404">
            <v>0</v>
          </cell>
          <cell r="AB1404">
            <v>0.36911470000000002</v>
          </cell>
        </row>
        <row r="1405">
          <cell r="A1405">
            <v>27250132</v>
          </cell>
          <cell r="B1405" t="str">
            <v>Shrimp and noodles with tomato sauce</v>
          </cell>
          <cell r="I1405">
            <v>224</v>
          </cell>
          <cell r="J1405">
            <v>284.36856999999998</v>
          </cell>
          <cell r="K1405">
            <v>1.2695025446428569</v>
          </cell>
          <cell r="L1405">
            <v>1.0233502999999999</v>
          </cell>
          <cell r="M1405">
            <v>1.7706899</v>
          </cell>
          <cell r="N1405">
            <v>9.4148200000000001E-2</v>
          </cell>
          <cell r="O1405">
            <v>5.42575E-2</v>
          </cell>
          <cell r="P1405">
            <v>1.3644670000000001</v>
          </cell>
          <cell r="Q1405">
            <v>4.1899172</v>
          </cell>
          <cell r="R1405">
            <v>0</v>
          </cell>
          <cell r="S1405">
            <v>0</v>
          </cell>
          <cell r="T1405">
            <v>0</v>
          </cell>
          <cell r="U1405">
            <v>68.223349999999996</v>
          </cell>
          <cell r="V1405">
            <v>0</v>
          </cell>
          <cell r="W1405">
            <v>0</v>
          </cell>
          <cell r="X1405">
            <v>0.65214130000000003</v>
          </cell>
          <cell r="Y1405">
            <v>0</v>
          </cell>
          <cell r="Z1405">
            <v>0</v>
          </cell>
          <cell r="AA1405">
            <v>0</v>
          </cell>
          <cell r="AB1405">
            <v>0.17788209999999999</v>
          </cell>
        </row>
        <row r="1406">
          <cell r="A1406">
            <v>27250160</v>
          </cell>
          <cell r="B1406" t="str">
            <v>Tuna cake or patty</v>
          </cell>
          <cell r="I1406">
            <v>85</v>
          </cell>
          <cell r="J1406">
            <v>166.59954999999999</v>
          </cell>
          <cell r="K1406">
            <v>1.9599947058823528</v>
          </cell>
          <cell r="L1406">
            <v>5.8419499999999999E-2</v>
          </cell>
          <cell r="M1406">
            <v>1.9740507</v>
          </cell>
          <cell r="N1406">
            <v>0.12925739999999999</v>
          </cell>
          <cell r="O1406">
            <v>1.9872799999999999E-2</v>
          </cell>
          <cell r="P1406">
            <v>9.6571000000000004E-2</v>
          </cell>
          <cell r="Q1406">
            <v>5.933306</v>
          </cell>
          <cell r="R1406">
            <v>0</v>
          </cell>
          <cell r="S1406">
            <v>0</v>
          </cell>
          <cell r="T1406">
            <v>0</v>
          </cell>
          <cell r="U1406">
            <v>4.1728227000000002</v>
          </cell>
          <cell r="V1406">
            <v>0</v>
          </cell>
          <cell r="W1406">
            <v>0</v>
          </cell>
          <cell r="X1406">
            <v>0.31760579999999999</v>
          </cell>
          <cell r="Y1406">
            <v>0</v>
          </cell>
          <cell r="Z1406">
            <v>0</v>
          </cell>
          <cell r="AA1406">
            <v>0</v>
          </cell>
          <cell r="AB1406">
            <v>0.55823179999999994</v>
          </cell>
        </row>
        <row r="1407">
          <cell r="A1407">
            <v>27250250</v>
          </cell>
          <cell r="B1407" t="str">
            <v>Flounder with crab stuffing</v>
          </cell>
          <cell r="I1407">
            <v>140</v>
          </cell>
          <cell r="J1407">
            <v>151.97301999999999</v>
          </cell>
          <cell r="K1407">
            <v>1.0855215714285713</v>
          </cell>
          <cell r="L1407">
            <v>9.1084999999999999E-2</v>
          </cell>
          <cell r="M1407">
            <v>1.3407252999999999</v>
          </cell>
          <cell r="N1407">
            <v>0.25478600000000001</v>
          </cell>
          <cell r="O1407">
            <v>6.4229300000000003E-2</v>
          </cell>
          <cell r="P1407">
            <v>0.3170558</v>
          </cell>
          <cell r="Q1407">
            <v>1.687481</v>
          </cell>
          <cell r="R1407">
            <v>0</v>
          </cell>
          <cell r="S1407">
            <v>0</v>
          </cell>
          <cell r="T1407">
            <v>0</v>
          </cell>
          <cell r="U1407">
            <v>4.6579803000000002</v>
          </cell>
          <cell r="V1407">
            <v>0</v>
          </cell>
          <cell r="W1407">
            <v>0</v>
          </cell>
          <cell r="X1407">
            <v>0.67567390000000005</v>
          </cell>
          <cell r="Y1407">
            <v>0</v>
          </cell>
          <cell r="Z1407">
            <v>0</v>
          </cell>
          <cell r="AA1407">
            <v>0</v>
          </cell>
          <cell r="AB1407">
            <v>0.63902080000000006</v>
          </cell>
        </row>
        <row r="1408">
          <cell r="A1408">
            <v>27250400</v>
          </cell>
          <cell r="B1408" t="str">
            <v>Shrimp cake or patty</v>
          </cell>
          <cell r="I1408">
            <v>85</v>
          </cell>
          <cell r="J1408">
            <v>186.10040000000001</v>
          </cell>
          <cell r="K1408">
            <v>2.1894164705882355</v>
          </cell>
          <cell r="L1408">
            <v>5.8590499999999997E-2</v>
          </cell>
          <cell r="M1408">
            <v>2.1579248</v>
          </cell>
          <cell r="N1408">
            <v>0.1597295</v>
          </cell>
          <cell r="O1408">
            <v>6.2699500000000005E-2</v>
          </cell>
          <cell r="P1408">
            <v>9.6853599999999998E-2</v>
          </cell>
          <cell r="Q1408">
            <v>6.1278693000000004</v>
          </cell>
          <cell r="R1408">
            <v>0</v>
          </cell>
          <cell r="S1408">
            <v>0</v>
          </cell>
          <cell r="T1408">
            <v>0</v>
          </cell>
          <cell r="U1408">
            <v>4.1850323999999999</v>
          </cell>
          <cell r="V1408">
            <v>0</v>
          </cell>
          <cell r="W1408">
            <v>0</v>
          </cell>
          <cell r="X1408">
            <v>0.63095849999999998</v>
          </cell>
          <cell r="Y1408">
            <v>0</v>
          </cell>
          <cell r="Z1408">
            <v>0</v>
          </cell>
          <cell r="AA1408">
            <v>0</v>
          </cell>
          <cell r="AB1408">
            <v>0.3915264</v>
          </cell>
        </row>
        <row r="1409">
          <cell r="A1409">
            <v>27250410</v>
          </cell>
          <cell r="B1409" t="str">
            <v>Shrimp with crab stuffing</v>
          </cell>
          <cell r="I1409">
            <v>140</v>
          </cell>
          <cell r="J1409">
            <v>207.20570000000001</v>
          </cell>
          <cell r="K1409">
            <v>1.4800407142857144</v>
          </cell>
          <cell r="L1409">
            <v>4.1369099999999999E-2</v>
          </cell>
          <cell r="M1409">
            <v>2.5919156000000001</v>
          </cell>
          <cell r="N1409">
            <v>0.16254189999999999</v>
          </cell>
          <cell r="O1409">
            <v>9.4056500000000001E-2</v>
          </cell>
          <cell r="P1409">
            <v>0.30641699999999999</v>
          </cell>
          <cell r="Q1409">
            <v>3.0046325</v>
          </cell>
          <cell r="R1409">
            <v>0</v>
          </cell>
          <cell r="S1409">
            <v>0</v>
          </cell>
          <cell r="T1409">
            <v>0</v>
          </cell>
          <cell r="U1409">
            <v>2.4334753999999998</v>
          </cell>
          <cell r="V1409">
            <v>0</v>
          </cell>
          <cell r="W1409">
            <v>0</v>
          </cell>
          <cell r="X1409">
            <v>0.86785129999999999</v>
          </cell>
          <cell r="Y1409">
            <v>0</v>
          </cell>
          <cell r="Z1409">
            <v>0</v>
          </cell>
          <cell r="AA1409">
            <v>0</v>
          </cell>
          <cell r="AB1409">
            <v>1.2449954999999999</v>
          </cell>
        </row>
        <row r="1410">
          <cell r="A1410">
            <v>27250450</v>
          </cell>
          <cell r="B1410" t="str">
            <v>Shrimp toast, fried</v>
          </cell>
          <cell r="I1410">
            <v>140</v>
          </cell>
          <cell r="J1410">
            <v>137.35135</v>
          </cell>
          <cell r="K1410">
            <v>0.98108107142857137</v>
          </cell>
          <cell r="L1410">
            <v>0.45303209999999999</v>
          </cell>
          <cell r="M1410">
            <v>0.31725179999999997</v>
          </cell>
          <cell r="N1410">
            <v>9.1008900000000004E-2</v>
          </cell>
          <cell r="O1410">
            <v>7.3798199999999994E-2</v>
          </cell>
          <cell r="P1410">
            <v>0.88586989999999999</v>
          </cell>
          <cell r="Q1410">
            <v>0.52596779999999999</v>
          </cell>
          <cell r="R1410">
            <v>0</v>
          </cell>
          <cell r="S1410">
            <v>0</v>
          </cell>
          <cell r="T1410">
            <v>0</v>
          </cell>
          <cell r="U1410">
            <v>27.187740999999999</v>
          </cell>
          <cell r="V1410">
            <v>0</v>
          </cell>
          <cell r="W1410">
            <v>0</v>
          </cell>
          <cell r="X1410">
            <v>1.1711927</v>
          </cell>
          <cell r="Y1410">
            <v>0</v>
          </cell>
          <cell r="Z1410">
            <v>0</v>
          </cell>
          <cell r="AA1410">
            <v>0</v>
          </cell>
          <cell r="AB1410">
            <v>7.9452200000000001E-2</v>
          </cell>
        </row>
        <row r="1411">
          <cell r="A1411">
            <v>27250520</v>
          </cell>
          <cell r="B1411" t="str">
            <v>Seafood restructured</v>
          </cell>
          <cell r="I1411">
            <v>85</v>
          </cell>
          <cell r="J1411">
            <v>80.75</v>
          </cell>
          <cell r="K1411">
            <v>0.95</v>
          </cell>
          <cell r="L1411">
            <v>0</v>
          </cell>
          <cell r="M1411">
            <v>0.18360000000000001</v>
          </cell>
          <cell r="N1411">
            <v>2.3800000000000002E-2</v>
          </cell>
          <cell r="O1411">
            <v>1.1050000000000001E-2</v>
          </cell>
          <cell r="P1411">
            <v>0.42499999999999999</v>
          </cell>
          <cell r="Q1411">
            <v>0.12155000000000001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0.44964999999999999</v>
          </cell>
          <cell r="Y1411">
            <v>0</v>
          </cell>
          <cell r="Z1411">
            <v>0</v>
          </cell>
          <cell r="AA1411">
            <v>0</v>
          </cell>
          <cell r="AB1411">
            <v>6.7999999999999996E-3</v>
          </cell>
        </row>
        <row r="1412">
          <cell r="A1412">
            <v>27250610</v>
          </cell>
          <cell r="B1412" t="str">
            <v>Tuna noodle casserole with cream or white sauce</v>
          </cell>
          <cell r="I1412">
            <v>224</v>
          </cell>
          <cell r="J1412">
            <v>341.17284999999998</v>
          </cell>
          <cell r="K1412">
            <v>1.5230930803571427</v>
          </cell>
          <cell r="L1412">
            <v>0</v>
          </cell>
          <cell r="M1412">
            <v>5.6094277999999997</v>
          </cell>
          <cell r="N1412">
            <v>0.1527403</v>
          </cell>
          <cell r="O1412">
            <v>0.1291524</v>
          </cell>
          <cell r="P1412">
            <v>1.4070465000000001</v>
          </cell>
          <cell r="Q1412">
            <v>3.0901117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0.55350350000000004</v>
          </cell>
          <cell r="Y1412">
            <v>0</v>
          </cell>
          <cell r="Z1412">
            <v>0</v>
          </cell>
          <cell r="AA1412">
            <v>0</v>
          </cell>
          <cell r="AB1412">
            <v>0.67930060000000003</v>
          </cell>
        </row>
        <row r="1413">
          <cell r="A1413">
            <v>27250630</v>
          </cell>
          <cell r="B1413" t="str">
            <v>Tuna noodle casserole with mushroom sauce</v>
          </cell>
          <cell r="I1413">
            <v>224</v>
          </cell>
          <cell r="J1413">
            <v>278.60190999999998</v>
          </cell>
          <cell r="K1413">
            <v>1.2437585267857141</v>
          </cell>
          <cell r="L1413">
            <v>0.14353669999999999</v>
          </cell>
          <cell r="M1413">
            <v>4.1645776000000003</v>
          </cell>
          <cell r="N1413">
            <v>0.14619940000000001</v>
          </cell>
          <cell r="O1413">
            <v>7.3467400000000002E-2</v>
          </cell>
          <cell r="P1413">
            <v>1.4662819</v>
          </cell>
          <cell r="Q1413">
            <v>2.6088835000000001</v>
          </cell>
          <cell r="R1413">
            <v>0</v>
          </cell>
          <cell r="S1413">
            <v>0</v>
          </cell>
          <cell r="T1413">
            <v>0</v>
          </cell>
          <cell r="U1413">
            <v>11.393625</v>
          </cell>
          <cell r="V1413">
            <v>0</v>
          </cell>
          <cell r="W1413">
            <v>0</v>
          </cell>
          <cell r="X1413">
            <v>0.68722700000000003</v>
          </cell>
          <cell r="Y1413">
            <v>0</v>
          </cell>
          <cell r="Z1413">
            <v>0</v>
          </cell>
          <cell r="AA1413">
            <v>0</v>
          </cell>
          <cell r="AB1413">
            <v>0.6500283</v>
          </cell>
        </row>
        <row r="1414">
          <cell r="A1414">
            <v>27250710</v>
          </cell>
          <cell r="B1414" t="str">
            <v>Tuna and rice with (mushroom) soup (mixture)</v>
          </cell>
          <cell r="I1414">
            <v>224</v>
          </cell>
          <cell r="J1414">
            <v>270.99272000000002</v>
          </cell>
          <cell r="K1414">
            <v>1.2097889285714287</v>
          </cell>
          <cell r="L1414">
            <v>0.1468807</v>
          </cell>
          <cell r="M1414">
            <v>1.8783380000000001</v>
          </cell>
          <cell r="N1414">
            <v>6.6195299999999999E-2</v>
          </cell>
          <cell r="O1414">
            <v>4.5792399999999997E-2</v>
          </cell>
          <cell r="P1414">
            <v>0.66085890000000003</v>
          </cell>
          <cell r="Q1414">
            <v>4.7299091999999998</v>
          </cell>
          <cell r="R1414">
            <v>0</v>
          </cell>
          <cell r="S1414">
            <v>0</v>
          </cell>
          <cell r="T1414">
            <v>0</v>
          </cell>
          <cell r="U1414">
            <v>11.584168999999999</v>
          </cell>
          <cell r="V1414">
            <v>0</v>
          </cell>
          <cell r="W1414">
            <v>0</v>
          </cell>
          <cell r="X1414">
            <v>0.64428569999999996</v>
          </cell>
          <cell r="Y1414">
            <v>0</v>
          </cell>
          <cell r="Z1414">
            <v>0</v>
          </cell>
          <cell r="AA1414">
            <v>0</v>
          </cell>
          <cell r="AB1414">
            <v>0.47704960000000002</v>
          </cell>
        </row>
        <row r="1415">
          <cell r="A1415">
            <v>27250810</v>
          </cell>
          <cell r="B1415" t="str">
            <v>Fish and rice with tomato-based sauce</v>
          </cell>
          <cell r="I1415">
            <v>248</v>
          </cell>
          <cell r="J1415">
            <v>317.39330999999999</v>
          </cell>
          <cell r="K1415">
            <v>1.2798117338709676</v>
          </cell>
          <cell r="L1415">
            <v>1.1175645999999999</v>
          </cell>
          <cell r="M1415">
            <v>1.717187</v>
          </cell>
          <cell r="N1415">
            <v>5.8858399999999998E-2</v>
          </cell>
          <cell r="O1415">
            <v>2.8305799999999999E-2</v>
          </cell>
          <cell r="P1415">
            <v>0.49669540000000001</v>
          </cell>
          <cell r="Q1415">
            <v>4.8965192000000002</v>
          </cell>
          <cell r="R1415">
            <v>0</v>
          </cell>
          <cell r="S1415">
            <v>0</v>
          </cell>
          <cell r="T1415">
            <v>0</v>
          </cell>
          <cell r="U1415">
            <v>74.504306</v>
          </cell>
          <cell r="V1415">
            <v>0</v>
          </cell>
          <cell r="W1415">
            <v>0</v>
          </cell>
          <cell r="X1415">
            <v>0.73002129999999998</v>
          </cell>
          <cell r="Y1415">
            <v>0</v>
          </cell>
          <cell r="Z1415">
            <v>0</v>
          </cell>
          <cell r="AA1415">
            <v>0</v>
          </cell>
          <cell r="AB1415">
            <v>7.7347100000000002E-2</v>
          </cell>
        </row>
        <row r="1416">
          <cell r="A1416">
            <v>27250830</v>
          </cell>
          <cell r="B1416" t="str">
            <v>Fish and rice with (mushroom) soup</v>
          </cell>
          <cell r="I1416">
            <v>248</v>
          </cell>
          <cell r="J1416">
            <v>248.91927999999999</v>
          </cell>
          <cell r="K1416">
            <v>1.0037067741935484</v>
          </cell>
          <cell r="L1416">
            <v>0.20279440000000001</v>
          </cell>
          <cell r="M1416">
            <v>1.7753713</v>
          </cell>
          <cell r="N1416">
            <v>0.1088113</v>
          </cell>
          <cell r="O1416">
            <v>7.5368900000000003E-2</v>
          </cell>
          <cell r="P1416">
            <v>0.86661489999999997</v>
          </cell>
          <cell r="Q1416">
            <v>3.3593432999999999</v>
          </cell>
          <cell r="R1416">
            <v>0</v>
          </cell>
          <cell r="S1416">
            <v>0</v>
          </cell>
          <cell r="T1416">
            <v>0</v>
          </cell>
          <cell r="U1416">
            <v>17.274604</v>
          </cell>
          <cell r="V1416">
            <v>0</v>
          </cell>
          <cell r="W1416">
            <v>0</v>
          </cell>
          <cell r="X1416">
            <v>1.1279349000000001</v>
          </cell>
          <cell r="Y1416">
            <v>0</v>
          </cell>
          <cell r="Z1416">
            <v>0</v>
          </cell>
          <cell r="AA1416">
            <v>0</v>
          </cell>
          <cell r="AB1416">
            <v>0.5279663</v>
          </cell>
        </row>
        <row r="1417">
          <cell r="A1417">
            <v>27260010</v>
          </cell>
          <cell r="B1417" t="str">
            <v>Meat loaf, NS as to type of meat</v>
          </cell>
          <cell r="I1417">
            <v>140</v>
          </cell>
          <cell r="J1417">
            <v>282.49214999999998</v>
          </cell>
          <cell r="K1417">
            <v>2.0178010714285715</v>
          </cell>
          <cell r="L1417">
            <v>0.24689530000000001</v>
          </cell>
          <cell r="M1417">
            <v>5.7643437000000004</v>
          </cell>
          <cell r="N1417">
            <v>0</v>
          </cell>
          <cell r="O1417">
            <v>7.9127199999999995E-2</v>
          </cell>
          <cell r="P1417">
            <v>0.4358474</v>
          </cell>
          <cell r="Q1417">
            <v>0.833534</v>
          </cell>
          <cell r="R1417">
            <v>0</v>
          </cell>
          <cell r="S1417">
            <v>0</v>
          </cell>
          <cell r="T1417">
            <v>0</v>
          </cell>
          <cell r="U1417">
            <v>14.523255000000001</v>
          </cell>
          <cell r="V1417">
            <v>0</v>
          </cell>
          <cell r="W1417">
            <v>0</v>
          </cell>
          <cell r="X1417">
            <v>0.59105960000000002</v>
          </cell>
          <cell r="Y1417">
            <v>0</v>
          </cell>
          <cell r="Z1417">
            <v>70.816901000000001</v>
          </cell>
          <cell r="AA1417">
            <v>0</v>
          </cell>
          <cell r="AB1417">
            <v>0.85125620000000002</v>
          </cell>
        </row>
        <row r="1418">
          <cell r="A1418">
            <v>27260080</v>
          </cell>
          <cell r="B1418" t="str">
            <v>Meat loaf made with beef and pork</v>
          </cell>
          <cell r="I1418">
            <v>140</v>
          </cell>
          <cell r="J1418">
            <v>274.15935999999999</v>
          </cell>
          <cell r="K1418">
            <v>1.9582811428571427</v>
          </cell>
          <cell r="L1418">
            <v>0.24617140000000001</v>
          </cell>
          <cell r="M1418">
            <v>5.4138712</v>
          </cell>
          <cell r="N1418">
            <v>0</v>
          </cell>
          <cell r="O1418">
            <v>7.6957499999999998E-2</v>
          </cell>
          <cell r="P1418">
            <v>0.43456939999999999</v>
          </cell>
          <cell r="Q1418">
            <v>0.98688889999999996</v>
          </cell>
          <cell r="R1418">
            <v>0</v>
          </cell>
          <cell r="S1418">
            <v>0</v>
          </cell>
          <cell r="T1418">
            <v>0</v>
          </cell>
          <cell r="U1418">
            <v>14.480668</v>
          </cell>
          <cell r="V1418">
            <v>0</v>
          </cell>
          <cell r="W1418">
            <v>0</v>
          </cell>
          <cell r="X1418">
            <v>0.58641580000000004</v>
          </cell>
          <cell r="Y1418">
            <v>0</v>
          </cell>
          <cell r="Z1418">
            <v>71.855718999999993</v>
          </cell>
          <cell r="AA1418">
            <v>0</v>
          </cell>
          <cell r="AB1418">
            <v>0.62819910000000001</v>
          </cell>
        </row>
        <row r="1419">
          <cell r="A1419">
            <v>27260090</v>
          </cell>
          <cell r="B1419" t="str">
            <v>Meat loaf made with beef, veal and pork</v>
          </cell>
          <cell r="I1419">
            <v>140</v>
          </cell>
          <cell r="J1419">
            <v>229.12403</v>
          </cell>
          <cell r="K1419">
            <v>1.6366002142857143</v>
          </cell>
          <cell r="L1419">
            <v>0.18613289999999999</v>
          </cell>
          <cell r="M1419">
            <v>4.4804906999999998</v>
          </cell>
          <cell r="N1419">
            <v>0</v>
          </cell>
          <cell r="O1419">
            <v>5.8305299999999997E-2</v>
          </cell>
          <cell r="P1419">
            <v>0.32858270000000001</v>
          </cell>
          <cell r="Q1419">
            <v>0.80454340000000002</v>
          </cell>
          <cell r="R1419">
            <v>0</v>
          </cell>
          <cell r="S1419">
            <v>0</v>
          </cell>
          <cell r="T1419">
            <v>0</v>
          </cell>
          <cell r="U1419">
            <v>10.948994000000001</v>
          </cell>
          <cell r="V1419">
            <v>0</v>
          </cell>
          <cell r="W1419">
            <v>0</v>
          </cell>
          <cell r="X1419">
            <v>0.45924880000000001</v>
          </cell>
          <cell r="Y1419">
            <v>0</v>
          </cell>
          <cell r="Z1419">
            <v>64.614649999999997</v>
          </cell>
          <cell r="AA1419">
            <v>0</v>
          </cell>
          <cell r="AB1419">
            <v>0.44726700000000003</v>
          </cell>
        </row>
        <row r="1420">
          <cell r="A1420">
            <v>27260100</v>
          </cell>
          <cell r="B1420" t="str">
            <v>Meat loaf made with beef and pork, with tomato-based sauce</v>
          </cell>
          <cell r="I1420">
            <v>178</v>
          </cell>
          <cell r="J1420">
            <v>279.22334000000001</v>
          </cell>
          <cell r="K1420">
            <v>1.5686704494382022</v>
          </cell>
          <cell r="L1420">
            <v>0.84742839999999997</v>
          </cell>
          <cell r="M1420">
            <v>5.3391368000000003</v>
          </cell>
          <cell r="N1420">
            <v>0</v>
          </cell>
          <cell r="O1420">
            <v>8.1310400000000005E-2</v>
          </cell>
          <cell r="P1420">
            <v>0.42724220000000002</v>
          </cell>
          <cell r="Q1420">
            <v>1.0190854</v>
          </cell>
          <cell r="R1420">
            <v>0</v>
          </cell>
          <cell r="S1420">
            <v>0</v>
          </cell>
          <cell r="T1420">
            <v>0</v>
          </cell>
          <cell r="U1420">
            <v>54.597023999999998</v>
          </cell>
          <cell r="V1420">
            <v>0</v>
          </cell>
          <cell r="W1420">
            <v>0</v>
          </cell>
          <cell r="X1420">
            <v>0.7678372</v>
          </cell>
          <cell r="Y1420">
            <v>0</v>
          </cell>
          <cell r="Z1420">
            <v>70.644174000000007</v>
          </cell>
          <cell r="AA1420">
            <v>0</v>
          </cell>
          <cell r="AB1420">
            <v>0.65335279999999996</v>
          </cell>
        </row>
        <row r="1421">
          <cell r="A1421">
            <v>27260110</v>
          </cell>
          <cell r="B1421" t="str">
            <v>Hash, NS as to type of meat</v>
          </cell>
          <cell r="I1421">
            <v>190</v>
          </cell>
          <cell r="J1421">
            <v>311.60000000000002</v>
          </cell>
          <cell r="K1421">
            <v>1.6400000000000001</v>
          </cell>
          <cell r="L1421">
            <v>0</v>
          </cell>
          <cell r="M1421">
            <v>8.2080000000000002</v>
          </cell>
          <cell r="N1421">
            <v>0</v>
          </cell>
          <cell r="O1421">
            <v>3.61E-2</v>
          </cell>
          <cell r="P1421">
            <v>2.09</v>
          </cell>
          <cell r="Q1421">
            <v>0.56999999999999995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0.78280000000000005</v>
          </cell>
          <cell r="Y1421">
            <v>0</v>
          </cell>
          <cell r="Z1421">
            <v>0</v>
          </cell>
          <cell r="AA1421">
            <v>79.720200000000006</v>
          </cell>
          <cell r="AB1421">
            <v>0</v>
          </cell>
        </row>
        <row r="1422">
          <cell r="A1422">
            <v>27311110</v>
          </cell>
          <cell r="B1422" t="str">
            <v>Beef, potatoes, and vegetables including carrots, broccoli, and/or dark-green leafy; no sauce</v>
          </cell>
          <cell r="I1422">
            <v>162</v>
          </cell>
          <cell r="J1422">
            <v>192.84682000000001</v>
          </cell>
          <cell r="K1422">
            <v>1.1904124691358025</v>
          </cell>
          <cell r="L1422">
            <v>1.1533507000000001</v>
          </cell>
          <cell r="M1422">
            <v>1.7004264</v>
          </cell>
          <cell r="N1422">
            <v>0</v>
          </cell>
          <cell r="O1422">
            <v>2.1988199999999999E-2</v>
          </cell>
          <cell r="P1422">
            <v>1.6476438</v>
          </cell>
          <cell r="Q1422">
            <v>2.3604471999999999</v>
          </cell>
          <cell r="R1422">
            <v>0</v>
          </cell>
          <cell r="S1422">
            <v>0</v>
          </cell>
          <cell r="T1422">
            <v>0</v>
          </cell>
          <cell r="U1422">
            <v>36.614306999999997</v>
          </cell>
          <cell r="V1422">
            <v>0</v>
          </cell>
          <cell r="W1422">
            <v>0</v>
          </cell>
          <cell r="X1422">
            <v>0.48278789999999999</v>
          </cell>
          <cell r="Y1422">
            <v>0</v>
          </cell>
          <cell r="Z1422">
            <v>27.460730000000002</v>
          </cell>
          <cell r="AA1422">
            <v>0</v>
          </cell>
          <cell r="AB1422">
            <v>5.7064200000000002E-2</v>
          </cell>
        </row>
        <row r="1423">
          <cell r="A1423">
            <v>27311120</v>
          </cell>
          <cell r="B1423" t="str">
            <v>Beef, potatoes, and vegetables, excluding carrots, broccoli, and dark-green leafy; no sauce</v>
          </cell>
          <cell r="I1423">
            <v>162</v>
          </cell>
          <cell r="J1423">
            <v>200.20445000000001</v>
          </cell>
          <cell r="K1423">
            <v>1.2358299382716049</v>
          </cell>
          <cell r="L1423">
            <v>0.54952509999999999</v>
          </cell>
          <cell r="M1423">
            <v>1.6905102999999999</v>
          </cell>
          <cell r="N1423">
            <v>0</v>
          </cell>
          <cell r="O1423">
            <v>1.7787399999999998E-2</v>
          </cell>
          <cell r="P1423">
            <v>2.0881954</v>
          </cell>
          <cell r="Q1423">
            <v>2.3262551999999999</v>
          </cell>
          <cell r="R1423">
            <v>0</v>
          </cell>
          <cell r="S1423">
            <v>0</v>
          </cell>
          <cell r="T1423">
            <v>0</v>
          </cell>
          <cell r="U1423">
            <v>18.317502999999999</v>
          </cell>
          <cell r="V1423">
            <v>0</v>
          </cell>
          <cell r="W1423">
            <v>0</v>
          </cell>
          <cell r="X1423">
            <v>0.47060449999999998</v>
          </cell>
          <cell r="Y1423">
            <v>0</v>
          </cell>
          <cell r="Z1423">
            <v>27.476254999999998</v>
          </cell>
          <cell r="AA1423">
            <v>0</v>
          </cell>
          <cell r="AB1423">
            <v>5.9243999999999998E-2</v>
          </cell>
        </row>
        <row r="1424">
          <cell r="A1424">
            <v>27311210</v>
          </cell>
          <cell r="B1424" t="str">
            <v>Corned beef, potatoes, and vegetables including carrots, broccoli, and/or dark-green leafy; no sauce</v>
          </cell>
          <cell r="I1424">
            <v>162</v>
          </cell>
          <cell r="J1424">
            <v>194.63387</v>
          </cell>
          <cell r="K1424">
            <v>1.2014436419753087</v>
          </cell>
          <cell r="L1424">
            <v>1.1693401000000001</v>
          </cell>
          <cell r="M1424">
            <v>2.3225896000000001</v>
          </cell>
          <cell r="N1424">
            <v>0</v>
          </cell>
          <cell r="O1424">
            <v>2.2407199999999999E-2</v>
          </cell>
          <cell r="P1424">
            <v>1.6704858</v>
          </cell>
          <cell r="Q1424">
            <v>1.8276878000000001</v>
          </cell>
          <cell r="R1424">
            <v>0</v>
          </cell>
          <cell r="S1424">
            <v>0</v>
          </cell>
          <cell r="T1424">
            <v>0</v>
          </cell>
          <cell r="U1424">
            <v>37.121907</v>
          </cell>
          <cell r="V1424">
            <v>0</v>
          </cell>
          <cell r="W1424">
            <v>0</v>
          </cell>
          <cell r="X1424">
            <v>0.48997649999999998</v>
          </cell>
          <cell r="Y1424">
            <v>0</v>
          </cell>
          <cell r="Z1424">
            <v>0</v>
          </cell>
          <cell r="AA1424">
            <v>24.863092999999999</v>
          </cell>
          <cell r="AB1424">
            <v>3.53131E-2</v>
          </cell>
        </row>
        <row r="1425">
          <cell r="A1425">
            <v>27311310</v>
          </cell>
          <cell r="B1425" t="str">
            <v>Beef stew with potatoes and vegetables including carrots, broccoli, and/or dark-green leafy; tomato-based sauce</v>
          </cell>
          <cell r="I1425">
            <v>252</v>
          </cell>
          <cell r="J1425">
            <v>211.13464999999999</v>
          </cell>
          <cell r="K1425">
            <v>0.83783591269841262</v>
          </cell>
          <cell r="L1425">
            <v>0.92159619999999998</v>
          </cell>
          <cell r="M1425">
            <v>3.3760788000000002</v>
          </cell>
          <cell r="N1425">
            <v>0</v>
          </cell>
          <cell r="O1425">
            <v>3.3415599999999997E-2</v>
          </cell>
          <cell r="P1425">
            <v>1.8658256</v>
          </cell>
          <cell r="Q1425">
            <v>0.84705759999999997</v>
          </cell>
          <cell r="R1425">
            <v>0</v>
          </cell>
          <cell r="S1425">
            <v>0</v>
          </cell>
          <cell r="T1425">
            <v>0</v>
          </cell>
          <cell r="U1425">
            <v>53.994664999999998</v>
          </cell>
          <cell r="V1425">
            <v>0</v>
          </cell>
          <cell r="W1425">
            <v>0</v>
          </cell>
          <cell r="X1425">
            <v>0.71540400000000004</v>
          </cell>
          <cell r="Y1425">
            <v>0</v>
          </cell>
          <cell r="Z1425">
            <v>34.415551000000001</v>
          </cell>
          <cell r="AA1425">
            <v>0</v>
          </cell>
          <cell r="AB1425">
            <v>0.20743110000000001</v>
          </cell>
        </row>
        <row r="1426">
          <cell r="A1426">
            <v>27311320</v>
          </cell>
          <cell r="B1426" t="str">
            <v>Beef stew with potatoes and vegetables excluding carrots, broccoli, and dark-green leafy; tomato-based sauce</v>
          </cell>
          <cell r="I1426">
            <v>252</v>
          </cell>
          <cell r="J1426">
            <v>178.99925999999999</v>
          </cell>
          <cell r="K1426">
            <v>0.71031452380952376</v>
          </cell>
          <cell r="L1426">
            <v>0.49515680000000001</v>
          </cell>
          <cell r="M1426">
            <v>1.3492497000000001</v>
          </cell>
          <cell r="N1426">
            <v>0</v>
          </cell>
          <cell r="O1426">
            <v>3.2427699999999997E-2</v>
          </cell>
          <cell r="P1426">
            <v>2.4756960000000001</v>
          </cell>
          <cell r="Q1426">
            <v>1.1300300000000001</v>
          </cell>
          <cell r="R1426">
            <v>0</v>
          </cell>
          <cell r="S1426">
            <v>0</v>
          </cell>
          <cell r="T1426">
            <v>0</v>
          </cell>
          <cell r="U1426">
            <v>27.871383999999999</v>
          </cell>
          <cell r="V1426">
            <v>0</v>
          </cell>
          <cell r="W1426">
            <v>0</v>
          </cell>
          <cell r="X1426">
            <v>0.47799459999999999</v>
          </cell>
          <cell r="Y1426">
            <v>0</v>
          </cell>
          <cell r="Z1426">
            <v>39.963383</v>
          </cell>
          <cell r="AA1426">
            <v>0</v>
          </cell>
          <cell r="AB1426">
            <v>3.81137E-2</v>
          </cell>
        </row>
        <row r="1427">
          <cell r="A1427">
            <v>27311410</v>
          </cell>
          <cell r="B1427" t="str">
            <v>Beef stew with potatoes and vegetables including carrots, broccoli, and/or dark-green leafy; gravy</v>
          </cell>
          <cell r="I1427">
            <v>252</v>
          </cell>
          <cell r="J1427">
            <v>173.02074999999999</v>
          </cell>
          <cell r="K1427">
            <v>0.6865902777777777</v>
          </cell>
          <cell r="L1427">
            <v>0.86027869999999995</v>
          </cell>
          <cell r="M1427">
            <v>1.2603384</v>
          </cell>
          <cell r="N1427">
            <v>0</v>
          </cell>
          <cell r="O1427">
            <v>3.24471E-2</v>
          </cell>
          <cell r="P1427">
            <v>2.2060764000000002</v>
          </cell>
          <cell r="Q1427">
            <v>1.0625184000000001</v>
          </cell>
          <cell r="R1427">
            <v>0</v>
          </cell>
          <cell r="S1427">
            <v>0</v>
          </cell>
          <cell r="T1427">
            <v>0</v>
          </cell>
          <cell r="U1427">
            <v>37.023176999999997</v>
          </cell>
          <cell r="V1427">
            <v>0</v>
          </cell>
          <cell r="W1427">
            <v>0</v>
          </cell>
          <cell r="X1427">
            <v>0.4429266</v>
          </cell>
          <cell r="Y1427">
            <v>0</v>
          </cell>
          <cell r="Z1427">
            <v>37.254024999999999</v>
          </cell>
          <cell r="AA1427">
            <v>0</v>
          </cell>
          <cell r="AB1427">
            <v>3.5333299999999998E-2</v>
          </cell>
        </row>
        <row r="1428">
          <cell r="A1428">
            <v>27311420</v>
          </cell>
          <cell r="B1428" t="str">
            <v>Beef stew with potatoes and vegetables excluding carrots, broccoli, and dark-green leafy; gravy</v>
          </cell>
          <cell r="I1428">
            <v>252</v>
          </cell>
          <cell r="J1428">
            <v>181.52535</v>
          </cell>
          <cell r="K1428">
            <v>0.72033869047619048</v>
          </cell>
          <cell r="L1428">
            <v>0.30093819999999999</v>
          </cell>
          <cell r="M1428">
            <v>1.3829245999999999</v>
          </cell>
          <cell r="N1428">
            <v>0</v>
          </cell>
          <cell r="O1428">
            <v>2.8084899999999999E-2</v>
          </cell>
          <cell r="P1428">
            <v>2.4356578</v>
          </cell>
          <cell r="Q1428">
            <v>1.1459788</v>
          </cell>
          <cell r="R1428">
            <v>0</v>
          </cell>
          <cell r="S1428">
            <v>0</v>
          </cell>
          <cell r="T1428">
            <v>0</v>
          </cell>
          <cell r="U1428">
            <v>17.702245999999999</v>
          </cell>
          <cell r="V1428">
            <v>0</v>
          </cell>
          <cell r="W1428">
            <v>0</v>
          </cell>
          <cell r="X1428">
            <v>0.47290900000000002</v>
          </cell>
          <cell r="Y1428">
            <v>0</v>
          </cell>
          <cell r="Z1428">
            <v>41.130968000000003</v>
          </cell>
          <cell r="AA1428">
            <v>0</v>
          </cell>
          <cell r="AB1428">
            <v>4.2221500000000002E-2</v>
          </cell>
        </row>
        <row r="1429">
          <cell r="A1429">
            <v>27311510</v>
          </cell>
          <cell r="B1429" t="str">
            <v>Shepherd's pie with beef</v>
          </cell>
          <cell r="I1429">
            <v>243</v>
          </cell>
          <cell r="J1429">
            <v>239.27804</v>
          </cell>
          <cell r="K1429">
            <v>0.98468329218106998</v>
          </cell>
          <cell r="L1429">
            <v>0.4795393</v>
          </cell>
          <cell r="M1429">
            <v>1.8471379999999999</v>
          </cell>
          <cell r="N1429">
            <v>0</v>
          </cell>
          <cell r="O1429">
            <v>3.3475100000000001E-2</v>
          </cell>
          <cell r="P1429">
            <v>2.5130317</v>
          </cell>
          <cell r="Q1429">
            <v>1.4556098</v>
          </cell>
          <cell r="R1429">
            <v>0</v>
          </cell>
          <cell r="S1429">
            <v>0</v>
          </cell>
          <cell r="T1429">
            <v>0</v>
          </cell>
          <cell r="U1429">
            <v>30.510909000000002</v>
          </cell>
          <cell r="V1429">
            <v>0</v>
          </cell>
          <cell r="W1429">
            <v>0</v>
          </cell>
          <cell r="X1429">
            <v>0.52005920000000005</v>
          </cell>
          <cell r="Y1429">
            <v>0</v>
          </cell>
          <cell r="Z1429">
            <v>34.54</v>
          </cell>
          <cell r="AA1429">
            <v>0</v>
          </cell>
          <cell r="AB1429">
            <v>0.78011350000000002</v>
          </cell>
        </row>
        <row r="1430">
          <cell r="A1430">
            <v>27311600</v>
          </cell>
          <cell r="B1430" t="str">
            <v>Beef, potatoes, and vegetables including carrots, broccoli, and/or dark-green leafy; gravy</v>
          </cell>
          <cell r="I1430">
            <v>252</v>
          </cell>
          <cell r="J1430">
            <v>306.05685999999997</v>
          </cell>
          <cell r="K1430">
            <v>1.2145113492063491</v>
          </cell>
          <cell r="L1430">
            <v>1.3060217000000001</v>
          </cell>
          <cell r="M1430">
            <v>3.2160120999999999</v>
          </cell>
          <cell r="N1430">
            <v>0</v>
          </cell>
          <cell r="O1430">
            <v>3.1094500000000001E-2</v>
          </cell>
          <cell r="P1430">
            <v>1.9279367999999999</v>
          </cell>
          <cell r="Q1430">
            <v>5.6157586000000004</v>
          </cell>
          <cell r="R1430">
            <v>0</v>
          </cell>
          <cell r="S1430">
            <v>0</v>
          </cell>
          <cell r="T1430">
            <v>0</v>
          </cell>
          <cell r="U1430">
            <v>41.461007000000002</v>
          </cell>
          <cell r="V1430">
            <v>0</v>
          </cell>
          <cell r="W1430">
            <v>0</v>
          </cell>
          <cell r="X1430">
            <v>0.7243752</v>
          </cell>
          <cell r="Y1430">
            <v>0</v>
          </cell>
          <cell r="Z1430">
            <v>31.095755</v>
          </cell>
          <cell r="AA1430">
            <v>0</v>
          </cell>
          <cell r="AB1430">
            <v>0.17128370000000001</v>
          </cell>
        </row>
        <row r="1431">
          <cell r="A1431">
            <v>27311610</v>
          </cell>
          <cell r="B1431" t="str">
            <v>Beef, potatoes, and vegetables including carrots, broccoli, and/or dark-green leafy; cream sauce, white sauce, or mushroom sauce</v>
          </cell>
          <cell r="I1431">
            <v>252</v>
          </cell>
          <cell r="J1431">
            <v>303.36448999999999</v>
          </cell>
          <cell r="K1431">
            <v>1.2038273412698413</v>
          </cell>
          <cell r="L1431">
            <v>1.3554406999999999</v>
          </cell>
          <cell r="M1431">
            <v>3.2796987</v>
          </cell>
          <cell r="N1431">
            <v>0</v>
          </cell>
          <cell r="O1431">
            <v>5.2790499999999997E-2</v>
          </cell>
          <cell r="P1431">
            <v>1.9942918999999999</v>
          </cell>
          <cell r="Q1431">
            <v>6.2785159999999998</v>
          </cell>
          <cell r="R1431">
            <v>0</v>
          </cell>
          <cell r="S1431">
            <v>0</v>
          </cell>
          <cell r="T1431">
            <v>0</v>
          </cell>
          <cell r="U1431">
            <v>49.82246</v>
          </cell>
          <cell r="V1431">
            <v>0</v>
          </cell>
          <cell r="W1431">
            <v>0</v>
          </cell>
          <cell r="X1431">
            <v>0.73629339999999999</v>
          </cell>
          <cell r="Y1431">
            <v>0</v>
          </cell>
          <cell r="Z1431">
            <v>28.877005</v>
          </cell>
          <cell r="AA1431">
            <v>0</v>
          </cell>
          <cell r="AB1431">
            <v>0.52088009999999996</v>
          </cell>
        </row>
        <row r="1432">
          <cell r="A1432">
            <v>27311625</v>
          </cell>
          <cell r="B1432" t="str">
            <v>Beef, potatoes, and vegetables (including carrots, broccoli, and/or dark-green leafy), tomato-based sauce (mixture)</v>
          </cell>
          <cell r="I1432">
            <v>252</v>
          </cell>
          <cell r="J1432">
            <v>299.17822999999999</v>
          </cell>
          <cell r="K1432">
            <v>1.1872151984126984</v>
          </cell>
          <cell r="L1432">
            <v>2.2304539999999999</v>
          </cell>
          <cell r="M1432">
            <v>2.9746114000000001</v>
          </cell>
          <cell r="N1432">
            <v>0</v>
          </cell>
          <cell r="O1432">
            <v>3.3438299999999997E-2</v>
          </cell>
          <cell r="P1432">
            <v>1.8587117</v>
          </cell>
          <cell r="Q1432">
            <v>5.8427233999999997</v>
          </cell>
          <cell r="R1432">
            <v>0</v>
          </cell>
          <cell r="S1432">
            <v>0</v>
          </cell>
          <cell r="T1432">
            <v>0</v>
          </cell>
          <cell r="U1432">
            <v>103.26176</v>
          </cell>
          <cell r="V1432">
            <v>0</v>
          </cell>
          <cell r="W1432">
            <v>0</v>
          </cell>
          <cell r="X1432">
            <v>0.74229529999999999</v>
          </cell>
          <cell r="Y1432">
            <v>0</v>
          </cell>
          <cell r="Z1432">
            <v>30.978528000000001</v>
          </cell>
          <cell r="AA1432">
            <v>0</v>
          </cell>
          <cell r="AB1432">
            <v>0.1706425</v>
          </cell>
        </row>
        <row r="1433">
          <cell r="A1433">
            <v>27311630</v>
          </cell>
          <cell r="B1433" t="str">
            <v>Beef, potatoes, and vegetables excluding carrots, broccoli, and dark-green leafy; tomato-based sauce</v>
          </cell>
          <cell r="I1433">
            <v>252</v>
          </cell>
          <cell r="J1433">
            <v>300.35115000000002</v>
          </cell>
          <cell r="K1433">
            <v>1.1918696428571429</v>
          </cell>
          <cell r="L1433">
            <v>1.5552995000000001</v>
          </cell>
          <cell r="M1433">
            <v>2.8469093999999999</v>
          </cell>
          <cell r="N1433">
            <v>0</v>
          </cell>
          <cell r="O1433">
            <v>2.8803700000000002E-2</v>
          </cell>
          <cell r="P1433">
            <v>2.3640553</v>
          </cell>
          <cell r="Q1433">
            <v>5.4421694</v>
          </cell>
          <cell r="R1433">
            <v>0</v>
          </cell>
          <cell r="S1433">
            <v>0</v>
          </cell>
          <cell r="T1433">
            <v>0</v>
          </cell>
          <cell r="U1433">
            <v>82.949309</v>
          </cell>
          <cell r="V1433">
            <v>0</v>
          </cell>
          <cell r="W1433">
            <v>0</v>
          </cell>
          <cell r="X1433">
            <v>0.73124290000000003</v>
          </cell>
          <cell r="Y1433">
            <v>0</v>
          </cell>
          <cell r="Z1433">
            <v>31.105991</v>
          </cell>
          <cell r="AA1433">
            <v>0</v>
          </cell>
          <cell r="AB1433">
            <v>0.1024415</v>
          </cell>
        </row>
        <row r="1434">
          <cell r="A1434">
            <v>27311635</v>
          </cell>
          <cell r="B1434" t="str">
            <v>Beef, potatoes, and vegetables including carrots, broccoli, and/or dark-green leafy; cheese sauce</v>
          </cell>
          <cell r="I1434">
            <v>252</v>
          </cell>
          <cell r="J1434">
            <v>303.86694</v>
          </cell>
          <cell r="K1434">
            <v>1.2058211904761904</v>
          </cell>
          <cell r="L1434">
            <v>1.3752599000000001</v>
          </cell>
          <cell r="M1434">
            <v>6.4380717000000001</v>
          </cell>
          <cell r="N1434">
            <v>0</v>
          </cell>
          <cell r="O1434">
            <v>0.2297679</v>
          </cell>
          <cell r="P1434">
            <v>2.0301455000000002</v>
          </cell>
          <cell r="Q1434">
            <v>1.1668970999999999</v>
          </cell>
          <cell r="R1434">
            <v>0</v>
          </cell>
          <cell r="S1434">
            <v>0</v>
          </cell>
          <cell r="T1434">
            <v>0</v>
          </cell>
          <cell r="U1434">
            <v>43.659044000000002</v>
          </cell>
          <cell r="V1434">
            <v>0</v>
          </cell>
          <cell r="W1434">
            <v>0</v>
          </cell>
          <cell r="X1434">
            <v>0.72929200000000005</v>
          </cell>
          <cell r="Y1434">
            <v>0</v>
          </cell>
          <cell r="Z1434">
            <v>32.744283000000003</v>
          </cell>
          <cell r="AA1434">
            <v>0</v>
          </cell>
          <cell r="AB1434">
            <v>0.3532711</v>
          </cell>
        </row>
        <row r="1435">
          <cell r="A1435">
            <v>27311640</v>
          </cell>
          <cell r="B1435" t="str">
            <v>Beef, potatoes, and vegetables excluding carrots, broccoli, and dark-green leafy; cheese sauce</v>
          </cell>
          <cell r="I1435">
            <v>252</v>
          </cell>
          <cell r="J1435">
            <v>313.41762999999997</v>
          </cell>
          <cell r="K1435">
            <v>1.2437207539682538</v>
          </cell>
          <cell r="L1435">
            <v>0.65477220000000003</v>
          </cell>
          <cell r="M1435">
            <v>6.4389208</v>
          </cell>
          <cell r="N1435">
            <v>0</v>
          </cell>
          <cell r="O1435">
            <v>0.22471869999999999</v>
          </cell>
          <cell r="P1435">
            <v>2.5536116</v>
          </cell>
          <cell r="Q1435">
            <v>1.169314</v>
          </cell>
          <cell r="R1435">
            <v>0</v>
          </cell>
          <cell r="S1435">
            <v>0</v>
          </cell>
          <cell r="T1435">
            <v>0</v>
          </cell>
          <cell r="U1435">
            <v>21.825741000000001</v>
          </cell>
          <cell r="V1435">
            <v>0</v>
          </cell>
          <cell r="W1435">
            <v>0</v>
          </cell>
          <cell r="X1435">
            <v>0.73124259999999996</v>
          </cell>
          <cell r="Y1435">
            <v>0</v>
          </cell>
          <cell r="Z1435">
            <v>32.738610999999999</v>
          </cell>
          <cell r="AA1435">
            <v>0</v>
          </cell>
          <cell r="AB1435">
            <v>0.43822179999999999</v>
          </cell>
        </row>
        <row r="1436">
          <cell r="A1436">
            <v>27313010</v>
          </cell>
          <cell r="B1436" t="str">
            <v>Beef, noodles, and vegetables including carrots, broccoli, and/or dark-green leafy; no sauce</v>
          </cell>
          <cell r="I1436">
            <v>162</v>
          </cell>
          <cell r="J1436">
            <v>226.79555999999999</v>
          </cell>
          <cell r="K1436">
            <v>1.3999725925925925</v>
          </cell>
          <cell r="L1436">
            <v>1.1665333</v>
          </cell>
          <cell r="M1436">
            <v>1.8304689000000001</v>
          </cell>
          <cell r="N1436">
            <v>0</v>
          </cell>
          <cell r="O1436">
            <v>2.5938200000000002E-2</v>
          </cell>
          <cell r="P1436">
            <v>1.1109841</v>
          </cell>
          <cell r="Q1436">
            <v>2.0959832999999999</v>
          </cell>
          <cell r="R1436">
            <v>0</v>
          </cell>
          <cell r="S1436">
            <v>0</v>
          </cell>
          <cell r="T1436">
            <v>0</v>
          </cell>
          <cell r="U1436">
            <v>37.032803999999999</v>
          </cell>
          <cell r="V1436">
            <v>0</v>
          </cell>
          <cell r="W1436">
            <v>0</v>
          </cell>
          <cell r="X1436">
            <v>0.48829689999999998</v>
          </cell>
          <cell r="Y1436">
            <v>0</v>
          </cell>
          <cell r="Z1436">
            <v>27.774602999999999</v>
          </cell>
          <cell r="AA1436">
            <v>0</v>
          </cell>
          <cell r="AB1436">
            <v>0.10905040000000001</v>
          </cell>
        </row>
        <row r="1437">
          <cell r="A1437">
            <v>27313020</v>
          </cell>
          <cell r="B1437" t="str">
            <v>Beef, noodles, and vegetables excluding carrots, broccoli, and dark-green leafy; no sauce</v>
          </cell>
          <cell r="I1437">
            <v>162</v>
          </cell>
          <cell r="J1437">
            <v>231.55784</v>
          </cell>
          <cell r="K1437">
            <v>1.4293693827160494</v>
          </cell>
          <cell r="L1437">
            <v>0.55721160000000003</v>
          </cell>
          <cell r="M1437">
            <v>1.7743008</v>
          </cell>
          <cell r="N1437">
            <v>0</v>
          </cell>
          <cell r="O1437">
            <v>2.1736499999999999E-2</v>
          </cell>
          <cell r="P1437">
            <v>1.5601925999999999</v>
          </cell>
          <cell r="Q1437">
            <v>1.9134388</v>
          </cell>
          <cell r="R1437">
            <v>0</v>
          </cell>
          <cell r="S1437">
            <v>0</v>
          </cell>
          <cell r="T1437">
            <v>0</v>
          </cell>
          <cell r="U1437">
            <v>18.573722</v>
          </cell>
          <cell r="V1437">
            <v>0</v>
          </cell>
          <cell r="W1437">
            <v>0</v>
          </cell>
          <cell r="X1437">
            <v>0.46277839999999998</v>
          </cell>
          <cell r="Y1437">
            <v>0</v>
          </cell>
          <cell r="Z1437">
            <v>27.860582000000001</v>
          </cell>
          <cell r="AA1437">
            <v>0</v>
          </cell>
          <cell r="AB1437">
            <v>0.1045367</v>
          </cell>
        </row>
        <row r="1438">
          <cell r="A1438">
            <v>27313110</v>
          </cell>
          <cell r="B1438" t="str">
            <v>Beef chow mein or chop suey with noodles</v>
          </cell>
          <cell r="I1438">
            <v>220</v>
          </cell>
          <cell r="J1438">
            <v>285.54171000000002</v>
          </cell>
          <cell r="K1438">
            <v>1.2979168636363638</v>
          </cell>
          <cell r="L1438">
            <v>1.3839876</v>
          </cell>
          <cell r="M1438">
            <v>2.0440103000000001</v>
          </cell>
          <cell r="N1438">
            <v>0</v>
          </cell>
          <cell r="O1438">
            <v>4.7920299999999999E-2</v>
          </cell>
          <cell r="P1438">
            <v>1.1654667000000001</v>
          </cell>
          <cell r="Q1438">
            <v>2.3454866000000001</v>
          </cell>
          <cell r="R1438">
            <v>0</v>
          </cell>
          <cell r="S1438">
            <v>0</v>
          </cell>
          <cell r="T1438">
            <v>0</v>
          </cell>
          <cell r="U1438">
            <v>115.3323</v>
          </cell>
          <cell r="V1438">
            <v>0</v>
          </cell>
          <cell r="W1438">
            <v>0</v>
          </cell>
          <cell r="X1438">
            <v>0.80405959999999999</v>
          </cell>
          <cell r="Y1438">
            <v>0</v>
          </cell>
          <cell r="Z1438">
            <v>63.690964999999998</v>
          </cell>
          <cell r="AA1438">
            <v>0</v>
          </cell>
          <cell r="AB1438">
            <v>0.3583653</v>
          </cell>
        </row>
        <row r="1439">
          <cell r="A1439">
            <v>27313150</v>
          </cell>
          <cell r="B1439" t="str">
            <v>Beef, noodles, and vegetables including carrots, broccoli, and/or dark-green leafy; soy-based sauce</v>
          </cell>
          <cell r="I1439">
            <v>217</v>
          </cell>
          <cell r="J1439">
            <v>282.16953000000001</v>
          </cell>
          <cell r="K1439">
            <v>1.3003204147465439</v>
          </cell>
          <cell r="L1439">
            <v>2.2755266000000001</v>
          </cell>
          <cell r="M1439">
            <v>3.4490001000000001</v>
          </cell>
          <cell r="N1439">
            <v>0</v>
          </cell>
          <cell r="O1439">
            <v>4.2675499999999998E-2</v>
          </cell>
          <cell r="P1439">
            <v>0.35547269999999997</v>
          </cell>
          <cell r="Q1439">
            <v>4.3075178999999997</v>
          </cell>
          <cell r="R1439">
            <v>0</v>
          </cell>
          <cell r="S1439">
            <v>0</v>
          </cell>
          <cell r="T1439">
            <v>0</v>
          </cell>
          <cell r="U1439">
            <v>89.503456</v>
          </cell>
          <cell r="V1439">
            <v>0</v>
          </cell>
          <cell r="W1439">
            <v>0</v>
          </cell>
          <cell r="X1439">
            <v>0.44733460000000003</v>
          </cell>
          <cell r="Y1439">
            <v>0</v>
          </cell>
          <cell r="Z1439">
            <v>60.033667000000001</v>
          </cell>
          <cell r="AA1439">
            <v>0</v>
          </cell>
          <cell r="AB1439">
            <v>5.0445999999999998E-2</v>
          </cell>
        </row>
        <row r="1440">
          <cell r="A1440">
            <v>27313160</v>
          </cell>
          <cell r="B1440" t="str">
            <v>Beef, noodles, and vegetables excluding carrots, broccoli, and dark-green leafy; soy-based sauce</v>
          </cell>
          <cell r="I1440">
            <v>217</v>
          </cell>
          <cell r="J1440">
            <v>286.67916000000002</v>
          </cell>
          <cell r="K1440">
            <v>1.3211021198156683</v>
          </cell>
          <cell r="L1440">
            <v>1.5563648000000001</v>
          </cell>
          <cell r="M1440">
            <v>3.5563007</v>
          </cell>
          <cell r="N1440">
            <v>0</v>
          </cell>
          <cell r="O1440">
            <v>3.3722299999999997E-2</v>
          </cell>
          <cell r="P1440">
            <v>0.36738330000000002</v>
          </cell>
          <cell r="Q1440">
            <v>4.4439726999999998</v>
          </cell>
          <cell r="R1440">
            <v>0</v>
          </cell>
          <cell r="S1440">
            <v>0</v>
          </cell>
          <cell r="T1440">
            <v>0</v>
          </cell>
          <cell r="U1440">
            <v>85.231508000000005</v>
          </cell>
          <cell r="V1440">
            <v>0</v>
          </cell>
          <cell r="W1440">
            <v>0</v>
          </cell>
          <cell r="X1440">
            <v>0.43507889999999999</v>
          </cell>
          <cell r="Y1440">
            <v>0</v>
          </cell>
          <cell r="Z1440">
            <v>62.045178</v>
          </cell>
          <cell r="AA1440">
            <v>0</v>
          </cell>
          <cell r="AB1440">
            <v>5.6644199999999999E-2</v>
          </cell>
        </row>
        <row r="1441">
          <cell r="A1441">
            <v>27313210</v>
          </cell>
          <cell r="B1441" t="str">
            <v>Beef, noodles, and vegetables including carrots, broccoli, and/or dark-green leafy; tomato-based sauce</v>
          </cell>
          <cell r="I1441">
            <v>249</v>
          </cell>
          <cell r="J1441">
            <v>296.32607999999999</v>
          </cell>
          <cell r="K1441">
            <v>1.1900645783132531</v>
          </cell>
          <cell r="L1441">
            <v>2.2665744999999999</v>
          </cell>
          <cell r="M1441">
            <v>2.4736330999999998</v>
          </cell>
          <cell r="N1441">
            <v>0</v>
          </cell>
          <cell r="O1441">
            <v>3.8147500000000001E-2</v>
          </cell>
          <cell r="P1441">
            <v>1.2592080999999999</v>
          </cell>
          <cell r="Q1441">
            <v>3.5755781999999998</v>
          </cell>
          <cell r="R1441">
            <v>0</v>
          </cell>
          <cell r="S1441">
            <v>0</v>
          </cell>
          <cell r="T1441">
            <v>0</v>
          </cell>
          <cell r="U1441">
            <v>104.93401</v>
          </cell>
          <cell r="V1441">
            <v>0</v>
          </cell>
          <cell r="W1441">
            <v>0</v>
          </cell>
          <cell r="X1441">
            <v>0.7347593</v>
          </cell>
          <cell r="Y1441">
            <v>0</v>
          </cell>
          <cell r="Z1441">
            <v>31.480201999999998</v>
          </cell>
          <cell r="AA1441">
            <v>0</v>
          </cell>
          <cell r="AB1441">
            <v>8.9306200000000002E-2</v>
          </cell>
        </row>
        <row r="1442">
          <cell r="A1442">
            <v>27313220</v>
          </cell>
          <cell r="B1442" t="str">
            <v>Beef, noodles, and vegetables excluding carrots, broccoli, and dark-green leafy; tomato-based sauce</v>
          </cell>
          <cell r="I1442">
            <v>249</v>
          </cell>
          <cell r="J1442">
            <v>305.54996999999997</v>
          </cell>
          <cell r="K1442">
            <v>1.2271083132530118</v>
          </cell>
          <cell r="L1442">
            <v>1.5739570000000001</v>
          </cell>
          <cell r="M1442">
            <v>2.4754383999999998</v>
          </cell>
          <cell r="N1442">
            <v>0</v>
          </cell>
          <cell r="O1442">
            <v>3.3321499999999997E-2</v>
          </cell>
          <cell r="P1442">
            <v>1.7628318999999999</v>
          </cell>
          <cell r="Q1442">
            <v>3.577976</v>
          </cell>
          <cell r="R1442">
            <v>0</v>
          </cell>
          <cell r="S1442">
            <v>0</v>
          </cell>
          <cell r="T1442">
            <v>0</v>
          </cell>
          <cell r="U1442">
            <v>83.944373999999996</v>
          </cell>
          <cell r="V1442">
            <v>0</v>
          </cell>
          <cell r="W1442">
            <v>0</v>
          </cell>
          <cell r="X1442">
            <v>0.72371750000000001</v>
          </cell>
          <cell r="Y1442">
            <v>0</v>
          </cell>
          <cell r="Z1442">
            <v>31.479140000000001</v>
          </cell>
          <cell r="AA1442">
            <v>0</v>
          </cell>
          <cell r="AB1442">
            <v>0.1178434</v>
          </cell>
        </row>
        <row r="1443">
          <cell r="A1443">
            <v>27313410</v>
          </cell>
          <cell r="B1443" t="str">
            <v>Beef, noodles, and vegetables including carrots, broccoli, and/or dark-green leafy; gravy</v>
          </cell>
          <cell r="I1443">
            <v>249</v>
          </cell>
          <cell r="J1443">
            <v>299.27798999999999</v>
          </cell>
          <cell r="K1443">
            <v>1.2019196385542168</v>
          </cell>
          <cell r="L1443">
            <v>1.3300831</v>
          </cell>
          <cell r="M1443">
            <v>2.6506386000000002</v>
          </cell>
          <cell r="N1443">
            <v>0</v>
          </cell>
          <cell r="O1443">
            <v>3.5860700000000002E-2</v>
          </cell>
          <cell r="P1443">
            <v>1.3300831</v>
          </cell>
          <cell r="Q1443">
            <v>3.1259147999999999</v>
          </cell>
          <cell r="R1443">
            <v>0</v>
          </cell>
          <cell r="S1443">
            <v>0</v>
          </cell>
          <cell r="T1443">
            <v>0</v>
          </cell>
          <cell r="U1443">
            <v>42.22486</v>
          </cell>
          <cell r="V1443">
            <v>0</v>
          </cell>
          <cell r="W1443">
            <v>0</v>
          </cell>
          <cell r="X1443">
            <v>0.72131719999999999</v>
          </cell>
          <cell r="Y1443">
            <v>0</v>
          </cell>
          <cell r="Z1443">
            <v>31.668645000000001</v>
          </cell>
          <cell r="AA1443">
            <v>0</v>
          </cell>
          <cell r="AB1443">
            <v>0.28547679999999998</v>
          </cell>
        </row>
        <row r="1444">
          <cell r="A1444">
            <v>27313420</v>
          </cell>
          <cell r="B1444" t="str">
            <v>Beef, noodles, and vegetables (excluding carrots, broccoli, and dark-green leafy), gravy (mixture)</v>
          </cell>
          <cell r="I1444">
            <v>249</v>
          </cell>
          <cell r="J1444">
            <v>251.46995000000001</v>
          </cell>
          <cell r="K1444">
            <v>1.0099194779116467</v>
          </cell>
          <cell r="L1444">
            <v>0.53016180000000002</v>
          </cell>
          <cell r="M1444">
            <v>3.9567909000000001</v>
          </cell>
          <cell r="N1444">
            <v>0</v>
          </cell>
          <cell r="O1444">
            <v>3.2140200000000001E-2</v>
          </cell>
          <cell r="P1444">
            <v>1.9253096000000001</v>
          </cell>
          <cell r="Q1444">
            <v>0.88129239999999998</v>
          </cell>
          <cell r="R1444">
            <v>0</v>
          </cell>
          <cell r="S1444">
            <v>0</v>
          </cell>
          <cell r="T1444">
            <v>0</v>
          </cell>
          <cell r="U1444">
            <v>31.18599</v>
          </cell>
          <cell r="V1444">
            <v>0</v>
          </cell>
          <cell r="W1444">
            <v>0</v>
          </cell>
          <cell r="X1444">
            <v>0.90970629999999997</v>
          </cell>
          <cell r="Y1444">
            <v>0</v>
          </cell>
          <cell r="Z1444">
            <v>31.797401000000001</v>
          </cell>
          <cell r="AA1444">
            <v>0</v>
          </cell>
          <cell r="AB1444">
            <v>0.28632590000000002</v>
          </cell>
        </row>
        <row r="1445">
          <cell r="A1445">
            <v>27315010</v>
          </cell>
          <cell r="B1445" t="str">
            <v>Beef, rice, and vegetables including carrots, broccoli, and/or dark-green leafy; no sauce</v>
          </cell>
          <cell r="I1445">
            <v>162</v>
          </cell>
          <cell r="J1445">
            <v>228.35126</v>
          </cell>
          <cell r="K1445">
            <v>1.4095756790123457</v>
          </cell>
          <cell r="L1445">
            <v>1.1579306</v>
          </cell>
          <cell r="M1445">
            <v>1.6660668000000001</v>
          </cell>
          <cell r="N1445">
            <v>0</v>
          </cell>
          <cell r="O1445">
            <v>2.39119E-2</v>
          </cell>
          <cell r="P1445">
            <v>0.36759700000000001</v>
          </cell>
          <cell r="Q1445">
            <v>2.1351757</v>
          </cell>
          <cell r="R1445">
            <v>0</v>
          </cell>
          <cell r="S1445">
            <v>0</v>
          </cell>
          <cell r="T1445">
            <v>0</v>
          </cell>
          <cell r="U1445">
            <v>36.759700000000002</v>
          </cell>
          <cell r="V1445">
            <v>0</v>
          </cell>
          <cell r="W1445">
            <v>0</v>
          </cell>
          <cell r="X1445">
            <v>0.48102590000000001</v>
          </cell>
          <cell r="Y1445">
            <v>0</v>
          </cell>
          <cell r="Z1445">
            <v>27.569775</v>
          </cell>
          <cell r="AA1445">
            <v>0</v>
          </cell>
          <cell r="AB1445">
            <v>5.7982699999999998E-2</v>
          </cell>
        </row>
        <row r="1446">
          <cell r="A1446">
            <v>27315020</v>
          </cell>
          <cell r="B1446" t="str">
            <v>Beef, rice, and vegetables excluding carrots, broccoli, and dark-green leafy; no sauce</v>
          </cell>
          <cell r="I1446">
            <v>162</v>
          </cell>
          <cell r="J1446">
            <v>229.4452</v>
          </cell>
          <cell r="K1446">
            <v>1.4163283950617285</v>
          </cell>
          <cell r="L1446">
            <v>0.55416189999999999</v>
          </cell>
          <cell r="M1446">
            <v>1.5497711000000001</v>
          </cell>
          <cell r="N1446">
            <v>0</v>
          </cell>
          <cell r="O1446">
            <v>1.9807600000000002E-2</v>
          </cell>
          <cell r="P1446">
            <v>0.81277080000000002</v>
          </cell>
          <cell r="Q1446">
            <v>1.7676749</v>
          </cell>
          <cell r="R1446">
            <v>0</v>
          </cell>
          <cell r="S1446">
            <v>0</v>
          </cell>
          <cell r="T1446">
            <v>0</v>
          </cell>
          <cell r="U1446">
            <v>18.472064</v>
          </cell>
          <cell r="V1446">
            <v>0</v>
          </cell>
          <cell r="W1446">
            <v>0</v>
          </cell>
          <cell r="X1446">
            <v>0.51383000000000001</v>
          </cell>
          <cell r="Y1446">
            <v>0</v>
          </cell>
          <cell r="Z1446">
            <v>27.708096000000001</v>
          </cell>
          <cell r="AA1446">
            <v>0</v>
          </cell>
          <cell r="AB1446">
            <v>5.7166300000000003E-2</v>
          </cell>
        </row>
        <row r="1447">
          <cell r="A1447">
            <v>27315210</v>
          </cell>
          <cell r="B1447" t="str">
            <v>Beef, rice, and vegetables including carrots, broccoli, and/or dark-green leafy; tomato-based sauce</v>
          </cell>
          <cell r="I1447">
            <v>249</v>
          </cell>
          <cell r="J1447">
            <v>309.49040000000002</v>
          </cell>
          <cell r="K1447">
            <v>1.2429333333333334</v>
          </cell>
          <cell r="L1447">
            <v>2.2410000000000001</v>
          </cell>
          <cell r="M1447">
            <v>2.4740115999999999</v>
          </cell>
          <cell r="N1447">
            <v>0</v>
          </cell>
          <cell r="O1447">
            <v>3.5651099999999998E-2</v>
          </cell>
          <cell r="P1447">
            <v>0.41499999999999998</v>
          </cell>
          <cell r="Q1447">
            <v>4.1952116999999998</v>
          </cell>
          <cell r="R1447">
            <v>0</v>
          </cell>
          <cell r="S1447">
            <v>0</v>
          </cell>
          <cell r="T1447">
            <v>0</v>
          </cell>
          <cell r="U1447">
            <v>103.75</v>
          </cell>
          <cell r="V1447">
            <v>0</v>
          </cell>
          <cell r="W1447">
            <v>0</v>
          </cell>
          <cell r="X1447">
            <v>0.72554969999999996</v>
          </cell>
          <cell r="Y1447">
            <v>0</v>
          </cell>
          <cell r="Z1447">
            <v>31.125</v>
          </cell>
          <cell r="AA1447">
            <v>0</v>
          </cell>
          <cell r="AB1447">
            <v>6.2285300000000002E-2</v>
          </cell>
        </row>
        <row r="1448">
          <cell r="A1448">
            <v>27315220</v>
          </cell>
          <cell r="B1448" t="str">
            <v>Beef, rice, and vegetables excluding carrots, broccoli, and/or dark-green leafy; tomato-based sauce</v>
          </cell>
          <cell r="I1448">
            <v>249</v>
          </cell>
          <cell r="J1448">
            <v>310.72699999999998</v>
          </cell>
          <cell r="K1448">
            <v>1.2478995983935741</v>
          </cell>
          <cell r="L1448">
            <v>1.5627614999999999</v>
          </cell>
          <cell r="M1448">
            <v>2.3437505000000001</v>
          </cell>
          <cell r="N1448">
            <v>0</v>
          </cell>
          <cell r="O1448">
            <v>3.10052E-2</v>
          </cell>
          <cell r="P1448">
            <v>0.91682010000000003</v>
          </cell>
          <cell r="Q1448">
            <v>3.7861335999999999</v>
          </cell>
          <cell r="R1448">
            <v>0</v>
          </cell>
          <cell r="S1448">
            <v>0</v>
          </cell>
          <cell r="T1448">
            <v>0</v>
          </cell>
          <cell r="U1448">
            <v>83.347279999999998</v>
          </cell>
          <cell r="V1448">
            <v>0</v>
          </cell>
          <cell r="W1448">
            <v>0</v>
          </cell>
          <cell r="X1448">
            <v>0.71441120000000002</v>
          </cell>
          <cell r="Y1448">
            <v>0</v>
          </cell>
          <cell r="Z1448">
            <v>31.255230000000001</v>
          </cell>
          <cell r="AA1448">
            <v>0</v>
          </cell>
          <cell r="AB1448">
            <v>6.3676099999999999E-2</v>
          </cell>
        </row>
        <row r="1449">
          <cell r="A1449">
            <v>27315250</v>
          </cell>
          <cell r="B1449" t="str">
            <v>Stuffed cabbage rolls with beef and rice</v>
          </cell>
          <cell r="I1449">
            <v>162</v>
          </cell>
          <cell r="J1449">
            <v>163.94278</v>
          </cell>
          <cell r="K1449">
            <v>1.0119924691358024</v>
          </cell>
          <cell r="L1449">
            <v>1.8112923999999999</v>
          </cell>
          <cell r="M1449">
            <v>2.7469051000000002</v>
          </cell>
          <cell r="N1449">
            <v>0</v>
          </cell>
          <cell r="O1449">
            <v>4.06107E-2</v>
          </cell>
          <cell r="P1449">
            <v>7.2552699999999998E-2</v>
          </cell>
          <cell r="Q1449">
            <v>0.37356260000000002</v>
          </cell>
          <cell r="R1449">
            <v>0</v>
          </cell>
          <cell r="S1449">
            <v>0</v>
          </cell>
          <cell r="T1449">
            <v>0</v>
          </cell>
          <cell r="U1449">
            <v>96.150717999999998</v>
          </cell>
          <cell r="V1449">
            <v>0</v>
          </cell>
          <cell r="W1449">
            <v>0</v>
          </cell>
          <cell r="X1449">
            <v>0.49445929999999999</v>
          </cell>
          <cell r="Y1449">
            <v>0</v>
          </cell>
          <cell r="Z1449">
            <v>35.442526000000001</v>
          </cell>
          <cell r="AA1449">
            <v>0</v>
          </cell>
          <cell r="AB1449">
            <v>0.2967745</v>
          </cell>
        </row>
        <row r="1450">
          <cell r="A1450">
            <v>27315270</v>
          </cell>
          <cell r="B1450" t="str">
            <v>Stuffed grape leaves with beef and rice</v>
          </cell>
          <cell r="I1450">
            <v>162</v>
          </cell>
          <cell r="J1450">
            <v>341.00195000000002</v>
          </cell>
          <cell r="K1450">
            <v>2.1049503086419756</v>
          </cell>
          <cell r="L1450">
            <v>4.1699866999999999</v>
          </cell>
          <cell r="M1450">
            <v>5.7624521</v>
          </cell>
          <cell r="N1450">
            <v>0</v>
          </cell>
          <cell r="O1450">
            <v>0.15034420000000001</v>
          </cell>
          <cell r="P1450">
            <v>0.29828399999999999</v>
          </cell>
          <cell r="Q1450">
            <v>2.8464782999999998</v>
          </cell>
          <cell r="R1450">
            <v>0</v>
          </cell>
          <cell r="S1450">
            <v>0</v>
          </cell>
          <cell r="T1450">
            <v>0</v>
          </cell>
          <cell r="U1450">
            <v>50.199289999999998</v>
          </cell>
          <cell r="V1450">
            <v>0</v>
          </cell>
          <cell r="W1450">
            <v>0</v>
          </cell>
          <cell r="X1450">
            <v>0.46001959999999997</v>
          </cell>
          <cell r="Y1450">
            <v>1.7397282999999999</v>
          </cell>
          <cell r="Z1450">
            <v>28.822654</v>
          </cell>
          <cell r="AA1450">
            <v>0</v>
          </cell>
          <cell r="AB1450">
            <v>0.55057909999999999</v>
          </cell>
        </row>
        <row r="1451">
          <cell r="A1451">
            <v>27315340</v>
          </cell>
          <cell r="B1451" t="str">
            <v>Beef, rice, and vegetables excluding carrots, broccoli, and dark-green leafy; cheese sauce</v>
          </cell>
          <cell r="I1451">
            <v>249</v>
          </cell>
          <cell r="J1451">
            <v>357.00779</v>
          </cell>
          <cell r="K1451">
            <v>1.4337662248995984</v>
          </cell>
          <cell r="L1451">
            <v>0.64675320000000003</v>
          </cell>
          <cell r="M1451">
            <v>6.4150377000000001</v>
          </cell>
          <cell r="N1451">
            <v>0</v>
          </cell>
          <cell r="O1451">
            <v>0.22414310000000001</v>
          </cell>
          <cell r="P1451">
            <v>1.0132467999999999</v>
          </cell>
          <cell r="Q1451">
            <v>1.1905649</v>
          </cell>
          <cell r="R1451">
            <v>0</v>
          </cell>
          <cell r="S1451">
            <v>0</v>
          </cell>
          <cell r="T1451">
            <v>0</v>
          </cell>
          <cell r="U1451">
            <v>21.558441999999999</v>
          </cell>
          <cell r="V1451">
            <v>0</v>
          </cell>
          <cell r="W1451">
            <v>0</v>
          </cell>
          <cell r="X1451">
            <v>0.75139789999999995</v>
          </cell>
          <cell r="Y1451">
            <v>0</v>
          </cell>
          <cell r="Z1451">
            <v>32.337662000000002</v>
          </cell>
          <cell r="AA1451">
            <v>0</v>
          </cell>
          <cell r="AB1451">
            <v>0.35903079999999998</v>
          </cell>
        </row>
        <row r="1452">
          <cell r="A1452">
            <v>27315410</v>
          </cell>
          <cell r="B1452" t="str">
            <v>Beef, rice, and vegetables including carrots, broccoli, and/or dark-green leafy; gravy</v>
          </cell>
          <cell r="I1452">
            <v>249</v>
          </cell>
          <cell r="J1452">
            <v>308.47055</v>
          </cell>
          <cell r="K1452">
            <v>1.2388375502008033</v>
          </cell>
          <cell r="L1452">
            <v>1.317571</v>
          </cell>
          <cell r="M1452">
            <v>2.5827094000000002</v>
          </cell>
          <cell r="N1452">
            <v>0</v>
          </cell>
          <cell r="O1452">
            <v>3.34478E-2</v>
          </cell>
          <cell r="P1452">
            <v>0.481018</v>
          </cell>
          <cell r="Q1452">
            <v>3.5463390000000001</v>
          </cell>
          <cell r="R1452">
            <v>0</v>
          </cell>
          <cell r="S1452">
            <v>0</v>
          </cell>
          <cell r="T1452">
            <v>0</v>
          </cell>
          <cell r="U1452">
            <v>41.827649999999998</v>
          </cell>
          <cell r="V1452">
            <v>0</v>
          </cell>
          <cell r="W1452">
            <v>0</v>
          </cell>
          <cell r="X1452">
            <v>0.726572</v>
          </cell>
          <cell r="Y1452">
            <v>0</v>
          </cell>
          <cell r="Z1452">
            <v>31.370736999999998</v>
          </cell>
          <cell r="AA1452">
            <v>0</v>
          </cell>
          <cell r="AB1452">
            <v>0.43430439999999998</v>
          </cell>
        </row>
        <row r="1453">
          <cell r="A1453">
            <v>27315510</v>
          </cell>
          <cell r="B1453" t="str">
            <v>Beef, rice, and vegetables including carrots, broccoli, and/or dark-green leafy; soy-based sauce</v>
          </cell>
          <cell r="I1453">
            <v>217</v>
          </cell>
          <cell r="J1453">
            <v>289.09404000000001</v>
          </cell>
          <cell r="K1453">
            <v>1.332230599078341</v>
          </cell>
          <cell r="L1453">
            <v>2.3091868999999998</v>
          </cell>
          <cell r="M1453">
            <v>3.5145661000000001</v>
          </cell>
          <cell r="N1453">
            <v>0</v>
          </cell>
          <cell r="O1453">
            <v>4.48799E-2</v>
          </cell>
          <cell r="P1453">
            <v>0.1588405</v>
          </cell>
          <cell r="Q1453">
            <v>4.3855259999999996</v>
          </cell>
          <cell r="R1453">
            <v>0</v>
          </cell>
          <cell r="S1453">
            <v>0</v>
          </cell>
          <cell r="T1453">
            <v>0</v>
          </cell>
          <cell r="U1453">
            <v>90.827422999999996</v>
          </cell>
          <cell r="V1453">
            <v>0</v>
          </cell>
          <cell r="W1453">
            <v>0</v>
          </cell>
          <cell r="X1453">
            <v>0.4489841</v>
          </cell>
          <cell r="Y1453">
            <v>0</v>
          </cell>
          <cell r="Z1453">
            <v>60.921706</v>
          </cell>
          <cell r="AA1453">
            <v>0</v>
          </cell>
          <cell r="AB1453">
            <v>4.9398299999999999E-2</v>
          </cell>
        </row>
        <row r="1454">
          <cell r="A1454">
            <v>27317010</v>
          </cell>
          <cell r="B1454" t="str">
            <v>Beef pot pie</v>
          </cell>
          <cell r="I1454">
            <v>252</v>
          </cell>
          <cell r="J1454">
            <v>511.38747999999998</v>
          </cell>
          <cell r="K1454">
            <v>2.029315396825397</v>
          </cell>
          <cell r="L1454">
            <v>0.43488739999999998</v>
          </cell>
          <cell r="M1454">
            <v>7.9537684999999998</v>
          </cell>
          <cell r="N1454">
            <v>0</v>
          </cell>
          <cell r="O1454">
            <v>2.4246899999999998E-2</v>
          </cell>
          <cell r="P1454">
            <v>2.3536931999999999</v>
          </cell>
          <cell r="Q1454">
            <v>7.5163121999999998</v>
          </cell>
          <cell r="R1454">
            <v>0</v>
          </cell>
          <cell r="S1454">
            <v>0</v>
          </cell>
          <cell r="T1454">
            <v>0</v>
          </cell>
          <cell r="U1454">
            <v>16.784732999999999</v>
          </cell>
          <cell r="V1454">
            <v>0</v>
          </cell>
          <cell r="W1454">
            <v>0</v>
          </cell>
          <cell r="X1454">
            <v>0.90896189999999999</v>
          </cell>
          <cell r="Y1454">
            <v>0</v>
          </cell>
          <cell r="Z1454">
            <v>43.323487</v>
          </cell>
          <cell r="AA1454">
            <v>0</v>
          </cell>
          <cell r="AB1454">
            <v>3.6585519999999998</v>
          </cell>
        </row>
        <row r="1455">
          <cell r="A1455">
            <v>27320025</v>
          </cell>
          <cell r="B1455" t="str">
            <v>Ham or pork, noodles and vegetables excluding carrots, broccoli, and dark-green leafy; no sauce</v>
          </cell>
          <cell r="I1455">
            <v>162</v>
          </cell>
          <cell r="J1455">
            <v>231.51833999999999</v>
          </cell>
          <cell r="K1455">
            <v>1.4291255555555555</v>
          </cell>
          <cell r="L1455">
            <v>0.55772319999999997</v>
          </cell>
          <cell r="M1455">
            <v>1.7769957999999999</v>
          </cell>
          <cell r="N1455">
            <v>0</v>
          </cell>
          <cell r="O1455">
            <v>2.4832300000000002E-2</v>
          </cell>
          <cell r="P1455">
            <v>1.561625</v>
          </cell>
          <cell r="Q1455">
            <v>1.9482131</v>
          </cell>
          <cell r="R1455">
            <v>0</v>
          </cell>
          <cell r="S1455">
            <v>0</v>
          </cell>
          <cell r="T1455">
            <v>0</v>
          </cell>
          <cell r="U1455">
            <v>18.590772999999999</v>
          </cell>
          <cell r="V1455">
            <v>0</v>
          </cell>
          <cell r="W1455">
            <v>0</v>
          </cell>
          <cell r="X1455">
            <v>0.4823538</v>
          </cell>
          <cell r="Y1455">
            <v>0</v>
          </cell>
          <cell r="Z1455">
            <v>27.749099999999999</v>
          </cell>
          <cell r="AA1455">
            <v>0</v>
          </cell>
          <cell r="AB1455">
            <v>7.9440899999999995E-2</v>
          </cell>
        </row>
        <row r="1456">
          <cell r="A1456">
            <v>27320027</v>
          </cell>
          <cell r="B1456" t="str">
            <v>Ham or pork, noodles, and vegetables including carrots, broccoli, and/or dark-green leafy; no sauce</v>
          </cell>
          <cell r="I1456">
            <v>162</v>
          </cell>
          <cell r="J1456">
            <v>226.90756999999999</v>
          </cell>
          <cell r="K1456">
            <v>1.4006640123456791</v>
          </cell>
          <cell r="L1456">
            <v>1.1684030000000001</v>
          </cell>
          <cell r="M1456">
            <v>1.8344662</v>
          </cell>
          <cell r="N1456">
            <v>0</v>
          </cell>
          <cell r="O1456">
            <v>2.9021600000000002E-2</v>
          </cell>
          <cell r="P1456">
            <v>1.1127647000000001</v>
          </cell>
          <cell r="Q1456">
            <v>2.1322809999999999</v>
          </cell>
          <cell r="R1456">
            <v>0</v>
          </cell>
          <cell r="S1456">
            <v>0</v>
          </cell>
          <cell r="T1456">
            <v>0</v>
          </cell>
          <cell r="U1456">
            <v>37.092157999999998</v>
          </cell>
          <cell r="V1456">
            <v>0</v>
          </cell>
          <cell r="W1456">
            <v>0</v>
          </cell>
          <cell r="X1456">
            <v>0.46505540000000001</v>
          </cell>
          <cell r="Y1456">
            <v>0</v>
          </cell>
          <cell r="Z1456">
            <v>27.682388</v>
          </cell>
          <cell r="AA1456">
            <v>0</v>
          </cell>
          <cell r="AB1456">
            <v>9.1880900000000001E-2</v>
          </cell>
        </row>
        <row r="1457">
          <cell r="A1457">
            <v>27320040</v>
          </cell>
          <cell r="B1457" t="str">
            <v>Pork, potatoes, and vegetables including carrots, broccoli, and/or dark-green leafy; no sauce</v>
          </cell>
          <cell r="I1457">
            <v>162</v>
          </cell>
          <cell r="J1457">
            <v>196.31899999999999</v>
          </cell>
          <cell r="K1457">
            <v>1.2118456790123455</v>
          </cell>
          <cell r="L1457">
            <v>1.1513989</v>
          </cell>
          <cell r="M1457">
            <v>1.7610857</v>
          </cell>
          <cell r="N1457">
            <v>0</v>
          </cell>
          <cell r="O1457">
            <v>2.4967300000000001E-2</v>
          </cell>
          <cell r="P1457">
            <v>1.6448556000000001</v>
          </cell>
          <cell r="Q1457">
            <v>2.5771095000000002</v>
          </cell>
          <cell r="R1457">
            <v>0</v>
          </cell>
          <cell r="S1457">
            <v>0</v>
          </cell>
          <cell r="T1457">
            <v>0</v>
          </cell>
          <cell r="U1457">
            <v>36.552346999999997</v>
          </cell>
          <cell r="V1457">
            <v>0</v>
          </cell>
          <cell r="W1457">
            <v>0</v>
          </cell>
          <cell r="X1457">
            <v>0.48663269999999997</v>
          </cell>
          <cell r="Y1457">
            <v>0</v>
          </cell>
          <cell r="Z1457">
            <v>27.279519000000001</v>
          </cell>
          <cell r="AA1457">
            <v>0</v>
          </cell>
          <cell r="AB1457">
            <v>8.6868899999999999E-2</v>
          </cell>
        </row>
        <row r="1458">
          <cell r="A1458">
            <v>27320070</v>
          </cell>
          <cell r="B1458" t="str">
            <v>Ham or pork, noodles, and vegetables (including carrots, broccoli, and/or dark-green leafy), tomato-based sauce (mixture)</v>
          </cell>
          <cell r="I1458">
            <v>249</v>
          </cell>
          <cell r="J1458">
            <v>316.12216999999998</v>
          </cell>
          <cell r="K1458">
            <v>1.2695669477911646</v>
          </cell>
          <cell r="L1458">
            <v>1.7174700000000001</v>
          </cell>
          <cell r="M1458">
            <v>3.3220632999999999</v>
          </cell>
          <cell r="N1458">
            <v>0</v>
          </cell>
          <cell r="O1458">
            <v>6.3080300000000006E-2</v>
          </cell>
          <cell r="P1458">
            <v>1.1783775999999999</v>
          </cell>
          <cell r="Q1458">
            <v>2.9507085000000002</v>
          </cell>
          <cell r="R1458">
            <v>0</v>
          </cell>
          <cell r="S1458">
            <v>0</v>
          </cell>
          <cell r="T1458">
            <v>0</v>
          </cell>
          <cell r="U1458">
            <v>85.984020999999998</v>
          </cell>
          <cell r="V1458">
            <v>0</v>
          </cell>
          <cell r="W1458">
            <v>0</v>
          </cell>
          <cell r="X1458">
            <v>1.3866483999999999</v>
          </cell>
          <cell r="Y1458">
            <v>0</v>
          </cell>
          <cell r="Z1458">
            <v>38.681758000000002</v>
          </cell>
          <cell r="AA1458">
            <v>38.267215</v>
          </cell>
          <cell r="AB1458">
            <v>0.45616960000000001</v>
          </cell>
        </row>
        <row r="1459">
          <cell r="A1459">
            <v>27320080</v>
          </cell>
          <cell r="B1459" t="str">
            <v>Sausage, noodles, and vegetables excluding carrots, broccoli, and dark-green leafy; tomato-based sauce</v>
          </cell>
          <cell r="I1459">
            <v>249</v>
          </cell>
          <cell r="J1459">
            <v>309.55149</v>
          </cell>
          <cell r="K1459">
            <v>1.2431786746987952</v>
          </cell>
          <cell r="L1459">
            <v>1.6043814000000001</v>
          </cell>
          <cell r="M1459">
            <v>3.6305344000000002</v>
          </cell>
          <cell r="N1459">
            <v>0</v>
          </cell>
          <cell r="O1459">
            <v>3.4544499999999999E-2</v>
          </cell>
          <cell r="P1459">
            <v>1.7969071999999999</v>
          </cell>
          <cell r="Q1459">
            <v>3.2762484999999999</v>
          </cell>
          <cell r="R1459">
            <v>0</v>
          </cell>
          <cell r="S1459">
            <v>0</v>
          </cell>
          <cell r="T1459">
            <v>0</v>
          </cell>
          <cell r="U1459">
            <v>85.567009999999996</v>
          </cell>
          <cell r="V1459">
            <v>0</v>
          </cell>
          <cell r="W1459">
            <v>0</v>
          </cell>
          <cell r="X1459">
            <v>0.90281109999999998</v>
          </cell>
          <cell r="Y1459">
            <v>0</v>
          </cell>
          <cell r="Z1459">
            <v>0</v>
          </cell>
          <cell r="AA1459">
            <v>25.380191</v>
          </cell>
          <cell r="AB1459">
            <v>0.42346139999999999</v>
          </cell>
        </row>
        <row r="1460">
          <cell r="A1460">
            <v>27320090</v>
          </cell>
          <cell r="B1460" t="str">
            <v>Sausage, noodles, and vegetables (including carrots, broccoli, and/or dark-green leafy), tomato-based sauce</v>
          </cell>
          <cell r="I1460">
            <v>249</v>
          </cell>
          <cell r="J1460">
            <v>300.13911999999999</v>
          </cell>
          <cell r="K1460">
            <v>1.2053779919678715</v>
          </cell>
          <cell r="L1460">
            <v>2.3103093000000001</v>
          </cell>
          <cell r="M1460">
            <v>3.6286092000000001</v>
          </cell>
          <cell r="N1460">
            <v>0</v>
          </cell>
          <cell r="O1460">
            <v>3.9464600000000002E-2</v>
          </cell>
          <cell r="P1460">
            <v>1.2835052</v>
          </cell>
          <cell r="Q1460">
            <v>3.2736814999999999</v>
          </cell>
          <cell r="R1460">
            <v>0</v>
          </cell>
          <cell r="S1460">
            <v>0</v>
          </cell>
          <cell r="T1460">
            <v>0</v>
          </cell>
          <cell r="U1460">
            <v>106.95876</v>
          </cell>
          <cell r="V1460">
            <v>0</v>
          </cell>
          <cell r="W1460">
            <v>0</v>
          </cell>
          <cell r="X1460">
            <v>0.91735750000000005</v>
          </cell>
          <cell r="Y1460">
            <v>0</v>
          </cell>
          <cell r="Z1460">
            <v>0</v>
          </cell>
          <cell r="AA1460">
            <v>25.380191</v>
          </cell>
          <cell r="AB1460">
            <v>0.39793479999999998</v>
          </cell>
        </row>
        <row r="1461">
          <cell r="A1461">
            <v>27320100</v>
          </cell>
          <cell r="B1461" t="str">
            <v>Pork, potatoes, and vegetables including carrots, broccoli, and/or dark-green leafy; tomato-based sauce</v>
          </cell>
          <cell r="I1461">
            <v>252</v>
          </cell>
          <cell r="J1461">
            <v>302.22235999999998</v>
          </cell>
          <cell r="K1461">
            <v>1.1992950793650794</v>
          </cell>
          <cell r="L1461">
            <v>2.2927868999999999</v>
          </cell>
          <cell r="M1461">
            <v>3.0171334999999999</v>
          </cell>
          <cell r="N1461">
            <v>0</v>
          </cell>
          <cell r="O1461">
            <v>3.8288000000000003E-2</v>
          </cell>
          <cell r="P1461">
            <v>1.8590164</v>
          </cell>
          <cell r="Q1461">
            <v>5.9892009000000002</v>
          </cell>
          <cell r="R1461">
            <v>0</v>
          </cell>
          <cell r="S1461">
            <v>0</v>
          </cell>
          <cell r="T1461">
            <v>0</v>
          </cell>
          <cell r="U1461">
            <v>103.27869</v>
          </cell>
          <cell r="V1461">
            <v>0</v>
          </cell>
          <cell r="W1461">
            <v>0</v>
          </cell>
          <cell r="X1461">
            <v>0.73786940000000001</v>
          </cell>
          <cell r="Y1461">
            <v>0</v>
          </cell>
          <cell r="Z1461">
            <v>30.831322</v>
          </cell>
          <cell r="AA1461">
            <v>0</v>
          </cell>
          <cell r="AB1461">
            <v>4.7575800000000001E-2</v>
          </cell>
        </row>
        <row r="1462">
          <cell r="A1462">
            <v>27320110</v>
          </cell>
          <cell r="B1462" t="str">
            <v>Pork, potatoes, and vegetables excluding carrots, broccoli, and dark-green leafy; tomato-based sauce</v>
          </cell>
          <cell r="I1462">
            <v>252</v>
          </cell>
          <cell r="J1462">
            <v>301.95614999999998</v>
          </cell>
          <cell r="K1462">
            <v>1.1982386904761904</v>
          </cell>
          <cell r="L1462">
            <v>1.5555555999999999</v>
          </cell>
          <cell r="M1462">
            <v>2.8769336000000001</v>
          </cell>
          <cell r="N1462">
            <v>0</v>
          </cell>
          <cell r="O1462">
            <v>3.2220699999999998E-2</v>
          </cell>
          <cell r="P1462">
            <v>2.3644444</v>
          </cell>
          <cell r="Q1462">
            <v>5.5653319000000003</v>
          </cell>
          <cell r="R1462">
            <v>0</v>
          </cell>
          <cell r="S1462">
            <v>0</v>
          </cell>
          <cell r="T1462">
            <v>0</v>
          </cell>
          <cell r="U1462">
            <v>82.962963000000002</v>
          </cell>
          <cell r="V1462">
            <v>0</v>
          </cell>
          <cell r="W1462">
            <v>0</v>
          </cell>
          <cell r="X1462">
            <v>0.72057479999999996</v>
          </cell>
          <cell r="Y1462">
            <v>0</v>
          </cell>
          <cell r="Z1462">
            <v>30.958200000000001</v>
          </cell>
          <cell r="AA1462">
            <v>0</v>
          </cell>
          <cell r="AB1462">
            <v>5.06869E-2</v>
          </cell>
        </row>
        <row r="1463">
          <cell r="A1463">
            <v>27320120</v>
          </cell>
          <cell r="B1463" t="str">
            <v>Sausage, potatoes, and vegetables including carrots, broccoli, and/or dark-green leafy; gravy</v>
          </cell>
          <cell r="I1463">
            <v>252</v>
          </cell>
          <cell r="J1463">
            <v>304.44736999999998</v>
          </cell>
          <cell r="K1463">
            <v>1.208124484126984</v>
          </cell>
          <cell r="L1463">
            <v>1.3352397</v>
          </cell>
          <cell r="M1463">
            <v>4.2835321000000004</v>
          </cell>
          <cell r="N1463">
            <v>0</v>
          </cell>
          <cell r="O1463">
            <v>3.23313E-2</v>
          </cell>
          <cell r="P1463">
            <v>1.9710681000000001</v>
          </cell>
          <cell r="Q1463">
            <v>5.0683818</v>
          </cell>
          <cell r="R1463">
            <v>0</v>
          </cell>
          <cell r="S1463">
            <v>0</v>
          </cell>
          <cell r="T1463">
            <v>0</v>
          </cell>
          <cell r="U1463">
            <v>42.388562</v>
          </cell>
          <cell r="V1463">
            <v>0</v>
          </cell>
          <cell r="W1463">
            <v>0</v>
          </cell>
          <cell r="X1463">
            <v>0.85487029999999997</v>
          </cell>
          <cell r="Y1463">
            <v>0</v>
          </cell>
          <cell r="Z1463">
            <v>0</v>
          </cell>
          <cell r="AA1463">
            <v>25.145902</v>
          </cell>
          <cell r="AB1463">
            <v>0.93990750000000001</v>
          </cell>
        </row>
        <row r="1464">
          <cell r="A1464">
            <v>27320130</v>
          </cell>
          <cell r="B1464" t="str">
            <v>Sausage, potatoes, and vegetables (excluding carrots, broccoli, and dark-green leafy), gravy (mixture)</v>
          </cell>
          <cell r="I1464">
            <v>252</v>
          </cell>
          <cell r="J1464">
            <v>305.67345</v>
          </cell>
          <cell r="K1464">
            <v>1.2129898809523809</v>
          </cell>
          <cell r="L1464">
            <v>0.63851349999999996</v>
          </cell>
          <cell r="M1464">
            <v>4.1579926</v>
          </cell>
          <cell r="N1464">
            <v>0</v>
          </cell>
          <cell r="O1464">
            <v>2.7569900000000001E-2</v>
          </cell>
          <cell r="P1464">
            <v>2.4902027000000002</v>
          </cell>
          <cell r="Q1464">
            <v>4.6540026000000001</v>
          </cell>
          <cell r="R1464">
            <v>0</v>
          </cell>
          <cell r="S1464">
            <v>0</v>
          </cell>
          <cell r="T1464">
            <v>0</v>
          </cell>
          <cell r="U1464">
            <v>21.283784000000001</v>
          </cell>
          <cell r="V1464">
            <v>0</v>
          </cell>
          <cell r="W1464">
            <v>0</v>
          </cell>
          <cell r="X1464">
            <v>0.84400209999999998</v>
          </cell>
          <cell r="Y1464">
            <v>0</v>
          </cell>
          <cell r="Z1464">
            <v>0</v>
          </cell>
          <cell r="AA1464">
            <v>25.252092000000001</v>
          </cell>
          <cell r="AB1464">
            <v>0.86880089999999999</v>
          </cell>
        </row>
        <row r="1465">
          <cell r="A1465">
            <v>27320210</v>
          </cell>
          <cell r="B1465" t="str">
            <v>Pork, potatoes, and vegetables excluding carrots, broccoli, and dark-green leafy; no sauce</v>
          </cell>
          <cell r="I1465">
            <v>162</v>
          </cell>
          <cell r="J1465">
            <v>204.36051</v>
          </cell>
          <cell r="K1465">
            <v>1.2614846296296296</v>
          </cell>
          <cell r="L1465">
            <v>0.54828520000000003</v>
          </cell>
          <cell r="M1465">
            <v>1.7627305</v>
          </cell>
          <cell r="N1465">
            <v>0</v>
          </cell>
          <cell r="O1465">
            <v>2.07637E-2</v>
          </cell>
          <cell r="P1465">
            <v>2.0834838000000002</v>
          </cell>
          <cell r="Q1465">
            <v>2.5793026000000001</v>
          </cell>
          <cell r="R1465">
            <v>0</v>
          </cell>
          <cell r="S1465">
            <v>0</v>
          </cell>
          <cell r="T1465">
            <v>0</v>
          </cell>
          <cell r="U1465">
            <v>18.276173</v>
          </cell>
          <cell r="V1465">
            <v>0</v>
          </cell>
          <cell r="W1465">
            <v>0</v>
          </cell>
          <cell r="X1465">
            <v>0.47420489999999998</v>
          </cell>
          <cell r="Y1465">
            <v>0</v>
          </cell>
          <cell r="Z1465">
            <v>27.279519000000001</v>
          </cell>
          <cell r="AA1465">
            <v>0</v>
          </cell>
          <cell r="AB1465">
            <v>5.3353200000000003E-2</v>
          </cell>
        </row>
        <row r="1466">
          <cell r="A1466">
            <v>27320310</v>
          </cell>
          <cell r="B1466" t="str">
            <v>Pork chow mein or chop suey with noodles</v>
          </cell>
          <cell r="I1466">
            <v>220</v>
          </cell>
          <cell r="J1466">
            <v>316.75027999999998</v>
          </cell>
          <cell r="K1466">
            <v>1.4397739999999999</v>
          </cell>
          <cell r="L1466">
            <v>1.3839876</v>
          </cell>
          <cell r="M1466">
            <v>3.2152870999999998</v>
          </cell>
          <cell r="N1466">
            <v>0</v>
          </cell>
          <cell r="O1466">
            <v>4.9194099999999998E-2</v>
          </cell>
          <cell r="P1466">
            <v>1.1654667000000001</v>
          </cell>
          <cell r="Q1466">
            <v>2.6378281000000001</v>
          </cell>
          <cell r="R1466">
            <v>0</v>
          </cell>
          <cell r="S1466">
            <v>0</v>
          </cell>
          <cell r="T1466">
            <v>0</v>
          </cell>
          <cell r="U1466">
            <v>115.3323</v>
          </cell>
          <cell r="V1466">
            <v>0</v>
          </cell>
          <cell r="W1466">
            <v>0</v>
          </cell>
          <cell r="X1466">
            <v>0.79832749999999997</v>
          </cell>
          <cell r="Y1466">
            <v>0</v>
          </cell>
          <cell r="Z1466">
            <v>63.377924</v>
          </cell>
          <cell r="AA1466">
            <v>0</v>
          </cell>
          <cell r="AB1466">
            <v>0.50920319999999997</v>
          </cell>
        </row>
        <row r="1467">
          <cell r="A1467">
            <v>27320320</v>
          </cell>
          <cell r="B1467" t="str">
            <v>Pork, rice, and vegetables including carrots, broccoli, and/or dark-green leafy; soy-based sauce</v>
          </cell>
          <cell r="I1467">
            <v>217</v>
          </cell>
          <cell r="J1467">
            <v>292.14013</v>
          </cell>
          <cell r="K1467">
            <v>1.3462678801843317</v>
          </cell>
          <cell r="L1467">
            <v>2.3091868999999998</v>
          </cell>
          <cell r="M1467">
            <v>3.5724418</v>
          </cell>
          <cell r="N1467">
            <v>0</v>
          </cell>
          <cell r="O1467">
            <v>5.1581299999999997E-2</v>
          </cell>
          <cell r="P1467">
            <v>0.1588405</v>
          </cell>
          <cell r="Q1467">
            <v>4.6249482999999998</v>
          </cell>
          <cell r="R1467">
            <v>0</v>
          </cell>
          <cell r="S1467">
            <v>0</v>
          </cell>
          <cell r="T1467">
            <v>0</v>
          </cell>
          <cell r="U1467">
            <v>90.827422999999996</v>
          </cell>
          <cell r="V1467">
            <v>0</v>
          </cell>
          <cell r="W1467">
            <v>0</v>
          </cell>
          <cell r="X1467">
            <v>0.45934079999999999</v>
          </cell>
          <cell r="Y1467">
            <v>0</v>
          </cell>
          <cell r="Z1467">
            <v>60.622275999999999</v>
          </cell>
          <cell r="AA1467">
            <v>0</v>
          </cell>
          <cell r="AB1467">
            <v>8.0511799999999994E-2</v>
          </cell>
        </row>
        <row r="1468">
          <cell r="A1468">
            <v>27320330</v>
          </cell>
          <cell r="B1468" t="str">
            <v>Pork, rice, and vegetables excluding carrots, broccoli, and dark-green leafy; soy-based sauce</v>
          </cell>
          <cell r="I1468">
            <v>217</v>
          </cell>
          <cell r="J1468">
            <v>297.05793</v>
          </cell>
          <cell r="K1468">
            <v>1.3689305529953917</v>
          </cell>
          <cell r="L1468">
            <v>1.5801703</v>
          </cell>
          <cell r="M1468">
            <v>3.6855829</v>
          </cell>
          <cell r="N1468">
            <v>0</v>
          </cell>
          <cell r="O1468">
            <v>4.2794100000000002E-2</v>
          </cell>
          <cell r="P1468">
            <v>0.1642441</v>
          </cell>
          <cell r="Q1468">
            <v>4.7742889000000002</v>
          </cell>
          <cell r="R1468">
            <v>0</v>
          </cell>
          <cell r="S1468">
            <v>0</v>
          </cell>
          <cell r="T1468">
            <v>0</v>
          </cell>
          <cell r="U1468">
            <v>86.535173</v>
          </cell>
          <cell r="V1468">
            <v>0</v>
          </cell>
          <cell r="W1468">
            <v>0</v>
          </cell>
          <cell r="X1468">
            <v>0.44730609999999998</v>
          </cell>
          <cell r="Y1468">
            <v>0</v>
          </cell>
          <cell r="Z1468">
            <v>62.684578000000002</v>
          </cell>
          <cell r="AA1468">
            <v>0</v>
          </cell>
          <cell r="AB1468">
            <v>6.9265300000000002E-2</v>
          </cell>
        </row>
        <row r="1469">
          <cell r="A1469">
            <v>27320350</v>
          </cell>
          <cell r="B1469" t="str">
            <v>Pork, rice, and vegetables excluding carrots, broccoli, and dark-green leafy; tomato-based sauce</v>
          </cell>
          <cell r="I1469">
            <v>249</v>
          </cell>
          <cell r="J1469">
            <v>312.28976</v>
          </cell>
          <cell r="K1469">
            <v>1.2541757429718876</v>
          </cell>
          <cell r="L1469">
            <v>1.5627614999999999</v>
          </cell>
          <cell r="M1469">
            <v>2.373443</v>
          </cell>
          <cell r="N1469">
            <v>0</v>
          </cell>
          <cell r="O1469">
            <v>3.4443300000000003E-2</v>
          </cell>
          <cell r="P1469">
            <v>0.91682010000000003</v>
          </cell>
          <cell r="Q1469">
            <v>3.9089665999999998</v>
          </cell>
          <cell r="R1469">
            <v>0</v>
          </cell>
          <cell r="S1469">
            <v>0</v>
          </cell>
          <cell r="T1469">
            <v>0</v>
          </cell>
          <cell r="U1469">
            <v>83.347279999999998</v>
          </cell>
          <cell r="V1469">
            <v>0</v>
          </cell>
          <cell r="W1469">
            <v>0</v>
          </cell>
          <cell r="X1469">
            <v>0.71972460000000005</v>
          </cell>
          <cell r="Y1469">
            <v>0</v>
          </cell>
          <cell r="Z1469">
            <v>31.101610999999998</v>
          </cell>
          <cell r="AA1469">
            <v>0</v>
          </cell>
          <cell r="AB1469">
            <v>6.9021700000000005E-2</v>
          </cell>
        </row>
        <row r="1470">
          <cell r="A1470">
            <v>27320410</v>
          </cell>
          <cell r="B1470" t="str">
            <v>Ham, potatoes, and vegetables excluding carrots, broccoli, and dark-green leafy; no sauce</v>
          </cell>
          <cell r="I1470">
            <v>162</v>
          </cell>
          <cell r="J1470">
            <v>192.88200000000001</v>
          </cell>
          <cell r="K1470">
            <v>1.1906296296296297</v>
          </cell>
          <cell r="L1470">
            <v>0.55133299999999996</v>
          </cell>
          <cell r="M1470">
            <v>1.6021829999999999</v>
          </cell>
          <cell r="N1470">
            <v>0</v>
          </cell>
          <cell r="O1470">
            <v>1.80155E-2</v>
          </cell>
          <cell r="P1470">
            <v>2.0950652000000001</v>
          </cell>
          <cell r="Q1470">
            <v>2.5835794999999999</v>
          </cell>
          <cell r="R1470">
            <v>0</v>
          </cell>
          <cell r="S1470">
            <v>0</v>
          </cell>
          <cell r="T1470">
            <v>0</v>
          </cell>
          <cell r="U1470">
            <v>18.377765</v>
          </cell>
          <cell r="V1470">
            <v>0</v>
          </cell>
          <cell r="W1470">
            <v>0</v>
          </cell>
          <cell r="X1470">
            <v>0.70340119999999995</v>
          </cell>
          <cell r="Y1470">
            <v>0</v>
          </cell>
          <cell r="Z1470">
            <v>0</v>
          </cell>
          <cell r="AA1470">
            <v>27.566648000000001</v>
          </cell>
          <cell r="AB1470">
            <v>6.5824300000000002E-2</v>
          </cell>
        </row>
        <row r="1471">
          <cell r="A1471">
            <v>27320450</v>
          </cell>
          <cell r="B1471" t="str">
            <v>Ham, potatoes, and vegetables (including carrots, broccoli, and/or dark-green leafy), no sauce (mixture)</v>
          </cell>
          <cell r="I1471">
            <v>162</v>
          </cell>
          <cell r="J1471">
            <v>168.24294</v>
          </cell>
          <cell r="K1471">
            <v>1.0385366666666667</v>
          </cell>
          <cell r="L1471">
            <v>1.1759207</v>
          </cell>
          <cell r="M1471">
            <v>1.4772133000000001</v>
          </cell>
          <cell r="N1471">
            <v>0</v>
          </cell>
          <cell r="O1471">
            <v>3.8056399999999997E-2</v>
          </cell>
          <cell r="P1471">
            <v>0.652752</v>
          </cell>
          <cell r="Q1471">
            <v>0.8099227</v>
          </cell>
          <cell r="R1471">
            <v>0</v>
          </cell>
          <cell r="S1471">
            <v>0</v>
          </cell>
          <cell r="T1471">
            <v>0</v>
          </cell>
          <cell r="U1471">
            <v>51.382061</v>
          </cell>
          <cell r="V1471">
            <v>0</v>
          </cell>
          <cell r="W1471">
            <v>0</v>
          </cell>
          <cell r="X1471">
            <v>0.94248449999999995</v>
          </cell>
          <cell r="Y1471">
            <v>0</v>
          </cell>
          <cell r="Z1471">
            <v>0</v>
          </cell>
          <cell r="AA1471">
            <v>72.013120999999998</v>
          </cell>
          <cell r="AB1471">
            <v>0.14340079999999999</v>
          </cell>
        </row>
        <row r="1472">
          <cell r="A1472">
            <v>27330030</v>
          </cell>
          <cell r="B1472" t="str">
            <v>Lamb or mutton stew with potatoes and vegetables including carrots, broccoli, and/or dark-green leafy; gravy</v>
          </cell>
          <cell r="I1472">
            <v>252</v>
          </cell>
          <cell r="J1472">
            <v>260.06047999999998</v>
          </cell>
          <cell r="K1472">
            <v>1.0319860317460317</v>
          </cell>
          <cell r="L1472">
            <v>1.2079211999999999</v>
          </cell>
          <cell r="M1472">
            <v>2.1661967</v>
          </cell>
          <cell r="N1472">
            <v>0</v>
          </cell>
          <cell r="O1472">
            <v>3.2381100000000003E-2</v>
          </cell>
          <cell r="P1472">
            <v>3.1973421000000002</v>
          </cell>
          <cell r="Q1472">
            <v>0.53366069999999999</v>
          </cell>
          <cell r="R1472">
            <v>0</v>
          </cell>
          <cell r="S1472">
            <v>0</v>
          </cell>
          <cell r="T1472">
            <v>0</v>
          </cell>
          <cell r="U1472">
            <v>27.452755</v>
          </cell>
          <cell r="V1472">
            <v>0</v>
          </cell>
          <cell r="W1472">
            <v>0</v>
          </cell>
          <cell r="X1472">
            <v>0.72712500000000002</v>
          </cell>
          <cell r="Y1472">
            <v>0</v>
          </cell>
          <cell r="Z1472">
            <v>51.315534</v>
          </cell>
          <cell r="AA1472">
            <v>0</v>
          </cell>
          <cell r="AB1472">
            <v>8.9699000000000001E-2</v>
          </cell>
        </row>
        <row r="1473">
          <cell r="A1473">
            <v>27330110</v>
          </cell>
          <cell r="B1473" t="str">
            <v>Lamb or mutton stew with potatoes and vegetables (excluding carrots, broccoli, and dark-green leafy), gravy</v>
          </cell>
          <cell r="I1473">
            <v>252</v>
          </cell>
          <cell r="J1473">
            <v>249.76468</v>
          </cell>
          <cell r="K1473">
            <v>0.99112968253968259</v>
          </cell>
          <cell r="L1473">
            <v>0.37975979999999998</v>
          </cell>
          <cell r="M1473">
            <v>2.1770646999999999</v>
          </cell>
          <cell r="N1473">
            <v>0</v>
          </cell>
          <cell r="O1473">
            <v>2.62708E-2</v>
          </cell>
          <cell r="P1473">
            <v>2.8165529999999999</v>
          </cell>
          <cell r="Q1473">
            <v>0.54726920000000001</v>
          </cell>
          <cell r="R1473">
            <v>0</v>
          </cell>
          <cell r="S1473">
            <v>0</v>
          </cell>
          <cell r="T1473">
            <v>0</v>
          </cell>
          <cell r="U1473">
            <v>17.261809</v>
          </cell>
          <cell r="V1473">
            <v>0</v>
          </cell>
          <cell r="W1473">
            <v>0</v>
          </cell>
          <cell r="X1473">
            <v>0.58995039999999999</v>
          </cell>
          <cell r="Y1473">
            <v>0</v>
          </cell>
          <cell r="Z1473">
            <v>51.512872000000002</v>
          </cell>
          <cell r="AA1473">
            <v>0</v>
          </cell>
          <cell r="AB1473">
            <v>9.1587600000000005E-2</v>
          </cell>
        </row>
        <row r="1474">
          <cell r="A1474">
            <v>27330170</v>
          </cell>
          <cell r="B1474" t="str">
            <v>Stuffed grape leaves with lamb and rice</v>
          </cell>
          <cell r="I1474">
            <v>162</v>
          </cell>
          <cell r="J1474">
            <v>387.57594</v>
          </cell>
          <cell r="K1474">
            <v>2.3924440740740742</v>
          </cell>
          <cell r="L1474">
            <v>4.5479377000000003</v>
          </cell>
          <cell r="M1474">
            <v>7.7617080999999999</v>
          </cell>
          <cell r="N1474">
            <v>0</v>
          </cell>
          <cell r="O1474">
            <v>0.16162470000000001</v>
          </cell>
          <cell r="P1474">
            <v>0.27063759999999998</v>
          </cell>
          <cell r="Q1474">
            <v>3.7874023000000001</v>
          </cell>
          <cell r="R1474">
            <v>0</v>
          </cell>
          <cell r="S1474">
            <v>0</v>
          </cell>
          <cell r="T1474">
            <v>0</v>
          </cell>
          <cell r="U1474">
            <v>54.749153999999997</v>
          </cell>
          <cell r="V1474">
            <v>0</v>
          </cell>
          <cell r="W1474">
            <v>0</v>
          </cell>
          <cell r="X1474">
            <v>0.10430200000000001</v>
          </cell>
          <cell r="Y1474">
            <v>1.8974104000000001</v>
          </cell>
          <cell r="Z1474">
            <v>29.082214</v>
          </cell>
          <cell r="AA1474">
            <v>0</v>
          </cell>
          <cell r="AB1474">
            <v>0.67399779999999998</v>
          </cell>
        </row>
        <row r="1475">
          <cell r="A1475">
            <v>27330210</v>
          </cell>
          <cell r="B1475" t="str">
            <v>Lamb or mutton stew with potatoes and vegetables (including carrots, broccoli, and/or dark-green leafy), tomato-based sauce</v>
          </cell>
          <cell r="I1475">
            <v>252</v>
          </cell>
          <cell r="J1475">
            <v>244.02422000000001</v>
          </cell>
          <cell r="K1475">
            <v>0.96835007936507944</v>
          </cell>
          <cell r="L1475">
            <v>1.9006525000000001</v>
          </cell>
          <cell r="M1475">
            <v>1.6422816</v>
          </cell>
          <cell r="N1475">
            <v>0</v>
          </cell>
          <cell r="O1475">
            <v>3.5408799999999997E-2</v>
          </cell>
          <cell r="P1475">
            <v>2.9683109999999999</v>
          </cell>
          <cell r="Q1475">
            <v>0.52447080000000001</v>
          </cell>
          <cell r="R1475">
            <v>0</v>
          </cell>
          <cell r="S1475">
            <v>0</v>
          </cell>
          <cell r="T1475">
            <v>0</v>
          </cell>
          <cell r="U1475">
            <v>74.571107999999995</v>
          </cell>
          <cell r="V1475">
            <v>0</v>
          </cell>
          <cell r="W1475">
            <v>0</v>
          </cell>
          <cell r="X1475">
            <v>0.72205529999999996</v>
          </cell>
          <cell r="Y1475">
            <v>0</v>
          </cell>
          <cell r="Z1475">
            <v>50.410313000000002</v>
          </cell>
          <cell r="AA1475">
            <v>0</v>
          </cell>
          <cell r="AB1475">
            <v>6.6614599999999996E-2</v>
          </cell>
        </row>
        <row r="1476">
          <cell r="A1476">
            <v>27330220</v>
          </cell>
          <cell r="B1476" t="str">
            <v>Lamb or mutton stew with potatoes and vegetables excluding carrots, broccoli, and dark-green leafy; tomato-based sauce</v>
          </cell>
          <cell r="I1476">
            <v>252</v>
          </cell>
          <cell r="J1476">
            <v>233.51935</v>
          </cell>
          <cell r="K1476">
            <v>0.92666408730158734</v>
          </cell>
          <cell r="L1476">
            <v>1.0882305999999999</v>
          </cell>
          <cell r="M1476">
            <v>1.6562771000000001</v>
          </cell>
          <cell r="N1476">
            <v>0</v>
          </cell>
          <cell r="O1476">
            <v>2.9939199999999999E-2</v>
          </cell>
          <cell r="P1476">
            <v>2.5897307999999999</v>
          </cell>
          <cell r="Q1476">
            <v>0.5599461</v>
          </cell>
          <cell r="R1476">
            <v>0</v>
          </cell>
          <cell r="S1476">
            <v>0</v>
          </cell>
          <cell r="T1476">
            <v>0</v>
          </cell>
          <cell r="U1476">
            <v>64.647024999999999</v>
          </cell>
          <cell r="V1476">
            <v>0</v>
          </cell>
          <cell r="W1476">
            <v>0</v>
          </cell>
          <cell r="X1476">
            <v>0.70076170000000004</v>
          </cell>
          <cell r="Y1476">
            <v>0</v>
          </cell>
          <cell r="Z1476">
            <v>50.529159999999997</v>
          </cell>
          <cell r="AA1476">
            <v>0</v>
          </cell>
          <cell r="AB1476">
            <v>7.3728500000000002E-2</v>
          </cell>
        </row>
        <row r="1477">
          <cell r="A1477">
            <v>27335100</v>
          </cell>
          <cell r="B1477" t="str">
            <v>Rabbit stew with potatoes and vegetables</v>
          </cell>
          <cell r="I1477">
            <v>252</v>
          </cell>
          <cell r="J1477">
            <v>144.43482</v>
          </cell>
          <cell r="K1477">
            <v>0.57315404761904765</v>
          </cell>
          <cell r="L1477">
            <v>1.1284856999999999</v>
          </cell>
          <cell r="M1477">
            <v>1.2264303999999999</v>
          </cell>
          <cell r="N1477">
            <v>0</v>
          </cell>
          <cell r="O1477">
            <v>3.1397399999999999E-2</v>
          </cell>
          <cell r="P1477">
            <v>0.46425559999999999</v>
          </cell>
          <cell r="Q1477">
            <v>0.84551710000000002</v>
          </cell>
          <cell r="R1477">
            <v>0</v>
          </cell>
          <cell r="S1477">
            <v>0</v>
          </cell>
          <cell r="T1477">
            <v>0</v>
          </cell>
          <cell r="U1477">
            <v>62.623683999999997</v>
          </cell>
          <cell r="V1477">
            <v>0</v>
          </cell>
          <cell r="W1477">
            <v>0</v>
          </cell>
          <cell r="X1477">
            <v>0.64678530000000001</v>
          </cell>
          <cell r="Y1477">
            <v>0</v>
          </cell>
          <cell r="Z1477">
            <v>47.390663000000004</v>
          </cell>
          <cell r="AA1477">
            <v>0</v>
          </cell>
          <cell r="AB1477">
            <v>4.6714400000000003E-2</v>
          </cell>
        </row>
        <row r="1478">
          <cell r="A1478">
            <v>27336100</v>
          </cell>
          <cell r="B1478" t="str">
            <v>Venison or deer stew with potatoes and vegetables including carrots, broccoli, and/or dark-green leafy; tomato-based sauce</v>
          </cell>
          <cell r="I1478">
            <v>252</v>
          </cell>
          <cell r="J1478">
            <v>163.47611000000001</v>
          </cell>
          <cell r="K1478">
            <v>0.64871472222222226</v>
          </cell>
          <cell r="L1478">
            <v>1.1147376</v>
          </cell>
          <cell r="M1478">
            <v>0.93999169999999999</v>
          </cell>
          <cell r="N1478">
            <v>0</v>
          </cell>
          <cell r="O1478">
            <v>3.58184E-2</v>
          </cell>
          <cell r="P1478">
            <v>2.5006984999999999</v>
          </cell>
          <cell r="Q1478">
            <v>0.21500520000000001</v>
          </cell>
          <cell r="R1478">
            <v>0</v>
          </cell>
          <cell r="S1478">
            <v>0</v>
          </cell>
          <cell r="T1478">
            <v>0</v>
          </cell>
          <cell r="U1478">
            <v>49.900913000000003</v>
          </cell>
          <cell r="V1478">
            <v>0</v>
          </cell>
          <cell r="W1478">
            <v>0</v>
          </cell>
          <cell r="X1478">
            <v>0.4887415</v>
          </cell>
          <cell r="Y1478">
            <v>0</v>
          </cell>
          <cell r="Z1478">
            <v>39.510373999999999</v>
          </cell>
          <cell r="AA1478">
            <v>0</v>
          </cell>
          <cell r="AB1478">
            <v>6.7584500000000006E-2</v>
          </cell>
        </row>
        <row r="1479">
          <cell r="A1479">
            <v>27341000</v>
          </cell>
          <cell r="B1479" t="str">
            <v>Chicken or turkey, potatoes, corn, and cheese, with gravy</v>
          </cell>
          <cell r="I1479">
            <v>195</v>
          </cell>
          <cell r="J1479">
            <v>247.21456000000001</v>
          </cell>
          <cell r="K1479">
            <v>1.2677669743589743</v>
          </cell>
          <cell r="L1479">
            <v>1.5966399999999999E-2</v>
          </cell>
          <cell r="M1479">
            <v>3.0102872999999999</v>
          </cell>
          <cell r="N1479">
            <v>0</v>
          </cell>
          <cell r="O1479">
            <v>7.8872499999999998E-2</v>
          </cell>
          <cell r="P1479">
            <v>2.0795615999999999</v>
          </cell>
          <cell r="Q1479">
            <v>3.2319349000000002</v>
          </cell>
          <cell r="R1479">
            <v>0.3494891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0.69995660000000004</v>
          </cell>
          <cell r="Y1479">
            <v>0</v>
          </cell>
          <cell r="Z1479">
            <v>0</v>
          </cell>
          <cell r="AA1479">
            <v>0</v>
          </cell>
          <cell r="AB1479">
            <v>0.17432139999999999</v>
          </cell>
        </row>
        <row r="1480">
          <cell r="A1480">
            <v>27341010</v>
          </cell>
          <cell r="B1480" t="str">
            <v>Chicken or turkey, potatoes, and vegetables including carrots, broccoli, and/or dark-green leafy; no sauce</v>
          </cell>
          <cell r="I1480">
            <v>162</v>
          </cell>
          <cell r="J1480">
            <v>198.10467</v>
          </cell>
          <cell r="K1480">
            <v>1.2228683333333332</v>
          </cell>
          <cell r="L1480">
            <v>1.1390625000000001</v>
          </cell>
          <cell r="M1480">
            <v>1.4658504999999999</v>
          </cell>
          <cell r="N1480">
            <v>0</v>
          </cell>
          <cell r="O1480">
            <v>2.3710599999999998E-2</v>
          </cell>
          <cell r="P1480">
            <v>1.6272321000000001</v>
          </cell>
          <cell r="Q1480">
            <v>3.3422535</v>
          </cell>
          <cell r="R1480">
            <v>0</v>
          </cell>
          <cell r="S1480">
            <v>0</v>
          </cell>
          <cell r="T1480">
            <v>0</v>
          </cell>
          <cell r="U1480">
            <v>36.160713999999999</v>
          </cell>
          <cell r="V1480">
            <v>0</v>
          </cell>
          <cell r="W1480">
            <v>0</v>
          </cell>
          <cell r="X1480">
            <v>0.53126059999999997</v>
          </cell>
          <cell r="Y1480">
            <v>0</v>
          </cell>
          <cell r="Z1480">
            <v>0</v>
          </cell>
          <cell r="AA1480">
            <v>0</v>
          </cell>
          <cell r="AB1480">
            <v>2.56271E-2</v>
          </cell>
        </row>
        <row r="1481">
          <cell r="A1481">
            <v>27341020</v>
          </cell>
          <cell r="B1481" t="str">
            <v>Chicken or turkey, potatoes, and vegetables excluding carrots, broccoli, and dark-green leafy; no sauce</v>
          </cell>
          <cell r="I1481">
            <v>162</v>
          </cell>
          <cell r="J1481">
            <v>202.53171</v>
          </cell>
          <cell r="K1481">
            <v>1.2501957407407407</v>
          </cell>
          <cell r="L1481">
            <v>0.54368499999999997</v>
          </cell>
          <cell r="M1481">
            <v>1.4089607</v>
          </cell>
          <cell r="N1481">
            <v>0</v>
          </cell>
          <cell r="O1481">
            <v>1.9614300000000001E-2</v>
          </cell>
          <cell r="P1481">
            <v>2.0660029</v>
          </cell>
          <cell r="Q1481">
            <v>3.1656613</v>
          </cell>
          <cell r="R1481">
            <v>0</v>
          </cell>
          <cell r="S1481">
            <v>0</v>
          </cell>
          <cell r="T1481">
            <v>0</v>
          </cell>
          <cell r="U1481">
            <v>18.122833</v>
          </cell>
          <cell r="V1481">
            <v>0</v>
          </cell>
          <cell r="W1481">
            <v>0</v>
          </cell>
          <cell r="X1481">
            <v>0.54827899999999996</v>
          </cell>
          <cell r="Y1481">
            <v>0</v>
          </cell>
          <cell r="Z1481">
            <v>0</v>
          </cell>
          <cell r="AA1481">
            <v>0</v>
          </cell>
          <cell r="AB1481">
            <v>2.40819E-2</v>
          </cell>
        </row>
        <row r="1482">
          <cell r="A1482">
            <v>27341025</v>
          </cell>
          <cell r="B1482" t="str">
            <v>Chicken or turkey, potatoes, and vegetables including carrots, broccoli, and/or dark-green leafy; gravy</v>
          </cell>
          <cell r="I1482">
            <v>252</v>
          </cell>
          <cell r="J1482">
            <v>293.71185000000003</v>
          </cell>
          <cell r="K1482">
            <v>1.1655232142857144</v>
          </cell>
          <cell r="L1482">
            <v>1.3060217000000001</v>
          </cell>
          <cell r="M1482">
            <v>2.6451563</v>
          </cell>
          <cell r="N1482">
            <v>0</v>
          </cell>
          <cell r="O1482">
            <v>3.3395599999999998E-2</v>
          </cell>
          <cell r="P1482">
            <v>1.9279367999999999</v>
          </cell>
          <cell r="Q1482">
            <v>5.7930355000000002</v>
          </cell>
          <cell r="R1482">
            <v>0</v>
          </cell>
          <cell r="S1482">
            <v>0</v>
          </cell>
          <cell r="T1482">
            <v>0</v>
          </cell>
          <cell r="U1482">
            <v>41.461007000000002</v>
          </cell>
          <cell r="V1482">
            <v>0</v>
          </cell>
          <cell r="W1482">
            <v>0</v>
          </cell>
          <cell r="X1482">
            <v>0.81893740000000004</v>
          </cell>
          <cell r="Y1482">
            <v>0</v>
          </cell>
          <cell r="Z1482">
            <v>0</v>
          </cell>
          <cell r="AA1482">
            <v>0</v>
          </cell>
          <cell r="AB1482">
            <v>5.2383800000000001E-2</v>
          </cell>
        </row>
        <row r="1483">
          <cell r="A1483">
            <v>27341030</v>
          </cell>
          <cell r="B1483" t="str">
            <v>Chicken or turkey, potatoes, and vegetables (excluding carrots, broccoli, and dark-green leafy), gravy (mixture)</v>
          </cell>
          <cell r="I1483">
            <v>252</v>
          </cell>
          <cell r="J1483">
            <v>302.11806999999999</v>
          </cell>
          <cell r="K1483">
            <v>1.1988812301587302</v>
          </cell>
          <cell r="L1483">
            <v>0.62191510000000005</v>
          </cell>
          <cell r="M1483">
            <v>2.4482579000000002</v>
          </cell>
          <cell r="N1483">
            <v>0</v>
          </cell>
          <cell r="O1483">
            <v>2.6326499999999999E-2</v>
          </cell>
          <cell r="P1483">
            <v>2.4254688999999998</v>
          </cell>
          <cell r="Q1483">
            <v>5.7628415999999998</v>
          </cell>
          <cell r="R1483">
            <v>0</v>
          </cell>
          <cell r="S1483">
            <v>0</v>
          </cell>
          <cell r="T1483">
            <v>0</v>
          </cell>
          <cell r="U1483">
            <v>20.730502999999999</v>
          </cell>
          <cell r="V1483">
            <v>0</v>
          </cell>
          <cell r="W1483">
            <v>0</v>
          </cell>
          <cell r="X1483">
            <v>0.72893589999999997</v>
          </cell>
          <cell r="Y1483">
            <v>0</v>
          </cell>
          <cell r="Z1483">
            <v>0</v>
          </cell>
          <cell r="AA1483">
            <v>0</v>
          </cell>
          <cell r="AB1483">
            <v>0.1163575</v>
          </cell>
        </row>
        <row r="1484">
          <cell r="A1484">
            <v>27341040</v>
          </cell>
          <cell r="B1484" t="str">
            <v>Chicken or turkey, potatoes, and vegetables excluding carrots, broccoli, and dark-green leafy; cream sauce, white sauce, or mushroom sauce</v>
          </cell>
          <cell r="I1484">
            <v>252</v>
          </cell>
          <cell r="J1484">
            <v>300.37090999999998</v>
          </cell>
          <cell r="K1484">
            <v>1.1919480555555555</v>
          </cell>
          <cell r="L1484">
            <v>0.72014659999999997</v>
          </cell>
          <cell r="M1484">
            <v>2.7513071999999998</v>
          </cell>
          <cell r="N1484">
            <v>0</v>
          </cell>
          <cell r="O1484">
            <v>5.0499599999999999E-2</v>
          </cell>
          <cell r="P1484">
            <v>2.456324</v>
          </cell>
          <cell r="Q1484">
            <v>6.4454539999999998</v>
          </cell>
          <cell r="R1484">
            <v>0</v>
          </cell>
          <cell r="S1484">
            <v>0</v>
          </cell>
          <cell r="T1484">
            <v>0</v>
          </cell>
          <cell r="U1484">
            <v>30.571123</v>
          </cell>
          <cell r="V1484">
            <v>0</v>
          </cell>
          <cell r="W1484">
            <v>0</v>
          </cell>
          <cell r="X1484">
            <v>0.8110174</v>
          </cell>
          <cell r="Y1484">
            <v>0</v>
          </cell>
          <cell r="Z1484">
            <v>0</v>
          </cell>
          <cell r="AA1484">
            <v>0</v>
          </cell>
          <cell r="AB1484">
            <v>0.23155890000000001</v>
          </cell>
        </row>
        <row r="1485">
          <cell r="A1485">
            <v>27341050</v>
          </cell>
          <cell r="B1485" t="str">
            <v>Chicken or turkey, potatoes, and vegetables excluding carrots, broccoli, and dark-green leafy; cheese sauce</v>
          </cell>
          <cell r="I1485">
            <v>252</v>
          </cell>
          <cell r="J1485">
            <v>317.05815999999999</v>
          </cell>
          <cell r="K1485">
            <v>1.2581673015873016</v>
          </cell>
          <cell r="L1485">
            <v>0.64926139999999999</v>
          </cell>
          <cell r="M1485">
            <v>6.0847600999999996</v>
          </cell>
          <cell r="N1485">
            <v>0</v>
          </cell>
          <cell r="O1485">
            <v>0.2252247</v>
          </cell>
          <cell r="P1485">
            <v>2.5321194999999999</v>
          </cell>
          <cell r="Q1485">
            <v>2.2359751999999999</v>
          </cell>
          <cell r="R1485">
            <v>0</v>
          </cell>
          <cell r="S1485">
            <v>0</v>
          </cell>
          <cell r="T1485">
            <v>0</v>
          </cell>
          <cell r="U1485">
            <v>21.642047000000002</v>
          </cell>
          <cell r="V1485">
            <v>0</v>
          </cell>
          <cell r="W1485">
            <v>0</v>
          </cell>
          <cell r="X1485">
            <v>0.80704319999999996</v>
          </cell>
          <cell r="Y1485">
            <v>0</v>
          </cell>
          <cell r="Z1485">
            <v>0</v>
          </cell>
          <cell r="AA1485">
            <v>0</v>
          </cell>
          <cell r="AB1485">
            <v>0.28153640000000002</v>
          </cell>
        </row>
        <row r="1486">
          <cell r="A1486">
            <v>27341055</v>
          </cell>
          <cell r="B1486" t="str">
            <v>Chicken or turkey, potatoes, and vegetables including carrots, broccoli, and/or dark-green leafy; tomato-based sauce</v>
          </cell>
          <cell r="I1486">
            <v>252</v>
          </cell>
          <cell r="J1486">
            <v>294.86469</v>
          </cell>
          <cell r="K1486">
            <v>1.1700979761904762</v>
          </cell>
          <cell r="L1486">
            <v>2.2217142999999999</v>
          </cell>
          <cell r="M1486">
            <v>2.5371535000000001</v>
          </cell>
          <cell r="N1486">
            <v>0</v>
          </cell>
          <cell r="O1486">
            <v>3.5583400000000001E-2</v>
          </cell>
          <cell r="P1486">
            <v>1.8514286</v>
          </cell>
          <cell r="Q1486">
            <v>6.4194120000000003</v>
          </cell>
          <cell r="R1486">
            <v>0</v>
          </cell>
          <cell r="S1486">
            <v>0</v>
          </cell>
          <cell r="T1486">
            <v>0</v>
          </cell>
          <cell r="U1486">
            <v>102.85714</v>
          </cell>
          <cell r="V1486">
            <v>0</v>
          </cell>
          <cell r="W1486">
            <v>0</v>
          </cell>
          <cell r="X1486">
            <v>0.81728230000000002</v>
          </cell>
          <cell r="Y1486">
            <v>0</v>
          </cell>
          <cell r="Z1486">
            <v>0</v>
          </cell>
          <cell r="AA1486">
            <v>0</v>
          </cell>
          <cell r="AB1486">
            <v>5.10264E-2</v>
          </cell>
        </row>
        <row r="1487">
          <cell r="A1487">
            <v>27341060</v>
          </cell>
          <cell r="B1487" t="str">
            <v>Chicken or turkey, potatoes, and vegetables excluding carrots, broccoli, and dark-green leafy; tomato-based sauce</v>
          </cell>
          <cell r="I1487">
            <v>252</v>
          </cell>
          <cell r="J1487">
            <v>303.91611</v>
          </cell>
          <cell r="K1487">
            <v>1.2060163095238094</v>
          </cell>
          <cell r="L1487">
            <v>1.5428571</v>
          </cell>
          <cell r="M1487">
            <v>2.5390049000000001</v>
          </cell>
          <cell r="N1487">
            <v>0</v>
          </cell>
          <cell r="O1487">
            <v>3.0852000000000001E-2</v>
          </cell>
          <cell r="P1487">
            <v>2.3451428999999999</v>
          </cell>
          <cell r="Q1487">
            <v>6.4218805999999997</v>
          </cell>
          <cell r="R1487">
            <v>0</v>
          </cell>
          <cell r="S1487">
            <v>0</v>
          </cell>
          <cell r="T1487">
            <v>0</v>
          </cell>
          <cell r="U1487">
            <v>82.285713999999999</v>
          </cell>
          <cell r="V1487">
            <v>0</v>
          </cell>
          <cell r="W1487">
            <v>0</v>
          </cell>
          <cell r="X1487">
            <v>0.8032937</v>
          </cell>
          <cell r="Y1487">
            <v>0</v>
          </cell>
          <cell r="Z1487">
            <v>0</v>
          </cell>
          <cell r="AA1487">
            <v>0</v>
          </cell>
          <cell r="AB1487">
            <v>5.10264E-2</v>
          </cell>
        </row>
        <row r="1488">
          <cell r="A1488">
            <v>27341310</v>
          </cell>
          <cell r="B1488" t="str">
            <v>Chicken or turkey stew with potatoes and vegetables including carrots, broccoli, and/or dark-green leafy; gravy</v>
          </cell>
          <cell r="I1488">
            <v>252</v>
          </cell>
          <cell r="J1488">
            <v>164.25583</v>
          </cell>
          <cell r="K1488">
            <v>0.65180884920634918</v>
          </cell>
          <cell r="L1488">
            <v>1.5369748999999999</v>
          </cell>
          <cell r="M1488">
            <v>0.998556</v>
          </cell>
          <cell r="N1488">
            <v>0</v>
          </cell>
          <cell r="O1488">
            <v>3.5994499999999999E-2</v>
          </cell>
          <cell r="P1488">
            <v>1.1347940999999999</v>
          </cell>
          <cell r="Q1488">
            <v>1.3946862</v>
          </cell>
          <cell r="R1488">
            <v>0</v>
          </cell>
          <cell r="S1488">
            <v>0</v>
          </cell>
          <cell r="T1488">
            <v>0</v>
          </cell>
          <cell r="U1488">
            <v>78.632153000000002</v>
          </cell>
          <cell r="V1488">
            <v>0</v>
          </cell>
          <cell r="W1488">
            <v>0</v>
          </cell>
          <cell r="X1488">
            <v>0.55584529999999999</v>
          </cell>
          <cell r="Y1488">
            <v>0</v>
          </cell>
          <cell r="Z1488">
            <v>0</v>
          </cell>
          <cell r="AA1488">
            <v>0</v>
          </cell>
          <cell r="AB1488">
            <v>7.8276000000000005E-3</v>
          </cell>
        </row>
        <row r="1489">
          <cell r="A1489">
            <v>27341510</v>
          </cell>
          <cell r="B1489" t="str">
            <v>Chicken or turkey stew with potatoes and vegetables including carrots, broccoli, and/or dark-green leafy; tomato-based sauce</v>
          </cell>
          <cell r="I1489">
            <v>247</v>
          </cell>
          <cell r="J1489">
            <v>172.53515999999999</v>
          </cell>
          <cell r="K1489">
            <v>0.69852291497975705</v>
          </cell>
          <cell r="L1489">
            <v>2.4390903000000002</v>
          </cell>
          <cell r="M1489">
            <v>1.0008144000000001</v>
          </cell>
          <cell r="N1489">
            <v>0</v>
          </cell>
          <cell r="O1489">
            <v>5.7968400000000003E-2</v>
          </cell>
          <cell r="P1489">
            <v>1.6132957000000001</v>
          </cell>
          <cell r="Q1489">
            <v>1.4385011999999999</v>
          </cell>
          <cell r="R1489">
            <v>0</v>
          </cell>
          <cell r="S1489">
            <v>0</v>
          </cell>
          <cell r="T1489">
            <v>0</v>
          </cell>
          <cell r="U1489">
            <v>126.1653</v>
          </cell>
          <cell r="V1489">
            <v>0</v>
          </cell>
          <cell r="W1489">
            <v>0</v>
          </cell>
          <cell r="X1489">
            <v>0.62710189999999999</v>
          </cell>
          <cell r="Y1489">
            <v>0</v>
          </cell>
          <cell r="Z1489">
            <v>0</v>
          </cell>
          <cell r="AA1489">
            <v>0</v>
          </cell>
          <cell r="AB1489">
            <v>7.6427999999999999E-3</v>
          </cell>
        </row>
        <row r="1490">
          <cell r="A1490">
            <v>27341520</v>
          </cell>
          <cell r="B1490" t="str">
            <v>Chicken or turkey stew with potatoes and vegetables excluding carrots, broccoli, and dark-green leafy; tomato- based sauce</v>
          </cell>
          <cell r="I1490">
            <v>247</v>
          </cell>
          <cell r="J1490">
            <v>182.19936999999999</v>
          </cell>
          <cell r="K1490">
            <v>0.73764927125506063</v>
          </cell>
          <cell r="L1490">
            <v>1.6536914</v>
          </cell>
          <cell r="M1490">
            <v>0.98163230000000001</v>
          </cell>
          <cell r="N1490">
            <v>0</v>
          </cell>
          <cell r="O1490">
            <v>5.50714E-2</v>
          </cell>
          <cell r="P1490">
            <v>3.0522111000000001</v>
          </cell>
          <cell r="Q1490">
            <v>1.4213222000000001</v>
          </cell>
          <cell r="R1490">
            <v>0</v>
          </cell>
          <cell r="S1490">
            <v>0</v>
          </cell>
          <cell r="T1490">
            <v>0</v>
          </cell>
          <cell r="U1490">
            <v>96.879216</v>
          </cell>
          <cell r="V1490">
            <v>0</v>
          </cell>
          <cell r="W1490">
            <v>0</v>
          </cell>
          <cell r="X1490">
            <v>0.62556100000000003</v>
          </cell>
          <cell r="Y1490">
            <v>0</v>
          </cell>
          <cell r="Z1490">
            <v>0</v>
          </cell>
          <cell r="AA1490">
            <v>0</v>
          </cell>
          <cell r="AB1490">
            <v>7.4009000000000002E-3</v>
          </cell>
        </row>
        <row r="1491">
          <cell r="A1491">
            <v>27343010</v>
          </cell>
          <cell r="B1491" t="str">
            <v>Chicken or turkey, noodles, and vegetables including carrots, broccoli, and/or dark-green leafy; no sauce</v>
          </cell>
          <cell r="I1491">
            <v>162</v>
          </cell>
          <cell r="J1491">
            <v>224.86005</v>
          </cell>
          <cell r="K1491">
            <v>1.3880250000000001</v>
          </cell>
          <cell r="L1491">
            <v>1.1584563000000001</v>
          </cell>
          <cell r="M1491">
            <v>1.4749056</v>
          </cell>
          <cell r="N1491">
            <v>0</v>
          </cell>
          <cell r="O1491">
            <v>2.7785000000000001E-2</v>
          </cell>
          <cell r="P1491">
            <v>1.1032917</v>
          </cell>
          <cell r="Q1491">
            <v>2.7310308000000001</v>
          </cell>
          <cell r="R1491">
            <v>0</v>
          </cell>
          <cell r="S1491">
            <v>0</v>
          </cell>
          <cell r="T1491">
            <v>0</v>
          </cell>
          <cell r="U1491">
            <v>36.776389999999999</v>
          </cell>
          <cell r="V1491">
            <v>0</v>
          </cell>
          <cell r="W1491">
            <v>0</v>
          </cell>
          <cell r="X1491">
            <v>0.54029210000000005</v>
          </cell>
          <cell r="Y1491">
            <v>0</v>
          </cell>
          <cell r="Z1491">
            <v>0</v>
          </cell>
          <cell r="AA1491">
            <v>0</v>
          </cell>
          <cell r="AB1491">
            <v>4.2952499999999998E-2</v>
          </cell>
        </row>
        <row r="1492">
          <cell r="A1492">
            <v>27343020</v>
          </cell>
          <cell r="B1492" t="str">
            <v>Chicken or turkey, noodles, and vegetables excluding carrots, broccoli, and dark-green leafy; no sauce</v>
          </cell>
          <cell r="I1492">
            <v>162</v>
          </cell>
          <cell r="J1492">
            <v>232.2157</v>
          </cell>
          <cell r="K1492">
            <v>1.4334302469135802</v>
          </cell>
          <cell r="L1492">
            <v>0.55183380000000004</v>
          </cell>
          <cell r="M1492">
            <v>1.4644849</v>
          </cell>
          <cell r="N1492">
            <v>0</v>
          </cell>
          <cell r="O1492">
            <v>2.35724E-2</v>
          </cell>
          <cell r="P1492">
            <v>1.5451345999999999</v>
          </cell>
          <cell r="Q1492">
            <v>2.6962853</v>
          </cell>
          <cell r="R1492">
            <v>0</v>
          </cell>
          <cell r="S1492">
            <v>0</v>
          </cell>
          <cell r="T1492">
            <v>0</v>
          </cell>
          <cell r="U1492">
            <v>18.394459000000001</v>
          </cell>
          <cell r="V1492">
            <v>0</v>
          </cell>
          <cell r="W1492">
            <v>0</v>
          </cell>
          <cell r="X1492">
            <v>0.54222610000000004</v>
          </cell>
          <cell r="Y1492">
            <v>0</v>
          </cell>
          <cell r="Z1492">
            <v>0</v>
          </cell>
          <cell r="AA1492">
            <v>0</v>
          </cell>
          <cell r="AB1492">
            <v>4.26413E-2</v>
          </cell>
        </row>
        <row r="1493">
          <cell r="A1493">
            <v>27343410</v>
          </cell>
          <cell r="B1493" t="str">
            <v>Chicken or turkey, noodles, and vegetables including carrots, broccoli, and/or dark-green leafy; gravy</v>
          </cell>
          <cell r="I1493">
            <v>224</v>
          </cell>
          <cell r="J1493">
            <v>273.91349000000002</v>
          </cell>
          <cell r="K1493">
            <v>1.222828080357143</v>
          </cell>
          <cell r="L1493">
            <v>1.1856831000000001</v>
          </cell>
          <cell r="M1493">
            <v>2.1277539000000001</v>
          </cell>
          <cell r="N1493">
            <v>0</v>
          </cell>
          <cell r="O1493">
            <v>3.4052699999999998E-2</v>
          </cell>
          <cell r="P1493">
            <v>1.1856831000000001</v>
          </cell>
          <cell r="Q1493">
            <v>3.8002201000000002</v>
          </cell>
          <cell r="R1493">
            <v>0</v>
          </cell>
          <cell r="S1493">
            <v>0</v>
          </cell>
          <cell r="T1493">
            <v>0</v>
          </cell>
          <cell r="U1493">
            <v>37.640732999999997</v>
          </cell>
          <cell r="V1493">
            <v>0</v>
          </cell>
          <cell r="W1493">
            <v>0</v>
          </cell>
          <cell r="X1493">
            <v>0.71427830000000003</v>
          </cell>
          <cell r="Y1493">
            <v>0</v>
          </cell>
          <cell r="Z1493">
            <v>0</v>
          </cell>
          <cell r="AA1493">
            <v>0</v>
          </cell>
          <cell r="AB1493">
            <v>5.6841700000000002E-2</v>
          </cell>
        </row>
        <row r="1494">
          <cell r="A1494">
            <v>27343470</v>
          </cell>
          <cell r="B1494" t="str">
            <v>Chicken or turkey, noodles, and vegetables (including carrots, broccoli, and/or dark-green leafy), cream sauce, white sauce, or mushroom soup-based sauce (mixture)</v>
          </cell>
          <cell r="I1494">
            <v>224</v>
          </cell>
          <cell r="J1494">
            <v>270.53287999999998</v>
          </cell>
          <cell r="K1494">
            <v>1.2077360714285714</v>
          </cell>
          <cell r="L1494">
            <v>1.2295134000000001</v>
          </cell>
          <cell r="M1494">
            <v>2.0577975999999998</v>
          </cell>
          <cell r="N1494">
            <v>0</v>
          </cell>
          <cell r="O1494">
            <v>5.1359599999999998E-2</v>
          </cell>
          <cell r="P1494">
            <v>1.2834190000000001</v>
          </cell>
          <cell r="Q1494">
            <v>4.4588014999999999</v>
          </cell>
          <cell r="R1494">
            <v>0</v>
          </cell>
          <cell r="S1494">
            <v>0</v>
          </cell>
          <cell r="T1494">
            <v>0</v>
          </cell>
          <cell r="U1494">
            <v>45.162979</v>
          </cell>
          <cell r="V1494">
            <v>0</v>
          </cell>
          <cell r="W1494">
            <v>0</v>
          </cell>
          <cell r="X1494">
            <v>0.65605469999999999</v>
          </cell>
          <cell r="Y1494">
            <v>0</v>
          </cell>
          <cell r="Z1494">
            <v>0</v>
          </cell>
          <cell r="AA1494">
            <v>0</v>
          </cell>
          <cell r="AB1494">
            <v>0.28175149999999999</v>
          </cell>
        </row>
        <row r="1495">
          <cell r="A1495">
            <v>27343480</v>
          </cell>
          <cell r="B1495" t="str">
            <v>Chicken or turkey, noodles, and vegetables excluding carrots, broccoli, and/or dark-green leafy; cream sauce, white sauce, or mushroom sauce</v>
          </cell>
          <cell r="I1495">
            <v>224</v>
          </cell>
          <cell r="J1495">
            <v>278.92885000000001</v>
          </cell>
          <cell r="K1495">
            <v>1.2452180803571429</v>
          </cell>
          <cell r="L1495">
            <v>0.65259389999999995</v>
          </cell>
          <cell r="M1495">
            <v>2.2395421</v>
          </cell>
          <cell r="N1495">
            <v>0</v>
          </cell>
          <cell r="O1495">
            <v>4.9240699999999998E-2</v>
          </cell>
          <cell r="P1495">
            <v>1.7025463000000001</v>
          </cell>
          <cell r="Q1495">
            <v>4.4883939000000002</v>
          </cell>
          <cell r="R1495">
            <v>0</v>
          </cell>
          <cell r="S1495">
            <v>0</v>
          </cell>
          <cell r="T1495">
            <v>0</v>
          </cell>
          <cell r="U1495">
            <v>27.703427000000001</v>
          </cell>
          <cell r="V1495">
            <v>0</v>
          </cell>
          <cell r="W1495">
            <v>0</v>
          </cell>
          <cell r="X1495">
            <v>0.73491890000000004</v>
          </cell>
          <cell r="Y1495">
            <v>0</v>
          </cell>
          <cell r="Z1495">
            <v>0</v>
          </cell>
          <cell r="AA1495">
            <v>0</v>
          </cell>
          <cell r="AB1495">
            <v>0.28563159999999999</v>
          </cell>
        </row>
        <row r="1496">
          <cell r="A1496">
            <v>27343510</v>
          </cell>
          <cell r="B1496" t="str">
            <v>Chicken or turkey, noodles, and vegetables (including carrots, broccoli, and/or dark-green leafy), tomato-based sauce (mixture)</v>
          </cell>
          <cell r="I1496">
            <v>224</v>
          </cell>
          <cell r="J1496">
            <v>274.12373000000002</v>
          </cell>
          <cell r="K1496">
            <v>1.2237666517857144</v>
          </cell>
          <cell r="L1496">
            <v>2.016</v>
          </cell>
          <cell r="M1496">
            <v>1.8518169</v>
          </cell>
          <cell r="N1496">
            <v>0</v>
          </cell>
          <cell r="O1496">
            <v>3.3938299999999998E-2</v>
          </cell>
          <cell r="P1496">
            <v>1.1200000000000001</v>
          </cell>
          <cell r="Q1496">
            <v>4.3484723000000001</v>
          </cell>
          <cell r="R1496">
            <v>0</v>
          </cell>
          <cell r="S1496">
            <v>0</v>
          </cell>
          <cell r="T1496">
            <v>0</v>
          </cell>
          <cell r="U1496">
            <v>93.333332999999996</v>
          </cell>
          <cell r="V1496">
            <v>0</v>
          </cell>
          <cell r="W1496">
            <v>0</v>
          </cell>
          <cell r="X1496">
            <v>0.67323670000000002</v>
          </cell>
          <cell r="Y1496">
            <v>0</v>
          </cell>
          <cell r="Z1496">
            <v>0</v>
          </cell>
          <cell r="AA1496">
            <v>0</v>
          </cell>
          <cell r="AB1496">
            <v>5.6832100000000003E-2</v>
          </cell>
        </row>
        <row r="1497">
          <cell r="A1497">
            <v>27343520</v>
          </cell>
          <cell r="B1497" t="str">
            <v>Chicken or turkey, noodles, and vegetables excluding carrots, broccoli, and dark-green leafy; tomato-based sauce</v>
          </cell>
          <cell r="I1497">
            <v>224</v>
          </cell>
          <cell r="J1497">
            <v>282.98106999999999</v>
          </cell>
          <cell r="K1497">
            <v>1.2633083482142857</v>
          </cell>
          <cell r="L1497">
            <v>1.4</v>
          </cell>
          <cell r="M1497">
            <v>2.0324729000000001</v>
          </cell>
          <cell r="N1497">
            <v>0</v>
          </cell>
          <cell r="O1497">
            <v>3.1717000000000002E-2</v>
          </cell>
          <cell r="P1497">
            <v>1.5680000000000001</v>
          </cell>
          <cell r="Q1497">
            <v>4.3801402999999999</v>
          </cell>
          <cell r="R1497">
            <v>0</v>
          </cell>
          <cell r="S1497">
            <v>0</v>
          </cell>
          <cell r="T1497">
            <v>0</v>
          </cell>
          <cell r="U1497">
            <v>74.666667000000004</v>
          </cell>
          <cell r="V1497">
            <v>0</v>
          </cell>
          <cell r="W1497">
            <v>0</v>
          </cell>
          <cell r="X1497">
            <v>0.72889130000000002</v>
          </cell>
          <cell r="Y1497">
            <v>0</v>
          </cell>
          <cell r="Z1497">
            <v>0</v>
          </cell>
          <cell r="AA1497">
            <v>0</v>
          </cell>
          <cell r="AB1497">
            <v>0.19962630000000001</v>
          </cell>
        </row>
        <row r="1498">
          <cell r="A1498">
            <v>27343910</v>
          </cell>
          <cell r="B1498" t="str">
            <v>Chicken or turkey chow mein or chop suey with noodles</v>
          </cell>
          <cell r="I1498">
            <v>220</v>
          </cell>
          <cell r="J1498">
            <v>288.43817999999999</v>
          </cell>
          <cell r="K1498">
            <v>1.3110826363636363</v>
          </cell>
          <cell r="L1498">
            <v>1.3810039999999999</v>
          </cell>
          <cell r="M1498">
            <v>1.9887513000000001</v>
          </cell>
          <cell r="N1498">
            <v>0</v>
          </cell>
          <cell r="O1498">
            <v>4.68685E-2</v>
          </cell>
          <cell r="P1498">
            <v>1.1629541000000001</v>
          </cell>
          <cell r="Q1498">
            <v>2.7491395000000001</v>
          </cell>
          <cell r="R1498">
            <v>0</v>
          </cell>
          <cell r="S1498">
            <v>0</v>
          </cell>
          <cell r="T1498">
            <v>0</v>
          </cell>
          <cell r="U1498">
            <v>115.08365999999999</v>
          </cell>
          <cell r="V1498">
            <v>0</v>
          </cell>
          <cell r="W1498">
            <v>0</v>
          </cell>
          <cell r="X1498">
            <v>0.98070570000000001</v>
          </cell>
          <cell r="Y1498">
            <v>0</v>
          </cell>
          <cell r="Z1498">
            <v>0</v>
          </cell>
          <cell r="AA1498">
            <v>0</v>
          </cell>
          <cell r="AB1498">
            <v>0.26416339999999999</v>
          </cell>
        </row>
        <row r="1499">
          <cell r="A1499">
            <v>27343950</v>
          </cell>
          <cell r="B1499" t="str">
            <v>Chicken or turkey, noodles, and vegetables including carrots, broccoli, and/or dark-green leafy; cheese sauce</v>
          </cell>
          <cell r="I1499">
            <v>244</v>
          </cell>
          <cell r="J1499">
            <v>336.58852999999999</v>
          </cell>
          <cell r="K1499">
            <v>1.3794611885245902</v>
          </cell>
          <cell r="L1499">
            <v>1.3316007999999999</v>
          </cell>
          <cell r="M1499">
            <v>6.0669848000000002</v>
          </cell>
          <cell r="N1499">
            <v>0</v>
          </cell>
          <cell r="O1499">
            <v>0.22904720000000001</v>
          </cell>
          <cell r="P1499">
            <v>1.3316007999999999</v>
          </cell>
          <cell r="Q1499">
            <v>1.8485262</v>
          </cell>
          <cell r="R1499">
            <v>0</v>
          </cell>
          <cell r="S1499">
            <v>0</v>
          </cell>
          <cell r="T1499">
            <v>0</v>
          </cell>
          <cell r="U1499">
            <v>42.273041999999997</v>
          </cell>
          <cell r="V1499">
            <v>0</v>
          </cell>
          <cell r="W1499">
            <v>0</v>
          </cell>
          <cell r="X1499">
            <v>0.80255410000000005</v>
          </cell>
          <cell r="Y1499">
            <v>0</v>
          </cell>
          <cell r="Z1499">
            <v>0</v>
          </cell>
          <cell r="AA1499">
            <v>0</v>
          </cell>
          <cell r="AB1499">
            <v>0.28425529999999999</v>
          </cell>
        </row>
        <row r="1500">
          <cell r="A1500">
            <v>27343960</v>
          </cell>
          <cell r="B1500" t="str">
            <v>Chicken or turkey, noodles, and vegetables (excluding carrots, broccoli, and dark-green leafy), cheese sauce (mixture)</v>
          </cell>
          <cell r="I1500">
            <v>244</v>
          </cell>
          <cell r="J1500">
            <v>345.15938999999997</v>
          </cell>
          <cell r="K1500">
            <v>1.4145876639344261</v>
          </cell>
          <cell r="L1500">
            <v>0.63409559999999998</v>
          </cell>
          <cell r="M1500">
            <v>5.8662301000000001</v>
          </cell>
          <cell r="N1500">
            <v>0</v>
          </cell>
          <cell r="O1500">
            <v>0.2218396</v>
          </cell>
          <cell r="P1500">
            <v>1.8388773</v>
          </cell>
          <cell r="Q1500">
            <v>1.8177407999999999</v>
          </cell>
          <cell r="R1500">
            <v>0</v>
          </cell>
          <cell r="S1500">
            <v>0</v>
          </cell>
          <cell r="T1500">
            <v>0</v>
          </cell>
          <cell r="U1500">
            <v>21.136520999999998</v>
          </cell>
          <cell r="V1500">
            <v>0</v>
          </cell>
          <cell r="W1500">
            <v>0</v>
          </cell>
          <cell r="X1500">
            <v>0.71078989999999997</v>
          </cell>
          <cell r="Y1500">
            <v>0</v>
          </cell>
          <cell r="Z1500">
            <v>0</v>
          </cell>
          <cell r="AA1500">
            <v>0</v>
          </cell>
          <cell r="AB1500">
            <v>0.3069422</v>
          </cell>
        </row>
        <row r="1501">
          <cell r="A1501">
            <v>27345010</v>
          </cell>
          <cell r="B1501" t="str">
            <v>Chicken or turkey, rice, and vegetables including carrots, broccoli, and/or dark-green leafy; no sauce</v>
          </cell>
          <cell r="I1501">
            <v>162</v>
          </cell>
          <cell r="J1501">
            <v>230.48971</v>
          </cell>
          <cell r="K1501">
            <v>1.4227759876543209</v>
          </cell>
          <cell r="L1501">
            <v>1.1460977000000001</v>
          </cell>
          <cell r="M1501">
            <v>1.3844514000000001</v>
          </cell>
          <cell r="N1501">
            <v>0</v>
          </cell>
          <cell r="O1501">
            <v>2.5673700000000001E-2</v>
          </cell>
          <cell r="P1501">
            <v>0.36384050000000001</v>
          </cell>
          <cell r="Q1501">
            <v>2.9807842999999998</v>
          </cell>
          <cell r="R1501">
            <v>0</v>
          </cell>
          <cell r="S1501">
            <v>0</v>
          </cell>
          <cell r="T1501">
            <v>0</v>
          </cell>
          <cell r="U1501">
            <v>36.384053999999999</v>
          </cell>
          <cell r="V1501">
            <v>0</v>
          </cell>
          <cell r="W1501">
            <v>0</v>
          </cell>
          <cell r="X1501">
            <v>0.53089839999999999</v>
          </cell>
          <cell r="Y1501">
            <v>0</v>
          </cell>
          <cell r="Z1501">
            <v>0</v>
          </cell>
          <cell r="AA1501">
            <v>0</v>
          </cell>
          <cell r="AB1501">
            <v>2.22399E-2</v>
          </cell>
        </row>
        <row r="1502">
          <cell r="A1502">
            <v>27345020</v>
          </cell>
          <cell r="B1502" t="str">
            <v>Chicken or turkey, rice, and vegetables excluding carrots, broccoli, and dark-green leafy; no sauce</v>
          </cell>
          <cell r="I1502">
            <v>162</v>
          </cell>
          <cell r="J1502">
            <v>232.31392</v>
          </cell>
          <cell r="K1502">
            <v>1.4340365432098765</v>
          </cell>
          <cell r="L1502">
            <v>0.54828520000000003</v>
          </cell>
          <cell r="M1502">
            <v>1.2800202000000001</v>
          </cell>
          <cell r="N1502">
            <v>0</v>
          </cell>
          <cell r="O1502">
            <v>2.1604399999999999E-2</v>
          </cell>
          <cell r="P1502">
            <v>0.80415159999999997</v>
          </cell>
          <cell r="Q1502">
            <v>2.6580089999999998</v>
          </cell>
          <cell r="R1502">
            <v>0</v>
          </cell>
          <cell r="S1502">
            <v>0</v>
          </cell>
          <cell r="T1502">
            <v>0</v>
          </cell>
          <cell r="U1502">
            <v>18.276173</v>
          </cell>
          <cell r="V1502">
            <v>0</v>
          </cell>
          <cell r="W1502">
            <v>0</v>
          </cell>
          <cell r="X1502">
            <v>0.54925599999999997</v>
          </cell>
          <cell r="Y1502">
            <v>0</v>
          </cell>
          <cell r="Z1502">
            <v>0</v>
          </cell>
          <cell r="AA1502">
            <v>0</v>
          </cell>
          <cell r="AB1502">
            <v>1.9428500000000001E-2</v>
          </cell>
        </row>
        <row r="1503">
          <cell r="A1503">
            <v>27345210</v>
          </cell>
          <cell r="B1503" t="str">
            <v>Chicken or turkey, rice, and vegetables (including carrots, broccoli, and/or dark-green leafy), gravy (mixture)</v>
          </cell>
          <cell r="I1503">
            <v>252</v>
          </cell>
          <cell r="J1503">
            <v>314.95172000000002</v>
          </cell>
          <cell r="K1503">
            <v>1.2498084126984128</v>
          </cell>
          <cell r="L1503">
            <v>1.3223388</v>
          </cell>
          <cell r="M1503">
            <v>2.0998839999999999</v>
          </cell>
          <cell r="N1503">
            <v>0</v>
          </cell>
          <cell r="O1503">
            <v>3.3574100000000003E-2</v>
          </cell>
          <cell r="P1503">
            <v>0.48275859999999998</v>
          </cell>
          <cell r="Q1503">
            <v>4.5701263000000001</v>
          </cell>
          <cell r="R1503">
            <v>0</v>
          </cell>
          <cell r="S1503">
            <v>0</v>
          </cell>
          <cell r="T1503">
            <v>0</v>
          </cell>
          <cell r="U1503">
            <v>41.979010000000002</v>
          </cell>
          <cell r="V1503">
            <v>0</v>
          </cell>
          <cell r="W1503">
            <v>0</v>
          </cell>
          <cell r="X1503">
            <v>0.7481023</v>
          </cell>
          <cell r="Y1503">
            <v>0</v>
          </cell>
          <cell r="Z1503">
            <v>0</v>
          </cell>
          <cell r="AA1503">
            <v>0</v>
          </cell>
          <cell r="AB1503">
            <v>4.0395899999999998E-2</v>
          </cell>
        </row>
        <row r="1504">
          <cell r="A1504">
            <v>27345220</v>
          </cell>
          <cell r="B1504" t="str">
            <v>Chicken or turkey, rice, and vegetables (excluding carrots, broccoli, and dark-green leafy), gravy (mixture)</v>
          </cell>
          <cell r="I1504">
            <v>252</v>
          </cell>
          <cell r="J1504">
            <v>320.20679000000001</v>
          </cell>
          <cell r="K1504">
            <v>1.2706618650793651</v>
          </cell>
          <cell r="L1504">
            <v>0.63099910000000003</v>
          </cell>
          <cell r="M1504">
            <v>2.034243</v>
          </cell>
          <cell r="N1504">
            <v>0</v>
          </cell>
          <cell r="O1504">
            <v>2.88052E-2</v>
          </cell>
          <cell r="P1504">
            <v>0.98856520000000003</v>
          </cell>
          <cell r="Q1504">
            <v>4.3655974000000004</v>
          </cell>
          <cell r="R1504">
            <v>0</v>
          </cell>
          <cell r="S1504">
            <v>0</v>
          </cell>
          <cell r="T1504">
            <v>0</v>
          </cell>
          <cell r="U1504">
            <v>21.033303</v>
          </cell>
          <cell r="V1504">
            <v>0</v>
          </cell>
          <cell r="W1504">
            <v>0</v>
          </cell>
          <cell r="X1504">
            <v>0.73535799999999996</v>
          </cell>
          <cell r="Y1504">
            <v>0</v>
          </cell>
          <cell r="Z1504">
            <v>0</v>
          </cell>
          <cell r="AA1504">
            <v>0</v>
          </cell>
          <cell r="AB1504">
            <v>3.8616900000000003E-2</v>
          </cell>
        </row>
        <row r="1505">
          <cell r="A1505">
            <v>27345310</v>
          </cell>
          <cell r="B1505" t="str">
            <v>Chicken or turkey, rice, and vegetables including carrots, broccoli, and/or dark-green leafy; soy-based sauce</v>
          </cell>
          <cell r="I1505">
            <v>217</v>
          </cell>
          <cell r="J1505">
            <v>264.69323000000003</v>
          </cell>
          <cell r="K1505">
            <v>1.2197844700460831</v>
          </cell>
          <cell r="L1505">
            <v>2.3091868999999998</v>
          </cell>
          <cell r="M1505">
            <v>2.375321</v>
          </cell>
          <cell r="N1505">
            <v>0</v>
          </cell>
          <cell r="O1505">
            <v>4.8958300000000003E-2</v>
          </cell>
          <cell r="P1505">
            <v>0.1588405</v>
          </cell>
          <cell r="Q1505">
            <v>4.7326256999999998</v>
          </cell>
          <cell r="R1505">
            <v>0</v>
          </cell>
          <cell r="S1505">
            <v>0</v>
          </cell>
          <cell r="T1505">
            <v>0</v>
          </cell>
          <cell r="U1505">
            <v>90.827422999999996</v>
          </cell>
          <cell r="V1505">
            <v>0</v>
          </cell>
          <cell r="W1505">
            <v>0</v>
          </cell>
          <cell r="X1505">
            <v>0.63403209999999999</v>
          </cell>
          <cell r="Y1505">
            <v>0</v>
          </cell>
          <cell r="Z1505">
            <v>0</v>
          </cell>
          <cell r="AA1505">
            <v>0</v>
          </cell>
          <cell r="AB1505">
            <v>3.4583299999999997E-2</v>
          </cell>
        </row>
        <row r="1506">
          <cell r="A1506">
            <v>27345320</v>
          </cell>
          <cell r="B1506" t="str">
            <v>Chicken or turkey, rice, and vegetables excluding carrots, broccoli, and dark-green leafy; soy-based sauce</v>
          </cell>
          <cell r="I1506">
            <v>217</v>
          </cell>
          <cell r="J1506">
            <v>268.67732000000001</v>
          </cell>
          <cell r="K1506">
            <v>1.2381443317972352</v>
          </cell>
          <cell r="L1506">
            <v>1.5801703</v>
          </cell>
          <cell r="M1506">
            <v>2.4477373999999998</v>
          </cell>
          <cell r="N1506">
            <v>0</v>
          </cell>
          <cell r="O1506">
            <v>4.0081899999999997E-2</v>
          </cell>
          <cell r="P1506">
            <v>0.1642441</v>
          </cell>
          <cell r="Q1506">
            <v>4.8856294</v>
          </cell>
          <cell r="R1506">
            <v>0</v>
          </cell>
          <cell r="S1506">
            <v>0</v>
          </cell>
          <cell r="T1506">
            <v>0</v>
          </cell>
          <cell r="U1506">
            <v>86.535173</v>
          </cell>
          <cell r="V1506">
            <v>0</v>
          </cell>
          <cell r="W1506">
            <v>0</v>
          </cell>
          <cell r="X1506">
            <v>0.62794019999999995</v>
          </cell>
          <cell r="Y1506">
            <v>0</v>
          </cell>
          <cell r="Z1506">
            <v>0</v>
          </cell>
          <cell r="AA1506">
            <v>0</v>
          </cell>
          <cell r="AB1506">
            <v>3.5759800000000001E-2</v>
          </cell>
        </row>
        <row r="1507">
          <cell r="A1507">
            <v>27345410</v>
          </cell>
          <cell r="B1507" t="str">
            <v>Chicken or turkey, rice, and vegetables including carrots, broccoli, and/or dark-green leafy; cream sauce, white sauce, or mushroom sauce</v>
          </cell>
          <cell r="I1507">
            <v>252</v>
          </cell>
          <cell r="J1507">
            <v>312.25799000000001</v>
          </cell>
          <cell r="K1507">
            <v>1.239119007936508</v>
          </cell>
          <cell r="L1507">
            <v>1.3711529</v>
          </cell>
          <cell r="M1507">
            <v>2.4315916</v>
          </cell>
          <cell r="N1507">
            <v>0</v>
          </cell>
          <cell r="O1507">
            <v>5.7504300000000001E-2</v>
          </cell>
          <cell r="P1507">
            <v>0.65419479999999997</v>
          </cell>
          <cell r="Q1507">
            <v>5.3467409000000004</v>
          </cell>
          <cell r="R1507">
            <v>0</v>
          </cell>
          <cell r="S1507">
            <v>0</v>
          </cell>
          <cell r="T1507">
            <v>0</v>
          </cell>
          <cell r="U1507">
            <v>50.4</v>
          </cell>
          <cell r="V1507">
            <v>0</v>
          </cell>
          <cell r="W1507">
            <v>0</v>
          </cell>
          <cell r="X1507">
            <v>0.82975189999999999</v>
          </cell>
          <cell r="Y1507">
            <v>0</v>
          </cell>
          <cell r="Z1507">
            <v>0</v>
          </cell>
          <cell r="AA1507">
            <v>0</v>
          </cell>
          <cell r="AB1507">
            <v>6.0192200000000001E-2</v>
          </cell>
        </row>
        <row r="1508">
          <cell r="A1508">
            <v>27345440</v>
          </cell>
          <cell r="B1508" t="str">
            <v>Chicken or turkey, rice, and vegetables including carrots, broccoli, and/or dark-green leafy; cheese sauce</v>
          </cell>
          <cell r="I1508">
            <v>249</v>
          </cell>
          <cell r="J1508">
            <v>334.85798</v>
          </cell>
          <cell r="K1508">
            <v>1.3448111646586345</v>
          </cell>
          <cell r="L1508">
            <v>1.3588876999999999</v>
          </cell>
          <cell r="M1508">
            <v>5.8224672999999996</v>
          </cell>
          <cell r="N1508">
            <v>0</v>
          </cell>
          <cell r="O1508">
            <v>0.23158380000000001</v>
          </cell>
          <cell r="P1508">
            <v>0.49610189999999998</v>
          </cell>
          <cell r="Q1508">
            <v>1.3730481999999999</v>
          </cell>
          <cell r="R1508">
            <v>0</v>
          </cell>
          <cell r="S1508">
            <v>0</v>
          </cell>
          <cell r="T1508">
            <v>0</v>
          </cell>
          <cell r="U1508">
            <v>43.139293000000002</v>
          </cell>
          <cell r="V1508">
            <v>0</v>
          </cell>
          <cell r="W1508">
            <v>0</v>
          </cell>
          <cell r="X1508">
            <v>0.81468600000000002</v>
          </cell>
          <cell r="Y1508">
            <v>0</v>
          </cell>
          <cell r="Z1508">
            <v>0</v>
          </cell>
          <cell r="AA1508">
            <v>0</v>
          </cell>
          <cell r="AB1508">
            <v>0.24782080000000001</v>
          </cell>
        </row>
        <row r="1509">
          <cell r="A1509">
            <v>27345450</v>
          </cell>
          <cell r="B1509" t="str">
            <v>Chicken or turkey, rice, and vegetables excluding carrots, broccoli, and dark-green leafy; cheese sauce</v>
          </cell>
          <cell r="I1509">
            <v>249</v>
          </cell>
          <cell r="J1509">
            <v>344.34861999999998</v>
          </cell>
          <cell r="K1509">
            <v>1.3829261847389558</v>
          </cell>
          <cell r="L1509">
            <v>0.64708940000000004</v>
          </cell>
          <cell r="M1509">
            <v>5.8244084999999997</v>
          </cell>
          <cell r="N1509">
            <v>0</v>
          </cell>
          <cell r="O1509">
            <v>0.22662280000000001</v>
          </cell>
          <cell r="P1509">
            <v>1.0137734</v>
          </cell>
          <cell r="Q1509">
            <v>1.3756366</v>
          </cell>
          <cell r="R1509">
            <v>0</v>
          </cell>
          <cell r="S1509">
            <v>0</v>
          </cell>
          <cell r="T1509">
            <v>0</v>
          </cell>
          <cell r="U1509">
            <v>21.569647</v>
          </cell>
          <cell r="V1509">
            <v>0</v>
          </cell>
          <cell r="W1509">
            <v>0</v>
          </cell>
          <cell r="X1509">
            <v>0.80001860000000002</v>
          </cell>
          <cell r="Y1509">
            <v>0</v>
          </cell>
          <cell r="Z1509">
            <v>0</v>
          </cell>
          <cell r="AA1509">
            <v>0</v>
          </cell>
          <cell r="AB1509">
            <v>0.31521549999999998</v>
          </cell>
        </row>
        <row r="1510">
          <cell r="A1510">
            <v>27345510</v>
          </cell>
          <cell r="B1510" t="str">
            <v>Chicken or turkey, rice, and vegetables including carrots, broccoli, and/or dark-green leafy; tomato-based sauce</v>
          </cell>
          <cell r="I1510">
            <v>249</v>
          </cell>
          <cell r="J1510">
            <v>305.05083000000002</v>
          </cell>
          <cell r="K1510">
            <v>1.2251037349397591</v>
          </cell>
          <cell r="L1510">
            <v>2.2317011999999998</v>
          </cell>
          <cell r="M1510">
            <v>2.0360296</v>
          </cell>
          <cell r="N1510">
            <v>0</v>
          </cell>
          <cell r="O1510">
            <v>3.7799399999999997E-2</v>
          </cell>
          <cell r="P1510">
            <v>0.41327799999999998</v>
          </cell>
          <cell r="Q1510">
            <v>4.7800818999999999</v>
          </cell>
          <cell r="R1510">
            <v>0</v>
          </cell>
          <cell r="S1510">
            <v>0</v>
          </cell>
          <cell r="T1510">
            <v>0</v>
          </cell>
          <cell r="U1510">
            <v>103.31950000000001</v>
          </cell>
          <cell r="V1510">
            <v>0</v>
          </cell>
          <cell r="W1510">
            <v>0</v>
          </cell>
          <cell r="X1510">
            <v>0.81680269999999999</v>
          </cell>
          <cell r="Y1510">
            <v>0</v>
          </cell>
          <cell r="Z1510">
            <v>0</v>
          </cell>
          <cell r="AA1510">
            <v>0</v>
          </cell>
          <cell r="AB1510">
            <v>3.6611299999999999E-2</v>
          </cell>
        </row>
        <row r="1511">
          <cell r="A1511">
            <v>27345520</v>
          </cell>
          <cell r="B1511" t="str">
            <v>Chicken or turkey, rice, and vegetables excluding carrots, broccoli, and dark-green leafy; tomato-based sauce</v>
          </cell>
          <cell r="I1511">
            <v>249</v>
          </cell>
          <cell r="J1511">
            <v>314.14294999999998</v>
          </cell>
          <cell r="K1511">
            <v>1.2616182730923695</v>
          </cell>
          <cell r="L1511">
            <v>1.5497924999999999</v>
          </cell>
          <cell r="M1511">
            <v>2.0378894000000001</v>
          </cell>
          <cell r="N1511">
            <v>0</v>
          </cell>
          <cell r="O1511">
            <v>3.3046699999999998E-2</v>
          </cell>
          <cell r="P1511">
            <v>0.90921160000000001</v>
          </cell>
          <cell r="Q1511">
            <v>4.7825616000000002</v>
          </cell>
          <cell r="R1511">
            <v>0</v>
          </cell>
          <cell r="S1511">
            <v>0</v>
          </cell>
          <cell r="T1511">
            <v>0</v>
          </cell>
          <cell r="U1511">
            <v>82.655602000000002</v>
          </cell>
          <cell r="V1511">
            <v>0</v>
          </cell>
          <cell r="W1511">
            <v>0</v>
          </cell>
          <cell r="X1511">
            <v>0.8027512</v>
          </cell>
          <cell r="Y1511">
            <v>0</v>
          </cell>
          <cell r="Z1511">
            <v>0</v>
          </cell>
          <cell r="AA1511">
            <v>0</v>
          </cell>
          <cell r="AB1511">
            <v>3.6611299999999999E-2</v>
          </cell>
        </row>
        <row r="1512">
          <cell r="A1512">
            <v>27347100</v>
          </cell>
          <cell r="B1512" t="str">
            <v>Chicken or turkey pot pie</v>
          </cell>
          <cell r="I1512">
            <v>252</v>
          </cell>
          <cell r="J1512">
            <v>514.08000000000004</v>
          </cell>
          <cell r="K1512">
            <v>2.04</v>
          </cell>
          <cell r="L1512">
            <v>0.29644920000000002</v>
          </cell>
          <cell r="M1512">
            <v>10.9998</v>
          </cell>
          <cell r="N1512">
            <v>0</v>
          </cell>
          <cell r="O1512">
            <v>5.04E-2</v>
          </cell>
          <cell r="P1512">
            <v>2.4755508000000002</v>
          </cell>
          <cell r="Q1512">
            <v>8.32104</v>
          </cell>
          <cell r="R1512">
            <v>0</v>
          </cell>
          <cell r="S1512">
            <v>0</v>
          </cell>
          <cell r="T1512">
            <v>0</v>
          </cell>
          <cell r="U1512">
            <v>23.436</v>
          </cell>
          <cell r="V1512">
            <v>0</v>
          </cell>
          <cell r="W1512">
            <v>0</v>
          </cell>
          <cell r="X1512">
            <v>0.99036000000000002</v>
          </cell>
          <cell r="Y1512">
            <v>0</v>
          </cell>
          <cell r="Z1512">
            <v>0</v>
          </cell>
          <cell r="AA1512">
            <v>0</v>
          </cell>
          <cell r="AB1512">
            <v>0.2142</v>
          </cell>
        </row>
        <row r="1513">
          <cell r="A1513">
            <v>27347240</v>
          </cell>
          <cell r="B1513" t="str">
            <v>Chicken or turkey, dumplings, and vegetables including carrots, broccoli, and/or dark green leafy; gravy</v>
          </cell>
          <cell r="I1513">
            <v>249</v>
          </cell>
          <cell r="J1513">
            <v>298.96586000000002</v>
          </cell>
          <cell r="K1513">
            <v>1.2006661044176707</v>
          </cell>
          <cell r="L1513">
            <v>1.3182353</v>
          </cell>
          <cell r="M1513">
            <v>3.0692878000000001</v>
          </cell>
          <cell r="N1513">
            <v>0</v>
          </cell>
          <cell r="O1513">
            <v>0.17031850000000001</v>
          </cell>
          <cell r="P1513">
            <v>0.75501280000000004</v>
          </cell>
          <cell r="Q1513">
            <v>4.9434382000000001</v>
          </cell>
          <cell r="R1513">
            <v>0</v>
          </cell>
          <cell r="S1513">
            <v>0</v>
          </cell>
          <cell r="T1513">
            <v>0</v>
          </cell>
          <cell r="U1513">
            <v>41.848739000000002</v>
          </cell>
          <cell r="V1513">
            <v>0</v>
          </cell>
          <cell r="W1513">
            <v>0</v>
          </cell>
          <cell r="X1513">
            <v>0.81649570000000005</v>
          </cell>
          <cell r="Y1513">
            <v>0</v>
          </cell>
          <cell r="Z1513">
            <v>0</v>
          </cell>
          <cell r="AA1513">
            <v>0</v>
          </cell>
          <cell r="AB1513">
            <v>0.38845750000000001</v>
          </cell>
        </row>
        <row r="1514">
          <cell r="A1514">
            <v>27347250</v>
          </cell>
          <cell r="B1514" t="str">
            <v>Chicken or turkey, dumplings, and vegetables excluding carrots, broccoli, and dark green leafy; gravy</v>
          </cell>
          <cell r="I1514">
            <v>249</v>
          </cell>
          <cell r="J1514">
            <v>300.16849000000002</v>
          </cell>
          <cell r="K1514">
            <v>1.2054959437751005</v>
          </cell>
          <cell r="L1514">
            <v>0.63037969999999999</v>
          </cell>
          <cell r="M1514">
            <v>2.9404392000000001</v>
          </cell>
          <cell r="N1514">
            <v>0</v>
          </cell>
          <cell r="O1514">
            <v>0.1662016</v>
          </cell>
          <cell r="P1514">
            <v>1.2625023</v>
          </cell>
          <cell r="Q1514">
            <v>4.5340651000000003</v>
          </cell>
          <cell r="R1514">
            <v>0</v>
          </cell>
          <cell r="S1514">
            <v>0</v>
          </cell>
          <cell r="T1514">
            <v>0</v>
          </cell>
          <cell r="U1514">
            <v>21.012657999999998</v>
          </cell>
          <cell r="V1514">
            <v>0</v>
          </cell>
          <cell r="W1514">
            <v>0</v>
          </cell>
          <cell r="X1514">
            <v>0.805647</v>
          </cell>
          <cell r="Y1514">
            <v>0</v>
          </cell>
          <cell r="Z1514">
            <v>0</v>
          </cell>
          <cell r="AA1514">
            <v>0</v>
          </cell>
          <cell r="AB1514">
            <v>0.38637359999999998</v>
          </cell>
        </row>
        <row r="1515">
          <cell r="A1515">
            <v>27348100</v>
          </cell>
          <cell r="B1515" t="str">
            <v>Chicken fricassee, Puerto Rican style (Fricase de pollo)</v>
          </cell>
          <cell r="I1515">
            <v>140</v>
          </cell>
          <cell r="J1515">
            <v>211.08806999999999</v>
          </cell>
          <cell r="K1515">
            <v>1.5077719285714284</v>
          </cell>
          <cell r="L1515">
            <v>0.75159799999999999</v>
          </cell>
          <cell r="M1515">
            <v>1.9899036000000001</v>
          </cell>
          <cell r="N1515">
            <v>0</v>
          </cell>
          <cell r="O1515">
            <v>1.8658399999999999E-2</v>
          </cell>
          <cell r="P1515">
            <v>0.8387597</v>
          </cell>
          <cell r="Q1515">
            <v>4.2003962000000001</v>
          </cell>
          <cell r="R1515">
            <v>0</v>
          </cell>
          <cell r="S1515">
            <v>0</v>
          </cell>
          <cell r="T1515">
            <v>0</v>
          </cell>
          <cell r="U1515">
            <v>37.392530999999998</v>
          </cell>
          <cell r="V1515">
            <v>0</v>
          </cell>
          <cell r="W1515">
            <v>0</v>
          </cell>
          <cell r="X1515">
            <v>0.84842200000000001</v>
          </cell>
          <cell r="Y1515">
            <v>0</v>
          </cell>
          <cell r="Z1515">
            <v>0</v>
          </cell>
          <cell r="AA1515">
            <v>9.2381548000000002</v>
          </cell>
          <cell r="AB1515">
            <v>3.1465199999999999E-2</v>
          </cell>
        </row>
        <row r="1516">
          <cell r="A1516">
            <v>27350050</v>
          </cell>
          <cell r="B1516" t="str">
            <v>Shrimp chow mein or chop suey with noodles</v>
          </cell>
          <cell r="I1516">
            <v>220</v>
          </cell>
          <cell r="J1516">
            <v>259.48444999999998</v>
          </cell>
          <cell r="K1516">
            <v>1.1794747727272727</v>
          </cell>
          <cell r="L1516">
            <v>1.3512899</v>
          </cell>
          <cell r="M1516">
            <v>1.3076573</v>
          </cell>
          <cell r="N1516">
            <v>0.18597949999999999</v>
          </cell>
          <cell r="O1516">
            <v>9.8157700000000001E-2</v>
          </cell>
          <cell r="P1516">
            <v>1.1379317</v>
          </cell>
          <cell r="Q1516">
            <v>2.5004572</v>
          </cell>
          <cell r="R1516">
            <v>0</v>
          </cell>
          <cell r="S1516">
            <v>0</v>
          </cell>
          <cell r="T1516">
            <v>0</v>
          </cell>
          <cell r="U1516">
            <v>112.60749</v>
          </cell>
          <cell r="V1516">
            <v>0</v>
          </cell>
          <cell r="W1516">
            <v>0</v>
          </cell>
          <cell r="X1516">
            <v>1.3815237</v>
          </cell>
          <cell r="Y1516">
            <v>0</v>
          </cell>
          <cell r="Z1516">
            <v>0</v>
          </cell>
          <cell r="AA1516">
            <v>0</v>
          </cell>
          <cell r="AB1516">
            <v>0.24040449999999999</v>
          </cell>
        </row>
        <row r="1517">
          <cell r="A1517">
            <v>27350060</v>
          </cell>
          <cell r="B1517" t="str">
            <v>Shrimp creole, with rice</v>
          </cell>
          <cell r="I1517">
            <v>243</v>
          </cell>
          <cell r="J1517">
            <v>257.84327000000002</v>
          </cell>
          <cell r="K1517">
            <v>1.0610834156378601</v>
          </cell>
          <cell r="L1517">
            <v>0.95475829999999995</v>
          </cell>
          <cell r="M1517">
            <v>1.3900018000000001</v>
          </cell>
          <cell r="N1517">
            <v>0.48898069999999999</v>
          </cell>
          <cell r="O1517">
            <v>0.160298</v>
          </cell>
          <cell r="P1517">
            <v>0.78127959999999996</v>
          </cell>
          <cell r="Q1517">
            <v>2.5655450000000002</v>
          </cell>
          <cell r="R1517">
            <v>0</v>
          </cell>
          <cell r="S1517">
            <v>0</v>
          </cell>
          <cell r="T1517">
            <v>0</v>
          </cell>
          <cell r="U1517">
            <v>51.322018999999997</v>
          </cell>
          <cell r="V1517">
            <v>0</v>
          </cell>
          <cell r="W1517">
            <v>0</v>
          </cell>
          <cell r="X1517">
            <v>0.91067670000000001</v>
          </cell>
          <cell r="Y1517">
            <v>0</v>
          </cell>
          <cell r="Z1517">
            <v>0</v>
          </cell>
          <cell r="AA1517">
            <v>0</v>
          </cell>
          <cell r="AB1517">
            <v>1.1142726000000001</v>
          </cell>
        </row>
        <row r="1518">
          <cell r="A1518">
            <v>27350080</v>
          </cell>
          <cell r="B1518" t="str">
            <v>Tuna noodle casserole with vegetables, cream or white sauce</v>
          </cell>
          <cell r="I1518">
            <v>224</v>
          </cell>
          <cell r="J1518">
            <v>299.70393000000001</v>
          </cell>
          <cell r="K1518">
            <v>1.3379639732142858</v>
          </cell>
          <cell r="L1518">
            <v>0.63025039999999999</v>
          </cell>
          <cell r="M1518">
            <v>4.7618776</v>
          </cell>
          <cell r="N1518">
            <v>0.12921199999999999</v>
          </cell>
          <cell r="O1518">
            <v>0.1129252</v>
          </cell>
          <cell r="P1518">
            <v>1.1903033999999999</v>
          </cell>
          <cell r="Q1518">
            <v>2.6630205999999998</v>
          </cell>
          <cell r="R1518">
            <v>0</v>
          </cell>
          <cell r="S1518">
            <v>0</v>
          </cell>
          <cell r="T1518">
            <v>0</v>
          </cell>
          <cell r="U1518">
            <v>34.505231999999999</v>
          </cell>
          <cell r="V1518">
            <v>0</v>
          </cell>
          <cell r="W1518">
            <v>0</v>
          </cell>
          <cell r="X1518">
            <v>0.4690203</v>
          </cell>
          <cell r="Y1518">
            <v>0</v>
          </cell>
          <cell r="Z1518">
            <v>0</v>
          </cell>
          <cell r="AA1518">
            <v>0</v>
          </cell>
          <cell r="AB1518">
            <v>0.79706200000000005</v>
          </cell>
        </row>
        <row r="1519">
          <cell r="A1519">
            <v>27350100</v>
          </cell>
          <cell r="B1519" t="str">
            <v>Fish, noodles, and vegetables (excluding carrots, broccoli, and dark-green leafy), cheese sauce (mixture)</v>
          </cell>
          <cell r="I1519">
            <v>224</v>
          </cell>
          <cell r="J1519">
            <v>314.69675999999998</v>
          </cell>
          <cell r="K1519">
            <v>1.40489625</v>
          </cell>
          <cell r="L1519">
            <v>0</v>
          </cell>
          <cell r="M1519">
            <v>6.9582166000000001</v>
          </cell>
          <cell r="N1519">
            <v>0.1298426</v>
          </cell>
          <cell r="O1519">
            <v>0.27484599999999998</v>
          </cell>
          <cell r="P1519">
            <v>2.4625397000000002</v>
          </cell>
          <cell r="Q1519">
            <v>1.8364754999999999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0.55018370000000005</v>
          </cell>
          <cell r="Y1519">
            <v>0</v>
          </cell>
          <cell r="Z1519">
            <v>0</v>
          </cell>
          <cell r="AA1519">
            <v>0</v>
          </cell>
          <cell r="AB1519">
            <v>0.56352069999999999</v>
          </cell>
        </row>
        <row r="1520">
          <cell r="A1520">
            <v>27350110</v>
          </cell>
          <cell r="B1520" t="str">
            <v>Bouillabaisse</v>
          </cell>
          <cell r="I1520">
            <v>227</v>
          </cell>
          <cell r="J1520">
            <v>178.69135</v>
          </cell>
          <cell r="K1520">
            <v>0.78718656387665198</v>
          </cell>
          <cell r="L1520">
            <v>0.48547750000000001</v>
          </cell>
          <cell r="M1520">
            <v>1.5762719999999999</v>
          </cell>
          <cell r="N1520">
            <v>0.37606309999999998</v>
          </cell>
          <cell r="O1520">
            <v>6.1318699999999997E-2</v>
          </cell>
          <cell r="P1520">
            <v>0</v>
          </cell>
          <cell r="Q1520">
            <v>1.0801498</v>
          </cell>
          <cell r="R1520">
            <v>0</v>
          </cell>
          <cell r="S1520">
            <v>0</v>
          </cell>
          <cell r="T1520">
            <v>0</v>
          </cell>
          <cell r="U1520">
            <v>32.780045000000001</v>
          </cell>
          <cell r="V1520">
            <v>0</v>
          </cell>
          <cell r="W1520">
            <v>0</v>
          </cell>
          <cell r="X1520">
            <v>0.64166880000000004</v>
          </cell>
          <cell r="Y1520">
            <v>0</v>
          </cell>
          <cell r="Z1520">
            <v>0</v>
          </cell>
          <cell r="AA1520">
            <v>0</v>
          </cell>
          <cell r="AB1520">
            <v>6.3302000000000002E-3</v>
          </cell>
        </row>
        <row r="1521">
          <cell r="A1521">
            <v>27351020</v>
          </cell>
          <cell r="B1521" t="str">
            <v>Codfish salad, Puerto Rican style (Gazpacho de bacalao)</v>
          </cell>
          <cell r="I1521">
            <v>224</v>
          </cell>
          <cell r="J1521">
            <v>356.64193999999998</v>
          </cell>
          <cell r="K1521">
            <v>1.5921515178571428</v>
          </cell>
          <cell r="L1521">
            <v>0.96263569999999998</v>
          </cell>
          <cell r="M1521">
            <v>3.2634660000000002</v>
          </cell>
          <cell r="N1521">
            <v>8.2016500000000006E-2</v>
          </cell>
          <cell r="O1521">
            <v>6.1758899999999999E-2</v>
          </cell>
          <cell r="P1521">
            <v>2.0401467000000002</v>
          </cell>
          <cell r="Q1521">
            <v>2.776437</v>
          </cell>
          <cell r="R1521">
            <v>0</v>
          </cell>
          <cell r="S1521">
            <v>0</v>
          </cell>
          <cell r="T1521">
            <v>0</v>
          </cell>
          <cell r="U1521">
            <v>59.541387999999998</v>
          </cell>
          <cell r="V1521">
            <v>0</v>
          </cell>
          <cell r="W1521">
            <v>0</v>
          </cell>
          <cell r="X1521">
            <v>0.83620519999999998</v>
          </cell>
          <cell r="Y1521">
            <v>0</v>
          </cell>
          <cell r="Z1521">
            <v>0</v>
          </cell>
          <cell r="AA1521">
            <v>0</v>
          </cell>
          <cell r="AB1521">
            <v>0.11206199999999999</v>
          </cell>
        </row>
        <row r="1522">
          <cell r="A1522">
            <v>27351040</v>
          </cell>
          <cell r="B1522" t="str">
            <v>Biscayne codfish, Puerto Rican style</v>
          </cell>
          <cell r="I1522">
            <v>224</v>
          </cell>
          <cell r="J1522">
            <v>305.42910999999998</v>
          </cell>
          <cell r="K1522">
            <v>1.3635228124999998</v>
          </cell>
          <cell r="L1522">
            <v>1.5583817</v>
          </cell>
          <cell r="M1522">
            <v>2.7490570999999999</v>
          </cell>
          <cell r="N1522">
            <v>8.77946E-2</v>
          </cell>
          <cell r="O1522">
            <v>4.1365199999999998E-2</v>
          </cell>
          <cell r="P1522">
            <v>1.5219218000000001</v>
          </cell>
          <cell r="Q1522">
            <v>2.2067288</v>
          </cell>
          <cell r="R1522">
            <v>0</v>
          </cell>
          <cell r="S1522">
            <v>0</v>
          </cell>
          <cell r="T1522">
            <v>0</v>
          </cell>
          <cell r="U1522">
            <v>78.352068000000003</v>
          </cell>
          <cell r="V1522">
            <v>0</v>
          </cell>
          <cell r="W1522">
            <v>0</v>
          </cell>
          <cell r="X1522">
            <v>0.5206383</v>
          </cell>
          <cell r="Y1522">
            <v>0</v>
          </cell>
          <cell r="Z1522">
            <v>0</v>
          </cell>
          <cell r="AA1522">
            <v>0</v>
          </cell>
          <cell r="AB1522">
            <v>9.1318999999999997E-2</v>
          </cell>
        </row>
        <row r="1523">
          <cell r="A1523">
            <v>27360010</v>
          </cell>
          <cell r="B1523" t="str">
            <v>Goulash, NFS</v>
          </cell>
          <cell r="I1523">
            <v>249</v>
          </cell>
          <cell r="J1523">
            <v>380.55613</v>
          </cell>
          <cell r="K1523">
            <v>1.5283378714859437</v>
          </cell>
          <cell r="L1523">
            <v>1.2098854999999999</v>
          </cell>
          <cell r="M1523">
            <v>8.1406658000000007</v>
          </cell>
          <cell r="N1523">
            <v>0</v>
          </cell>
          <cell r="O1523">
            <v>3.2561899999999998E-2</v>
          </cell>
          <cell r="P1523">
            <v>0.85889059999999995</v>
          </cell>
          <cell r="Q1523">
            <v>1.0423328000000001</v>
          </cell>
          <cell r="R1523">
            <v>0</v>
          </cell>
          <cell r="S1523">
            <v>0</v>
          </cell>
          <cell r="T1523">
            <v>0</v>
          </cell>
          <cell r="U1523">
            <v>83.733153000000001</v>
          </cell>
          <cell r="V1523">
            <v>0</v>
          </cell>
          <cell r="W1523">
            <v>0</v>
          </cell>
          <cell r="X1523">
            <v>0.61996390000000001</v>
          </cell>
          <cell r="Y1523">
            <v>0</v>
          </cell>
          <cell r="Z1523">
            <v>106.27669</v>
          </cell>
          <cell r="AA1523">
            <v>0</v>
          </cell>
          <cell r="AB1523">
            <v>0.4313534</v>
          </cell>
        </row>
        <row r="1524">
          <cell r="A1524">
            <v>27360090</v>
          </cell>
          <cell r="B1524" t="str">
            <v>Paella, NFS</v>
          </cell>
          <cell r="I1524">
            <v>240</v>
          </cell>
          <cell r="J1524">
            <v>361.76485000000002</v>
          </cell>
          <cell r="K1524">
            <v>1.5073535416666668</v>
          </cell>
          <cell r="L1524">
            <v>5.2671599999999999E-2</v>
          </cell>
          <cell r="M1524">
            <v>3.9550288</v>
          </cell>
          <cell r="N1524">
            <v>3.3189400000000001E-2</v>
          </cell>
          <cell r="O1524">
            <v>4.1976100000000002E-2</v>
          </cell>
          <cell r="P1524">
            <v>1.3366507999999999</v>
          </cell>
          <cell r="Q1524">
            <v>2.1242361999999999</v>
          </cell>
          <cell r="R1524">
            <v>0</v>
          </cell>
          <cell r="S1524">
            <v>0</v>
          </cell>
          <cell r="T1524">
            <v>0</v>
          </cell>
          <cell r="U1524">
            <v>2.5081693999999999</v>
          </cell>
          <cell r="V1524">
            <v>0</v>
          </cell>
          <cell r="W1524">
            <v>0</v>
          </cell>
          <cell r="X1524">
            <v>1.7478889</v>
          </cell>
          <cell r="Y1524">
            <v>0</v>
          </cell>
          <cell r="Z1524">
            <v>0</v>
          </cell>
          <cell r="AA1524">
            <v>17.158080999999999</v>
          </cell>
          <cell r="AB1524">
            <v>0.1142012</v>
          </cell>
        </row>
        <row r="1525">
          <cell r="A1525">
            <v>27360120</v>
          </cell>
          <cell r="B1525" t="str">
            <v>Chow mein or chop suey, various types of meat, with noodles</v>
          </cell>
          <cell r="I1525">
            <v>220</v>
          </cell>
          <cell r="J1525">
            <v>296.40609000000001</v>
          </cell>
          <cell r="K1525">
            <v>1.3473004090909091</v>
          </cell>
          <cell r="L1525">
            <v>1.3830446000000001</v>
          </cell>
          <cell r="M1525">
            <v>2.2788807000000002</v>
          </cell>
          <cell r="N1525">
            <v>0</v>
          </cell>
          <cell r="O1525">
            <v>4.6412099999999998E-2</v>
          </cell>
          <cell r="P1525">
            <v>1.1646725</v>
          </cell>
          <cell r="Q1525">
            <v>2.5551784</v>
          </cell>
          <cell r="R1525">
            <v>0</v>
          </cell>
          <cell r="S1525">
            <v>0</v>
          </cell>
          <cell r="T1525">
            <v>0</v>
          </cell>
          <cell r="U1525">
            <v>115.25371</v>
          </cell>
          <cell r="V1525">
            <v>0</v>
          </cell>
          <cell r="W1525">
            <v>0</v>
          </cell>
          <cell r="X1525">
            <v>0.80897079999999999</v>
          </cell>
          <cell r="Y1525">
            <v>0</v>
          </cell>
          <cell r="Z1525">
            <v>42.319054000000001</v>
          </cell>
          <cell r="AA1525">
            <v>0</v>
          </cell>
          <cell r="AB1525">
            <v>0.77329219999999999</v>
          </cell>
        </row>
        <row r="1526">
          <cell r="A1526">
            <v>27362000</v>
          </cell>
          <cell r="B1526" t="str">
            <v>Stewed tripe, with potatoes, Puerto Rican style</v>
          </cell>
          <cell r="I1526">
            <v>280</v>
          </cell>
          <cell r="J1526">
            <v>130.92230000000001</v>
          </cell>
          <cell r="K1526">
            <v>0.46757964285714287</v>
          </cell>
          <cell r="L1526">
            <v>1.5050173</v>
          </cell>
          <cell r="M1526">
            <v>1.1565448</v>
          </cell>
          <cell r="N1526">
            <v>0</v>
          </cell>
          <cell r="O1526">
            <v>5.2231800000000002E-2</v>
          </cell>
          <cell r="P1526">
            <v>0.50260579999999999</v>
          </cell>
          <cell r="Q1526">
            <v>1.4390038999999999</v>
          </cell>
          <cell r="R1526">
            <v>0</v>
          </cell>
          <cell r="S1526">
            <v>7.0351581999999997</v>
          </cell>
          <cell r="T1526">
            <v>0</v>
          </cell>
          <cell r="U1526">
            <v>49.792036000000003</v>
          </cell>
          <cell r="V1526">
            <v>0</v>
          </cell>
          <cell r="W1526">
            <v>0</v>
          </cell>
          <cell r="X1526">
            <v>0.68092509999999995</v>
          </cell>
          <cell r="Y1526">
            <v>0</v>
          </cell>
          <cell r="Z1526">
            <v>0</v>
          </cell>
          <cell r="AA1526">
            <v>7.9778694000000003</v>
          </cell>
          <cell r="AB1526">
            <v>0.171433</v>
          </cell>
        </row>
        <row r="1527">
          <cell r="A1527">
            <v>27363000</v>
          </cell>
          <cell r="B1527" t="str">
            <v>Gumbo with rice</v>
          </cell>
          <cell r="I1527">
            <v>244</v>
          </cell>
          <cell r="J1527">
            <v>161.93581</v>
          </cell>
          <cell r="K1527">
            <v>0.66367135245901643</v>
          </cell>
          <cell r="L1527">
            <v>1.2355822999999999</v>
          </cell>
          <cell r="M1527">
            <v>1.3946403999999999</v>
          </cell>
          <cell r="N1527">
            <v>1.3638300000000001E-2</v>
          </cell>
          <cell r="O1527">
            <v>4.8519199999999998E-2</v>
          </cell>
          <cell r="P1527">
            <v>0.4629626</v>
          </cell>
          <cell r="Q1527">
            <v>1.4898982999999999</v>
          </cell>
          <cell r="R1527">
            <v>0</v>
          </cell>
          <cell r="S1527">
            <v>0</v>
          </cell>
          <cell r="T1527">
            <v>0</v>
          </cell>
          <cell r="U1527">
            <v>67.784366000000006</v>
          </cell>
          <cell r="V1527">
            <v>0</v>
          </cell>
          <cell r="W1527">
            <v>0</v>
          </cell>
          <cell r="X1527">
            <v>0.7791555</v>
          </cell>
          <cell r="Y1527">
            <v>0</v>
          </cell>
          <cell r="Z1527">
            <v>21.102679999999999</v>
          </cell>
          <cell r="AA1527">
            <v>0</v>
          </cell>
          <cell r="AB1527">
            <v>1.6951899999999999E-2</v>
          </cell>
        </row>
        <row r="1528">
          <cell r="A1528">
            <v>27363100</v>
          </cell>
          <cell r="B1528" t="str">
            <v>Jambalaya with meat and rice</v>
          </cell>
          <cell r="I1528">
            <v>244</v>
          </cell>
          <cell r="J1528">
            <v>373.2045</v>
          </cell>
          <cell r="K1528">
            <v>1.5295266393442624</v>
          </cell>
          <cell r="L1528">
            <v>1.0078776</v>
          </cell>
          <cell r="M1528">
            <v>6.1883106999999997</v>
          </cell>
          <cell r="N1528">
            <v>0</v>
          </cell>
          <cell r="O1528">
            <v>4.0455199999999997E-2</v>
          </cell>
          <cell r="P1528">
            <v>0.50284989999999996</v>
          </cell>
          <cell r="Q1528">
            <v>2.9566374</v>
          </cell>
          <cell r="R1528">
            <v>0</v>
          </cell>
          <cell r="S1528">
            <v>0</v>
          </cell>
          <cell r="T1528">
            <v>0</v>
          </cell>
          <cell r="U1528">
            <v>56.627358999999998</v>
          </cell>
          <cell r="V1528">
            <v>0</v>
          </cell>
          <cell r="W1528">
            <v>0</v>
          </cell>
          <cell r="X1528">
            <v>0.87416499999999997</v>
          </cell>
          <cell r="Y1528">
            <v>0</v>
          </cell>
          <cell r="Z1528">
            <v>0</v>
          </cell>
          <cell r="AA1528">
            <v>21.516217000000001</v>
          </cell>
          <cell r="AB1528">
            <v>7.8830300000000006E-2</v>
          </cell>
        </row>
        <row r="1529">
          <cell r="A1529">
            <v>27410210</v>
          </cell>
          <cell r="B1529" t="str">
            <v>Beef and vegetables including carrots, broccoli, and/or dark-green leafy; no potatoes, no sauce</v>
          </cell>
          <cell r="I1529">
            <v>162</v>
          </cell>
          <cell r="J1529">
            <v>178.13636</v>
          </cell>
          <cell r="K1529">
            <v>1.0996071604938271</v>
          </cell>
          <cell r="L1529">
            <v>2.2274115999999999</v>
          </cell>
          <cell r="M1529">
            <v>2.5852054999999998</v>
          </cell>
          <cell r="N1529">
            <v>0</v>
          </cell>
          <cell r="O1529">
            <v>2.8993700000000001E-2</v>
          </cell>
          <cell r="P1529">
            <v>0</v>
          </cell>
          <cell r="Q1529">
            <v>2.5166083000000001</v>
          </cell>
          <cell r="R1529">
            <v>0</v>
          </cell>
          <cell r="S1529">
            <v>0</v>
          </cell>
          <cell r="T1529">
            <v>0</v>
          </cell>
          <cell r="U1529">
            <v>70.711479999999995</v>
          </cell>
          <cell r="V1529">
            <v>0</v>
          </cell>
          <cell r="W1529">
            <v>0</v>
          </cell>
          <cell r="X1529">
            <v>0.4862938</v>
          </cell>
          <cell r="Y1529">
            <v>0</v>
          </cell>
          <cell r="Z1529">
            <v>53.033610000000003</v>
          </cell>
          <cell r="AA1529">
            <v>0</v>
          </cell>
          <cell r="AB1529">
            <v>0.2508089</v>
          </cell>
        </row>
        <row r="1530">
          <cell r="A1530">
            <v>27410220</v>
          </cell>
          <cell r="B1530" t="str">
            <v>Beef and vegetables excluding carrots, broccoli, and dark-green leafy; no potatoes, no sauce</v>
          </cell>
          <cell r="I1530">
            <v>162</v>
          </cell>
          <cell r="J1530">
            <v>185.44401999999999</v>
          </cell>
          <cell r="K1530">
            <v>1.1447161728395061</v>
          </cell>
          <cell r="L1530">
            <v>0.92571429999999999</v>
          </cell>
          <cell r="M1530">
            <v>2.5122575999999999</v>
          </cell>
          <cell r="N1530">
            <v>0</v>
          </cell>
          <cell r="O1530">
            <v>1.8826699999999998E-2</v>
          </cell>
          <cell r="P1530">
            <v>0.74057139999999999</v>
          </cell>
          <cell r="Q1530">
            <v>2.9627015000000001</v>
          </cell>
          <cell r="R1530">
            <v>0</v>
          </cell>
          <cell r="S1530">
            <v>0</v>
          </cell>
          <cell r="T1530">
            <v>0</v>
          </cell>
          <cell r="U1530">
            <v>30.857143000000001</v>
          </cell>
          <cell r="V1530">
            <v>0</v>
          </cell>
          <cell r="W1530">
            <v>0</v>
          </cell>
          <cell r="X1530">
            <v>0.49986259999999999</v>
          </cell>
          <cell r="Y1530">
            <v>0</v>
          </cell>
          <cell r="Z1530">
            <v>46.285713999999999</v>
          </cell>
          <cell r="AA1530">
            <v>0</v>
          </cell>
          <cell r="AB1530">
            <v>0.29599979999999998</v>
          </cell>
        </row>
        <row r="1531">
          <cell r="A1531">
            <v>27410250</v>
          </cell>
          <cell r="B1531" t="str">
            <v>Beef shish kabob with vegetables, excluding potatoes</v>
          </cell>
          <cell r="I1531">
            <v>154</v>
          </cell>
          <cell r="J1531">
            <v>176.25235000000001</v>
          </cell>
          <cell r="K1531">
            <v>1.1444957792207793</v>
          </cell>
          <cell r="L1531">
            <v>1.3385826999999999</v>
          </cell>
          <cell r="M1531">
            <v>2.4247550000000002</v>
          </cell>
          <cell r="N1531">
            <v>0</v>
          </cell>
          <cell r="O1531">
            <v>2.0451199999999999E-2</v>
          </cell>
          <cell r="P1531">
            <v>9.2846999999999999E-3</v>
          </cell>
          <cell r="Q1531">
            <v>0.72584959999999998</v>
          </cell>
          <cell r="R1531">
            <v>0</v>
          </cell>
          <cell r="S1531">
            <v>0</v>
          </cell>
          <cell r="T1531">
            <v>2.2573748</v>
          </cell>
          <cell r="U1531">
            <v>82.982771</v>
          </cell>
          <cell r="V1531">
            <v>0</v>
          </cell>
          <cell r="W1531">
            <v>0</v>
          </cell>
          <cell r="X1531">
            <v>0.3052087</v>
          </cell>
          <cell r="Y1531">
            <v>0</v>
          </cell>
          <cell r="Z1531">
            <v>66.060980000000001</v>
          </cell>
          <cell r="AA1531">
            <v>0</v>
          </cell>
          <cell r="AB1531">
            <v>2.8524299999999999E-2</v>
          </cell>
        </row>
        <row r="1532">
          <cell r="A1532">
            <v>27411100</v>
          </cell>
          <cell r="B1532" t="str">
            <v>Beef with vegetables including carrots, broccoli, and/or dark-green leafy; no potatoes, tomato-based sauce</v>
          </cell>
          <cell r="I1532">
            <v>249</v>
          </cell>
          <cell r="J1532">
            <v>259.12088</v>
          </cell>
          <cell r="K1532">
            <v>1.0406461044176707</v>
          </cell>
          <cell r="L1532">
            <v>3.9488987</v>
          </cell>
          <cell r="M1532">
            <v>3.4686194000000001</v>
          </cell>
          <cell r="N1532">
            <v>0</v>
          </cell>
          <cell r="O1532">
            <v>4.4174600000000001E-2</v>
          </cell>
          <cell r="P1532">
            <v>0</v>
          </cell>
          <cell r="Q1532">
            <v>4.9944153</v>
          </cell>
          <cell r="R1532">
            <v>0</v>
          </cell>
          <cell r="S1532">
            <v>0</v>
          </cell>
          <cell r="T1532">
            <v>0</v>
          </cell>
          <cell r="U1532">
            <v>182.81938</v>
          </cell>
          <cell r="V1532">
            <v>0</v>
          </cell>
          <cell r="W1532">
            <v>0</v>
          </cell>
          <cell r="X1532">
            <v>0.70978889999999994</v>
          </cell>
          <cell r="Y1532">
            <v>0</v>
          </cell>
          <cell r="Z1532">
            <v>54.845815000000002</v>
          </cell>
          <cell r="AA1532">
            <v>0</v>
          </cell>
          <cell r="AB1532">
            <v>7.1471000000000007E-2</v>
          </cell>
        </row>
        <row r="1533">
          <cell r="A1533">
            <v>27411120</v>
          </cell>
          <cell r="B1533" t="str">
            <v>Swiss steak</v>
          </cell>
          <cell r="I1533">
            <v>249</v>
          </cell>
          <cell r="J1533">
            <v>284.52780999999999</v>
          </cell>
          <cell r="K1533">
            <v>1.1426819678714859</v>
          </cell>
          <cell r="L1533">
            <v>1.3384578</v>
          </cell>
          <cell r="M1533">
            <v>5.6262411999999999</v>
          </cell>
          <cell r="N1533">
            <v>0</v>
          </cell>
          <cell r="O1533">
            <v>3.7569499999999999E-2</v>
          </cell>
          <cell r="P1533">
            <v>0.61202630000000002</v>
          </cell>
          <cell r="Q1533">
            <v>2.3871649000000001</v>
          </cell>
          <cell r="R1533">
            <v>0</v>
          </cell>
          <cell r="S1533">
            <v>0</v>
          </cell>
          <cell r="T1533">
            <v>0</v>
          </cell>
          <cell r="U1533">
            <v>68.150372000000004</v>
          </cell>
          <cell r="V1533">
            <v>0</v>
          </cell>
          <cell r="W1533">
            <v>0</v>
          </cell>
          <cell r="X1533">
            <v>0.52503679999999997</v>
          </cell>
          <cell r="Y1533">
            <v>0</v>
          </cell>
          <cell r="Z1533">
            <v>74.928123999999997</v>
          </cell>
          <cell r="AA1533">
            <v>0</v>
          </cell>
          <cell r="AB1533">
            <v>0.14707229999999999</v>
          </cell>
        </row>
        <row r="1534">
          <cell r="A1534">
            <v>27411150</v>
          </cell>
          <cell r="B1534" t="str">
            <v>Beef rolls, stuffed with vegetables or meat mixture, tomato-based sauce</v>
          </cell>
          <cell r="I1534">
            <v>195</v>
          </cell>
          <cell r="J1534">
            <v>395.60750999999999</v>
          </cell>
          <cell r="K1534">
            <v>2.0287564615384617</v>
          </cell>
          <cell r="L1534">
            <v>1.1068522999999999</v>
          </cell>
          <cell r="M1534">
            <v>7.3135355999999998</v>
          </cell>
          <cell r="N1534">
            <v>0</v>
          </cell>
          <cell r="O1534">
            <v>2.4006199999999998E-2</v>
          </cell>
          <cell r="P1534">
            <v>0.3000777</v>
          </cell>
          <cell r="Q1534">
            <v>1.0680064</v>
          </cell>
          <cell r="R1534">
            <v>0</v>
          </cell>
          <cell r="S1534">
            <v>0</v>
          </cell>
          <cell r="T1534">
            <v>0</v>
          </cell>
          <cell r="U1534">
            <v>38.646372999999997</v>
          </cell>
          <cell r="V1534">
            <v>0</v>
          </cell>
          <cell r="W1534">
            <v>0</v>
          </cell>
          <cell r="X1534">
            <v>0.69166399999999995</v>
          </cell>
          <cell r="Y1534">
            <v>0</v>
          </cell>
          <cell r="Z1534">
            <v>123.68241999999999</v>
          </cell>
          <cell r="AA1534">
            <v>13.577152999999999</v>
          </cell>
          <cell r="AB1534">
            <v>0.24908659999999999</v>
          </cell>
        </row>
        <row r="1535">
          <cell r="A1535">
            <v>27411200</v>
          </cell>
          <cell r="B1535" t="str">
            <v>Beef with vegetables excluding carrots, broccoli, and dark-green leafy; no potatoes, tomato-based sauce</v>
          </cell>
          <cell r="I1535">
            <v>249</v>
          </cell>
          <cell r="J1535">
            <v>269.40406999999999</v>
          </cell>
          <cell r="K1535">
            <v>1.0819440562248996</v>
          </cell>
          <cell r="L1535">
            <v>2.5352972999999999</v>
          </cell>
          <cell r="M1535">
            <v>3.4410044000000002</v>
          </cell>
          <cell r="N1535">
            <v>0</v>
          </cell>
          <cell r="O1535">
            <v>3.3625299999999997E-2</v>
          </cell>
          <cell r="P1535">
            <v>0.81129510000000005</v>
          </cell>
          <cell r="Q1535">
            <v>5.317672</v>
          </cell>
          <cell r="R1535">
            <v>0</v>
          </cell>
          <cell r="S1535">
            <v>0</v>
          </cell>
          <cell r="T1535">
            <v>0</v>
          </cell>
          <cell r="U1535">
            <v>135.21585999999999</v>
          </cell>
          <cell r="V1535">
            <v>0</v>
          </cell>
          <cell r="W1535">
            <v>0</v>
          </cell>
          <cell r="X1535">
            <v>0.71252099999999996</v>
          </cell>
          <cell r="Y1535">
            <v>0</v>
          </cell>
          <cell r="Z1535">
            <v>50.705945999999997</v>
          </cell>
          <cell r="AA1535">
            <v>0</v>
          </cell>
          <cell r="AB1535">
            <v>0.36964429999999998</v>
          </cell>
        </row>
        <row r="1536">
          <cell r="A1536">
            <v>27415100</v>
          </cell>
          <cell r="B1536" t="str">
            <v>Beef and vegetables including carrots, broccoli, and/or dark-green leafy; no potatoes, soy-based sauce</v>
          </cell>
          <cell r="I1536">
            <v>217</v>
          </cell>
          <cell r="J1536">
            <v>290.14271000000002</v>
          </cell>
          <cell r="K1536">
            <v>1.3370631797235024</v>
          </cell>
          <cell r="L1536">
            <v>2.6554198000000002</v>
          </cell>
          <cell r="M1536">
            <v>4.0164771000000004</v>
          </cell>
          <cell r="N1536">
            <v>0</v>
          </cell>
          <cell r="O1536">
            <v>4.83554E-2</v>
          </cell>
          <cell r="P1536">
            <v>5.2511200000000001E-2</v>
          </cell>
          <cell r="Q1536">
            <v>5.0183514999999996</v>
          </cell>
          <cell r="R1536">
            <v>0</v>
          </cell>
          <cell r="S1536">
            <v>0</v>
          </cell>
          <cell r="T1536">
            <v>0</v>
          </cell>
          <cell r="U1536">
            <v>104.44583</v>
          </cell>
          <cell r="V1536">
            <v>0</v>
          </cell>
          <cell r="W1536">
            <v>0</v>
          </cell>
          <cell r="X1536">
            <v>0.5159781</v>
          </cell>
          <cell r="Y1536">
            <v>0</v>
          </cell>
          <cell r="Z1536">
            <v>70.056132000000005</v>
          </cell>
          <cell r="AA1536">
            <v>0</v>
          </cell>
          <cell r="AB1536">
            <v>0.1053742</v>
          </cell>
        </row>
        <row r="1537">
          <cell r="A1537">
            <v>27415110</v>
          </cell>
          <cell r="B1537" t="str">
            <v>Beef and broccoli</v>
          </cell>
          <cell r="I1537">
            <v>217</v>
          </cell>
          <cell r="J1537">
            <v>302.37786</v>
          </cell>
          <cell r="K1537">
            <v>1.3934463594470046</v>
          </cell>
          <cell r="L1537">
            <v>2.6442264</v>
          </cell>
          <cell r="M1537">
            <v>3.6704283000000002</v>
          </cell>
          <cell r="N1537">
            <v>0</v>
          </cell>
          <cell r="O1537">
            <v>6.6107299999999994E-2</v>
          </cell>
          <cell r="P1537">
            <v>0.12911</v>
          </cell>
          <cell r="Q1537">
            <v>6.8934756000000004</v>
          </cell>
          <cell r="R1537">
            <v>0</v>
          </cell>
          <cell r="S1537">
            <v>0</v>
          </cell>
          <cell r="T1537">
            <v>0</v>
          </cell>
          <cell r="U1537">
            <v>101.95698</v>
          </cell>
          <cell r="V1537">
            <v>0</v>
          </cell>
          <cell r="W1537">
            <v>0</v>
          </cell>
          <cell r="X1537">
            <v>0.86665899999999996</v>
          </cell>
          <cell r="Y1537">
            <v>0</v>
          </cell>
          <cell r="Z1537">
            <v>56.698321999999997</v>
          </cell>
          <cell r="AA1537">
            <v>0</v>
          </cell>
          <cell r="AB1537">
            <v>0.1405797</v>
          </cell>
        </row>
        <row r="1538">
          <cell r="A1538">
            <v>27415120</v>
          </cell>
          <cell r="B1538" t="str">
            <v>Beef, tofu, and vegetables including carrots, broccoli, and/or dark-green leafy; no potatoes, soy-based sauce</v>
          </cell>
          <cell r="I1538">
            <v>217</v>
          </cell>
          <cell r="J1538">
            <v>230.9479</v>
          </cell>
          <cell r="K1538">
            <v>1.0642760368663595</v>
          </cell>
          <cell r="L1538">
            <v>2.5635009000000002</v>
          </cell>
          <cell r="M1538">
            <v>2.8345460999999998</v>
          </cell>
          <cell r="N1538">
            <v>0</v>
          </cell>
          <cell r="O1538">
            <v>9.4098299999999996E-2</v>
          </cell>
          <cell r="P1538">
            <v>0.1408683</v>
          </cell>
          <cell r="Q1538">
            <v>5.6450037999999996</v>
          </cell>
          <cell r="R1538">
            <v>0</v>
          </cell>
          <cell r="S1538">
            <v>0</v>
          </cell>
          <cell r="T1538">
            <v>0</v>
          </cell>
          <cell r="U1538">
            <v>100.83037</v>
          </cell>
          <cell r="V1538">
            <v>0</v>
          </cell>
          <cell r="W1538">
            <v>0</v>
          </cell>
          <cell r="X1538">
            <v>0.48631809999999998</v>
          </cell>
          <cell r="Y1538">
            <v>0</v>
          </cell>
          <cell r="Z1538">
            <v>30.055282999999999</v>
          </cell>
          <cell r="AA1538">
            <v>0</v>
          </cell>
          <cell r="AB1538">
            <v>0.32714130000000002</v>
          </cell>
        </row>
        <row r="1539">
          <cell r="A1539">
            <v>27415150</v>
          </cell>
          <cell r="B1539" t="str">
            <v>Beef chow mein or chop suey, no noodles</v>
          </cell>
          <cell r="I1539">
            <v>220</v>
          </cell>
          <cell r="J1539">
            <v>179.52121</v>
          </cell>
          <cell r="K1539">
            <v>0.81600549999999994</v>
          </cell>
          <cell r="L1539">
            <v>1.5771925</v>
          </cell>
          <cell r="M1539">
            <v>1.6447832</v>
          </cell>
          <cell r="N1539">
            <v>0</v>
          </cell>
          <cell r="O1539">
            <v>4.84676E-2</v>
          </cell>
          <cell r="P1539">
            <v>0.19182070000000001</v>
          </cell>
          <cell r="Q1539">
            <v>1.5761902000000001</v>
          </cell>
          <cell r="R1539">
            <v>0</v>
          </cell>
          <cell r="S1539">
            <v>0</v>
          </cell>
          <cell r="T1539">
            <v>0</v>
          </cell>
          <cell r="U1539">
            <v>131.43270999999999</v>
          </cell>
          <cell r="V1539">
            <v>0</v>
          </cell>
          <cell r="W1539">
            <v>0</v>
          </cell>
          <cell r="X1539">
            <v>0.5557472</v>
          </cell>
          <cell r="Y1539">
            <v>0</v>
          </cell>
          <cell r="Z1539">
            <v>72.582234</v>
          </cell>
          <cell r="AA1539">
            <v>0</v>
          </cell>
          <cell r="AB1539">
            <v>0.16269690000000001</v>
          </cell>
        </row>
        <row r="1540">
          <cell r="A1540">
            <v>27415170</v>
          </cell>
          <cell r="B1540" t="str">
            <v>Kung Pao beef</v>
          </cell>
          <cell r="I1540">
            <v>162</v>
          </cell>
          <cell r="J1540">
            <v>335.86885999999998</v>
          </cell>
          <cell r="K1540">
            <v>2.0732645679012345</v>
          </cell>
          <cell r="L1540">
            <v>0.46830430000000001</v>
          </cell>
          <cell r="M1540">
            <v>4.9086784999999997</v>
          </cell>
          <cell r="N1540">
            <v>0</v>
          </cell>
          <cell r="O1540">
            <v>2.4202000000000001E-2</v>
          </cell>
          <cell r="P1540">
            <v>1.1690064</v>
          </cell>
          <cell r="Q1540">
            <v>5.1968838000000002</v>
          </cell>
          <cell r="R1540">
            <v>0</v>
          </cell>
          <cell r="S1540">
            <v>0</v>
          </cell>
          <cell r="T1540">
            <v>0</v>
          </cell>
          <cell r="U1540">
            <v>21.539850000000001</v>
          </cell>
          <cell r="V1540">
            <v>0</v>
          </cell>
          <cell r="W1540">
            <v>0</v>
          </cell>
          <cell r="X1540">
            <v>0.27784330000000002</v>
          </cell>
          <cell r="Y1540">
            <v>12.546849</v>
          </cell>
          <cell r="Z1540">
            <v>78.014020000000002</v>
          </cell>
          <cell r="AA1540">
            <v>0</v>
          </cell>
          <cell r="AB1540">
            <v>2.8300800000000001E-2</v>
          </cell>
        </row>
        <row r="1541">
          <cell r="A1541">
            <v>27415200</v>
          </cell>
          <cell r="B1541" t="str">
            <v>Beef and vegetables excluding carrots, broccoli, and dark-green leafy; no potatoes, soy-based sauce</v>
          </cell>
          <cell r="I1541">
            <v>217</v>
          </cell>
          <cell r="J1541">
            <v>295.74831999999998</v>
          </cell>
          <cell r="K1541">
            <v>1.3628954838709677</v>
          </cell>
          <cell r="L1541">
            <v>1.8264125</v>
          </cell>
          <cell r="M1541">
            <v>4.1647087999999997</v>
          </cell>
          <cell r="N1541">
            <v>0</v>
          </cell>
          <cell r="O1541">
            <v>3.8072099999999998E-2</v>
          </cell>
          <cell r="P1541">
            <v>5.4576E-2</v>
          </cell>
          <cell r="Q1541">
            <v>5.2064329000000003</v>
          </cell>
          <cell r="R1541">
            <v>0</v>
          </cell>
          <cell r="S1541">
            <v>0</v>
          </cell>
          <cell r="T1541">
            <v>0</v>
          </cell>
          <cell r="U1541">
            <v>100.02018</v>
          </cell>
          <cell r="V1541">
            <v>0</v>
          </cell>
          <cell r="W1541">
            <v>0</v>
          </cell>
          <cell r="X1541">
            <v>0.50429500000000005</v>
          </cell>
          <cell r="Y1541">
            <v>0</v>
          </cell>
          <cell r="Z1541">
            <v>72.810748000000004</v>
          </cell>
          <cell r="AA1541">
            <v>0</v>
          </cell>
          <cell r="AB1541">
            <v>0.12639510000000001</v>
          </cell>
        </row>
        <row r="1542">
          <cell r="A1542">
            <v>27415220</v>
          </cell>
          <cell r="B1542" t="str">
            <v>Beef, tofu, and vegetables (excluding carrots, broccoli, and dark-green leafy (no potatoes)), soy-based sauce (mixture)</v>
          </cell>
          <cell r="I1542">
            <v>217</v>
          </cell>
          <cell r="J1542">
            <v>234.04625999999999</v>
          </cell>
          <cell r="K1542">
            <v>1.0785541935483871</v>
          </cell>
          <cell r="L1542">
            <v>1.7628231999999999</v>
          </cell>
          <cell r="M1542">
            <v>2.9315541999999999</v>
          </cell>
          <cell r="N1542">
            <v>0</v>
          </cell>
          <cell r="O1542">
            <v>8.5922100000000001E-2</v>
          </cell>
          <cell r="P1542">
            <v>0.146151</v>
          </cell>
          <cell r="Q1542">
            <v>5.8479150000000004</v>
          </cell>
          <cell r="R1542">
            <v>0</v>
          </cell>
          <cell r="S1542">
            <v>0</v>
          </cell>
          <cell r="T1542">
            <v>0</v>
          </cell>
          <cell r="U1542">
            <v>96.473893000000004</v>
          </cell>
          <cell r="V1542">
            <v>0</v>
          </cell>
          <cell r="W1542">
            <v>0</v>
          </cell>
          <cell r="X1542">
            <v>0.47374569999999999</v>
          </cell>
          <cell r="Y1542">
            <v>0</v>
          </cell>
          <cell r="Z1542">
            <v>31.182386999999999</v>
          </cell>
          <cell r="AA1542">
            <v>0</v>
          </cell>
          <cell r="AB1542">
            <v>0.13333439999999999</v>
          </cell>
        </row>
        <row r="1543">
          <cell r="A1543">
            <v>27416150</v>
          </cell>
          <cell r="B1543" t="str">
            <v>Pepper steak</v>
          </cell>
          <cell r="I1543">
            <v>217</v>
          </cell>
          <cell r="J1543">
            <v>294.34611999999998</v>
          </cell>
          <cell r="K1543">
            <v>1.356433732718894</v>
          </cell>
          <cell r="L1543">
            <v>1.3592242999999999</v>
          </cell>
          <cell r="M1543">
            <v>4.152215</v>
          </cell>
          <cell r="N1543">
            <v>0</v>
          </cell>
          <cell r="O1543">
            <v>3.21549E-2</v>
          </cell>
          <cell r="P1543">
            <v>5.4540100000000001E-2</v>
          </cell>
          <cell r="Q1543">
            <v>5.1876467000000002</v>
          </cell>
          <cell r="R1543">
            <v>0</v>
          </cell>
          <cell r="S1543">
            <v>0</v>
          </cell>
          <cell r="T1543">
            <v>0</v>
          </cell>
          <cell r="U1543">
            <v>100.09708000000001</v>
          </cell>
          <cell r="V1543">
            <v>0</v>
          </cell>
          <cell r="W1543">
            <v>0</v>
          </cell>
          <cell r="X1543">
            <v>0.50414460000000005</v>
          </cell>
          <cell r="Y1543">
            <v>0</v>
          </cell>
          <cell r="Z1543">
            <v>72.762880999999993</v>
          </cell>
          <cell r="AA1543">
            <v>0</v>
          </cell>
          <cell r="AB1543">
            <v>0.1401847</v>
          </cell>
        </row>
        <row r="1544">
          <cell r="A1544">
            <v>27416200</v>
          </cell>
          <cell r="B1544" t="str">
            <v>Beef, ground, with egg and onion</v>
          </cell>
          <cell r="I1544">
            <v>190</v>
          </cell>
          <cell r="J1544">
            <v>433.35825</v>
          </cell>
          <cell r="K1544">
            <v>2.2808328947368421</v>
          </cell>
          <cell r="L1544">
            <v>0.24844330000000001</v>
          </cell>
          <cell r="M1544">
            <v>10.451178000000001</v>
          </cell>
          <cell r="N1544">
            <v>0</v>
          </cell>
          <cell r="O1544">
            <v>4.9411200000000002E-2</v>
          </cell>
          <cell r="P1544">
            <v>0</v>
          </cell>
          <cell r="Q1544">
            <v>1.010424</v>
          </cell>
          <cell r="R1544">
            <v>0</v>
          </cell>
          <cell r="S1544">
            <v>0</v>
          </cell>
          <cell r="T1544">
            <v>0</v>
          </cell>
          <cell r="U1544">
            <v>17.745953</v>
          </cell>
          <cell r="V1544">
            <v>0</v>
          </cell>
          <cell r="W1544">
            <v>0</v>
          </cell>
          <cell r="X1544">
            <v>1.4161414999999999</v>
          </cell>
          <cell r="Y1544">
            <v>0</v>
          </cell>
          <cell r="Z1544">
            <v>139.14474999999999</v>
          </cell>
          <cell r="AA1544">
            <v>0</v>
          </cell>
          <cell r="AB1544">
            <v>1.1565517999999999</v>
          </cell>
        </row>
        <row r="1545">
          <cell r="A1545">
            <v>27416250</v>
          </cell>
          <cell r="B1545" t="str">
            <v>Beef salad</v>
          </cell>
          <cell r="I1545">
            <v>100</v>
          </cell>
          <cell r="J1545">
            <v>260.41640999999998</v>
          </cell>
          <cell r="K1545">
            <v>2.6041640999999998</v>
          </cell>
          <cell r="L1545">
            <v>0.36217870000000002</v>
          </cell>
          <cell r="M1545">
            <v>3.8504273000000002</v>
          </cell>
          <cell r="N1545">
            <v>0</v>
          </cell>
          <cell r="O1545">
            <v>1.90443E-2</v>
          </cell>
          <cell r="P1545">
            <v>6.35463E-2</v>
          </cell>
          <cell r="Q1545">
            <v>9.4360391000000003</v>
          </cell>
          <cell r="R1545">
            <v>0</v>
          </cell>
          <cell r="S1545">
            <v>0</v>
          </cell>
          <cell r="T1545">
            <v>0</v>
          </cell>
          <cell r="U1545">
            <v>22.636171000000001</v>
          </cell>
          <cell r="V1545">
            <v>0</v>
          </cell>
          <cell r="W1545">
            <v>0</v>
          </cell>
          <cell r="X1545">
            <v>0.3346982</v>
          </cell>
          <cell r="Y1545">
            <v>0</v>
          </cell>
          <cell r="Z1545">
            <v>50.554115000000003</v>
          </cell>
          <cell r="AA1545">
            <v>0</v>
          </cell>
          <cell r="AB1545">
            <v>9.5491000000000006E-2</v>
          </cell>
        </row>
        <row r="1546">
          <cell r="A1546">
            <v>27416300</v>
          </cell>
          <cell r="B1546" t="str">
            <v>Beef taco filling: beef, cheese, tomato, taco sauce</v>
          </cell>
          <cell r="I1546">
            <v>204</v>
          </cell>
          <cell r="J1546">
            <v>367.72899999999998</v>
          </cell>
          <cell r="K1546">
            <v>1.8025931372549018</v>
          </cell>
          <cell r="L1546">
            <v>1.8940717</v>
          </cell>
          <cell r="M1546">
            <v>10.624846</v>
          </cell>
          <cell r="N1546">
            <v>0</v>
          </cell>
          <cell r="O1546">
            <v>0.26700010000000002</v>
          </cell>
          <cell r="P1546">
            <v>0</v>
          </cell>
          <cell r="Q1546">
            <v>0.9042441</v>
          </cell>
          <cell r="R1546">
            <v>0</v>
          </cell>
          <cell r="S1546">
            <v>0</v>
          </cell>
          <cell r="T1546">
            <v>0</v>
          </cell>
          <cell r="U1546">
            <v>103.95753999999999</v>
          </cell>
          <cell r="V1546">
            <v>0</v>
          </cell>
          <cell r="W1546">
            <v>0</v>
          </cell>
          <cell r="X1546">
            <v>0.96350899999999995</v>
          </cell>
          <cell r="Y1546">
            <v>0</v>
          </cell>
          <cell r="Z1546">
            <v>59.232491000000003</v>
          </cell>
          <cell r="AA1546">
            <v>0</v>
          </cell>
          <cell r="AB1546">
            <v>0.91763139999999999</v>
          </cell>
        </row>
        <row r="1547">
          <cell r="A1547">
            <v>27416400</v>
          </cell>
          <cell r="B1547" t="str">
            <v>Stir fried beef and vegetables in soy sauce</v>
          </cell>
          <cell r="I1547">
            <v>162</v>
          </cell>
          <cell r="J1547">
            <v>142.73287999999999</v>
          </cell>
          <cell r="K1547">
            <v>0.88106716049382716</v>
          </cell>
          <cell r="L1547">
            <v>1.3015490000000001</v>
          </cell>
          <cell r="M1547">
            <v>2.1999425000000001</v>
          </cell>
          <cell r="N1547">
            <v>0</v>
          </cell>
          <cell r="O1547">
            <v>3.7256600000000001E-2</v>
          </cell>
          <cell r="P1547">
            <v>6.3963599999999995E-2</v>
          </cell>
          <cell r="Q1547">
            <v>0.61821060000000005</v>
          </cell>
          <cell r="R1547">
            <v>0</v>
          </cell>
          <cell r="S1547">
            <v>0</v>
          </cell>
          <cell r="T1547">
            <v>0</v>
          </cell>
          <cell r="U1547">
            <v>84.379682000000003</v>
          </cell>
          <cell r="V1547">
            <v>0</v>
          </cell>
          <cell r="W1547">
            <v>0</v>
          </cell>
          <cell r="X1547">
            <v>0.52582289999999998</v>
          </cell>
          <cell r="Y1547">
            <v>0</v>
          </cell>
          <cell r="Z1547">
            <v>39.916919999999998</v>
          </cell>
          <cell r="AA1547">
            <v>0</v>
          </cell>
          <cell r="AB1547">
            <v>0.1462194</v>
          </cell>
        </row>
        <row r="1548">
          <cell r="A1548">
            <v>27416450</v>
          </cell>
          <cell r="B1548" t="str">
            <v>Beef and vegetables including carrots, broccoli, and/or dark-green leafy; no potatoes, gravy</v>
          </cell>
          <cell r="I1548">
            <v>252</v>
          </cell>
          <cell r="J1548">
            <v>274.19148999999999</v>
          </cell>
          <cell r="K1548">
            <v>1.0880614682539682</v>
          </cell>
          <cell r="L1548">
            <v>2.3457447</v>
          </cell>
          <cell r="M1548">
            <v>3.9455564999999999</v>
          </cell>
          <cell r="N1548">
            <v>0</v>
          </cell>
          <cell r="O1548">
            <v>4.0583099999999997E-2</v>
          </cell>
          <cell r="P1548">
            <v>0.1117021</v>
          </cell>
          <cell r="Q1548">
            <v>4.6385937999999998</v>
          </cell>
          <cell r="R1548">
            <v>0</v>
          </cell>
          <cell r="S1548">
            <v>0</v>
          </cell>
          <cell r="T1548">
            <v>0</v>
          </cell>
          <cell r="U1548">
            <v>74.468085000000002</v>
          </cell>
          <cell r="V1548">
            <v>0</v>
          </cell>
          <cell r="W1548">
            <v>0</v>
          </cell>
          <cell r="X1548">
            <v>0.74329160000000005</v>
          </cell>
          <cell r="Y1548">
            <v>0</v>
          </cell>
          <cell r="Z1548">
            <v>55.851064000000001</v>
          </cell>
          <cell r="AA1548">
            <v>0</v>
          </cell>
          <cell r="AB1548">
            <v>0.18079899999999999</v>
          </cell>
        </row>
        <row r="1549">
          <cell r="A1549">
            <v>27416500</v>
          </cell>
          <cell r="B1549" t="str">
            <v>Beef and vegetables excluding carrots, broccoli, and dark-green leafy; no potatoes, gravy</v>
          </cell>
          <cell r="I1549">
            <v>252</v>
          </cell>
          <cell r="J1549">
            <v>290.48863</v>
          </cell>
          <cell r="K1549">
            <v>1.1527326587301587</v>
          </cell>
          <cell r="L1549">
            <v>1.1166913000000001</v>
          </cell>
          <cell r="M1549">
            <v>3.9477410000000002</v>
          </cell>
          <cell r="N1549">
            <v>0</v>
          </cell>
          <cell r="O1549">
            <v>3.2027600000000003E-2</v>
          </cell>
          <cell r="P1549">
            <v>1.0050222</v>
          </cell>
          <cell r="Q1549">
            <v>4.6416902000000002</v>
          </cell>
          <cell r="R1549">
            <v>0</v>
          </cell>
          <cell r="S1549">
            <v>0</v>
          </cell>
          <cell r="T1549">
            <v>0</v>
          </cell>
          <cell r="U1549">
            <v>37.223042999999997</v>
          </cell>
          <cell r="V1549">
            <v>0</v>
          </cell>
          <cell r="W1549">
            <v>0</v>
          </cell>
          <cell r="X1549">
            <v>0.74661420000000001</v>
          </cell>
          <cell r="Y1549">
            <v>0</v>
          </cell>
          <cell r="Z1549">
            <v>55.834564</v>
          </cell>
          <cell r="AA1549">
            <v>0</v>
          </cell>
          <cell r="AB1549">
            <v>0.15989390000000001</v>
          </cell>
        </row>
        <row r="1550">
          <cell r="A1550">
            <v>27418110</v>
          </cell>
          <cell r="B1550" t="str">
            <v>Seasoned shredded soup meat</v>
          </cell>
          <cell r="I1550">
            <v>133</v>
          </cell>
          <cell r="J1550">
            <v>216.76992000000001</v>
          </cell>
          <cell r="K1550">
            <v>1.6298490225563911</v>
          </cell>
          <cell r="L1550">
            <v>0.93907479999999999</v>
          </cell>
          <cell r="M1550">
            <v>4.3218513999999999</v>
          </cell>
          <cell r="N1550">
            <v>0</v>
          </cell>
          <cell r="O1550">
            <v>1.44373E-2</v>
          </cell>
          <cell r="P1550">
            <v>0</v>
          </cell>
          <cell r="Q1550">
            <v>2.8420032000000002</v>
          </cell>
          <cell r="R1550">
            <v>0</v>
          </cell>
          <cell r="S1550">
            <v>0</v>
          </cell>
          <cell r="T1550">
            <v>0</v>
          </cell>
          <cell r="U1550">
            <v>61.180853999999997</v>
          </cell>
          <cell r="V1550">
            <v>0</v>
          </cell>
          <cell r="W1550">
            <v>0</v>
          </cell>
          <cell r="X1550">
            <v>0.2492829</v>
          </cell>
          <cell r="Y1550">
            <v>0</v>
          </cell>
          <cell r="Z1550">
            <v>63.865583000000001</v>
          </cell>
          <cell r="AA1550">
            <v>0</v>
          </cell>
          <cell r="AB1550">
            <v>0.27436329999999998</v>
          </cell>
        </row>
        <row r="1551">
          <cell r="A1551">
            <v>27418210</v>
          </cell>
          <cell r="B1551" t="str">
            <v>Puerto Rican style beef stew with vegetables, excluding potatoes (Carne a la Judia)</v>
          </cell>
          <cell r="I1551">
            <v>195</v>
          </cell>
          <cell r="J1551">
            <v>219.44152</v>
          </cell>
          <cell r="K1551">
            <v>1.1253411282051282</v>
          </cell>
          <cell r="L1551">
            <v>1.1112768</v>
          </cell>
          <cell r="M1551">
            <v>3.9879228000000002</v>
          </cell>
          <cell r="N1551">
            <v>0</v>
          </cell>
          <cell r="O1551">
            <v>2.1777299999999999E-2</v>
          </cell>
          <cell r="P1551">
            <v>1.2290551000000001</v>
          </cell>
          <cell r="Q1551">
            <v>2.9339483</v>
          </cell>
          <cell r="R1551">
            <v>0</v>
          </cell>
          <cell r="S1551">
            <v>0</v>
          </cell>
          <cell r="T1551">
            <v>0</v>
          </cell>
          <cell r="U1551">
            <v>60.825688</v>
          </cell>
          <cell r="V1551">
            <v>0</v>
          </cell>
          <cell r="W1551">
            <v>0</v>
          </cell>
          <cell r="X1551">
            <v>0.59061030000000003</v>
          </cell>
          <cell r="Y1551">
            <v>0</v>
          </cell>
          <cell r="Z1551">
            <v>46.526605000000004</v>
          </cell>
          <cell r="AA1551">
            <v>0</v>
          </cell>
          <cell r="AB1551">
            <v>0.27222289999999999</v>
          </cell>
        </row>
        <row r="1552">
          <cell r="A1552">
            <v>27418310</v>
          </cell>
          <cell r="B1552" t="str">
            <v>Corned beef with tomato sauce and onion, Puerto Rican style</v>
          </cell>
          <cell r="I1552">
            <v>235</v>
          </cell>
          <cell r="J1552">
            <v>421.85252000000003</v>
          </cell>
          <cell r="K1552">
            <v>1.7951171063829789</v>
          </cell>
          <cell r="L1552">
            <v>0.93247440000000004</v>
          </cell>
          <cell r="M1552">
            <v>9.6645450000000004</v>
          </cell>
          <cell r="N1552">
            <v>0</v>
          </cell>
          <cell r="O1552">
            <v>2.93193E-2</v>
          </cell>
          <cell r="P1552">
            <v>0</v>
          </cell>
          <cell r="Q1552">
            <v>2.5865388999999999</v>
          </cell>
          <cell r="R1552">
            <v>0</v>
          </cell>
          <cell r="S1552">
            <v>0</v>
          </cell>
          <cell r="T1552">
            <v>0</v>
          </cell>
          <cell r="U1552">
            <v>58.124057000000001</v>
          </cell>
          <cell r="V1552">
            <v>0</v>
          </cell>
          <cell r="W1552">
            <v>0</v>
          </cell>
          <cell r="X1552">
            <v>1.4553114</v>
          </cell>
          <cell r="Y1552">
            <v>0</v>
          </cell>
          <cell r="Z1552">
            <v>0</v>
          </cell>
          <cell r="AA1552">
            <v>138.21557999999999</v>
          </cell>
          <cell r="AB1552">
            <v>0.45098060000000001</v>
          </cell>
        </row>
        <row r="1553">
          <cell r="A1553">
            <v>27418410</v>
          </cell>
          <cell r="B1553" t="str">
            <v>Beef steak with onions, Puerto Rican style (mixture) (Biftec encebollado)</v>
          </cell>
          <cell r="I1553">
            <v>179</v>
          </cell>
          <cell r="J1553">
            <v>370.80716999999999</v>
          </cell>
          <cell r="K1553">
            <v>2.07154843575419</v>
          </cell>
          <cell r="L1553">
            <v>0.73878339999999998</v>
          </cell>
          <cell r="M1553">
            <v>7.1822596000000001</v>
          </cell>
          <cell r="N1553">
            <v>0</v>
          </cell>
          <cell r="O1553">
            <v>1.9043500000000001E-2</v>
          </cell>
          <cell r="P1553">
            <v>0.1015302</v>
          </cell>
          <cell r="Q1553">
            <v>8.1318000999999995</v>
          </cell>
          <cell r="R1553">
            <v>0</v>
          </cell>
          <cell r="S1553">
            <v>0</v>
          </cell>
          <cell r="T1553">
            <v>0</v>
          </cell>
          <cell r="U1553">
            <v>43.188063999999997</v>
          </cell>
          <cell r="V1553">
            <v>0</v>
          </cell>
          <cell r="W1553">
            <v>0</v>
          </cell>
          <cell r="X1553">
            <v>1.1756192000000001</v>
          </cell>
          <cell r="Y1553">
            <v>0</v>
          </cell>
          <cell r="Z1553">
            <v>80.435370000000006</v>
          </cell>
          <cell r="AA1553">
            <v>0</v>
          </cell>
          <cell r="AB1553">
            <v>0.32961990000000002</v>
          </cell>
        </row>
        <row r="1554">
          <cell r="A1554">
            <v>27420010</v>
          </cell>
          <cell r="B1554" t="str">
            <v>Cabbage with ham hocks (mixture)</v>
          </cell>
          <cell r="I1554">
            <v>200</v>
          </cell>
          <cell r="J1554">
            <v>137</v>
          </cell>
          <cell r="K1554">
            <v>0.68500000000000005</v>
          </cell>
          <cell r="L1554">
            <v>2.5333332999999998</v>
          </cell>
          <cell r="M1554">
            <v>1.5778000000000001</v>
          </cell>
          <cell r="N1554">
            <v>0</v>
          </cell>
          <cell r="O1554">
            <v>6.8866700000000003E-2</v>
          </cell>
          <cell r="P1554">
            <v>0</v>
          </cell>
          <cell r="Q1554">
            <v>0.70113329999999996</v>
          </cell>
          <cell r="R1554">
            <v>0</v>
          </cell>
          <cell r="S1554">
            <v>0</v>
          </cell>
          <cell r="T1554">
            <v>0</v>
          </cell>
          <cell r="U1554">
            <v>133.33332999999999</v>
          </cell>
          <cell r="V1554">
            <v>0</v>
          </cell>
          <cell r="W1554">
            <v>0</v>
          </cell>
          <cell r="X1554">
            <v>0.67716670000000001</v>
          </cell>
          <cell r="Y1554">
            <v>0</v>
          </cell>
          <cell r="Z1554">
            <v>0</v>
          </cell>
          <cell r="AA1554">
            <v>65.668049999999994</v>
          </cell>
          <cell r="AB1554">
            <v>2.52E-2</v>
          </cell>
        </row>
        <row r="1555">
          <cell r="A1555">
            <v>27420020</v>
          </cell>
          <cell r="B1555" t="str">
            <v>Ham or pork salad</v>
          </cell>
          <cell r="I1555">
            <v>100</v>
          </cell>
          <cell r="J1555">
            <v>229.94927000000001</v>
          </cell>
          <cell r="K1555">
            <v>2.2994927000000001</v>
          </cell>
          <cell r="L1555">
            <v>0.35416189999999997</v>
          </cell>
          <cell r="M1555">
            <v>3.3372815</v>
          </cell>
          <cell r="N1555">
            <v>0</v>
          </cell>
          <cell r="O1555">
            <v>1.43286E-2</v>
          </cell>
          <cell r="P1555">
            <v>6.2139699999999999E-2</v>
          </cell>
          <cell r="Q1555">
            <v>9.4175997000000002</v>
          </cell>
          <cell r="R1555">
            <v>0</v>
          </cell>
          <cell r="S1555">
            <v>0</v>
          </cell>
          <cell r="T1555">
            <v>0</v>
          </cell>
          <cell r="U1555">
            <v>22.135116</v>
          </cell>
          <cell r="V1555">
            <v>0</v>
          </cell>
          <cell r="W1555">
            <v>0</v>
          </cell>
          <cell r="X1555">
            <v>0.98498289999999999</v>
          </cell>
          <cell r="Y1555">
            <v>0</v>
          </cell>
          <cell r="Z1555">
            <v>0</v>
          </cell>
          <cell r="AA1555">
            <v>51.648605000000003</v>
          </cell>
          <cell r="AB1555">
            <v>3.7943299999999999E-2</v>
          </cell>
        </row>
        <row r="1556">
          <cell r="A1556">
            <v>27420060</v>
          </cell>
          <cell r="B1556" t="str">
            <v>Pork and vegetables including carrots, broccoli, and/or dark-green leafy; no potatoes, no sauce</v>
          </cell>
          <cell r="I1556">
            <v>162</v>
          </cell>
          <cell r="J1556">
            <v>189.12575000000001</v>
          </cell>
          <cell r="K1556">
            <v>1.167442901234568</v>
          </cell>
          <cell r="L1556">
            <v>2.3301370000000001</v>
          </cell>
          <cell r="M1556">
            <v>2.7571374</v>
          </cell>
          <cell r="N1556">
            <v>0</v>
          </cell>
          <cell r="O1556">
            <v>3.6193900000000001E-2</v>
          </cell>
          <cell r="P1556">
            <v>0</v>
          </cell>
          <cell r="Q1556">
            <v>2.8507053</v>
          </cell>
          <cell r="R1556">
            <v>0</v>
          </cell>
          <cell r="S1556">
            <v>0</v>
          </cell>
          <cell r="T1556">
            <v>0</v>
          </cell>
          <cell r="U1556">
            <v>73.972603000000007</v>
          </cell>
          <cell r="V1556">
            <v>0</v>
          </cell>
          <cell r="W1556">
            <v>0</v>
          </cell>
          <cell r="X1556">
            <v>0.48918640000000002</v>
          </cell>
          <cell r="Y1556">
            <v>0</v>
          </cell>
          <cell r="Z1556">
            <v>55.206771000000003</v>
          </cell>
          <cell r="AA1556">
            <v>0</v>
          </cell>
          <cell r="AB1556">
            <v>9.0259099999999995E-2</v>
          </cell>
        </row>
        <row r="1557">
          <cell r="A1557">
            <v>27420080</v>
          </cell>
          <cell r="B1557" t="str">
            <v>Greens with ham or pork</v>
          </cell>
          <cell r="I1557">
            <v>144</v>
          </cell>
          <cell r="J1557">
            <v>67.781908000000001</v>
          </cell>
          <cell r="K1557">
            <v>0.47070769444444444</v>
          </cell>
          <cell r="L1557">
            <v>3.9856723999999999</v>
          </cell>
          <cell r="M1557">
            <v>0.49249850000000001</v>
          </cell>
          <cell r="N1557">
            <v>0</v>
          </cell>
          <cell r="O1557">
            <v>0.1427649</v>
          </cell>
          <cell r="P1557">
            <v>0</v>
          </cell>
          <cell r="Q1557">
            <v>0.40970909999999999</v>
          </cell>
          <cell r="R1557">
            <v>0</v>
          </cell>
          <cell r="S1557">
            <v>0</v>
          </cell>
          <cell r="T1557">
            <v>0</v>
          </cell>
          <cell r="U1557">
            <v>125.0407</v>
          </cell>
          <cell r="V1557">
            <v>0</v>
          </cell>
          <cell r="W1557">
            <v>0</v>
          </cell>
          <cell r="X1557">
            <v>0.49267889999999998</v>
          </cell>
          <cell r="Y1557">
            <v>0</v>
          </cell>
          <cell r="Z1557">
            <v>0</v>
          </cell>
          <cell r="AA1557">
            <v>17.944049</v>
          </cell>
          <cell r="AB1557">
            <v>6.8881999999999997E-3</v>
          </cell>
        </row>
        <row r="1558">
          <cell r="A1558">
            <v>27420100</v>
          </cell>
          <cell r="B1558" t="str">
            <v>Pork, tofu, and vegetables (including carrots, broccoli, and/or dark-green leafy (no potatoes)), soy-base sauce (mixture)</v>
          </cell>
          <cell r="I1558">
            <v>252</v>
          </cell>
          <cell r="J1558">
            <v>269.94270999999998</v>
          </cell>
          <cell r="K1558">
            <v>1.0712012301587301</v>
          </cell>
          <cell r="L1558">
            <v>2.9769687</v>
          </cell>
          <cell r="M1558">
            <v>3.3248888000000001</v>
          </cell>
          <cell r="N1558">
            <v>0</v>
          </cell>
          <cell r="O1558">
            <v>0.1131147</v>
          </cell>
          <cell r="P1558">
            <v>0.16358900000000001</v>
          </cell>
          <cell r="Q1558">
            <v>6.6926568</v>
          </cell>
          <cell r="R1558">
            <v>0</v>
          </cell>
          <cell r="S1558">
            <v>0</v>
          </cell>
          <cell r="T1558">
            <v>0</v>
          </cell>
          <cell r="U1558">
            <v>117.09332999999999</v>
          </cell>
          <cell r="V1558">
            <v>0</v>
          </cell>
          <cell r="W1558">
            <v>0</v>
          </cell>
          <cell r="X1558">
            <v>0.57069000000000003</v>
          </cell>
          <cell r="Y1558">
            <v>0</v>
          </cell>
          <cell r="Z1558">
            <v>34.731361999999997</v>
          </cell>
          <cell r="AA1558">
            <v>0</v>
          </cell>
          <cell r="AB1558">
            <v>0.1016365</v>
          </cell>
        </row>
        <row r="1559">
          <cell r="A1559">
            <v>27420160</v>
          </cell>
          <cell r="B1559" t="str">
            <v>Moo Shu pork, without Chinese pancake</v>
          </cell>
          <cell r="I1559">
            <v>151</v>
          </cell>
          <cell r="J1559">
            <v>193.44959</v>
          </cell>
          <cell r="K1559">
            <v>1.2811231125827816</v>
          </cell>
          <cell r="L1559">
            <v>1.1067334</v>
          </cell>
          <cell r="M1559">
            <v>2.4504869999999999</v>
          </cell>
          <cell r="N1559">
            <v>0</v>
          </cell>
          <cell r="O1559">
            <v>5.8074800000000003E-2</v>
          </cell>
          <cell r="P1559">
            <v>8.9667700000000003E-2</v>
          </cell>
          <cell r="Q1559">
            <v>4.7990336999999998</v>
          </cell>
          <cell r="R1559">
            <v>0</v>
          </cell>
          <cell r="S1559">
            <v>0</v>
          </cell>
          <cell r="T1559">
            <v>0</v>
          </cell>
          <cell r="U1559">
            <v>64.955461</v>
          </cell>
          <cell r="V1559">
            <v>0</v>
          </cell>
          <cell r="W1559">
            <v>0</v>
          </cell>
          <cell r="X1559">
            <v>1.0531680000000001</v>
          </cell>
          <cell r="Y1559">
            <v>0</v>
          </cell>
          <cell r="Z1559">
            <v>28.611073000000001</v>
          </cell>
          <cell r="AA1559">
            <v>0</v>
          </cell>
          <cell r="AB1559">
            <v>0.16893849999999999</v>
          </cell>
        </row>
        <row r="1560">
          <cell r="A1560">
            <v>27420170</v>
          </cell>
          <cell r="B1560" t="str">
            <v>Pork and onions with soy-based sauce</v>
          </cell>
          <cell r="I1560">
            <v>256</v>
          </cell>
          <cell r="J1560">
            <v>356.98099999999999</v>
          </cell>
          <cell r="K1560">
            <v>1.39445703125</v>
          </cell>
          <cell r="L1560">
            <v>1.7816312000000001</v>
          </cell>
          <cell r="M1560">
            <v>4.8727226999999997</v>
          </cell>
          <cell r="N1560">
            <v>0</v>
          </cell>
          <cell r="O1560">
            <v>5.6298899999999999E-2</v>
          </cell>
          <cell r="P1560">
            <v>6.2915899999999997E-2</v>
          </cell>
          <cell r="Q1560">
            <v>6.2961961000000004</v>
          </cell>
          <cell r="R1560">
            <v>0</v>
          </cell>
          <cell r="S1560">
            <v>0</v>
          </cell>
          <cell r="T1560">
            <v>0</v>
          </cell>
          <cell r="U1560">
            <v>121.14400999999999</v>
          </cell>
          <cell r="V1560">
            <v>0</v>
          </cell>
          <cell r="W1560">
            <v>0</v>
          </cell>
          <cell r="X1560">
            <v>0.59667800000000004</v>
          </cell>
          <cell r="Y1560">
            <v>0</v>
          </cell>
          <cell r="Z1560">
            <v>83.524705999999995</v>
          </cell>
          <cell r="AA1560">
            <v>0</v>
          </cell>
          <cell r="AB1560">
            <v>6.3421400000000003E-2</v>
          </cell>
        </row>
        <row r="1561">
          <cell r="A1561">
            <v>27420200</v>
          </cell>
          <cell r="B1561" t="str">
            <v>Pork hash</v>
          </cell>
          <cell r="I1561">
            <v>190</v>
          </cell>
          <cell r="J1561">
            <v>357.70040999999998</v>
          </cell>
          <cell r="K1561">
            <v>1.8826337368421051</v>
          </cell>
          <cell r="L1561">
            <v>0.534945</v>
          </cell>
          <cell r="M1561">
            <v>8.4108678000000001</v>
          </cell>
          <cell r="N1561">
            <v>1.6404999999999999E-2</v>
          </cell>
          <cell r="O1561">
            <v>3.8578500000000002E-2</v>
          </cell>
          <cell r="P1561">
            <v>0.48252600000000001</v>
          </cell>
          <cell r="Q1561">
            <v>3.5976309</v>
          </cell>
          <cell r="R1561">
            <v>0</v>
          </cell>
          <cell r="S1561">
            <v>0</v>
          </cell>
          <cell r="T1561">
            <v>0</v>
          </cell>
          <cell r="U1561">
            <v>27.171807999999999</v>
          </cell>
          <cell r="V1561">
            <v>0</v>
          </cell>
          <cell r="W1561">
            <v>0</v>
          </cell>
          <cell r="X1561">
            <v>0.97928990000000005</v>
          </cell>
          <cell r="Y1561">
            <v>0</v>
          </cell>
          <cell r="Z1561">
            <v>80.802796000000001</v>
          </cell>
          <cell r="AA1561">
            <v>0</v>
          </cell>
          <cell r="AB1561">
            <v>0.52113489999999996</v>
          </cell>
        </row>
        <row r="1562">
          <cell r="A1562">
            <v>27420250</v>
          </cell>
          <cell r="B1562" t="str">
            <v>Ham and vegetables including carrots broccoli, and/or dark- green leafy; no potatoes, no sauce</v>
          </cell>
          <cell r="I1562">
            <v>162</v>
          </cell>
          <cell r="J1562">
            <v>175.42329000000001</v>
          </cell>
          <cell r="K1562">
            <v>1.082859814814815</v>
          </cell>
          <cell r="L1562">
            <v>1.9202258000000001</v>
          </cell>
          <cell r="M1562">
            <v>2.6148755000000001</v>
          </cell>
          <cell r="N1562">
            <v>0</v>
          </cell>
          <cell r="O1562">
            <v>2.6068999999999998E-2</v>
          </cell>
          <cell r="P1562">
            <v>0</v>
          </cell>
          <cell r="Q1562">
            <v>4.2157128000000004</v>
          </cell>
          <cell r="R1562">
            <v>0</v>
          </cell>
          <cell r="S1562">
            <v>0</v>
          </cell>
          <cell r="T1562">
            <v>0</v>
          </cell>
          <cell r="U1562">
            <v>60.959547999999998</v>
          </cell>
          <cell r="V1562">
            <v>0</v>
          </cell>
          <cell r="W1562">
            <v>0</v>
          </cell>
          <cell r="X1562">
            <v>1.1815355000000001</v>
          </cell>
          <cell r="Y1562">
            <v>0</v>
          </cell>
          <cell r="Z1562">
            <v>0</v>
          </cell>
          <cell r="AA1562">
            <v>45.719661000000002</v>
          </cell>
          <cell r="AB1562">
            <v>9.0839600000000006E-2</v>
          </cell>
        </row>
        <row r="1563">
          <cell r="A1563">
            <v>27420270</v>
          </cell>
          <cell r="B1563" t="str">
            <v>Ham and vegetables (excluding carrots, broccoli, and dark-green leafy (no potatoes)), no sauce (mixture)</v>
          </cell>
          <cell r="I1563">
            <v>162</v>
          </cell>
          <cell r="J1563">
            <v>182.94668999999999</v>
          </cell>
          <cell r="K1563">
            <v>1.1293005555555555</v>
          </cell>
          <cell r="L1563">
            <v>0.91871460000000005</v>
          </cell>
          <cell r="M1563">
            <v>2.5252821999999999</v>
          </cell>
          <cell r="N1563">
            <v>0</v>
          </cell>
          <cell r="O1563">
            <v>1.9146799999999999E-2</v>
          </cell>
          <cell r="P1563">
            <v>0.73497159999999995</v>
          </cell>
          <cell r="Q1563">
            <v>3.9239638000000001</v>
          </cell>
          <cell r="R1563">
            <v>0</v>
          </cell>
          <cell r="S1563">
            <v>0</v>
          </cell>
          <cell r="T1563">
            <v>0</v>
          </cell>
          <cell r="U1563">
            <v>30.623819000000001</v>
          </cell>
          <cell r="V1563">
            <v>0</v>
          </cell>
          <cell r="W1563">
            <v>0</v>
          </cell>
          <cell r="X1563">
            <v>1.1662912999999999</v>
          </cell>
          <cell r="Y1563">
            <v>0</v>
          </cell>
          <cell r="Z1563">
            <v>0</v>
          </cell>
          <cell r="AA1563">
            <v>45.935727999999997</v>
          </cell>
          <cell r="AB1563">
            <v>0.1189088</v>
          </cell>
        </row>
        <row r="1564">
          <cell r="A1564">
            <v>27420350</v>
          </cell>
          <cell r="B1564" t="str">
            <v>Pork and vegetables excluding carrots, broccoli, and dark-green leafy; no potatoes, no sauce</v>
          </cell>
          <cell r="I1564">
            <v>162</v>
          </cell>
          <cell r="J1564">
            <v>190.49431999999999</v>
          </cell>
          <cell r="K1564">
            <v>1.1758908641975307</v>
          </cell>
          <cell r="L1564">
            <v>0.98961509999999997</v>
          </cell>
          <cell r="M1564">
            <v>2.5747795</v>
          </cell>
          <cell r="N1564">
            <v>0</v>
          </cell>
          <cell r="O1564">
            <v>2.5237699999999998E-2</v>
          </cell>
          <cell r="P1564">
            <v>0.79169210000000001</v>
          </cell>
          <cell r="Q1564">
            <v>2.8861157</v>
          </cell>
          <cell r="R1564">
            <v>0</v>
          </cell>
          <cell r="S1564">
            <v>0</v>
          </cell>
          <cell r="T1564">
            <v>0</v>
          </cell>
          <cell r="U1564">
            <v>32.987172000000001</v>
          </cell>
          <cell r="V1564">
            <v>0</v>
          </cell>
          <cell r="W1564">
            <v>0</v>
          </cell>
          <cell r="X1564">
            <v>0.49123689999999998</v>
          </cell>
          <cell r="Y1564">
            <v>0</v>
          </cell>
          <cell r="Z1564">
            <v>49.237560000000002</v>
          </cell>
          <cell r="AA1564">
            <v>0</v>
          </cell>
          <cell r="AB1564">
            <v>9.7264199999999995E-2</v>
          </cell>
        </row>
        <row r="1565">
          <cell r="A1565">
            <v>27420370</v>
          </cell>
          <cell r="B1565" t="str">
            <v>Pork, tofu, and vegetables, excluding carrots, broccoli, and dark-green leafy; no potatoes, soy-based sauce</v>
          </cell>
          <cell r="I1565">
            <v>217</v>
          </cell>
          <cell r="J1565">
            <v>235.66792000000001</v>
          </cell>
          <cell r="K1565">
            <v>1.0860272811059908</v>
          </cell>
          <cell r="L1565">
            <v>1.7607934999999999</v>
          </cell>
          <cell r="M1565">
            <v>2.9622831000000001</v>
          </cell>
          <cell r="N1565">
            <v>0</v>
          </cell>
          <cell r="O1565">
            <v>8.9349799999999993E-2</v>
          </cell>
          <cell r="P1565">
            <v>0.14620830000000001</v>
          </cell>
          <cell r="Q1565">
            <v>5.9726774000000002</v>
          </cell>
          <cell r="R1565">
            <v>0</v>
          </cell>
          <cell r="S1565">
            <v>0</v>
          </cell>
          <cell r="T1565">
            <v>0</v>
          </cell>
          <cell r="U1565">
            <v>96.426676999999998</v>
          </cell>
          <cell r="V1565">
            <v>0</v>
          </cell>
          <cell r="W1565">
            <v>0</v>
          </cell>
          <cell r="X1565">
            <v>0.47923349999999998</v>
          </cell>
          <cell r="Y1565">
            <v>0</v>
          </cell>
          <cell r="Z1565">
            <v>31.041281000000001</v>
          </cell>
          <cell r="AA1565">
            <v>0</v>
          </cell>
          <cell r="AB1565">
            <v>0.24222009999999999</v>
          </cell>
        </row>
        <row r="1566">
          <cell r="A1566">
            <v>27420390</v>
          </cell>
          <cell r="B1566" t="str">
            <v>Pork chow mein or chop suey, no noodles</v>
          </cell>
          <cell r="I1566">
            <v>220</v>
          </cell>
          <cell r="J1566">
            <v>215.08651</v>
          </cell>
          <cell r="K1566">
            <v>0.97766595454545457</v>
          </cell>
          <cell r="L1566">
            <v>1.5771925</v>
          </cell>
          <cell r="M1566">
            <v>2.9795704999999999</v>
          </cell>
          <cell r="N1566">
            <v>0</v>
          </cell>
          <cell r="O1566">
            <v>4.9919199999999997E-2</v>
          </cell>
          <cell r="P1566">
            <v>0.19182070000000001</v>
          </cell>
          <cell r="Q1566">
            <v>1.9093426</v>
          </cell>
          <cell r="R1566">
            <v>0</v>
          </cell>
          <cell r="S1566">
            <v>0</v>
          </cell>
          <cell r="T1566">
            <v>0</v>
          </cell>
          <cell r="U1566">
            <v>131.43270999999999</v>
          </cell>
          <cell r="V1566">
            <v>0</v>
          </cell>
          <cell r="W1566">
            <v>0</v>
          </cell>
          <cell r="X1566">
            <v>0.5492148</v>
          </cell>
          <cell r="Y1566">
            <v>0</v>
          </cell>
          <cell r="Z1566">
            <v>72.225492000000003</v>
          </cell>
          <cell r="AA1566">
            <v>0</v>
          </cell>
          <cell r="AB1566">
            <v>0.43825249999999999</v>
          </cell>
        </row>
        <row r="1567">
          <cell r="A1567">
            <v>27420400</v>
          </cell>
          <cell r="B1567" t="str">
            <v>Pork and vegetables including carrots, broccoli, and/or dark-green leafy; no potatoes, tomato-based sauce</v>
          </cell>
          <cell r="I1567">
            <v>249</v>
          </cell>
          <cell r="J1567">
            <v>261.86317000000003</v>
          </cell>
          <cell r="K1567">
            <v>1.0516593172690765</v>
          </cell>
          <cell r="L1567">
            <v>3.9488987</v>
          </cell>
          <cell r="M1567">
            <v>3.5207229</v>
          </cell>
          <cell r="N1567">
            <v>0</v>
          </cell>
          <cell r="O1567">
            <v>5.0207700000000001E-2</v>
          </cell>
          <cell r="P1567">
            <v>0</v>
          </cell>
          <cell r="Q1567">
            <v>5.2099593999999998</v>
          </cell>
          <cell r="R1567">
            <v>0</v>
          </cell>
          <cell r="S1567">
            <v>0</v>
          </cell>
          <cell r="T1567">
            <v>0</v>
          </cell>
          <cell r="U1567">
            <v>182.81938</v>
          </cell>
          <cell r="V1567">
            <v>0</v>
          </cell>
          <cell r="W1567">
            <v>0</v>
          </cell>
          <cell r="X1567">
            <v>0.71911270000000005</v>
          </cell>
          <cell r="Y1567">
            <v>0</v>
          </cell>
          <cell r="Z1567">
            <v>54.576248</v>
          </cell>
          <cell r="AA1567">
            <v>0</v>
          </cell>
          <cell r="AB1567">
            <v>0.15798010000000001</v>
          </cell>
        </row>
        <row r="1568">
          <cell r="A1568">
            <v>27420410</v>
          </cell>
          <cell r="B1568" t="str">
            <v>Pork and vegetables excluding  carrots, broccoli, and dark-green leafy; no potatoes, tomato-based sauce</v>
          </cell>
          <cell r="I1568">
            <v>249</v>
          </cell>
          <cell r="J1568">
            <v>277.86966999999999</v>
          </cell>
          <cell r="K1568">
            <v>1.1159424497991968</v>
          </cell>
          <cell r="L1568">
            <v>2.7414855999999999</v>
          </cell>
          <cell r="M1568">
            <v>3.5229789999999999</v>
          </cell>
          <cell r="N1568">
            <v>0</v>
          </cell>
          <cell r="O1568">
            <v>4.1803300000000002E-2</v>
          </cell>
          <cell r="P1568">
            <v>0.87727540000000004</v>
          </cell>
          <cell r="Q1568">
            <v>5.2128161000000004</v>
          </cell>
          <cell r="R1568">
            <v>0</v>
          </cell>
          <cell r="S1568">
            <v>0</v>
          </cell>
          <cell r="T1568">
            <v>0</v>
          </cell>
          <cell r="U1568">
            <v>146.21257</v>
          </cell>
          <cell r="V1568">
            <v>0</v>
          </cell>
          <cell r="W1568">
            <v>0</v>
          </cell>
          <cell r="X1568">
            <v>0.72238000000000002</v>
          </cell>
          <cell r="Y1568">
            <v>0</v>
          </cell>
          <cell r="Z1568">
            <v>54.560223999999998</v>
          </cell>
          <cell r="AA1568">
            <v>0</v>
          </cell>
          <cell r="AB1568">
            <v>0.1331571</v>
          </cell>
        </row>
        <row r="1569">
          <cell r="A1569">
            <v>27420450</v>
          </cell>
          <cell r="B1569" t="str">
            <v>Sausage and vegetables (including carrots, broccoli, and/or dark-green leafy (no potatoes)), tomato-based sauce (mixture)</v>
          </cell>
          <cell r="I1569">
            <v>249</v>
          </cell>
          <cell r="J1569">
            <v>368.87711000000002</v>
          </cell>
          <cell r="K1569">
            <v>1.4814341767068273</v>
          </cell>
          <cell r="L1569">
            <v>2.2689878999999999</v>
          </cell>
          <cell r="M1569">
            <v>8.9295802000000002</v>
          </cell>
          <cell r="N1569">
            <v>0</v>
          </cell>
          <cell r="O1569">
            <v>5.5850400000000001E-2</v>
          </cell>
          <cell r="P1569">
            <v>0.2307593</v>
          </cell>
          <cell r="Q1569">
            <v>5.4108228</v>
          </cell>
          <cell r="R1569">
            <v>0</v>
          </cell>
          <cell r="S1569">
            <v>0</v>
          </cell>
          <cell r="T1569">
            <v>0</v>
          </cell>
          <cell r="U1569">
            <v>125.12399000000001</v>
          </cell>
          <cell r="V1569">
            <v>0</v>
          </cell>
          <cell r="W1569">
            <v>0</v>
          </cell>
          <cell r="X1569">
            <v>1.2798072</v>
          </cell>
          <cell r="Y1569">
            <v>0</v>
          </cell>
          <cell r="Z1569">
            <v>0</v>
          </cell>
          <cell r="AA1569">
            <v>78.223946999999995</v>
          </cell>
          <cell r="AB1569">
            <v>0.73829979999999995</v>
          </cell>
        </row>
        <row r="1570">
          <cell r="A1570">
            <v>27420460</v>
          </cell>
          <cell r="B1570" t="str">
            <v>Sausage and vegetables, excluding carrots, broccoli, and dark-green leafy; no potatoes, tomato-based sauce</v>
          </cell>
          <cell r="I1570">
            <v>249</v>
          </cell>
          <cell r="J1570">
            <v>283.89749999999998</v>
          </cell>
          <cell r="K1570">
            <v>1.1401506024096384</v>
          </cell>
          <cell r="L1570">
            <v>2.8125</v>
          </cell>
          <cell r="M1570">
            <v>5.5787456000000004</v>
          </cell>
          <cell r="N1570">
            <v>0</v>
          </cell>
          <cell r="O1570">
            <v>3.8056899999999998E-2</v>
          </cell>
          <cell r="P1570">
            <v>0.9</v>
          </cell>
          <cell r="Q1570">
            <v>4.7083031000000002</v>
          </cell>
          <cell r="R1570">
            <v>0</v>
          </cell>
          <cell r="S1570">
            <v>0</v>
          </cell>
          <cell r="T1570">
            <v>0</v>
          </cell>
          <cell r="U1570">
            <v>150</v>
          </cell>
          <cell r="V1570">
            <v>0</v>
          </cell>
          <cell r="W1570">
            <v>0</v>
          </cell>
          <cell r="X1570">
            <v>1.5732638000000001</v>
          </cell>
          <cell r="Y1570">
            <v>0</v>
          </cell>
          <cell r="Z1570">
            <v>0</v>
          </cell>
          <cell r="AA1570">
            <v>44.491781000000003</v>
          </cell>
          <cell r="AB1570">
            <v>0.79308540000000005</v>
          </cell>
        </row>
        <row r="1571">
          <cell r="A1571">
            <v>27420470</v>
          </cell>
          <cell r="B1571" t="str">
            <v>Sausage and peppers, no sauce</v>
          </cell>
          <cell r="I1571">
            <v>154</v>
          </cell>
          <cell r="J1571">
            <v>411.26526999999999</v>
          </cell>
          <cell r="K1571">
            <v>2.6705537012987013</v>
          </cell>
          <cell r="L1571">
            <v>0.44997999999999999</v>
          </cell>
          <cell r="M1571">
            <v>11.88822</v>
          </cell>
          <cell r="N1571">
            <v>0</v>
          </cell>
          <cell r="O1571">
            <v>2.7840199999999999E-2</v>
          </cell>
          <cell r="P1571">
            <v>0.1165017</v>
          </cell>
          <cell r="Q1571">
            <v>4.1382769000000001</v>
          </cell>
          <cell r="R1571">
            <v>0</v>
          </cell>
          <cell r="S1571">
            <v>0</v>
          </cell>
          <cell r="T1571">
            <v>0</v>
          </cell>
          <cell r="U1571">
            <v>37.498331999999998</v>
          </cell>
          <cell r="V1571">
            <v>0</v>
          </cell>
          <cell r="W1571">
            <v>0</v>
          </cell>
          <cell r="X1571">
            <v>0.86635740000000006</v>
          </cell>
          <cell r="Y1571">
            <v>0</v>
          </cell>
          <cell r="Z1571">
            <v>0</v>
          </cell>
          <cell r="AA1571">
            <v>90.827612999999999</v>
          </cell>
          <cell r="AB1571">
            <v>0.69239240000000002</v>
          </cell>
        </row>
        <row r="1572">
          <cell r="A1572">
            <v>27420500</v>
          </cell>
          <cell r="B1572" t="str">
            <v>Pork and vegetables including carrots, broccoli, and/or dark-green leafy; no potatoes, soy-based sauce</v>
          </cell>
          <cell r="I1572">
            <v>217</v>
          </cell>
          <cell r="J1572">
            <v>293.64551999999998</v>
          </cell>
          <cell r="K1572">
            <v>1.3532051612903224</v>
          </cell>
          <cell r="L1572">
            <v>2.6554198000000002</v>
          </cell>
          <cell r="M1572">
            <v>4.0830304000000002</v>
          </cell>
          <cell r="N1572">
            <v>0</v>
          </cell>
          <cell r="O1572">
            <v>5.6061600000000003E-2</v>
          </cell>
          <cell r="P1572">
            <v>5.2511200000000001E-2</v>
          </cell>
          <cell r="Q1572">
            <v>5.2936721000000002</v>
          </cell>
          <cell r="R1572">
            <v>0</v>
          </cell>
          <cell r="S1572">
            <v>0</v>
          </cell>
          <cell r="T1572">
            <v>0</v>
          </cell>
          <cell r="U1572">
            <v>104.44583</v>
          </cell>
          <cell r="V1572">
            <v>0</v>
          </cell>
          <cell r="W1572">
            <v>0</v>
          </cell>
          <cell r="X1572">
            <v>0.52788760000000001</v>
          </cell>
          <cell r="Y1572">
            <v>0</v>
          </cell>
          <cell r="Z1572">
            <v>69.711805999999996</v>
          </cell>
          <cell r="AA1572">
            <v>0</v>
          </cell>
          <cell r="AB1572">
            <v>7.6800999999999994E-2</v>
          </cell>
        </row>
        <row r="1573">
          <cell r="A1573">
            <v>27420510</v>
          </cell>
          <cell r="B1573" t="str">
            <v>Pork and vegetables excluding carrots, broccoli, and dark- green leafy; no potatoes, soy-based sauce</v>
          </cell>
          <cell r="I1573">
            <v>217</v>
          </cell>
          <cell r="J1573">
            <v>299.38886000000002</v>
          </cell>
          <cell r="K1573">
            <v>1.3796721658986175</v>
          </cell>
          <cell r="L1573">
            <v>1.8264125</v>
          </cell>
          <cell r="M1573">
            <v>4.2338789999999999</v>
          </cell>
          <cell r="N1573">
            <v>0</v>
          </cell>
          <cell r="O1573">
            <v>4.6081200000000003E-2</v>
          </cell>
          <cell r="P1573">
            <v>5.4576E-2</v>
          </cell>
          <cell r="Q1573">
            <v>5.4925791999999998</v>
          </cell>
          <cell r="R1573">
            <v>0</v>
          </cell>
          <cell r="S1573">
            <v>0</v>
          </cell>
          <cell r="T1573">
            <v>0</v>
          </cell>
          <cell r="U1573">
            <v>100.02018</v>
          </cell>
          <cell r="V1573">
            <v>0</v>
          </cell>
          <cell r="W1573">
            <v>0</v>
          </cell>
          <cell r="X1573">
            <v>0.51667280000000004</v>
          </cell>
          <cell r="Y1573">
            <v>0</v>
          </cell>
          <cell r="Z1573">
            <v>72.452883</v>
          </cell>
          <cell r="AA1573">
            <v>0</v>
          </cell>
          <cell r="AB1573">
            <v>7.1271000000000001E-2</v>
          </cell>
        </row>
        <row r="1574">
          <cell r="A1574">
            <v>27420520</v>
          </cell>
          <cell r="B1574" t="str">
            <v>Pork shish kabob with vegetables, excluding potatoes</v>
          </cell>
          <cell r="I1574">
            <v>154</v>
          </cell>
          <cell r="J1574">
            <v>179.55539999999999</v>
          </cell>
          <cell r="K1574">
            <v>1.1659441558441559</v>
          </cell>
          <cell r="L1574">
            <v>1.3385826999999999</v>
          </cell>
          <cell r="M1574">
            <v>2.4875129</v>
          </cell>
          <cell r="N1574">
            <v>0</v>
          </cell>
          <cell r="O1574">
            <v>2.77179E-2</v>
          </cell>
          <cell r="P1574">
            <v>9.2846999999999999E-3</v>
          </cell>
          <cell r="Q1574">
            <v>0.98546920000000005</v>
          </cell>
          <cell r="R1574">
            <v>0</v>
          </cell>
          <cell r="S1574">
            <v>0</v>
          </cell>
          <cell r="T1574">
            <v>2.2573748</v>
          </cell>
          <cell r="U1574">
            <v>82.982771</v>
          </cell>
          <cell r="V1574">
            <v>0</v>
          </cell>
          <cell r="W1574">
            <v>0</v>
          </cell>
          <cell r="X1574">
            <v>0.31643900000000003</v>
          </cell>
          <cell r="Y1574">
            <v>0</v>
          </cell>
          <cell r="Z1574">
            <v>65.736290999999994</v>
          </cell>
          <cell r="AA1574">
            <v>0</v>
          </cell>
          <cell r="AB1574">
            <v>2.4356200000000001E-2</v>
          </cell>
        </row>
        <row r="1575">
          <cell r="A1575">
            <v>27430400</v>
          </cell>
          <cell r="B1575" t="str">
            <v>Lamb or mutton stew with vegetables including carrots, broccoli, and/or dark-green leafy; no potatoes, gravy</v>
          </cell>
          <cell r="I1575">
            <v>252</v>
          </cell>
          <cell r="J1575">
            <v>293.65780999999998</v>
          </cell>
          <cell r="K1575">
            <v>1.1653087698412699</v>
          </cell>
          <cell r="L1575">
            <v>2.1535457999999998</v>
          </cell>
          <cell r="M1575">
            <v>3.3970202</v>
          </cell>
          <cell r="N1575">
            <v>0</v>
          </cell>
          <cell r="O1575">
            <v>4.3203900000000003E-2</v>
          </cell>
          <cell r="P1575">
            <v>2.3141832999999998</v>
          </cell>
          <cell r="Q1575">
            <v>0.94461349999999999</v>
          </cell>
          <cell r="R1575">
            <v>0</v>
          </cell>
          <cell r="S1575">
            <v>0</v>
          </cell>
          <cell r="T1575">
            <v>0</v>
          </cell>
          <cell r="U1575">
            <v>48.944223000000001</v>
          </cell>
          <cell r="V1575">
            <v>0</v>
          </cell>
          <cell r="W1575">
            <v>0</v>
          </cell>
          <cell r="X1575">
            <v>0.88757710000000001</v>
          </cell>
          <cell r="Y1575">
            <v>0</v>
          </cell>
          <cell r="Z1575">
            <v>88.601594000000006</v>
          </cell>
          <cell r="AA1575">
            <v>0</v>
          </cell>
          <cell r="AB1575">
            <v>0.18926999999999999</v>
          </cell>
        </row>
        <row r="1576">
          <cell r="A1576">
            <v>27430500</v>
          </cell>
          <cell r="B1576" t="str">
            <v>Veal goulash with vegetables (excluding carrots, broccoli, and dark-green leafy (no potatoes)), tomato-base sauce</v>
          </cell>
          <cell r="I1576">
            <v>252</v>
          </cell>
          <cell r="J1576">
            <v>241.79589999999999</v>
          </cell>
          <cell r="K1576">
            <v>0.95950753968253966</v>
          </cell>
          <cell r="L1576">
            <v>0.65754900000000005</v>
          </cell>
          <cell r="M1576">
            <v>2.8933260000000001</v>
          </cell>
          <cell r="N1576">
            <v>0</v>
          </cell>
          <cell r="O1576">
            <v>2.1773799999999999E-2</v>
          </cell>
          <cell r="P1576">
            <v>0.28692420000000002</v>
          </cell>
          <cell r="Q1576">
            <v>0.84437450000000003</v>
          </cell>
          <cell r="R1576">
            <v>0</v>
          </cell>
          <cell r="S1576">
            <v>0</v>
          </cell>
          <cell r="T1576">
            <v>0</v>
          </cell>
          <cell r="U1576">
            <v>38.679350999999997</v>
          </cell>
          <cell r="V1576">
            <v>0</v>
          </cell>
          <cell r="W1576">
            <v>0</v>
          </cell>
          <cell r="X1576">
            <v>0.57049179999999999</v>
          </cell>
          <cell r="Y1576">
            <v>0</v>
          </cell>
          <cell r="Z1576">
            <v>109.84237</v>
          </cell>
          <cell r="AA1576">
            <v>0</v>
          </cell>
          <cell r="AB1576">
            <v>1.3530443999999999</v>
          </cell>
        </row>
        <row r="1577">
          <cell r="A1577">
            <v>27430610</v>
          </cell>
          <cell r="B1577" t="str">
            <v>Lamb shish kabob with vegetables, excluding potatoes</v>
          </cell>
          <cell r="I1577">
            <v>154</v>
          </cell>
          <cell r="J1577">
            <v>176.25235000000001</v>
          </cell>
          <cell r="K1577">
            <v>1.1444957792207793</v>
          </cell>
          <cell r="L1577">
            <v>1.3385826999999999</v>
          </cell>
          <cell r="M1577">
            <v>2.8640604999999999</v>
          </cell>
          <cell r="N1577">
            <v>0</v>
          </cell>
          <cell r="O1577">
            <v>2.8378500000000001E-2</v>
          </cell>
          <cell r="P1577">
            <v>9.2846999999999999E-3</v>
          </cell>
          <cell r="Q1577">
            <v>1.1109850999999999</v>
          </cell>
          <cell r="R1577">
            <v>0</v>
          </cell>
          <cell r="S1577">
            <v>0</v>
          </cell>
          <cell r="T1577">
            <v>2.2573748</v>
          </cell>
          <cell r="U1577">
            <v>82.982771</v>
          </cell>
          <cell r="V1577">
            <v>0</v>
          </cell>
          <cell r="W1577">
            <v>0</v>
          </cell>
          <cell r="X1577">
            <v>0.32304509999999997</v>
          </cell>
          <cell r="Y1577">
            <v>0</v>
          </cell>
          <cell r="Z1577">
            <v>64.987159000000005</v>
          </cell>
          <cell r="AA1577">
            <v>0</v>
          </cell>
          <cell r="AB1577">
            <v>0.22203429999999999</v>
          </cell>
        </row>
        <row r="1578">
          <cell r="A1578">
            <v>27440110</v>
          </cell>
          <cell r="B1578" t="str">
            <v>Chicken or turkey and vegetables including carrots, broccoli, and/or dark-green leafy; no potatoes, no sauce</v>
          </cell>
          <cell r="I1578">
            <v>162</v>
          </cell>
          <cell r="J1578">
            <v>180.58932999999999</v>
          </cell>
          <cell r="K1578">
            <v>1.1147489506172839</v>
          </cell>
          <cell r="L1578">
            <v>2.1351464</v>
          </cell>
          <cell r="M1578">
            <v>2.0083720999999999</v>
          </cell>
          <cell r="N1578">
            <v>0</v>
          </cell>
          <cell r="O1578">
            <v>3.1648500000000003E-2</v>
          </cell>
          <cell r="P1578">
            <v>0</v>
          </cell>
          <cell r="Q1578">
            <v>4.0981551999999999</v>
          </cell>
          <cell r="R1578">
            <v>0</v>
          </cell>
          <cell r="S1578">
            <v>0</v>
          </cell>
          <cell r="T1578">
            <v>0</v>
          </cell>
          <cell r="U1578">
            <v>67.782426999999998</v>
          </cell>
          <cell r="V1578">
            <v>0</v>
          </cell>
          <cell r="W1578">
            <v>0</v>
          </cell>
          <cell r="X1578">
            <v>0.5946264</v>
          </cell>
          <cell r="Y1578">
            <v>0</v>
          </cell>
          <cell r="Z1578">
            <v>0</v>
          </cell>
          <cell r="AA1578">
            <v>0</v>
          </cell>
          <cell r="AB1578">
            <v>3.0023399999999999E-2</v>
          </cell>
        </row>
        <row r="1579">
          <cell r="A1579">
            <v>27440120</v>
          </cell>
          <cell r="B1579" t="str">
            <v>Chicken or turkey and vegetables excluding carrots, broccoli, and dark-green leafy; no potatoes, no sauce</v>
          </cell>
          <cell r="I1579">
            <v>162</v>
          </cell>
          <cell r="J1579">
            <v>188.57395</v>
          </cell>
          <cell r="K1579">
            <v>1.1640367283950617</v>
          </cell>
          <cell r="L1579">
            <v>0.91079460000000001</v>
          </cell>
          <cell r="M1579">
            <v>2.0094451000000002</v>
          </cell>
          <cell r="N1579">
            <v>0</v>
          </cell>
          <cell r="O1579">
            <v>2.1870899999999999E-2</v>
          </cell>
          <cell r="P1579">
            <v>0.7286357</v>
          </cell>
          <cell r="Q1579">
            <v>4.3000359000000001</v>
          </cell>
          <cell r="R1579">
            <v>0</v>
          </cell>
          <cell r="S1579">
            <v>0</v>
          </cell>
          <cell r="T1579">
            <v>0</v>
          </cell>
          <cell r="U1579">
            <v>30.359819999999999</v>
          </cell>
          <cell r="V1579">
            <v>0</v>
          </cell>
          <cell r="W1579">
            <v>0</v>
          </cell>
          <cell r="X1579">
            <v>0.5832389</v>
          </cell>
          <cell r="Y1579">
            <v>0</v>
          </cell>
          <cell r="Z1579">
            <v>0</v>
          </cell>
          <cell r="AA1579">
            <v>0</v>
          </cell>
          <cell r="AB1579">
            <v>3.2273999999999997E-2</v>
          </cell>
        </row>
        <row r="1580">
          <cell r="A1580">
            <v>27440130</v>
          </cell>
          <cell r="B1580" t="str">
            <v>Chicken or turkey shish kabob with vegetables, excluding potatoes</v>
          </cell>
          <cell r="I1580">
            <v>154</v>
          </cell>
          <cell r="J1580">
            <v>150.02614</v>
          </cell>
          <cell r="K1580">
            <v>0.97419571428571428</v>
          </cell>
          <cell r="L1580">
            <v>1.3385826999999999</v>
          </cell>
          <cell r="M1580">
            <v>1.2120074999999999</v>
          </cell>
          <cell r="N1580">
            <v>0</v>
          </cell>
          <cell r="O1580">
            <v>2.53397E-2</v>
          </cell>
          <cell r="P1580">
            <v>9.2846999999999999E-3</v>
          </cell>
          <cell r="Q1580">
            <v>1.1024632000000001</v>
          </cell>
          <cell r="R1580">
            <v>0</v>
          </cell>
          <cell r="S1580">
            <v>0</v>
          </cell>
          <cell r="T1580">
            <v>2.2573748</v>
          </cell>
          <cell r="U1580">
            <v>82.982771</v>
          </cell>
          <cell r="V1580">
            <v>0</v>
          </cell>
          <cell r="W1580">
            <v>0</v>
          </cell>
          <cell r="X1580">
            <v>0.50610010000000005</v>
          </cell>
          <cell r="Y1580">
            <v>0</v>
          </cell>
          <cell r="Z1580">
            <v>0</v>
          </cell>
          <cell r="AA1580">
            <v>0</v>
          </cell>
          <cell r="AB1580">
            <v>3.5157000000000001E-3</v>
          </cell>
        </row>
        <row r="1581">
          <cell r="A1581">
            <v>27442110</v>
          </cell>
          <cell r="B1581" t="str">
            <v>Chicken or turkey and vegetables including carrots, broccoli, and/or dark-green leafy; no potatoes, gravy</v>
          </cell>
          <cell r="I1581">
            <v>252</v>
          </cell>
          <cell r="J1581">
            <v>266.61496</v>
          </cell>
          <cell r="K1581">
            <v>1.0579958730158729</v>
          </cell>
          <cell r="L1581">
            <v>2.3292253999999999</v>
          </cell>
          <cell r="M1581">
            <v>3.1525010999999998</v>
          </cell>
          <cell r="N1581">
            <v>0</v>
          </cell>
          <cell r="O1581">
            <v>4.4387999999999997E-2</v>
          </cell>
          <cell r="P1581">
            <v>0.1109155</v>
          </cell>
          <cell r="Q1581">
            <v>5.6835224000000002</v>
          </cell>
          <cell r="R1581">
            <v>0</v>
          </cell>
          <cell r="S1581">
            <v>0</v>
          </cell>
          <cell r="T1581">
            <v>0</v>
          </cell>
          <cell r="U1581">
            <v>73.943662000000003</v>
          </cell>
          <cell r="V1581">
            <v>0</v>
          </cell>
          <cell r="W1581">
            <v>0</v>
          </cell>
          <cell r="X1581">
            <v>0.87805440000000001</v>
          </cell>
          <cell r="Y1581">
            <v>0</v>
          </cell>
          <cell r="Z1581">
            <v>0</v>
          </cell>
          <cell r="AA1581">
            <v>0</v>
          </cell>
          <cell r="AB1581">
            <v>5.1503599999999997E-2</v>
          </cell>
        </row>
        <row r="1582">
          <cell r="A1582">
            <v>27442120</v>
          </cell>
          <cell r="B1582" t="str">
            <v>Chicken or turkey and vegetables excluding carrots, broccoli, and dark-green leafy; no potatoes, gravy</v>
          </cell>
          <cell r="I1582">
            <v>252</v>
          </cell>
          <cell r="J1582">
            <v>282.79959000000002</v>
          </cell>
          <cell r="K1582">
            <v>1.1222205952380953</v>
          </cell>
          <cell r="L1582">
            <v>1.1088296</v>
          </cell>
          <cell r="M1582">
            <v>3.1549029000000002</v>
          </cell>
          <cell r="N1582">
            <v>0</v>
          </cell>
          <cell r="O1582">
            <v>3.5891699999999999E-2</v>
          </cell>
          <cell r="P1582">
            <v>0.99794660000000002</v>
          </cell>
          <cell r="Q1582">
            <v>5.6862906000000004</v>
          </cell>
          <cell r="R1582">
            <v>0</v>
          </cell>
          <cell r="S1582">
            <v>0</v>
          </cell>
          <cell r="T1582">
            <v>0</v>
          </cell>
          <cell r="U1582">
            <v>36.960985999999998</v>
          </cell>
          <cell r="V1582">
            <v>0</v>
          </cell>
          <cell r="W1582">
            <v>0</v>
          </cell>
          <cell r="X1582">
            <v>0.88131400000000004</v>
          </cell>
          <cell r="Y1582">
            <v>0</v>
          </cell>
          <cell r="Z1582">
            <v>0</v>
          </cell>
          <cell r="AA1582">
            <v>0</v>
          </cell>
          <cell r="AB1582">
            <v>5.14885E-2</v>
          </cell>
        </row>
        <row r="1583">
          <cell r="A1583">
            <v>27443110</v>
          </cell>
          <cell r="B1583" t="str">
            <v>Chicken or turkey a la king with vegetables including carrots, broccoli, and/or dark-green leafy; no potatoes, cream, white, or soup-based sauce</v>
          </cell>
          <cell r="I1583">
            <v>241</v>
          </cell>
          <cell r="J1583">
            <v>402.74412999999998</v>
          </cell>
          <cell r="K1583">
            <v>1.6711374688796681</v>
          </cell>
          <cell r="L1583">
            <v>1.0393382</v>
          </cell>
          <cell r="M1583">
            <v>9.7608607000000003</v>
          </cell>
          <cell r="N1583">
            <v>0</v>
          </cell>
          <cell r="O1583">
            <v>0.13272390000000001</v>
          </cell>
          <cell r="P1583">
            <v>0.257324</v>
          </cell>
          <cell r="Q1583">
            <v>5.5231693000000002</v>
          </cell>
          <cell r="R1583">
            <v>0</v>
          </cell>
          <cell r="S1583">
            <v>0</v>
          </cell>
          <cell r="T1583">
            <v>0</v>
          </cell>
          <cell r="U1583">
            <v>36.433765000000001</v>
          </cell>
          <cell r="V1583">
            <v>0</v>
          </cell>
          <cell r="W1583">
            <v>0</v>
          </cell>
          <cell r="X1583">
            <v>0.9324057</v>
          </cell>
          <cell r="Y1583">
            <v>0</v>
          </cell>
          <cell r="Z1583">
            <v>0</v>
          </cell>
          <cell r="AA1583">
            <v>0</v>
          </cell>
          <cell r="AB1583">
            <v>2.8976226999999999</v>
          </cell>
        </row>
        <row r="1584">
          <cell r="A1584">
            <v>27443120</v>
          </cell>
          <cell r="B1584" t="str">
            <v>Chicken or turkey a la king with vegetables excluding carrorts, broccoli, and dark-green leafy; no potatoes, cream, white, or soup-based sauce</v>
          </cell>
          <cell r="I1584">
            <v>241</v>
          </cell>
          <cell r="J1584">
            <v>390.80554999999998</v>
          </cell>
          <cell r="K1584">
            <v>1.6215997925311203</v>
          </cell>
          <cell r="L1584">
            <v>0.85262159999999998</v>
          </cell>
          <cell r="M1584">
            <v>9.1639523000000001</v>
          </cell>
          <cell r="N1584">
            <v>0</v>
          </cell>
          <cell r="O1584">
            <v>0.12847620000000001</v>
          </cell>
          <cell r="P1584">
            <v>0.25693389999999999</v>
          </cell>
          <cell r="Q1584">
            <v>5.4737359999999997</v>
          </cell>
          <cell r="R1584">
            <v>0</v>
          </cell>
          <cell r="S1584">
            <v>0</v>
          </cell>
          <cell r="T1584">
            <v>0</v>
          </cell>
          <cell r="U1584">
            <v>36.540927000000003</v>
          </cell>
          <cell r="V1584">
            <v>0</v>
          </cell>
          <cell r="W1584">
            <v>0</v>
          </cell>
          <cell r="X1584">
            <v>1.0461377999999999</v>
          </cell>
          <cell r="Y1584">
            <v>0</v>
          </cell>
          <cell r="Z1584">
            <v>0</v>
          </cell>
          <cell r="AA1584">
            <v>0</v>
          </cell>
          <cell r="AB1584">
            <v>2.8776511</v>
          </cell>
        </row>
        <row r="1585">
          <cell r="A1585">
            <v>27443150</v>
          </cell>
          <cell r="B1585" t="str">
            <v>Chicken or turkey divan</v>
          </cell>
          <cell r="I1585">
            <v>236</v>
          </cell>
          <cell r="J1585">
            <v>286.43770999999998</v>
          </cell>
          <cell r="K1585">
            <v>1.2137191101694915</v>
          </cell>
          <cell r="L1585">
            <v>2.6868154999999998</v>
          </cell>
          <cell r="M1585">
            <v>4.9562423999999998</v>
          </cell>
          <cell r="N1585">
            <v>0</v>
          </cell>
          <cell r="O1585">
            <v>0.2101576</v>
          </cell>
          <cell r="P1585">
            <v>4.9810199999999999E-2</v>
          </cell>
          <cell r="Q1585">
            <v>1.9986520000000001</v>
          </cell>
          <cell r="R1585">
            <v>0</v>
          </cell>
          <cell r="S1585">
            <v>0</v>
          </cell>
          <cell r="T1585">
            <v>0</v>
          </cell>
          <cell r="U1585">
            <v>89.560516000000007</v>
          </cell>
          <cell r="V1585">
            <v>0</v>
          </cell>
          <cell r="W1585">
            <v>0</v>
          </cell>
          <cell r="X1585">
            <v>0.41298410000000002</v>
          </cell>
          <cell r="Y1585">
            <v>0</v>
          </cell>
          <cell r="Z1585">
            <v>0</v>
          </cell>
          <cell r="AA1585">
            <v>0</v>
          </cell>
          <cell r="AB1585">
            <v>0.69486179999999997</v>
          </cell>
        </row>
        <row r="1586">
          <cell r="A1586">
            <v>27445110</v>
          </cell>
          <cell r="B1586" t="str">
            <v>Chicken or turkey and vegetables including carrots, broccoli, and/or dark-green leafy; no potatoes, soy-based sauce</v>
          </cell>
          <cell r="I1586">
            <v>217</v>
          </cell>
          <cell r="J1586">
            <v>206.15</v>
          </cell>
          <cell r="K1586">
            <v>0.95000000000000007</v>
          </cell>
          <cell r="L1586">
            <v>1.4766585000000001</v>
          </cell>
          <cell r="M1586">
            <v>1.6709000000000001</v>
          </cell>
          <cell r="N1586">
            <v>0</v>
          </cell>
          <cell r="O1586">
            <v>4.3400000000000001E-2</v>
          </cell>
          <cell r="P1586">
            <v>0.47634149999999997</v>
          </cell>
          <cell r="Q1586">
            <v>4.5136000000000003</v>
          </cell>
          <cell r="R1586">
            <v>0</v>
          </cell>
          <cell r="S1586">
            <v>0</v>
          </cell>
          <cell r="T1586">
            <v>0</v>
          </cell>
          <cell r="U1586">
            <v>104.2685</v>
          </cell>
          <cell r="V1586">
            <v>0</v>
          </cell>
          <cell r="W1586">
            <v>0</v>
          </cell>
          <cell r="X1586">
            <v>0.89620999999999995</v>
          </cell>
          <cell r="Y1586">
            <v>0</v>
          </cell>
          <cell r="Z1586">
            <v>0</v>
          </cell>
          <cell r="AA1586">
            <v>0</v>
          </cell>
          <cell r="AB1586">
            <v>3.0380000000000001E-2</v>
          </cell>
        </row>
        <row r="1587">
          <cell r="A1587">
            <v>27445120</v>
          </cell>
          <cell r="B1587" t="str">
            <v>Chicken or turkey and vegetables excluding carrots, broccoli, and dark-green leafy; no potatoes, soy-based sauce</v>
          </cell>
          <cell r="I1587">
            <v>217</v>
          </cell>
          <cell r="J1587">
            <v>266.58562999999998</v>
          </cell>
          <cell r="K1587">
            <v>1.2285052073732718</v>
          </cell>
          <cell r="L1587">
            <v>1.8264125</v>
          </cell>
          <cell r="M1587">
            <v>2.8031367999999999</v>
          </cell>
          <cell r="N1587">
            <v>0</v>
          </cell>
          <cell r="O1587">
            <v>4.2946400000000003E-2</v>
          </cell>
          <cell r="P1587">
            <v>5.4576E-2</v>
          </cell>
          <cell r="Q1587">
            <v>5.6212701999999997</v>
          </cell>
          <cell r="R1587">
            <v>0</v>
          </cell>
          <cell r="S1587">
            <v>0</v>
          </cell>
          <cell r="T1587">
            <v>0</v>
          </cell>
          <cell r="U1587">
            <v>100.02018</v>
          </cell>
          <cell r="V1587">
            <v>0</v>
          </cell>
          <cell r="W1587">
            <v>0</v>
          </cell>
          <cell r="X1587">
            <v>0.72545570000000004</v>
          </cell>
          <cell r="Y1587">
            <v>0</v>
          </cell>
          <cell r="Z1587">
            <v>0</v>
          </cell>
          <cell r="AA1587">
            <v>0</v>
          </cell>
          <cell r="AB1587">
            <v>4.1332399999999998E-2</v>
          </cell>
        </row>
        <row r="1588">
          <cell r="A1588">
            <v>27445125</v>
          </cell>
          <cell r="B1588" t="str">
            <v>Chicken or turkey and vegetables including carrots, broccoli, and/or dark-green leafy; no potatoes, tomato-based sauce</v>
          </cell>
          <cell r="I1588">
            <v>249</v>
          </cell>
          <cell r="J1588">
            <v>265.82461999999998</v>
          </cell>
          <cell r="K1588">
            <v>1.0675687550200803</v>
          </cell>
          <cell r="L1588">
            <v>3.8917511</v>
          </cell>
          <cell r="M1588">
            <v>2.9189647000000001</v>
          </cell>
          <cell r="N1588">
            <v>0</v>
          </cell>
          <cell r="O1588">
            <v>4.7544200000000002E-2</v>
          </cell>
          <cell r="P1588">
            <v>0</v>
          </cell>
          <cell r="Q1588">
            <v>6.7145498999999997</v>
          </cell>
          <cell r="R1588">
            <v>0</v>
          </cell>
          <cell r="S1588">
            <v>0</v>
          </cell>
          <cell r="T1588">
            <v>0</v>
          </cell>
          <cell r="U1588">
            <v>180.17366000000001</v>
          </cell>
          <cell r="V1588">
            <v>0</v>
          </cell>
          <cell r="W1588">
            <v>0</v>
          </cell>
          <cell r="X1588">
            <v>0.86390750000000005</v>
          </cell>
          <cell r="Y1588">
            <v>0</v>
          </cell>
          <cell r="Z1588">
            <v>0</v>
          </cell>
          <cell r="AA1588">
            <v>0</v>
          </cell>
          <cell r="AB1588">
            <v>5.1075599999999999E-2</v>
          </cell>
        </row>
        <row r="1589">
          <cell r="A1589">
            <v>27445130</v>
          </cell>
          <cell r="B1589" t="str">
            <v>Chicken or turkey and vegetables excluding carrots, broccoli, and dark-green leafy; no potatoes, tomato-based sauce</v>
          </cell>
          <cell r="I1589">
            <v>249</v>
          </cell>
          <cell r="J1589">
            <v>281.59838999999999</v>
          </cell>
          <cell r="K1589">
            <v>1.1309172289156626</v>
          </cell>
          <cell r="L1589">
            <v>2.7018228999999998</v>
          </cell>
          <cell r="M1589">
            <v>2.9213621999999999</v>
          </cell>
          <cell r="N1589">
            <v>0</v>
          </cell>
          <cell r="O1589">
            <v>3.9262199999999997E-2</v>
          </cell>
          <cell r="P1589">
            <v>0.86458330000000005</v>
          </cell>
          <cell r="Q1589">
            <v>6.7169299000000002</v>
          </cell>
          <cell r="R1589">
            <v>0</v>
          </cell>
          <cell r="S1589">
            <v>0</v>
          </cell>
          <cell r="T1589">
            <v>0</v>
          </cell>
          <cell r="U1589">
            <v>144.09721999999999</v>
          </cell>
          <cell r="V1589">
            <v>0</v>
          </cell>
          <cell r="W1589">
            <v>0</v>
          </cell>
          <cell r="X1589">
            <v>0.86708560000000001</v>
          </cell>
          <cell r="Y1589">
            <v>0</v>
          </cell>
          <cell r="Z1589">
            <v>0</v>
          </cell>
          <cell r="AA1589">
            <v>0</v>
          </cell>
          <cell r="AB1589">
            <v>5.1060899999999999E-2</v>
          </cell>
        </row>
        <row r="1590">
          <cell r="A1590">
            <v>27445150</v>
          </cell>
          <cell r="B1590" t="str">
            <v>General Tso chicken</v>
          </cell>
          <cell r="I1590">
            <v>146</v>
          </cell>
          <cell r="J1590">
            <v>430.7</v>
          </cell>
          <cell r="K1590">
            <v>2.9499999999999997</v>
          </cell>
          <cell r="L1590">
            <v>0.43594549999999999</v>
          </cell>
          <cell r="M1590">
            <v>4.0296000000000003</v>
          </cell>
          <cell r="N1590">
            <v>0</v>
          </cell>
          <cell r="O1590">
            <v>1.7520000000000001E-2</v>
          </cell>
          <cell r="P1590">
            <v>0.87805449999999996</v>
          </cell>
          <cell r="Q1590">
            <v>10.951460000000001</v>
          </cell>
          <cell r="R1590">
            <v>0</v>
          </cell>
          <cell r="S1590">
            <v>0</v>
          </cell>
          <cell r="T1590">
            <v>0</v>
          </cell>
          <cell r="U1590">
            <v>18.103999999999999</v>
          </cell>
          <cell r="V1590">
            <v>0</v>
          </cell>
          <cell r="W1590">
            <v>0</v>
          </cell>
          <cell r="X1590">
            <v>0.6351</v>
          </cell>
          <cell r="Y1590">
            <v>0</v>
          </cell>
          <cell r="Z1590">
            <v>0</v>
          </cell>
          <cell r="AA1590">
            <v>0</v>
          </cell>
          <cell r="AB1590">
            <v>0.13139999999999999</v>
          </cell>
        </row>
        <row r="1591">
          <cell r="A1591">
            <v>27445180</v>
          </cell>
          <cell r="B1591" t="str">
            <v>Moo Goo Gai Pan</v>
          </cell>
          <cell r="I1591">
            <v>216</v>
          </cell>
          <cell r="J1591">
            <v>159.47841</v>
          </cell>
          <cell r="K1591">
            <v>0.73832597222222218</v>
          </cell>
          <cell r="L1591">
            <v>2.1755805000000001</v>
          </cell>
          <cell r="M1591">
            <v>0.84559130000000005</v>
          </cell>
          <cell r="N1591">
            <v>0</v>
          </cell>
          <cell r="O1591">
            <v>3.4008900000000002E-2</v>
          </cell>
          <cell r="P1591">
            <v>0.81797909999999996</v>
          </cell>
          <cell r="Q1591">
            <v>1.7440353</v>
          </cell>
          <cell r="R1591">
            <v>0</v>
          </cell>
          <cell r="S1591">
            <v>0</v>
          </cell>
          <cell r="T1591">
            <v>0</v>
          </cell>
          <cell r="U1591">
            <v>111.89077</v>
          </cell>
          <cell r="V1591">
            <v>0</v>
          </cell>
          <cell r="W1591">
            <v>0</v>
          </cell>
          <cell r="X1591">
            <v>0.2430322</v>
          </cell>
          <cell r="Y1591">
            <v>0</v>
          </cell>
          <cell r="Z1591">
            <v>0</v>
          </cell>
          <cell r="AA1591">
            <v>0</v>
          </cell>
          <cell r="AB1591">
            <v>0.4024239</v>
          </cell>
        </row>
        <row r="1592">
          <cell r="A1592">
            <v>27445220</v>
          </cell>
          <cell r="B1592" t="str">
            <v>Kung pao chicken</v>
          </cell>
          <cell r="I1592">
            <v>162</v>
          </cell>
          <cell r="J1592">
            <v>208.98</v>
          </cell>
          <cell r="K1592">
            <v>1.29</v>
          </cell>
          <cell r="L1592">
            <v>2.4300000000000002</v>
          </cell>
          <cell r="M1592">
            <v>2.1902400000000002</v>
          </cell>
          <cell r="N1592">
            <v>0</v>
          </cell>
          <cell r="O1592">
            <v>3.2399999999999998E-2</v>
          </cell>
          <cell r="P1592">
            <v>0</v>
          </cell>
          <cell r="Q1592">
            <v>4.8924000000000003</v>
          </cell>
          <cell r="R1592">
            <v>0</v>
          </cell>
          <cell r="S1592">
            <v>0</v>
          </cell>
          <cell r="T1592">
            <v>0</v>
          </cell>
          <cell r="U1592">
            <v>52.731000000000002</v>
          </cell>
          <cell r="V1592">
            <v>0</v>
          </cell>
          <cell r="W1592">
            <v>0</v>
          </cell>
          <cell r="X1592">
            <v>0.65124000000000004</v>
          </cell>
          <cell r="Y1592">
            <v>11.252115</v>
          </cell>
          <cell r="Z1592">
            <v>0</v>
          </cell>
          <cell r="AA1592">
            <v>0</v>
          </cell>
          <cell r="AB1592">
            <v>5.5079999999999997E-2</v>
          </cell>
        </row>
        <row r="1593">
          <cell r="A1593">
            <v>27445250</v>
          </cell>
          <cell r="B1593" t="str">
            <v>Almond chicken</v>
          </cell>
          <cell r="I1593">
            <v>242</v>
          </cell>
          <cell r="J1593">
            <v>450.61455999999998</v>
          </cell>
          <cell r="K1593">
            <v>1.8620436363636363</v>
          </cell>
          <cell r="L1593">
            <v>0.70254910000000004</v>
          </cell>
          <cell r="M1593">
            <v>3.7411970999999999</v>
          </cell>
          <cell r="N1593">
            <v>0</v>
          </cell>
          <cell r="O1593">
            <v>7.3095800000000002E-2</v>
          </cell>
          <cell r="P1593">
            <v>2.1121265</v>
          </cell>
          <cell r="Q1593">
            <v>8.8062068</v>
          </cell>
          <cell r="R1593">
            <v>0</v>
          </cell>
          <cell r="S1593">
            <v>0</v>
          </cell>
          <cell r="T1593">
            <v>0</v>
          </cell>
          <cell r="U1593">
            <v>32.314039000000001</v>
          </cell>
          <cell r="V1593">
            <v>0</v>
          </cell>
          <cell r="W1593">
            <v>0</v>
          </cell>
          <cell r="X1593">
            <v>0.48644569999999998</v>
          </cell>
          <cell r="Y1593">
            <v>17.791373</v>
          </cell>
          <cell r="Z1593">
            <v>0</v>
          </cell>
          <cell r="AA1593">
            <v>0</v>
          </cell>
          <cell r="AB1593">
            <v>5.5181800000000003E-2</v>
          </cell>
        </row>
        <row r="1594">
          <cell r="A1594">
            <v>27446100</v>
          </cell>
          <cell r="B1594" t="str">
            <v>Chicken or turkey chow mein or chop suey, no noodles</v>
          </cell>
          <cell r="I1594">
            <v>220</v>
          </cell>
          <cell r="J1594">
            <v>183.08143000000001</v>
          </cell>
          <cell r="K1594">
            <v>0.83218831818181827</v>
          </cell>
          <cell r="L1594">
            <v>1.5733188</v>
          </cell>
          <cell r="M1594">
            <v>1.5828095</v>
          </cell>
          <cell r="N1594">
            <v>0</v>
          </cell>
          <cell r="O1594">
            <v>4.7267900000000002E-2</v>
          </cell>
          <cell r="P1594">
            <v>0.19134960000000001</v>
          </cell>
          <cell r="Q1594">
            <v>2.037944</v>
          </cell>
          <cell r="R1594">
            <v>0</v>
          </cell>
          <cell r="S1594">
            <v>0</v>
          </cell>
          <cell r="T1594">
            <v>0</v>
          </cell>
          <cell r="U1594">
            <v>131.10990000000001</v>
          </cell>
          <cell r="V1594">
            <v>0</v>
          </cell>
          <cell r="W1594">
            <v>0</v>
          </cell>
          <cell r="X1594">
            <v>0.75760240000000001</v>
          </cell>
          <cell r="Y1594">
            <v>0</v>
          </cell>
          <cell r="Z1594">
            <v>0</v>
          </cell>
          <cell r="AA1594">
            <v>0</v>
          </cell>
          <cell r="AB1594">
            <v>7.3527999999999996E-3</v>
          </cell>
        </row>
        <row r="1595">
          <cell r="A1595">
            <v>27446200</v>
          </cell>
          <cell r="B1595" t="str">
            <v>Chicken or turkey salad, made with mayonnaise</v>
          </cell>
          <cell r="I1595">
            <v>100</v>
          </cell>
          <cell r="J1595">
            <v>235.02420000000001</v>
          </cell>
          <cell r="K1595">
            <v>2.3502420000000002</v>
          </cell>
          <cell r="L1595">
            <v>0.36081750000000001</v>
          </cell>
          <cell r="M1595">
            <v>3.2330895000000002</v>
          </cell>
          <cell r="N1595">
            <v>0</v>
          </cell>
          <cell r="O1595">
            <v>1.8221000000000001E-2</v>
          </cell>
          <cell r="P1595">
            <v>6.3307500000000003E-2</v>
          </cell>
          <cell r="Q1595">
            <v>9.7385637999999997</v>
          </cell>
          <cell r="R1595">
            <v>0</v>
          </cell>
          <cell r="S1595">
            <v>0</v>
          </cell>
          <cell r="T1595">
            <v>0</v>
          </cell>
          <cell r="U1595">
            <v>22.551092000000001</v>
          </cell>
          <cell r="V1595">
            <v>0</v>
          </cell>
          <cell r="W1595">
            <v>0</v>
          </cell>
          <cell r="X1595">
            <v>0.48033989999999999</v>
          </cell>
          <cell r="Y1595">
            <v>0</v>
          </cell>
          <cell r="Z1595">
            <v>0</v>
          </cell>
          <cell r="AA1595">
            <v>0</v>
          </cell>
          <cell r="AB1595">
            <v>3.8656299999999998E-2</v>
          </cell>
        </row>
        <row r="1596">
          <cell r="A1596">
            <v>27446205</v>
          </cell>
          <cell r="B1596" t="str">
            <v>Chicken or turkey salad with nuts and/or fruits</v>
          </cell>
          <cell r="I1596">
            <v>100</v>
          </cell>
          <cell r="J1596">
            <v>230.10157000000001</v>
          </cell>
          <cell r="K1596">
            <v>2.3010157000000002</v>
          </cell>
          <cell r="L1596">
            <v>0.41660029999999998</v>
          </cell>
          <cell r="M1596">
            <v>2.828678</v>
          </cell>
          <cell r="N1596">
            <v>0</v>
          </cell>
          <cell r="O1596">
            <v>3.1128900000000001E-2</v>
          </cell>
          <cell r="P1596">
            <v>0.72380140000000004</v>
          </cell>
          <cell r="Q1596">
            <v>8.5339348000000008</v>
          </cell>
          <cell r="R1596">
            <v>0</v>
          </cell>
          <cell r="S1596">
            <v>0</v>
          </cell>
          <cell r="T1596">
            <v>13.947319</v>
          </cell>
          <cell r="U1596">
            <v>18.192155</v>
          </cell>
          <cell r="V1596">
            <v>0</v>
          </cell>
          <cell r="W1596">
            <v>0</v>
          </cell>
          <cell r="X1596">
            <v>0.38782699999999998</v>
          </cell>
          <cell r="Y1596">
            <v>5.3782803000000001</v>
          </cell>
          <cell r="Z1596">
            <v>0</v>
          </cell>
          <cell r="AA1596">
            <v>0</v>
          </cell>
          <cell r="AB1596">
            <v>3.1991699999999998E-2</v>
          </cell>
        </row>
        <row r="1597">
          <cell r="A1597">
            <v>27446220</v>
          </cell>
          <cell r="B1597" t="str">
            <v>Chicken or turkey salad with egg</v>
          </cell>
          <cell r="I1597">
            <v>100</v>
          </cell>
          <cell r="J1597">
            <v>228.15074000000001</v>
          </cell>
          <cell r="K1597">
            <v>2.2815074000000002</v>
          </cell>
          <cell r="L1597">
            <v>0.32982610000000001</v>
          </cell>
          <cell r="M1597">
            <v>3.2360020999999999</v>
          </cell>
          <cell r="N1597">
            <v>0</v>
          </cell>
          <cell r="O1597">
            <v>2.09506E-2</v>
          </cell>
          <cell r="P1597">
            <v>5.7869900000000002E-2</v>
          </cell>
          <cell r="Q1597">
            <v>9.0235485999999998</v>
          </cell>
          <cell r="R1597">
            <v>0</v>
          </cell>
          <cell r="S1597">
            <v>0</v>
          </cell>
          <cell r="T1597">
            <v>0</v>
          </cell>
          <cell r="U1597">
            <v>20.614128999999998</v>
          </cell>
          <cell r="V1597">
            <v>0</v>
          </cell>
          <cell r="W1597">
            <v>0</v>
          </cell>
          <cell r="X1597">
            <v>0.4497331</v>
          </cell>
          <cell r="Y1597">
            <v>0</v>
          </cell>
          <cell r="Z1597">
            <v>0</v>
          </cell>
          <cell r="AA1597">
            <v>0</v>
          </cell>
          <cell r="AB1597">
            <v>3.5336100000000002E-2</v>
          </cell>
        </row>
        <row r="1598">
          <cell r="A1598">
            <v>27446225</v>
          </cell>
          <cell r="B1598" t="str">
            <v>Chicken or turkey salad, made with light mayonnaise</v>
          </cell>
          <cell r="I1598">
            <v>100</v>
          </cell>
          <cell r="J1598">
            <v>145.39497</v>
          </cell>
          <cell r="K1598">
            <v>1.4539496999999999</v>
          </cell>
          <cell r="L1598">
            <v>0.35416189999999997</v>
          </cell>
          <cell r="M1598">
            <v>1.5616283</v>
          </cell>
          <cell r="N1598">
            <v>0</v>
          </cell>
          <cell r="O1598">
            <v>1.7589799999999999E-2</v>
          </cell>
          <cell r="P1598">
            <v>6.2139699999999999E-2</v>
          </cell>
          <cell r="Q1598">
            <v>3.3671077</v>
          </cell>
          <cell r="R1598">
            <v>0</v>
          </cell>
          <cell r="S1598">
            <v>0</v>
          </cell>
          <cell r="T1598">
            <v>0</v>
          </cell>
          <cell r="U1598">
            <v>22.135116</v>
          </cell>
          <cell r="V1598">
            <v>0</v>
          </cell>
          <cell r="W1598">
            <v>0</v>
          </cell>
          <cell r="X1598">
            <v>0.52569220000000005</v>
          </cell>
          <cell r="Y1598">
            <v>0</v>
          </cell>
          <cell r="Z1598">
            <v>0</v>
          </cell>
          <cell r="AA1598">
            <v>0</v>
          </cell>
          <cell r="AB1598">
            <v>1.2395700000000001E-2</v>
          </cell>
        </row>
        <row r="1599">
          <cell r="A1599">
            <v>27446230</v>
          </cell>
          <cell r="B1599" t="str">
            <v>Chicken or turkey salad, made with mayonnaise-type salad dressing</v>
          </cell>
          <cell r="I1599">
            <v>100</v>
          </cell>
          <cell r="J1599">
            <v>147.57886999999999</v>
          </cell>
          <cell r="K1599">
            <v>1.4757886999999998</v>
          </cell>
          <cell r="L1599">
            <v>0.35580260000000002</v>
          </cell>
          <cell r="M1599">
            <v>1.5420111000000001</v>
          </cell>
          <cell r="N1599">
            <v>0</v>
          </cell>
          <cell r="O1599">
            <v>1.7425800000000002E-2</v>
          </cell>
          <cell r="P1599">
            <v>6.24276E-2</v>
          </cell>
          <cell r="Q1599">
            <v>3.1470109000000002</v>
          </cell>
          <cell r="R1599">
            <v>0</v>
          </cell>
          <cell r="S1599">
            <v>0</v>
          </cell>
          <cell r="T1599">
            <v>0</v>
          </cell>
          <cell r="U1599">
            <v>22.237665</v>
          </cell>
          <cell r="V1599">
            <v>0</v>
          </cell>
          <cell r="W1599">
            <v>0</v>
          </cell>
          <cell r="X1599">
            <v>0.48640879999999997</v>
          </cell>
          <cell r="Y1599">
            <v>0</v>
          </cell>
          <cell r="Z1599">
            <v>0</v>
          </cell>
          <cell r="AA1599">
            <v>0</v>
          </cell>
          <cell r="AB1599">
            <v>1.6983999999999999E-2</v>
          </cell>
        </row>
        <row r="1600">
          <cell r="A1600">
            <v>27446235</v>
          </cell>
          <cell r="B1600" t="str">
            <v>Chicken or turkey salad, made with light mayonnaise-type salad dressing</v>
          </cell>
          <cell r="I1600">
            <v>100</v>
          </cell>
          <cell r="J1600">
            <v>145.39497</v>
          </cell>
          <cell r="K1600">
            <v>1.4539496999999999</v>
          </cell>
          <cell r="L1600">
            <v>0.35416189999999997</v>
          </cell>
          <cell r="M1600">
            <v>1.5616283</v>
          </cell>
          <cell r="N1600">
            <v>0</v>
          </cell>
          <cell r="O1600">
            <v>1.7589799999999999E-2</v>
          </cell>
          <cell r="P1600">
            <v>6.2139699999999999E-2</v>
          </cell>
          <cell r="Q1600">
            <v>3.3671077</v>
          </cell>
          <cell r="R1600">
            <v>0</v>
          </cell>
          <cell r="S1600">
            <v>0</v>
          </cell>
          <cell r="T1600">
            <v>0</v>
          </cell>
          <cell r="U1600">
            <v>22.135116</v>
          </cell>
          <cell r="V1600">
            <v>0</v>
          </cell>
          <cell r="W1600">
            <v>0</v>
          </cell>
          <cell r="X1600">
            <v>0.52569220000000005</v>
          </cell>
          <cell r="Y1600">
            <v>0</v>
          </cell>
          <cell r="Z1600">
            <v>0</v>
          </cell>
          <cell r="AA1600">
            <v>0</v>
          </cell>
          <cell r="AB1600">
            <v>1.2395700000000001E-2</v>
          </cell>
        </row>
        <row r="1601">
          <cell r="A1601">
            <v>27446240</v>
          </cell>
          <cell r="B1601" t="str">
            <v>Chicken or turkey salad, made with creamy dressing</v>
          </cell>
          <cell r="I1601">
            <v>100</v>
          </cell>
          <cell r="J1601">
            <v>187.89439999999999</v>
          </cell>
          <cell r="K1601">
            <v>1.8789439999999999</v>
          </cell>
          <cell r="L1601">
            <v>0.35416189999999997</v>
          </cell>
          <cell r="M1601">
            <v>2.3403417000000002</v>
          </cell>
          <cell r="N1601">
            <v>0</v>
          </cell>
          <cell r="O1601">
            <v>2.24595E-2</v>
          </cell>
          <cell r="P1601">
            <v>6.2139699999999999E-2</v>
          </cell>
          <cell r="Q1601">
            <v>6.2010665999999999</v>
          </cell>
          <cell r="R1601">
            <v>0</v>
          </cell>
          <cell r="S1601">
            <v>0</v>
          </cell>
          <cell r="T1601">
            <v>0</v>
          </cell>
          <cell r="U1601">
            <v>22.135116</v>
          </cell>
          <cell r="V1601">
            <v>0</v>
          </cell>
          <cell r="W1601">
            <v>0</v>
          </cell>
          <cell r="X1601">
            <v>0.5420722</v>
          </cell>
          <cell r="Y1601">
            <v>0</v>
          </cell>
          <cell r="Z1601">
            <v>0</v>
          </cell>
          <cell r="AA1601">
            <v>0</v>
          </cell>
          <cell r="AB1601">
            <v>4.0285899999999999E-2</v>
          </cell>
        </row>
        <row r="1602">
          <cell r="A1602">
            <v>27446245</v>
          </cell>
          <cell r="B1602" t="str">
            <v>Chicken or turkey salad, made with light creamy dressing</v>
          </cell>
          <cell r="I1602">
            <v>100</v>
          </cell>
          <cell r="J1602">
            <v>122.1781</v>
          </cell>
          <cell r="K1602">
            <v>1.221781</v>
          </cell>
          <cell r="L1602">
            <v>0.35253610000000002</v>
          </cell>
          <cell r="M1602">
            <v>0.92377549999999997</v>
          </cell>
          <cell r="N1602">
            <v>0</v>
          </cell>
          <cell r="O1602">
            <v>1.33723E-2</v>
          </cell>
          <cell r="P1602">
            <v>6.18545E-2</v>
          </cell>
          <cell r="Q1602">
            <v>2.2080169999999999</v>
          </cell>
          <cell r="R1602">
            <v>0</v>
          </cell>
          <cell r="S1602">
            <v>0</v>
          </cell>
          <cell r="T1602">
            <v>0</v>
          </cell>
          <cell r="U1602">
            <v>28.095248999999999</v>
          </cell>
          <cell r="V1602">
            <v>0</v>
          </cell>
          <cell r="W1602">
            <v>0</v>
          </cell>
          <cell r="X1602">
            <v>0.39799200000000001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</row>
        <row r="1603">
          <cell r="A1603">
            <v>27446260</v>
          </cell>
          <cell r="B1603" t="str">
            <v>Chicken or turkey salad, made with any type of fat free dressing</v>
          </cell>
          <cell r="I1603">
            <v>100</v>
          </cell>
          <cell r="J1603">
            <v>110.90979</v>
          </cell>
          <cell r="K1603">
            <v>1.1090979000000001</v>
          </cell>
          <cell r="L1603">
            <v>0.34901159999999998</v>
          </cell>
          <cell r="M1603">
            <v>0.92683979999999999</v>
          </cell>
          <cell r="N1603">
            <v>0</v>
          </cell>
          <cell r="O1603">
            <v>1.7421300000000001E-2</v>
          </cell>
          <cell r="P1603">
            <v>0.50331740000000003</v>
          </cell>
          <cell r="Q1603">
            <v>0.49860900000000002</v>
          </cell>
          <cell r="R1603">
            <v>0</v>
          </cell>
          <cell r="S1603">
            <v>0</v>
          </cell>
          <cell r="T1603">
            <v>0</v>
          </cell>
          <cell r="U1603">
            <v>21.813224000000002</v>
          </cell>
          <cell r="V1603">
            <v>0</v>
          </cell>
          <cell r="W1603">
            <v>0</v>
          </cell>
          <cell r="X1603">
            <v>0.52099949999999995</v>
          </cell>
          <cell r="Y1603">
            <v>0</v>
          </cell>
          <cell r="Z1603">
            <v>0</v>
          </cell>
          <cell r="AA1603">
            <v>0</v>
          </cell>
          <cell r="AB1603">
            <v>1.03147E-2</v>
          </cell>
        </row>
        <row r="1604">
          <cell r="A1604">
            <v>27446300</v>
          </cell>
          <cell r="B1604" t="str">
            <v>Chicken or turkey garden salad, chicken and/or turkey, tomato and/or carrots, other vegetables, no dressing</v>
          </cell>
          <cell r="I1604">
            <v>100</v>
          </cell>
          <cell r="J1604">
            <v>62.282738000000002</v>
          </cell>
          <cell r="K1604">
            <v>0.62282738000000004</v>
          </cell>
          <cell r="L1604">
            <v>1.1820933</v>
          </cell>
          <cell r="M1604">
            <v>0.3135501</v>
          </cell>
          <cell r="N1604">
            <v>0</v>
          </cell>
          <cell r="O1604">
            <v>2.82887E-2</v>
          </cell>
          <cell r="P1604">
            <v>0</v>
          </cell>
          <cell r="Q1604">
            <v>0.22532089999999999</v>
          </cell>
          <cell r="R1604">
            <v>0</v>
          </cell>
          <cell r="S1604">
            <v>0</v>
          </cell>
          <cell r="T1604">
            <v>0</v>
          </cell>
          <cell r="U1604">
            <v>66.517857000000006</v>
          </cell>
          <cell r="V1604">
            <v>0</v>
          </cell>
          <cell r="W1604">
            <v>0</v>
          </cell>
          <cell r="X1604">
            <v>0.129745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</row>
        <row r="1605">
          <cell r="A1605">
            <v>27446315</v>
          </cell>
          <cell r="B1605" t="str">
            <v>Chicken or turkey garden salad with bacon and cheese, chicken and/or turkey, bacon, cheese, lettuce and/or greens, tomato and/or carrots, other vegetables, no dressing</v>
          </cell>
          <cell r="I1605">
            <v>100</v>
          </cell>
          <cell r="J1605">
            <v>108.89343</v>
          </cell>
          <cell r="K1605">
            <v>1.0889343</v>
          </cell>
          <cell r="L1605">
            <v>1.1403197</v>
          </cell>
          <cell r="M1605">
            <v>2.5660354999999999</v>
          </cell>
          <cell r="N1605">
            <v>0</v>
          </cell>
          <cell r="O1605">
            <v>9.8538200000000006E-2</v>
          </cell>
          <cell r="P1605">
            <v>0</v>
          </cell>
          <cell r="Q1605">
            <v>0.60200710000000002</v>
          </cell>
          <cell r="R1605">
            <v>0</v>
          </cell>
          <cell r="S1605">
            <v>0</v>
          </cell>
          <cell r="T1605">
            <v>0</v>
          </cell>
          <cell r="U1605">
            <v>62.522202</v>
          </cell>
          <cell r="V1605">
            <v>0</v>
          </cell>
          <cell r="W1605">
            <v>0</v>
          </cell>
          <cell r="X1605">
            <v>0.1609343</v>
          </cell>
          <cell r="Y1605">
            <v>0</v>
          </cell>
          <cell r="Z1605">
            <v>0</v>
          </cell>
          <cell r="AA1605">
            <v>2.5379041</v>
          </cell>
          <cell r="AB1605">
            <v>9.6326800000000004E-2</v>
          </cell>
        </row>
        <row r="1606">
          <cell r="A1606">
            <v>27446350</v>
          </cell>
          <cell r="B1606" t="str">
            <v>Asian chicken or turkey garden salad, chicken and/or turkey, lettuce, fruit, nuts, no dressing</v>
          </cell>
          <cell r="I1606">
            <v>100</v>
          </cell>
          <cell r="J1606">
            <v>126.64109000000001</v>
          </cell>
          <cell r="K1606">
            <v>1.2664109000000001</v>
          </cell>
          <cell r="L1606">
            <v>1.0689492</v>
          </cell>
          <cell r="M1606">
            <v>0.65036479999999997</v>
          </cell>
          <cell r="N1606">
            <v>0</v>
          </cell>
          <cell r="O1606">
            <v>4.4329399999999998E-2</v>
          </cell>
          <cell r="P1606">
            <v>0.9234947</v>
          </cell>
          <cell r="Q1606">
            <v>1.1143955000000001</v>
          </cell>
          <cell r="R1606">
            <v>0</v>
          </cell>
          <cell r="S1606">
            <v>0</v>
          </cell>
          <cell r="T1606">
            <v>23.022431999999998</v>
          </cell>
          <cell r="U1606">
            <v>33.057850999999999</v>
          </cell>
          <cell r="V1606">
            <v>0</v>
          </cell>
          <cell r="W1606">
            <v>0</v>
          </cell>
          <cell r="X1606">
            <v>0.1924109</v>
          </cell>
          <cell r="Y1606">
            <v>5.4273347000000003</v>
          </cell>
          <cell r="Z1606">
            <v>0</v>
          </cell>
          <cell r="AA1606">
            <v>0</v>
          </cell>
          <cell r="AB1606">
            <v>5.3707199999999997E-2</v>
          </cell>
        </row>
        <row r="1607">
          <cell r="A1607">
            <v>27446355</v>
          </cell>
          <cell r="B1607" t="str">
            <v>Asian chicken or turkey garden salad with crispy noodles, chicken and/or turkey, lettuce, fruit, nuts, crispy noodles, no dressing</v>
          </cell>
          <cell r="I1607">
            <v>100</v>
          </cell>
          <cell r="J1607">
            <v>120.96961</v>
          </cell>
          <cell r="K1607">
            <v>1.2096960999999999</v>
          </cell>
          <cell r="L1607">
            <v>1.1839363000000001</v>
          </cell>
          <cell r="M1607">
            <v>0.65319249999999995</v>
          </cell>
          <cell r="N1607">
            <v>0</v>
          </cell>
          <cell r="O1607">
            <v>4.9791599999999998E-2</v>
          </cell>
          <cell r="P1607">
            <v>0.78813310000000003</v>
          </cell>
          <cell r="Q1607">
            <v>1.2420926000000001</v>
          </cell>
          <cell r="R1607">
            <v>0</v>
          </cell>
          <cell r="S1607">
            <v>0</v>
          </cell>
          <cell r="T1607">
            <v>21.997105999999999</v>
          </cell>
          <cell r="U1607">
            <v>39.797395000000002</v>
          </cell>
          <cell r="V1607">
            <v>0</v>
          </cell>
          <cell r="W1607">
            <v>0</v>
          </cell>
          <cell r="X1607">
            <v>0.1010926</v>
          </cell>
          <cell r="Y1607">
            <v>6.0741208000000002</v>
          </cell>
          <cell r="Z1607">
            <v>0</v>
          </cell>
          <cell r="AA1607">
            <v>0</v>
          </cell>
          <cell r="AB1607">
            <v>6.0331299999999997E-2</v>
          </cell>
        </row>
        <row r="1608">
          <cell r="A1608">
            <v>27446360</v>
          </cell>
          <cell r="B1608" t="str">
            <v>Chicken or turkey caesar garden salad, chicken and/or turkey, lettuce, tomato, cheese, no dressing</v>
          </cell>
          <cell r="I1608">
            <v>100</v>
          </cell>
          <cell r="J1608">
            <v>64.935766999999998</v>
          </cell>
          <cell r="K1608">
            <v>0.64935767</v>
          </cell>
          <cell r="L1608">
            <v>1.3073022000000001</v>
          </cell>
          <cell r="M1608">
            <v>0.8194861</v>
          </cell>
          <cell r="N1608">
            <v>0</v>
          </cell>
          <cell r="O1608">
            <v>7.1883699999999995E-2</v>
          </cell>
          <cell r="P1608">
            <v>0</v>
          </cell>
          <cell r="Q1608">
            <v>0.2788506</v>
          </cell>
          <cell r="R1608">
            <v>0</v>
          </cell>
          <cell r="S1608">
            <v>0</v>
          </cell>
          <cell r="T1608">
            <v>0</v>
          </cell>
          <cell r="U1608">
            <v>72.684246000000002</v>
          </cell>
          <cell r="V1608">
            <v>0</v>
          </cell>
          <cell r="W1608">
            <v>0</v>
          </cell>
          <cell r="X1608">
            <v>0.1860967</v>
          </cell>
          <cell r="Y1608">
            <v>0</v>
          </cell>
          <cell r="Z1608">
            <v>0</v>
          </cell>
          <cell r="AA1608">
            <v>0</v>
          </cell>
          <cell r="AB1608">
            <v>1.1745E-2</v>
          </cell>
        </row>
        <row r="1609">
          <cell r="A1609">
            <v>27446400</v>
          </cell>
          <cell r="B1609" t="str">
            <v>Chicken or turkey and vegetables including carrots, broccoli, and/or dark-green leafy; no potatoes, cheese sauce</v>
          </cell>
          <cell r="I1609">
            <v>249</v>
          </cell>
          <cell r="J1609">
            <v>280.32691</v>
          </cell>
          <cell r="K1609">
            <v>1.1258108835341365</v>
          </cell>
          <cell r="L1609">
            <v>1.9569611</v>
          </cell>
          <cell r="M1609">
            <v>8.2654581</v>
          </cell>
          <cell r="N1609">
            <v>0</v>
          </cell>
          <cell r="O1609">
            <v>0.31916610000000001</v>
          </cell>
          <cell r="P1609">
            <v>9.3188599999999996E-2</v>
          </cell>
          <cell r="Q1609">
            <v>1.8593149</v>
          </cell>
          <cell r="R1609">
            <v>0</v>
          </cell>
          <cell r="S1609">
            <v>0</v>
          </cell>
          <cell r="T1609">
            <v>0</v>
          </cell>
          <cell r="U1609">
            <v>62.125748999999999</v>
          </cell>
          <cell r="V1609">
            <v>0</v>
          </cell>
          <cell r="W1609">
            <v>0</v>
          </cell>
          <cell r="X1609">
            <v>0.83645420000000004</v>
          </cell>
          <cell r="Y1609">
            <v>0</v>
          </cell>
          <cell r="Z1609">
            <v>0</v>
          </cell>
          <cell r="AA1609">
            <v>0</v>
          </cell>
          <cell r="AB1609">
            <v>0.39427250000000003</v>
          </cell>
        </row>
        <row r="1610">
          <cell r="A1610">
            <v>27446410</v>
          </cell>
          <cell r="B1610" t="str">
            <v>Chicken or turkey and vegetables (excluding carrots, broccoli, and dark-green leafy (no potatoes)), cheese sauce (mixture)</v>
          </cell>
          <cell r="I1610">
            <v>249</v>
          </cell>
          <cell r="J1610">
            <v>292.77681000000001</v>
          </cell>
          <cell r="K1610">
            <v>1.1758104819277109</v>
          </cell>
          <cell r="L1610">
            <v>0.93142139999999995</v>
          </cell>
          <cell r="M1610">
            <v>7.9664476000000004</v>
          </cell>
          <cell r="N1610">
            <v>0</v>
          </cell>
          <cell r="O1610">
            <v>0.30844949999999999</v>
          </cell>
          <cell r="P1610">
            <v>0.83827929999999995</v>
          </cell>
          <cell r="Q1610">
            <v>1.8131671</v>
          </cell>
          <cell r="R1610">
            <v>0</v>
          </cell>
          <cell r="S1610">
            <v>0</v>
          </cell>
          <cell r="T1610">
            <v>0</v>
          </cell>
          <cell r="U1610">
            <v>31.047381999999999</v>
          </cell>
          <cell r="V1610">
            <v>0</v>
          </cell>
          <cell r="W1610">
            <v>0</v>
          </cell>
          <cell r="X1610">
            <v>0.74937819999999999</v>
          </cell>
          <cell r="Y1610">
            <v>0</v>
          </cell>
          <cell r="Z1610">
            <v>0</v>
          </cell>
          <cell r="AA1610">
            <v>0</v>
          </cell>
          <cell r="AB1610">
            <v>0.32078089999999998</v>
          </cell>
        </row>
        <row r="1611">
          <cell r="A1611">
            <v>27448020</v>
          </cell>
          <cell r="B1611" t="str">
            <v>Chicken or turkey fricassee, with sauce, no potatoes, Puerto Rican style (potatoes reported separately)</v>
          </cell>
          <cell r="I1611">
            <v>249</v>
          </cell>
          <cell r="J1611">
            <v>433.60575999999998</v>
          </cell>
          <cell r="K1611">
            <v>1.74138859437751</v>
          </cell>
          <cell r="L1611">
            <v>1.534751</v>
          </cell>
          <cell r="M1611">
            <v>4.6513147000000004</v>
          </cell>
          <cell r="N1611">
            <v>0</v>
          </cell>
          <cell r="O1611">
            <v>3.2668900000000001E-2</v>
          </cell>
          <cell r="P1611">
            <v>0.12839030000000001</v>
          </cell>
          <cell r="Q1611">
            <v>3.510011</v>
          </cell>
          <cell r="R1611">
            <v>0</v>
          </cell>
          <cell r="S1611">
            <v>0</v>
          </cell>
          <cell r="T1611">
            <v>0</v>
          </cell>
          <cell r="U1611">
            <v>91.729465000000005</v>
          </cell>
          <cell r="V1611">
            <v>0</v>
          </cell>
          <cell r="W1611">
            <v>0</v>
          </cell>
          <cell r="X1611">
            <v>1.20488</v>
          </cell>
          <cell r="Y1611">
            <v>0</v>
          </cell>
          <cell r="Z1611">
            <v>0</v>
          </cell>
          <cell r="AA1611">
            <v>22.838363999999999</v>
          </cell>
          <cell r="AB1611">
            <v>9.7986400000000001E-2</v>
          </cell>
        </row>
        <row r="1612">
          <cell r="A1612">
            <v>27450010</v>
          </cell>
          <cell r="B1612" t="str">
            <v>Crab salad</v>
          </cell>
          <cell r="I1612">
            <v>100</v>
          </cell>
          <cell r="J1612">
            <v>187.44038</v>
          </cell>
          <cell r="K1612">
            <v>1.8744038000000001</v>
          </cell>
          <cell r="L1612">
            <v>0.37802819999999998</v>
          </cell>
          <cell r="M1612">
            <v>2.5312299999999999</v>
          </cell>
          <cell r="N1612">
            <v>8.5183099999999998E-2</v>
          </cell>
          <cell r="O1612">
            <v>5.7224400000000002E-2</v>
          </cell>
          <cell r="P1612">
            <v>0</v>
          </cell>
          <cell r="Q1612">
            <v>9.3815793000000003</v>
          </cell>
          <cell r="R1612">
            <v>0</v>
          </cell>
          <cell r="S1612">
            <v>0</v>
          </cell>
          <cell r="T1612">
            <v>5.8215962000000001</v>
          </cell>
          <cell r="U1612">
            <v>22.535211</v>
          </cell>
          <cell r="V1612">
            <v>0</v>
          </cell>
          <cell r="W1612">
            <v>0</v>
          </cell>
          <cell r="X1612">
            <v>0.45871919999999999</v>
          </cell>
          <cell r="Y1612">
            <v>0</v>
          </cell>
          <cell r="Z1612">
            <v>0</v>
          </cell>
          <cell r="AA1612">
            <v>0</v>
          </cell>
          <cell r="AB1612">
            <v>4.5727700000000003E-2</v>
          </cell>
        </row>
        <row r="1613">
          <cell r="A1613">
            <v>27450020</v>
          </cell>
          <cell r="B1613" t="str">
            <v>Lobster salad</v>
          </cell>
          <cell r="I1613">
            <v>100</v>
          </cell>
          <cell r="J1613">
            <v>186.80905000000001</v>
          </cell>
          <cell r="K1613">
            <v>1.8680905000000001</v>
          </cell>
          <cell r="L1613">
            <v>0.3643439</v>
          </cell>
          <cell r="M1613">
            <v>2.4505520000000001</v>
          </cell>
          <cell r="N1613">
            <v>0.1023529</v>
          </cell>
          <cell r="O1613">
            <v>6.1071500000000001E-2</v>
          </cell>
          <cell r="P1613">
            <v>0</v>
          </cell>
          <cell r="Q1613">
            <v>9.0943547999999996</v>
          </cell>
          <cell r="R1613">
            <v>0</v>
          </cell>
          <cell r="S1613">
            <v>0</v>
          </cell>
          <cell r="T1613">
            <v>5.6108596999999998</v>
          </cell>
          <cell r="U1613">
            <v>21.719456999999998</v>
          </cell>
          <cell r="V1613">
            <v>0</v>
          </cell>
          <cell r="W1613">
            <v>0</v>
          </cell>
          <cell r="X1613">
            <v>0.5041774</v>
          </cell>
          <cell r="Y1613">
            <v>0</v>
          </cell>
          <cell r="Z1613">
            <v>0</v>
          </cell>
          <cell r="AA1613">
            <v>0</v>
          </cell>
          <cell r="AB1613">
            <v>4.4054299999999998E-2</v>
          </cell>
        </row>
        <row r="1614">
          <cell r="A1614">
            <v>27450030</v>
          </cell>
          <cell r="B1614" t="str">
            <v>Salmon salad</v>
          </cell>
          <cell r="I1614">
            <v>100</v>
          </cell>
          <cell r="J1614">
            <v>212.41050000000001</v>
          </cell>
          <cell r="K1614">
            <v>2.1241050000000001</v>
          </cell>
          <cell r="L1614">
            <v>0.341561</v>
          </cell>
          <cell r="M1614">
            <v>2.7620613999999999</v>
          </cell>
          <cell r="N1614">
            <v>0.52941959999999999</v>
          </cell>
          <cell r="O1614">
            <v>0.1250752</v>
          </cell>
          <cell r="P1614">
            <v>5.9928799999999997E-2</v>
          </cell>
          <cell r="Q1614">
            <v>9.5265576999999997</v>
          </cell>
          <cell r="R1614">
            <v>0</v>
          </cell>
          <cell r="S1614">
            <v>0</v>
          </cell>
          <cell r="T1614">
            <v>0</v>
          </cell>
          <cell r="U1614">
            <v>21.347564999999999</v>
          </cell>
          <cell r="V1614">
            <v>0</v>
          </cell>
          <cell r="W1614">
            <v>0</v>
          </cell>
          <cell r="X1614">
            <v>0.50402290000000005</v>
          </cell>
          <cell r="Y1614">
            <v>0</v>
          </cell>
          <cell r="Z1614">
            <v>0</v>
          </cell>
          <cell r="AA1614">
            <v>0</v>
          </cell>
          <cell r="AB1614">
            <v>5.0469199999999999E-2</v>
          </cell>
        </row>
        <row r="1615">
          <cell r="A1615">
            <v>27450040</v>
          </cell>
          <cell r="B1615" t="str">
            <v>Shrimp chow mein or chop suey, no noodles</v>
          </cell>
          <cell r="I1615">
            <v>100</v>
          </cell>
          <cell r="J1615">
            <v>69.440483</v>
          </cell>
          <cell r="K1615">
            <v>0.69440482999999997</v>
          </cell>
          <cell r="L1615">
            <v>0.69766729999999999</v>
          </cell>
          <cell r="M1615">
            <v>0.37232140000000002</v>
          </cell>
          <cell r="N1615">
            <v>9.60207E-2</v>
          </cell>
          <cell r="O1615">
            <v>4.7961499999999997E-2</v>
          </cell>
          <cell r="P1615">
            <v>8.4851399999999993E-2</v>
          </cell>
          <cell r="Q1615">
            <v>0.80584469999999997</v>
          </cell>
          <cell r="R1615">
            <v>0</v>
          </cell>
          <cell r="S1615">
            <v>0</v>
          </cell>
          <cell r="T1615">
            <v>0</v>
          </cell>
          <cell r="U1615">
            <v>58.138939000000001</v>
          </cell>
          <cell r="V1615">
            <v>0</v>
          </cell>
          <cell r="W1615">
            <v>0</v>
          </cell>
          <cell r="X1615">
            <v>0.55378439999999995</v>
          </cell>
          <cell r="Y1615">
            <v>0</v>
          </cell>
          <cell r="Z1615">
            <v>0</v>
          </cell>
          <cell r="AA1615">
            <v>0</v>
          </cell>
          <cell r="AB1615">
            <v>1.5436999999999999E-2</v>
          </cell>
        </row>
        <row r="1616">
          <cell r="A1616">
            <v>27450060</v>
          </cell>
          <cell r="B1616" t="str">
            <v>Tuna salad, made with mayonnaise</v>
          </cell>
          <cell r="I1616">
            <v>100</v>
          </cell>
          <cell r="J1616">
            <v>194.07619</v>
          </cell>
          <cell r="K1616">
            <v>1.9407619</v>
          </cell>
          <cell r="L1616">
            <v>0.35679440000000001</v>
          </cell>
          <cell r="M1616">
            <v>2.5129101</v>
          </cell>
          <cell r="N1616">
            <v>0.1148878</v>
          </cell>
          <cell r="O1616">
            <v>1.9512000000000002E-2</v>
          </cell>
          <cell r="P1616">
            <v>6.2601599999999993E-2</v>
          </cell>
          <cell r="Q1616">
            <v>9.3018689999999999</v>
          </cell>
          <cell r="R1616">
            <v>0</v>
          </cell>
          <cell r="S1616">
            <v>0</v>
          </cell>
          <cell r="T1616">
            <v>0</v>
          </cell>
          <cell r="U1616">
            <v>22.299651999999998</v>
          </cell>
          <cell r="V1616">
            <v>0</v>
          </cell>
          <cell r="W1616">
            <v>0</v>
          </cell>
          <cell r="X1616">
            <v>0.42851729999999999</v>
          </cell>
          <cell r="Y1616">
            <v>0</v>
          </cell>
          <cell r="Z1616">
            <v>0</v>
          </cell>
          <cell r="AA1616">
            <v>0</v>
          </cell>
          <cell r="AB1616">
            <v>3.9251099999999997E-2</v>
          </cell>
        </row>
        <row r="1617">
          <cell r="A1617">
            <v>27450061</v>
          </cell>
          <cell r="B1617" t="str">
            <v>Tuna salad, made with light mayonnaise</v>
          </cell>
          <cell r="I1617">
            <v>100</v>
          </cell>
          <cell r="J1617">
            <v>106.17514</v>
          </cell>
          <cell r="K1617">
            <v>1.0617513999999999</v>
          </cell>
          <cell r="L1617">
            <v>0.35028510000000002</v>
          </cell>
          <cell r="M1617">
            <v>0.8728844</v>
          </cell>
          <cell r="N1617">
            <v>0.1127918</v>
          </cell>
          <cell r="O1617">
            <v>1.8864100000000002E-2</v>
          </cell>
          <cell r="P1617">
            <v>6.14595E-2</v>
          </cell>
          <cell r="Q1617">
            <v>3.0081245000000001</v>
          </cell>
          <cell r="R1617">
            <v>0</v>
          </cell>
          <cell r="S1617">
            <v>0</v>
          </cell>
          <cell r="T1617">
            <v>0</v>
          </cell>
          <cell r="U1617">
            <v>21.892816</v>
          </cell>
          <cell r="V1617">
            <v>0</v>
          </cell>
          <cell r="W1617">
            <v>0</v>
          </cell>
          <cell r="X1617">
            <v>0.47431859999999998</v>
          </cell>
          <cell r="Y1617">
            <v>0</v>
          </cell>
          <cell r="Z1617">
            <v>0</v>
          </cell>
          <cell r="AA1617">
            <v>0</v>
          </cell>
          <cell r="AB1617">
            <v>1.3266999999999999E-2</v>
          </cell>
        </row>
        <row r="1618">
          <cell r="A1618">
            <v>27450062</v>
          </cell>
          <cell r="B1618" t="str">
            <v>Tuna salad, made with mayonnaise-type salad dressing</v>
          </cell>
          <cell r="I1618">
            <v>100</v>
          </cell>
          <cell r="J1618">
            <v>108.15533000000001</v>
          </cell>
          <cell r="K1618">
            <v>1.0815533000000002</v>
          </cell>
          <cell r="L1618">
            <v>0.35188999999999998</v>
          </cell>
          <cell r="M1618">
            <v>0.8503271</v>
          </cell>
          <cell r="N1618">
            <v>0.1133086</v>
          </cell>
          <cell r="O1618">
            <v>1.8707700000000001E-2</v>
          </cell>
          <cell r="P1618">
            <v>6.17411E-2</v>
          </cell>
          <cell r="Q1618">
            <v>2.7888031999999998</v>
          </cell>
          <cell r="R1618">
            <v>0</v>
          </cell>
          <cell r="S1618">
            <v>0</v>
          </cell>
          <cell r="T1618">
            <v>0</v>
          </cell>
          <cell r="U1618">
            <v>21.993127000000001</v>
          </cell>
          <cell r="V1618">
            <v>0</v>
          </cell>
          <cell r="W1618">
            <v>0</v>
          </cell>
          <cell r="X1618">
            <v>0.4352318</v>
          </cell>
          <cell r="Y1618">
            <v>0</v>
          </cell>
          <cell r="Z1618">
            <v>0</v>
          </cell>
          <cell r="AA1618">
            <v>0</v>
          </cell>
          <cell r="AB1618">
            <v>1.7808899999999999E-2</v>
          </cell>
        </row>
        <row r="1619">
          <cell r="A1619">
            <v>27450063</v>
          </cell>
          <cell r="B1619" t="str">
            <v>Tuna salad, made with light mayonnaise-type salad dressing</v>
          </cell>
          <cell r="I1619">
            <v>100</v>
          </cell>
          <cell r="J1619">
            <v>106.17514</v>
          </cell>
          <cell r="K1619">
            <v>1.0617513999999999</v>
          </cell>
          <cell r="L1619">
            <v>0.35028510000000002</v>
          </cell>
          <cell r="M1619">
            <v>0.8728844</v>
          </cell>
          <cell r="N1619">
            <v>0.1127918</v>
          </cell>
          <cell r="O1619">
            <v>1.8864100000000002E-2</v>
          </cell>
          <cell r="P1619">
            <v>6.14595E-2</v>
          </cell>
          <cell r="Q1619">
            <v>3.0081245000000001</v>
          </cell>
          <cell r="R1619">
            <v>0</v>
          </cell>
          <cell r="S1619">
            <v>0</v>
          </cell>
          <cell r="T1619">
            <v>0</v>
          </cell>
          <cell r="U1619">
            <v>21.892816</v>
          </cell>
          <cell r="V1619">
            <v>0</v>
          </cell>
          <cell r="W1619">
            <v>0</v>
          </cell>
          <cell r="X1619">
            <v>0.47431859999999998</v>
          </cell>
          <cell r="Y1619">
            <v>0</v>
          </cell>
          <cell r="Z1619">
            <v>0</v>
          </cell>
          <cell r="AA1619">
            <v>0</v>
          </cell>
          <cell r="AB1619">
            <v>1.3266999999999999E-2</v>
          </cell>
        </row>
        <row r="1620">
          <cell r="A1620">
            <v>27450068</v>
          </cell>
          <cell r="B1620" t="str">
            <v>Tuna salad, made with any type of fat free dressing</v>
          </cell>
          <cell r="I1620">
            <v>100</v>
          </cell>
          <cell r="J1620">
            <v>72.626208000000005</v>
          </cell>
          <cell r="K1620">
            <v>0.72626208000000003</v>
          </cell>
          <cell r="L1620">
            <v>0.3452461</v>
          </cell>
          <cell r="M1620">
            <v>0.25485229999999998</v>
          </cell>
          <cell r="N1620">
            <v>0.1111693</v>
          </cell>
          <cell r="O1620">
            <v>1.8679000000000001E-2</v>
          </cell>
          <cell r="P1620">
            <v>0.49788719999999997</v>
          </cell>
          <cell r="Q1620">
            <v>0.1757379</v>
          </cell>
          <cell r="R1620">
            <v>0</v>
          </cell>
          <cell r="S1620">
            <v>0</v>
          </cell>
          <cell r="T1620">
            <v>0</v>
          </cell>
          <cell r="U1620">
            <v>21.577883</v>
          </cell>
          <cell r="V1620">
            <v>0</v>
          </cell>
          <cell r="W1620">
            <v>0</v>
          </cell>
          <cell r="X1620">
            <v>0.47041559999999999</v>
          </cell>
          <cell r="Y1620">
            <v>0</v>
          </cell>
          <cell r="Z1620">
            <v>0</v>
          </cell>
          <cell r="AA1620">
            <v>0</v>
          </cell>
          <cell r="AB1620">
            <v>0.1078759</v>
          </cell>
        </row>
        <row r="1621">
          <cell r="A1621">
            <v>27450070</v>
          </cell>
          <cell r="B1621" t="str">
            <v>Shrimp salad</v>
          </cell>
          <cell r="I1621">
            <v>100</v>
          </cell>
          <cell r="J1621">
            <v>198.65380999999999</v>
          </cell>
          <cell r="K1621">
            <v>1.9865381</v>
          </cell>
          <cell r="L1621">
            <v>0.38823530000000001</v>
          </cell>
          <cell r="M1621">
            <v>2.5877300000000001</v>
          </cell>
          <cell r="N1621">
            <v>0.26908389999999999</v>
          </cell>
          <cell r="O1621">
            <v>8.2974000000000006E-2</v>
          </cell>
          <cell r="P1621">
            <v>0</v>
          </cell>
          <cell r="Q1621">
            <v>9.8382546000000008</v>
          </cell>
          <cell r="R1621">
            <v>0</v>
          </cell>
          <cell r="S1621">
            <v>0</v>
          </cell>
          <cell r="T1621">
            <v>5.9787850000000002</v>
          </cell>
          <cell r="U1621">
            <v>23.143684</v>
          </cell>
          <cell r="V1621">
            <v>0</v>
          </cell>
          <cell r="W1621">
            <v>0</v>
          </cell>
          <cell r="X1621">
            <v>0.69496239999999998</v>
          </cell>
          <cell r="Y1621">
            <v>0</v>
          </cell>
          <cell r="Z1621">
            <v>0</v>
          </cell>
          <cell r="AA1621">
            <v>0</v>
          </cell>
          <cell r="AB1621">
            <v>3.9672100000000002E-2</v>
          </cell>
        </row>
        <row r="1622">
          <cell r="A1622">
            <v>27450080</v>
          </cell>
          <cell r="B1622" t="str">
            <v>Seafood salad</v>
          </cell>
          <cell r="I1622">
            <v>100</v>
          </cell>
          <cell r="J1622">
            <v>190.84594999999999</v>
          </cell>
          <cell r="K1622">
            <v>1.9084595</v>
          </cell>
          <cell r="L1622">
            <v>0.37660310000000002</v>
          </cell>
          <cell r="M1622">
            <v>2.5216360999999998</v>
          </cell>
          <cell r="N1622">
            <v>0.15056839999999999</v>
          </cell>
          <cell r="O1622">
            <v>6.6877400000000004E-2</v>
          </cell>
          <cell r="P1622">
            <v>0</v>
          </cell>
          <cell r="Q1622">
            <v>9.4300289999999993</v>
          </cell>
          <cell r="R1622">
            <v>0</v>
          </cell>
          <cell r="S1622">
            <v>0</v>
          </cell>
          <cell r="T1622">
            <v>5.7996502000000003</v>
          </cell>
          <cell r="U1622">
            <v>22.450258999999999</v>
          </cell>
          <cell r="V1622">
            <v>0</v>
          </cell>
          <cell r="W1622">
            <v>0</v>
          </cell>
          <cell r="X1622">
            <v>0.57906230000000003</v>
          </cell>
          <cell r="Y1622">
            <v>0</v>
          </cell>
          <cell r="Z1622">
            <v>0</v>
          </cell>
          <cell r="AA1622">
            <v>0</v>
          </cell>
          <cell r="AB1622">
            <v>4.3192099999999997E-2</v>
          </cell>
        </row>
        <row r="1623">
          <cell r="A1623">
            <v>27450090</v>
          </cell>
          <cell r="B1623" t="str">
            <v>Tuna salad with cheese</v>
          </cell>
          <cell r="I1623">
            <v>100</v>
          </cell>
          <cell r="J1623">
            <v>214.08658</v>
          </cell>
          <cell r="K1623">
            <v>2.1408657999999998</v>
          </cell>
          <cell r="L1623">
            <v>0.32278400000000002</v>
          </cell>
          <cell r="M1623">
            <v>4.0718171999999999</v>
          </cell>
          <cell r="N1623">
            <v>0.1039365</v>
          </cell>
          <cell r="O1623">
            <v>8.5330799999999998E-2</v>
          </cell>
          <cell r="P1623">
            <v>5.6634299999999999E-2</v>
          </cell>
          <cell r="Q1623">
            <v>8.5506475999999996</v>
          </cell>
          <cell r="R1623">
            <v>0</v>
          </cell>
          <cell r="S1623">
            <v>0</v>
          </cell>
          <cell r="T1623">
            <v>0</v>
          </cell>
          <cell r="U1623">
            <v>20.174001000000001</v>
          </cell>
          <cell r="V1623">
            <v>0</v>
          </cell>
          <cell r="W1623">
            <v>0</v>
          </cell>
          <cell r="X1623">
            <v>0.44991550000000002</v>
          </cell>
          <cell r="Y1623">
            <v>0</v>
          </cell>
          <cell r="Z1623">
            <v>0</v>
          </cell>
          <cell r="AA1623">
            <v>0</v>
          </cell>
          <cell r="AB1623">
            <v>0.12292</v>
          </cell>
        </row>
        <row r="1624">
          <cell r="A1624">
            <v>27450100</v>
          </cell>
          <cell r="B1624" t="str">
            <v>Tuna salad with egg</v>
          </cell>
          <cell r="I1624">
            <v>100</v>
          </cell>
          <cell r="J1624">
            <v>190.75408999999999</v>
          </cell>
          <cell r="K1624">
            <v>1.9075408999999999</v>
          </cell>
          <cell r="L1624">
            <v>0.32646120000000001</v>
          </cell>
          <cell r="M1624">
            <v>2.5770198</v>
          </cell>
          <cell r="N1624">
            <v>0.10512050000000001</v>
          </cell>
          <cell r="O1624">
            <v>2.2103899999999999E-2</v>
          </cell>
          <cell r="P1624">
            <v>5.7279499999999997E-2</v>
          </cell>
          <cell r="Q1624">
            <v>8.6312744000000006</v>
          </cell>
          <cell r="R1624">
            <v>0</v>
          </cell>
          <cell r="S1624">
            <v>0</v>
          </cell>
          <cell r="T1624">
            <v>0</v>
          </cell>
          <cell r="U1624">
            <v>20.403825999999999</v>
          </cell>
          <cell r="V1624">
            <v>0</v>
          </cell>
          <cell r="W1624">
            <v>0</v>
          </cell>
          <cell r="X1624">
            <v>0.4026285</v>
          </cell>
          <cell r="Y1624">
            <v>0</v>
          </cell>
          <cell r="Z1624">
            <v>0</v>
          </cell>
          <cell r="AA1624">
            <v>0</v>
          </cell>
          <cell r="AB1624">
            <v>9.3465800000000002E-2</v>
          </cell>
        </row>
        <row r="1625">
          <cell r="A1625">
            <v>27450110</v>
          </cell>
          <cell r="B1625" t="str">
            <v>Shrimp garden salad (shrimp, lettuce, eggs, tomato and/or carrots, other vegetables), no dressing</v>
          </cell>
          <cell r="I1625">
            <v>100</v>
          </cell>
          <cell r="J1625">
            <v>62.499785000000003</v>
          </cell>
          <cell r="K1625">
            <v>0.62499785000000008</v>
          </cell>
          <cell r="L1625">
            <v>1.0267557</v>
          </cell>
          <cell r="M1625">
            <v>0.55178459999999996</v>
          </cell>
          <cell r="N1625">
            <v>0.1502801</v>
          </cell>
          <cell r="O1625">
            <v>6.80978E-2</v>
          </cell>
          <cell r="P1625">
            <v>0</v>
          </cell>
          <cell r="Q1625">
            <v>0.44895170000000001</v>
          </cell>
          <cell r="R1625">
            <v>0</v>
          </cell>
          <cell r="S1625">
            <v>0</v>
          </cell>
          <cell r="T1625">
            <v>0</v>
          </cell>
          <cell r="U1625">
            <v>57.776820000000001</v>
          </cell>
          <cell r="V1625">
            <v>0</v>
          </cell>
          <cell r="W1625">
            <v>0</v>
          </cell>
          <cell r="X1625">
            <v>0.27536670000000002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</row>
        <row r="1626">
          <cell r="A1626">
            <v>27450130</v>
          </cell>
          <cell r="B1626" t="str">
            <v>Crab salad made with imitation crab</v>
          </cell>
          <cell r="I1626">
            <v>100</v>
          </cell>
          <cell r="J1626">
            <v>196.97182000000001</v>
          </cell>
          <cell r="K1626">
            <v>1.9697182</v>
          </cell>
          <cell r="L1626">
            <v>0.39125359999999998</v>
          </cell>
          <cell r="M1626">
            <v>2.6201010999999998</v>
          </cell>
          <cell r="N1626">
            <v>1.37143E-2</v>
          </cell>
          <cell r="O1626">
            <v>1.7838699999999999E-2</v>
          </cell>
          <cell r="P1626">
            <v>0.244898</v>
          </cell>
          <cell r="Q1626">
            <v>9.6444451000000004</v>
          </cell>
          <cell r="R1626">
            <v>0</v>
          </cell>
          <cell r="S1626">
            <v>0</v>
          </cell>
          <cell r="T1626">
            <v>6.0252672</v>
          </cell>
          <cell r="U1626">
            <v>23.323615</v>
          </cell>
          <cell r="V1626">
            <v>0</v>
          </cell>
          <cell r="W1626">
            <v>0</v>
          </cell>
          <cell r="X1626">
            <v>0.52658110000000002</v>
          </cell>
          <cell r="Y1626">
            <v>0</v>
          </cell>
          <cell r="Z1626">
            <v>0</v>
          </cell>
          <cell r="AA1626">
            <v>0</v>
          </cell>
          <cell r="AB1626">
            <v>4.3898899999999998E-2</v>
          </cell>
        </row>
        <row r="1627">
          <cell r="A1627">
            <v>27450190</v>
          </cell>
          <cell r="B1627" t="str">
            <v>Seafood garden salad with seafood, lettuce, tomato and/or carrots, other vegetables, no dressing</v>
          </cell>
          <cell r="I1627">
            <v>100</v>
          </cell>
          <cell r="J1627">
            <v>44.220415000000003</v>
          </cell>
          <cell r="K1627">
            <v>0.44220415000000002</v>
          </cell>
          <cell r="L1627">
            <v>1.1924443</v>
          </cell>
          <cell r="M1627">
            <v>8.8861399999999993E-2</v>
          </cell>
          <cell r="N1627">
            <v>0.1156367</v>
          </cell>
          <cell r="O1627">
            <v>6.2730800000000003E-2</v>
          </cell>
          <cell r="P1627">
            <v>0</v>
          </cell>
          <cell r="Q1627">
            <v>0.2148872</v>
          </cell>
          <cell r="R1627">
            <v>0</v>
          </cell>
          <cell r="S1627">
            <v>0</v>
          </cell>
          <cell r="T1627">
            <v>0</v>
          </cell>
          <cell r="U1627">
            <v>67.100324999999998</v>
          </cell>
          <cell r="V1627">
            <v>0</v>
          </cell>
          <cell r="W1627">
            <v>0</v>
          </cell>
          <cell r="X1627">
            <v>0.25448009999999999</v>
          </cell>
          <cell r="Y1627">
            <v>0</v>
          </cell>
          <cell r="Z1627">
            <v>0</v>
          </cell>
          <cell r="AA1627">
            <v>0</v>
          </cell>
          <cell r="AB1627">
            <v>2.3643000000000002E-3</v>
          </cell>
        </row>
        <row r="1628">
          <cell r="A1628">
            <v>27450250</v>
          </cell>
          <cell r="B1628" t="str">
            <v>Oysters Rockefeller</v>
          </cell>
          <cell r="I1628">
            <v>100</v>
          </cell>
          <cell r="J1628">
            <v>114.51743</v>
          </cell>
          <cell r="K1628">
            <v>1.1451743000000001</v>
          </cell>
          <cell r="L1628">
            <v>1.1330718</v>
          </cell>
          <cell r="M1628">
            <v>2.8491795</v>
          </cell>
          <cell r="N1628">
            <v>0.13200870000000001</v>
          </cell>
          <cell r="O1628">
            <v>8.6613599999999999E-2</v>
          </cell>
          <cell r="P1628">
            <v>0.3050177</v>
          </cell>
          <cell r="Q1628">
            <v>0.86957329999999999</v>
          </cell>
          <cell r="R1628">
            <v>0</v>
          </cell>
          <cell r="S1628">
            <v>0</v>
          </cell>
          <cell r="T1628">
            <v>0</v>
          </cell>
          <cell r="U1628">
            <v>41.083252000000002</v>
          </cell>
          <cell r="V1628">
            <v>0</v>
          </cell>
          <cell r="W1628">
            <v>0</v>
          </cell>
          <cell r="X1628">
            <v>0.38257869999999999</v>
          </cell>
          <cell r="Y1628">
            <v>0</v>
          </cell>
          <cell r="Z1628">
            <v>0</v>
          </cell>
          <cell r="AA1628">
            <v>4.3044102000000004</v>
          </cell>
          <cell r="AB1628">
            <v>0.14852799999999999</v>
          </cell>
        </row>
        <row r="1629">
          <cell r="A1629">
            <v>27450400</v>
          </cell>
          <cell r="B1629" t="str">
            <v>Shrimp and vegetables including carrots, broccoli, and/or dark-green leafy; no potatoes, no sauce</v>
          </cell>
          <cell r="I1629">
            <v>162</v>
          </cell>
          <cell r="J1629">
            <v>180.16073</v>
          </cell>
          <cell r="K1629">
            <v>1.1121032716049384</v>
          </cell>
          <cell r="L1629">
            <v>2.3957746000000002</v>
          </cell>
          <cell r="M1629">
            <v>1.7019138</v>
          </cell>
          <cell r="N1629">
            <v>0.15743660000000001</v>
          </cell>
          <cell r="O1629">
            <v>7.8362699999999993E-2</v>
          </cell>
          <cell r="P1629">
            <v>0</v>
          </cell>
          <cell r="Q1629">
            <v>4.5570428999999999</v>
          </cell>
          <cell r="R1629">
            <v>0</v>
          </cell>
          <cell r="S1629">
            <v>0</v>
          </cell>
          <cell r="T1629">
            <v>0</v>
          </cell>
          <cell r="U1629">
            <v>76.056337999999997</v>
          </cell>
          <cell r="V1629">
            <v>0</v>
          </cell>
          <cell r="W1629">
            <v>0</v>
          </cell>
          <cell r="X1629">
            <v>0.56761989999999996</v>
          </cell>
          <cell r="Y1629">
            <v>0</v>
          </cell>
          <cell r="Z1629">
            <v>0</v>
          </cell>
          <cell r="AA1629">
            <v>0</v>
          </cell>
          <cell r="AB1629">
            <v>7.1418200000000001E-2</v>
          </cell>
        </row>
        <row r="1630">
          <cell r="A1630">
            <v>27450405</v>
          </cell>
          <cell r="B1630" t="str">
            <v>Shrimp and vegetables excluding carrots, broccoli, and dark-green leafy; no potatoes, no sauce</v>
          </cell>
          <cell r="I1630">
            <v>162</v>
          </cell>
          <cell r="J1630">
            <v>189.52137999999999</v>
          </cell>
          <cell r="K1630">
            <v>1.1698850617283951</v>
          </cell>
          <cell r="L1630">
            <v>1.1172413999999999</v>
          </cell>
          <cell r="M1630">
            <v>1.6191202</v>
          </cell>
          <cell r="N1630">
            <v>0.15417929999999999</v>
          </cell>
          <cell r="O1630">
            <v>6.8286700000000006E-2</v>
          </cell>
          <cell r="P1630">
            <v>0.89379310000000001</v>
          </cell>
          <cell r="Q1630">
            <v>4.3138319000000003</v>
          </cell>
          <cell r="R1630">
            <v>0</v>
          </cell>
          <cell r="S1630">
            <v>0</v>
          </cell>
          <cell r="T1630">
            <v>0</v>
          </cell>
          <cell r="U1630">
            <v>37.241379000000002</v>
          </cell>
          <cell r="V1630">
            <v>0</v>
          </cell>
          <cell r="W1630">
            <v>0</v>
          </cell>
          <cell r="X1630">
            <v>0.53069900000000003</v>
          </cell>
          <cell r="Y1630">
            <v>0</v>
          </cell>
          <cell r="Z1630">
            <v>0</v>
          </cell>
          <cell r="AA1630">
            <v>0</v>
          </cell>
          <cell r="AB1630">
            <v>7.1174399999999999E-2</v>
          </cell>
        </row>
        <row r="1631">
          <cell r="A1631">
            <v>27450410</v>
          </cell>
          <cell r="B1631" t="str">
            <v>Shrimp and vegetables including carrots, broccoli, and/or dark-green leafy; no potatoes, soy-based sauce</v>
          </cell>
          <cell r="I1631">
            <v>217</v>
          </cell>
          <cell r="J1631">
            <v>232.44372999999999</v>
          </cell>
          <cell r="K1631">
            <v>1.0711692626728111</v>
          </cell>
          <cell r="L1631">
            <v>2.6503895000000002</v>
          </cell>
          <cell r="M1631">
            <v>2.0090569999999999</v>
          </cell>
          <cell r="N1631">
            <v>0.19298860000000001</v>
          </cell>
          <cell r="O1631">
            <v>0.1062719</v>
          </cell>
          <cell r="P1631">
            <v>5.2411699999999999E-2</v>
          </cell>
          <cell r="Q1631">
            <v>5.1969118999999999</v>
          </cell>
          <cell r="R1631">
            <v>0</v>
          </cell>
          <cell r="S1631">
            <v>0</v>
          </cell>
          <cell r="T1631">
            <v>0</v>
          </cell>
          <cell r="U1631">
            <v>104.24797</v>
          </cell>
          <cell r="V1631">
            <v>0</v>
          </cell>
          <cell r="W1631">
            <v>0</v>
          </cell>
          <cell r="X1631">
            <v>1.0958730999999999</v>
          </cell>
          <cell r="Y1631">
            <v>0</v>
          </cell>
          <cell r="Z1631">
            <v>0</v>
          </cell>
          <cell r="AA1631">
            <v>0</v>
          </cell>
          <cell r="AB1631">
            <v>6.4166500000000001E-2</v>
          </cell>
        </row>
        <row r="1632">
          <cell r="A1632">
            <v>27450420</v>
          </cell>
          <cell r="B1632" t="str">
            <v>Shrimp and vegetables excluding carrots, broccoli, and dark-green leafy; no potatoes, soy-based sauce</v>
          </cell>
          <cell r="I1632">
            <v>217</v>
          </cell>
          <cell r="J1632">
            <v>235.77404999999999</v>
          </cell>
          <cell r="K1632">
            <v>1.0865163594470046</v>
          </cell>
          <cell r="L1632">
            <v>1.8228168</v>
          </cell>
          <cell r="M1632">
            <v>2.0782202999999999</v>
          </cell>
          <cell r="N1632">
            <v>0.20056199999999999</v>
          </cell>
          <cell r="O1632">
            <v>9.8281599999999997E-2</v>
          </cell>
          <cell r="P1632">
            <v>5.4468500000000003E-2</v>
          </cell>
          <cell r="Q1632">
            <v>5.3916301999999998</v>
          </cell>
          <cell r="R1632">
            <v>0</v>
          </cell>
          <cell r="S1632">
            <v>0</v>
          </cell>
          <cell r="T1632">
            <v>0</v>
          </cell>
          <cell r="U1632">
            <v>99.823272000000003</v>
          </cell>
          <cell r="V1632">
            <v>0</v>
          </cell>
          <cell r="W1632">
            <v>0</v>
          </cell>
          <cell r="X1632">
            <v>1.1069697000000001</v>
          </cell>
          <cell r="Y1632">
            <v>0</v>
          </cell>
          <cell r="Z1632">
            <v>0</v>
          </cell>
          <cell r="AA1632">
            <v>0</v>
          </cell>
          <cell r="AB1632">
            <v>6.6684599999999997E-2</v>
          </cell>
        </row>
        <row r="1633">
          <cell r="A1633">
            <v>27450430</v>
          </cell>
          <cell r="B1633" t="str">
            <v>Shrimp shish kabob with vegetables, excluding potatoes</v>
          </cell>
          <cell r="I1633">
            <v>154</v>
          </cell>
          <cell r="J1633">
            <v>120.10052</v>
          </cell>
          <cell r="K1633">
            <v>0.77987350649350651</v>
          </cell>
          <cell r="L1633">
            <v>1.3385826999999999</v>
          </cell>
          <cell r="M1633">
            <v>0.51295020000000002</v>
          </cell>
          <cell r="N1633">
            <v>0.1823283</v>
          </cell>
          <cell r="O1633">
            <v>7.5942399999999993E-2</v>
          </cell>
          <cell r="P1633">
            <v>9.2846999999999999E-3</v>
          </cell>
          <cell r="Q1633">
            <v>0.87316559999999999</v>
          </cell>
          <cell r="R1633">
            <v>0</v>
          </cell>
          <cell r="S1633">
            <v>0</v>
          </cell>
          <cell r="T1633">
            <v>2.2573748</v>
          </cell>
          <cell r="U1633">
            <v>82.982771</v>
          </cell>
          <cell r="V1633">
            <v>0</v>
          </cell>
          <cell r="W1633">
            <v>0</v>
          </cell>
          <cell r="X1633">
            <v>0.90372110000000005</v>
          </cell>
          <cell r="Y1633">
            <v>0</v>
          </cell>
          <cell r="Z1633">
            <v>0</v>
          </cell>
          <cell r="AA1633">
            <v>0</v>
          </cell>
          <cell r="AB1633">
            <v>2.6637000000000001E-2</v>
          </cell>
        </row>
        <row r="1634">
          <cell r="A1634">
            <v>27450450</v>
          </cell>
          <cell r="B1634" t="str">
            <v>Shrimp creole, no rice</v>
          </cell>
          <cell r="I1634">
            <v>246</v>
          </cell>
          <cell r="J1634">
            <v>261.74426</v>
          </cell>
          <cell r="K1634">
            <v>1.0640010569105691</v>
          </cell>
          <cell r="L1634">
            <v>1.3516121999999999</v>
          </cell>
          <cell r="M1634">
            <v>2.3152634999999999</v>
          </cell>
          <cell r="N1634">
            <v>0.3505605</v>
          </cell>
          <cell r="O1634">
            <v>0.1485389</v>
          </cell>
          <cell r="P1634">
            <v>0.714005</v>
          </cell>
          <cell r="Q1634">
            <v>3.4380592000000001</v>
          </cell>
          <cell r="R1634">
            <v>0</v>
          </cell>
          <cell r="S1634">
            <v>0</v>
          </cell>
          <cell r="T1634">
            <v>0</v>
          </cell>
          <cell r="U1634">
            <v>72.654478999999995</v>
          </cell>
          <cell r="V1634">
            <v>0</v>
          </cell>
          <cell r="W1634">
            <v>0</v>
          </cell>
          <cell r="X1634">
            <v>1.3860288999999999</v>
          </cell>
          <cell r="Y1634">
            <v>0</v>
          </cell>
          <cell r="Z1634">
            <v>0</v>
          </cell>
          <cell r="AA1634">
            <v>0</v>
          </cell>
          <cell r="AB1634">
            <v>1.6218851999999999</v>
          </cell>
        </row>
        <row r="1635">
          <cell r="A1635">
            <v>27450470</v>
          </cell>
          <cell r="B1635" t="str">
            <v>Kung Pao shrimp</v>
          </cell>
          <cell r="I1635">
            <v>162</v>
          </cell>
          <cell r="J1635">
            <v>269.55694</v>
          </cell>
          <cell r="K1635">
            <v>1.6639317283950616</v>
          </cell>
          <cell r="L1635">
            <v>0.46830430000000001</v>
          </cell>
          <cell r="M1635">
            <v>2.6509526999999999</v>
          </cell>
          <cell r="N1635">
            <v>0.2153187</v>
          </cell>
          <cell r="O1635">
            <v>8.97337E-2</v>
          </cell>
          <cell r="P1635">
            <v>1.1690064</v>
          </cell>
          <cell r="Q1635">
            <v>5.3708549999999997</v>
          </cell>
          <cell r="R1635">
            <v>0</v>
          </cell>
          <cell r="S1635">
            <v>0</v>
          </cell>
          <cell r="T1635">
            <v>0</v>
          </cell>
          <cell r="U1635">
            <v>21.539850000000001</v>
          </cell>
          <cell r="V1635">
            <v>0</v>
          </cell>
          <cell r="W1635">
            <v>0</v>
          </cell>
          <cell r="X1635">
            <v>0.98465029999999998</v>
          </cell>
          <cell r="Y1635">
            <v>12.546849</v>
          </cell>
          <cell r="Z1635">
            <v>0</v>
          </cell>
          <cell r="AA1635">
            <v>0</v>
          </cell>
          <cell r="AB1635">
            <v>5.5605700000000001E-2</v>
          </cell>
        </row>
        <row r="1636">
          <cell r="A1636">
            <v>27450600</v>
          </cell>
          <cell r="B1636" t="str">
            <v>Shellfish mixture and vegetables including carrots, broccoli, and/or dark-green leafy; no potatoes, soy-based sauce</v>
          </cell>
          <cell r="I1636">
            <v>217</v>
          </cell>
          <cell r="J1636">
            <v>240.48492999999999</v>
          </cell>
          <cell r="K1636">
            <v>1.1082254838709678</v>
          </cell>
          <cell r="L1636">
            <v>2.6503895000000002</v>
          </cell>
          <cell r="M1636">
            <v>1.9349381999999999</v>
          </cell>
          <cell r="N1636">
            <v>0.1580269</v>
          </cell>
          <cell r="O1636">
            <v>9.7181799999999999E-2</v>
          </cell>
          <cell r="P1636">
            <v>5.2411699999999999E-2</v>
          </cell>
          <cell r="Q1636">
            <v>5.1018160999999997</v>
          </cell>
          <cell r="R1636">
            <v>0</v>
          </cell>
          <cell r="S1636">
            <v>0</v>
          </cell>
          <cell r="T1636">
            <v>0</v>
          </cell>
          <cell r="U1636">
            <v>104.24797</v>
          </cell>
          <cell r="V1636">
            <v>0</v>
          </cell>
          <cell r="W1636">
            <v>0</v>
          </cell>
          <cell r="X1636">
            <v>0.80394279999999996</v>
          </cell>
          <cell r="Y1636">
            <v>0</v>
          </cell>
          <cell r="Z1636">
            <v>0</v>
          </cell>
          <cell r="AA1636">
            <v>0</v>
          </cell>
          <cell r="AB1636">
            <v>6.0320699999999998E-2</v>
          </cell>
        </row>
        <row r="1637">
          <cell r="A1637">
            <v>27450610</v>
          </cell>
          <cell r="B1637" t="str">
            <v>Shellfish mixture and vegetables (excluding carrots, broccoli, and dark-green leafy (no potatoes)), soy-based sauce</v>
          </cell>
          <cell r="I1637">
            <v>217</v>
          </cell>
          <cell r="J1637">
            <v>244.42865</v>
          </cell>
          <cell r="K1637">
            <v>1.1263993087557604</v>
          </cell>
          <cell r="L1637">
            <v>1.8228168</v>
          </cell>
          <cell r="M1637">
            <v>1.9317945000000001</v>
          </cell>
          <cell r="N1637">
            <v>0.16422829999999999</v>
          </cell>
          <cell r="O1637">
            <v>8.8819700000000001E-2</v>
          </cell>
          <cell r="P1637">
            <v>5.4468500000000003E-2</v>
          </cell>
          <cell r="Q1637">
            <v>5.5358207000000004</v>
          </cell>
          <cell r="R1637">
            <v>0</v>
          </cell>
          <cell r="S1637">
            <v>0</v>
          </cell>
          <cell r="T1637">
            <v>0</v>
          </cell>
          <cell r="U1637">
            <v>99.823272000000003</v>
          </cell>
          <cell r="V1637">
            <v>0</v>
          </cell>
          <cell r="W1637">
            <v>0</v>
          </cell>
          <cell r="X1637">
            <v>0.80355299999999996</v>
          </cell>
          <cell r="Y1637">
            <v>0</v>
          </cell>
          <cell r="Z1637">
            <v>0</v>
          </cell>
          <cell r="AA1637">
            <v>0</v>
          </cell>
          <cell r="AB1637">
            <v>6.2687900000000005E-2</v>
          </cell>
        </row>
        <row r="1638">
          <cell r="A1638">
            <v>27450650</v>
          </cell>
          <cell r="B1638" t="str">
            <v>Shellfish mixture and vegetables (including carrots, broccoli, and/or dark-green leafy (no potatoes)), (mushroom) soup (mixture)</v>
          </cell>
          <cell r="I1638">
            <v>224</v>
          </cell>
          <cell r="J1638">
            <v>166.15128000000001</v>
          </cell>
          <cell r="K1638">
            <v>0.74174678571428576</v>
          </cell>
          <cell r="L1638">
            <v>2.0431794000000001</v>
          </cell>
          <cell r="M1638">
            <v>1.5008006</v>
          </cell>
          <cell r="N1638">
            <v>7.3213100000000003E-2</v>
          </cell>
          <cell r="O1638">
            <v>6.0190399999999998E-2</v>
          </cell>
          <cell r="P1638">
            <v>0.37520100000000001</v>
          </cell>
          <cell r="Q1638">
            <v>3.4181832999999999</v>
          </cell>
          <cell r="R1638">
            <v>0</v>
          </cell>
          <cell r="S1638">
            <v>0</v>
          </cell>
          <cell r="T1638">
            <v>0</v>
          </cell>
          <cell r="U1638">
            <v>96.299356000000003</v>
          </cell>
          <cell r="V1638">
            <v>0</v>
          </cell>
          <cell r="W1638">
            <v>0</v>
          </cell>
          <cell r="X1638">
            <v>0.95060460000000002</v>
          </cell>
          <cell r="Y1638">
            <v>0</v>
          </cell>
          <cell r="Z1638">
            <v>0</v>
          </cell>
          <cell r="AA1638">
            <v>0</v>
          </cell>
          <cell r="AB1638">
            <v>0.4750067</v>
          </cell>
        </row>
        <row r="1639">
          <cell r="A1639">
            <v>27450660</v>
          </cell>
          <cell r="B1639" t="str">
            <v>Shellfish mixture and vegetables excluding carrots, broccoli, and dark-green leafy; no potatoes, mushroom sauce</v>
          </cell>
          <cell r="I1639">
            <v>224</v>
          </cell>
          <cell r="J1639">
            <v>246.44595000000001</v>
          </cell>
          <cell r="K1639">
            <v>1.1002051339285714</v>
          </cell>
          <cell r="L1639">
            <v>1.0742699</v>
          </cell>
          <cell r="M1639">
            <v>2.5834882000000001</v>
          </cell>
          <cell r="N1639">
            <v>9.7353800000000004E-2</v>
          </cell>
          <cell r="O1639">
            <v>9.0948299999999996E-2</v>
          </cell>
          <cell r="P1639">
            <v>1.0795762</v>
          </cell>
          <cell r="Q1639">
            <v>6.3878668999999997</v>
          </cell>
          <cell r="R1639">
            <v>0</v>
          </cell>
          <cell r="S1639">
            <v>0</v>
          </cell>
          <cell r="T1639">
            <v>0</v>
          </cell>
          <cell r="U1639">
            <v>45.604103000000002</v>
          </cell>
          <cell r="V1639">
            <v>0</v>
          </cell>
          <cell r="W1639">
            <v>0</v>
          </cell>
          <cell r="X1639">
            <v>0.83682380000000001</v>
          </cell>
          <cell r="Y1639">
            <v>0</v>
          </cell>
          <cell r="Z1639">
            <v>0</v>
          </cell>
          <cell r="AA1639">
            <v>0</v>
          </cell>
          <cell r="AB1639">
            <v>0.34592879999999998</v>
          </cell>
        </row>
        <row r="1640">
          <cell r="A1640">
            <v>27450700</v>
          </cell>
          <cell r="B1640" t="str">
            <v>Fish and vegetables including carrots, broccoli, and/or dark-green leafy; no potatoes, tomato-based sauce</v>
          </cell>
          <cell r="I1640">
            <v>224</v>
          </cell>
          <cell r="J1640">
            <v>223.04092</v>
          </cell>
          <cell r="K1640">
            <v>0.99571839285714281</v>
          </cell>
          <cell r="L1640">
            <v>3.4758621000000001</v>
          </cell>
          <cell r="M1640">
            <v>2.1458452000000001</v>
          </cell>
          <cell r="N1640">
            <v>7.6275899999999994E-2</v>
          </cell>
          <cell r="O1640">
            <v>4.2274399999999997E-2</v>
          </cell>
          <cell r="P1640">
            <v>0</v>
          </cell>
          <cell r="Q1640">
            <v>6.3484005999999997</v>
          </cell>
          <cell r="R1640">
            <v>0</v>
          </cell>
          <cell r="S1640">
            <v>0</v>
          </cell>
          <cell r="T1640">
            <v>0</v>
          </cell>
          <cell r="U1640">
            <v>160.91954000000001</v>
          </cell>
          <cell r="V1640">
            <v>0</v>
          </cell>
          <cell r="W1640">
            <v>0</v>
          </cell>
          <cell r="X1640">
            <v>0.6426499</v>
          </cell>
          <cell r="Y1640">
            <v>0</v>
          </cell>
          <cell r="Z1640">
            <v>0</v>
          </cell>
          <cell r="AA1640">
            <v>0</v>
          </cell>
          <cell r="AB1640">
            <v>5.1319700000000003E-2</v>
          </cell>
        </row>
        <row r="1641">
          <cell r="A1641">
            <v>27450710</v>
          </cell>
          <cell r="B1641" t="str">
            <v>Fish and vegetables excluding carrots, broccoli, and dark- green leafy; no potatoes, tomato-based sauce</v>
          </cell>
          <cell r="I1641">
            <v>224</v>
          </cell>
          <cell r="J1641">
            <v>237.1337</v>
          </cell>
          <cell r="K1641">
            <v>1.0586325892857142</v>
          </cell>
          <cell r="L1641">
            <v>2.4130997000000001</v>
          </cell>
          <cell r="M1641">
            <v>2.1481243999999999</v>
          </cell>
          <cell r="N1641">
            <v>7.6254000000000002E-2</v>
          </cell>
          <cell r="O1641">
            <v>3.4877499999999999E-2</v>
          </cell>
          <cell r="P1641">
            <v>0.77219190000000004</v>
          </cell>
          <cell r="Q1641">
            <v>6.3504377999999999</v>
          </cell>
          <cell r="R1641">
            <v>0</v>
          </cell>
          <cell r="S1641">
            <v>0</v>
          </cell>
          <cell r="T1641">
            <v>0</v>
          </cell>
          <cell r="U1641">
            <v>128.69864999999999</v>
          </cell>
          <cell r="V1641">
            <v>0</v>
          </cell>
          <cell r="W1641">
            <v>0</v>
          </cell>
          <cell r="X1641">
            <v>0.64552699999999996</v>
          </cell>
          <cell r="Y1641">
            <v>0</v>
          </cell>
          <cell r="Z1641">
            <v>0</v>
          </cell>
          <cell r="AA1641">
            <v>0</v>
          </cell>
          <cell r="AB1641">
            <v>5.1304900000000001E-2</v>
          </cell>
        </row>
        <row r="1642">
          <cell r="A1642">
            <v>27450740</v>
          </cell>
          <cell r="B1642" t="str">
            <v>Fish and vegetables including carrots, broccoli, and/or dark-green leafy; no potatoes, soy-based sauce</v>
          </cell>
          <cell r="I1642">
            <v>217</v>
          </cell>
          <cell r="J1642">
            <v>208.66977</v>
          </cell>
          <cell r="K1642">
            <v>0.96161184331797234</v>
          </cell>
          <cell r="L1642">
            <v>2.6503895000000002</v>
          </cell>
          <cell r="M1642">
            <v>1.7181755999999999</v>
          </cell>
          <cell r="N1642">
            <v>0.1118775</v>
          </cell>
          <cell r="O1642">
            <v>4.9633900000000002E-2</v>
          </cell>
          <cell r="P1642">
            <v>5.2411699999999999E-2</v>
          </cell>
          <cell r="Q1642">
            <v>4.9249098</v>
          </cell>
          <cell r="R1642">
            <v>0</v>
          </cell>
          <cell r="S1642">
            <v>0</v>
          </cell>
          <cell r="T1642">
            <v>0</v>
          </cell>
          <cell r="U1642">
            <v>104.24797</v>
          </cell>
          <cell r="V1642">
            <v>0</v>
          </cell>
          <cell r="W1642">
            <v>0</v>
          </cell>
          <cell r="X1642">
            <v>0.69381349999999997</v>
          </cell>
          <cell r="Y1642">
            <v>0</v>
          </cell>
          <cell r="Z1642">
            <v>0</v>
          </cell>
          <cell r="AA1642">
            <v>0</v>
          </cell>
          <cell r="AB1642">
            <v>4.3888700000000003E-2</v>
          </cell>
        </row>
        <row r="1643">
          <cell r="A1643">
            <v>27450750</v>
          </cell>
          <cell r="B1643" t="str">
            <v>Fish and vegetables excluding  carrots, broccoli, and dark-green leafy; no potatoes, soy-based sauce</v>
          </cell>
          <cell r="I1643">
            <v>217</v>
          </cell>
          <cell r="J1643">
            <v>211.06712999999999</v>
          </cell>
          <cell r="K1643">
            <v>0.97265958525345619</v>
          </cell>
          <cell r="L1643">
            <v>1.8228168</v>
          </cell>
          <cell r="M1643">
            <v>1.7759239</v>
          </cell>
          <cell r="N1643">
            <v>0.11626789999999999</v>
          </cell>
          <cell r="O1643">
            <v>3.9420999999999998E-2</v>
          </cell>
          <cell r="P1643">
            <v>5.4468500000000003E-2</v>
          </cell>
          <cell r="Q1643">
            <v>5.1089539999999998</v>
          </cell>
          <cell r="R1643">
            <v>0</v>
          </cell>
          <cell r="S1643">
            <v>0</v>
          </cell>
          <cell r="T1643">
            <v>0</v>
          </cell>
          <cell r="U1643">
            <v>99.823272000000003</v>
          </cell>
          <cell r="V1643">
            <v>0</v>
          </cell>
          <cell r="W1643">
            <v>0</v>
          </cell>
          <cell r="X1643">
            <v>0.68913210000000003</v>
          </cell>
          <cell r="Y1643">
            <v>0</v>
          </cell>
          <cell r="Z1643">
            <v>0</v>
          </cell>
          <cell r="AA1643">
            <v>0</v>
          </cell>
          <cell r="AB1643">
            <v>4.5610999999999999E-2</v>
          </cell>
        </row>
        <row r="1644">
          <cell r="A1644">
            <v>27451070</v>
          </cell>
          <cell r="B1644" t="str">
            <v>Codfish salad, Puerto Rican style, Serenata</v>
          </cell>
          <cell r="I1644">
            <v>242</v>
          </cell>
          <cell r="J1644">
            <v>426.76182999999997</v>
          </cell>
          <cell r="K1644">
            <v>1.7634786363636363</v>
          </cell>
          <cell r="L1644">
            <v>1.7326086000000001</v>
          </cell>
          <cell r="M1644">
            <v>5.2099913000000004</v>
          </cell>
          <cell r="N1644">
            <v>0.1031087</v>
          </cell>
          <cell r="O1644">
            <v>3.5195499999999998E-2</v>
          </cell>
          <cell r="P1644">
            <v>0</v>
          </cell>
          <cell r="Q1644">
            <v>4.1049648000000003</v>
          </cell>
          <cell r="R1644">
            <v>0</v>
          </cell>
          <cell r="S1644">
            <v>0</v>
          </cell>
          <cell r="T1644">
            <v>0</v>
          </cell>
          <cell r="U1644">
            <v>118.61184</v>
          </cell>
          <cell r="V1644">
            <v>0</v>
          </cell>
          <cell r="W1644">
            <v>0</v>
          </cell>
          <cell r="X1644">
            <v>1.0112854</v>
          </cell>
          <cell r="Y1644">
            <v>0</v>
          </cell>
          <cell r="Z1644">
            <v>0</v>
          </cell>
          <cell r="AA1644">
            <v>0</v>
          </cell>
          <cell r="AB1644">
            <v>0.17361309999999999</v>
          </cell>
        </row>
        <row r="1645">
          <cell r="A1645">
            <v>27460510</v>
          </cell>
          <cell r="B1645" t="str">
            <v>Antipasto with ham, fish, cheese, vegetables</v>
          </cell>
          <cell r="I1645">
            <v>115</v>
          </cell>
          <cell r="J1645">
            <v>178.24277000000001</v>
          </cell>
          <cell r="K1645">
            <v>1.5499371304347827</v>
          </cell>
          <cell r="L1645">
            <v>1.2367773</v>
          </cell>
          <cell r="M1645">
            <v>5.0824781000000003</v>
          </cell>
          <cell r="N1645">
            <v>0.2340546</v>
          </cell>
          <cell r="O1645">
            <v>0.21656980000000001</v>
          </cell>
          <cell r="P1645">
            <v>0.1480638</v>
          </cell>
          <cell r="Q1645">
            <v>0.99601870000000003</v>
          </cell>
          <cell r="R1645">
            <v>0</v>
          </cell>
          <cell r="S1645">
            <v>0</v>
          </cell>
          <cell r="T1645">
            <v>0</v>
          </cell>
          <cell r="U1645">
            <v>58.052402000000001</v>
          </cell>
          <cell r="V1645">
            <v>0</v>
          </cell>
          <cell r="W1645">
            <v>0</v>
          </cell>
          <cell r="X1645">
            <v>1.0002371000000001</v>
          </cell>
          <cell r="Y1645">
            <v>0</v>
          </cell>
          <cell r="Z1645">
            <v>0</v>
          </cell>
          <cell r="AA1645">
            <v>20.559678000000002</v>
          </cell>
          <cell r="AB1645">
            <v>0.26638339999999999</v>
          </cell>
        </row>
        <row r="1646">
          <cell r="A1646">
            <v>27460750</v>
          </cell>
          <cell r="B1646" t="str">
            <v>Liver, beef or calves, and onions</v>
          </cell>
          <cell r="I1646">
            <v>202</v>
          </cell>
          <cell r="J1646">
            <v>261.14938000000001</v>
          </cell>
          <cell r="K1646">
            <v>1.2928187128712871</v>
          </cell>
          <cell r="L1646">
            <v>1.0644384</v>
          </cell>
          <cell r="M1646">
            <v>3.3979610999999998</v>
          </cell>
          <cell r="N1646">
            <v>0</v>
          </cell>
          <cell r="O1646">
            <v>2.4442200000000001E-2</v>
          </cell>
          <cell r="P1646">
            <v>0</v>
          </cell>
          <cell r="Q1646">
            <v>1.7283360999999999</v>
          </cell>
          <cell r="R1646">
            <v>0</v>
          </cell>
          <cell r="S1646">
            <v>0</v>
          </cell>
          <cell r="T1646">
            <v>0</v>
          </cell>
          <cell r="U1646">
            <v>76.031316000000004</v>
          </cell>
          <cell r="V1646">
            <v>0</v>
          </cell>
          <cell r="W1646">
            <v>0</v>
          </cell>
          <cell r="X1646">
            <v>0.55896170000000001</v>
          </cell>
          <cell r="Y1646">
            <v>0</v>
          </cell>
          <cell r="Z1646">
            <v>0</v>
          </cell>
          <cell r="AA1646">
            <v>0</v>
          </cell>
          <cell r="AB1646">
            <v>0.667265</v>
          </cell>
        </row>
        <row r="1647">
          <cell r="A1647">
            <v>27461010</v>
          </cell>
          <cell r="B1647" t="str">
            <v>Stewed seasoned ground beef, Puerto Rican style (Picadillo para relleno)</v>
          </cell>
          <cell r="I1647">
            <v>244</v>
          </cell>
          <cell r="J1647">
            <v>387.63191</v>
          </cell>
          <cell r="K1647">
            <v>1.5886553688524589</v>
          </cell>
          <cell r="L1647">
            <v>1.6322080000000001</v>
          </cell>
          <cell r="M1647">
            <v>8.3252967000000009</v>
          </cell>
          <cell r="N1647">
            <v>0</v>
          </cell>
          <cell r="O1647">
            <v>4.9291399999999999E-2</v>
          </cell>
          <cell r="P1647">
            <v>0.16538720000000001</v>
          </cell>
          <cell r="Q1647">
            <v>1.9353674000000001</v>
          </cell>
          <cell r="R1647">
            <v>0</v>
          </cell>
          <cell r="S1647">
            <v>0</v>
          </cell>
          <cell r="T1647">
            <v>0</v>
          </cell>
          <cell r="U1647">
            <v>92.874958000000007</v>
          </cell>
          <cell r="V1647">
            <v>0</v>
          </cell>
          <cell r="W1647">
            <v>0</v>
          </cell>
          <cell r="X1647">
            <v>0.66304810000000003</v>
          </cell>
          <cell r="Y1647">
            <v>0</v>
          </cell>
          <cell r="Z1647">
            <v>93.769608000000005</v>
          </cell>
          <cell r="AA1647">
            <v>3.4743971999999999</v>
          </cell>
          <cell r="AB1647">
            <v>1.7130036</v>
          </cell>
        </row>
        <row r="1648">
          <cell r="A1648">
            <v>27464000</v>
          </cell>
          <cell r="B1648" t="str">
            <v>Gumbo, no rice</v>
          </cell>
          <cell r="I1648">
            <v>244</v>
          </cell>
          <cell r="J1648">
            <v>149.29446999999999</v>
          </cell>
          <cell r="K1648">
            <v>0.6118625819672131</v>
          </cell>
          <cell r="L1648">
            <v>1.3361813</v>
          </cell>
          <cell r="M1648">
            <v>1.4928927999999999</v>
          </cell>
          <cell r="N1648">
            <v>1.47487E-2</v>
          </cell>
          <cell r="O1648">
            <v>5.0483E-2</v>
          </cell>
          <cell r="P1648">
            <v>0.42119200000000001</v>
          </cell>
          <cell r="Q1648">
            <v>1.5961050999999999</v>
          </cell>
          <cell r="R1648">
            <v>0</v>
          </cell>
          <cell r="S1648">
            <v>0</v>
          </cell>
          <cell r="T1648">
            <v>0</v>
          </cell>
          <cell r="U1648">
            <v>73.303252999999998</v>
          </cell>
          <cell r="V1648">
            <v>0</v>
          </cell>
          <cell r="W1648">
            <v>0</v>
          </cell>
          <cell r="X1648">
            <v>0.84239430000000004</v>
          </cell>
          <cell r="Y1648">
            <v>0</v>
          </cell>
          <cell r="Z1648">
            <v>22.820824000000002</v>
          </cell>
          <cell r="AA1648">
            <v>0</v>
          </cell>
          <cell r="AB1648">
            <v>1.83321E-2</v>
          </cell>
        </row>
        <row r="1649">
          <cell r="A1649">
            <v>27500050</v>
          </cell>
          <cell r="B1649" t="str">
            <v>Sandwich, NFS</v>
          </cell>
          <cell r="I1649">
            <v>140</v>
          </cell>
          <cell r="J1649">
            <v>421.01285000000001</v>
          </cell>
          <cell r="K1649">
            <v>3.007234642857143</v>
          </cell>
          <cell r="L1649">
            <v>0</v>
          </cell>
          <cell r="M1649">
            <v>5.6106134000000001</v>
          </cell>
          <cell r="N1649">
            <v>0</v>
          </cell>
          <cell r="O1649">
            <v>0.16545689999999999</v>
          </cell>
          <cell r="P1649">
            <v>2.3802188000000002</v>
          </cell>
          <cell r="Q1649">
            <v>5.1363338000000001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0.90621799999999997</v>
          </cell>
          <cell r="Y1649">
            <v>0</v>
          </cell>
          <cell r="Z1649">
            <v>0</v>
          </cell>
          <cell r="AA1649">
            <v>34.920487999999999</v>
          </cell>
          <cell r="AB1649">
            <v>3.7293600000000003E-2</v>
          </cell>
        </row>
        <row r="1650">
          <cell r="A1650">
            <v>27500300</v>
          </cell>
          <cell r="B1650" t="str">
            <v>Wrap sandwich, filled with meat, poultry, or fish, and vegetables</v>
          </cell>
          <cell r="I1650">
            <v>140</v>
          </cell>
          <cell r="J1650">
            <v>262.00150000000002</v>
          </cell>
          <cell r="K1650">
            <v>1.8714392857142859</v>
          </cell>
          <cell r="L1650">
            <v>0.51962920000000001</v>
          </cell>
          <cell r="M1650">
            <v>5.9498813000000004</v>
          </cell>
          <cell r="N1650">
            <v>0</v>
          </cell>
          <cell r="O1650">
            <v>8.2275799999999996E-2</v>
          </cell>
          <cell r="P1650">
            <v>1.1278771999999999</v>
          </cell>
          <cell r="Q1650">
            <v>1.5503941000000001</v>
          </cell>
          <cell r="R1650">
            <v>0</v>
          </cell>
          <cell r="S1650">
            <v>0</v>
          </cell>
          <cell r="T1650">
            <v>0</v>
          </cell>
          <cell r="U1650">
            <v>36.253197</v>
          </cell>
          <cell r="V1650">
            <v>0</v>
          </cell>
          <cell r="W1650">
            <v>0</v>
          </cell>
          <cell r="X1650">
            <v>0.48195690000000002</v>
          </cell>
          <cell r="Y1650">
            <v>0</v>
          </cell>
          <cell r="Z1650">
            <v>0</v>
          </cell>
          <cell r="AA1650">
            <v>0</v>
          </cell>
          <cell r="AB1650">
            <v>0.45445380000000002</v>
          </cell>
        </row>
        <row r="1651">
          <cell r="A1651">
            <v>27510140</v>
          </cell>
          <cell r="B1651" t="str">
            <v>Cheeseburger, 1 miniature patty, plain, on miniature bun, from fast food / restaurant</v>
          </cell>
          <cell r="I1651">
            <v>140</v>
          </cell>
          <cell r="J1651">
            <v>417.59102999999999</v>
          </cell>
          <cell r="K1651">
            <v>2.9827930714285715</v>
          </cell>
          <cell r="L1651">
            <v>0</v>
          </cell>
          <cell r="M1651">
            <v>8.8005955</v>
          </cell>
          <cell r="N1651">
            <v>0</v>
          </cell>
          <cell r="O1651">
            <v>0.33420899999999998</v>
          </cell>
          <cell r="P1651">
            <v>1.2165516999999999</v>
          </cell>
          <cell r="Q1651">
            <v>1.8073155000000001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0.62796280000000004</v>
          </cell>
          <cell r="Y1651">
            <v>0</v>
          </cell>
          <cell r="Z1651">
            <v>41.606068999999998</v>
          </cell>
          <cell r="AA1651">
            <v>0</v>
          </cell>
          <cell r="AB1651">
            <v>0.69636560000000003</v>
          </cell>
        </row>
        <row r="1652">
          <cell r="A1652">
            <v>27510160</v>
          </cell>
          <cell r="B1652" t="str">
            <v>Cheeseburger, 1 small patty, plain, on bun, from fast food / restaurant</v>
          </cell>
          <cell r="I1652">
            <v>140</v>
          </cell>
          <cell r="J1652">
            <v>431.2</v>
          </cell>
          <cell r="K1652">
            <v>3.08</v>
          </cell>
          <cell r="L1652">
            <v>0</v>
          </cell>
          <cell r="M1652">
            <v>9.0622000000000007</v>
          </cell>
          <cell r="N1652">
            <v>0</v>
          </cell>
          <cell r="O1652">
            <v>0.1666</v>
          </cell>
          <cell r="P1652">
            <v>2.8</v>
          </cell>
          <cell r="Q1652">
            <v>2.3212000000000002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0.72099999999999997</v>
          </cell>
          <cell r="Y1652">
            <v>0</v>
          </cell>
          <cell r="Z1652">
            <v>44.452800000000003</v>
          </cell>
          <cell r="AA1652">
            <v>0</v>
          </cell>
          <cell r="AB1652">
            <v>0.79800000000000004</v>
          </cell>
        </row>
        <row r="1653">
          <cell r="A1653">
            <v>27510165</v>
          </cell>
          <cell r="B1653" t="str">
            <v>Cheeseburger, 1 small patty, with condiments, on bun, from fast food / restaurant</v>
          </cell>
          <cell r="I1653">
            <v>140</v>
          </cell>
          <cell r="J1653">
            <v>378</v>
          </cell>
          <cell r="K1653">
            <v>2.7</v>
          </cell>
          <cell r="L1653">
            <v>0.29248780000000002</v>
          </cell>
          <cell r="M1653">
            <v>8.1158000000000001</v>
          </cell>
          <cell r="N1653">
            <v>0</v>
          </cell>
          <cell r="O1653">
            <v>0.17219999999999999</v>
          </cell>
          <cell r="P1653">
            <v>2.3675122000000002</v>
          </cell>
          <cell r="Q1653">
            <v>1.9081999999999999</v>
          </cell>
          <cell r="R1653">
            <v>0</v>
          </cell>
          <cell r="S1653">
            <v>0</v>
          </cell>
          <cell r="T1653">
            <v>0</v>
          </cell>
          <cell r="U1653">
            <v>14.14</v>
          </cell>
          <cell r="V1653">
            <v>0</v>
          </cell>
          <cell r="W1653">
            <v>0</v>
          </cell>
          <cell r="X1653">
            <v>0.87919999999999998</v>
          </cell>
          <cell r="Y1653">
            <v>0</v>
          </cell>
          <cell r="Z1653">
            <v>39.293100000000003</v>
          </cell>
          <cell r="AA1653">
            <v>0</v>
          </cell>
          <cell r="AB1653">
            <v>0.33480569999999998</v>
          </cell>
        </row>
        <row r="1654">
          <cell r="A1654">
            <v>27510170</v>
          </cell>
          <cell r="B1654" t="str">
            <v>Cheeseburger, 1 small patty, with condiments, on bun, from fast food / restaurant (Burger King Cheeseburger)</v>
          </cell>
          <cell r="I1654">
            <v>140</v>
          </cell>
          <cell r="J1654">
            <v>378</v>
          </cell>
          <cell r="K1654">
            <v>2.7</v>
          </cell>
          <cell r="L1654">
            <v>0.29248780000000002</v>
          </cell>
          <cell r="M1654">
            <v>8.1158000000000001</v>
          </cell>
          <cell r="N1654">
            <v>0</v>
          </cell>
          <cell r="O1654">
            <v>0.17219999999999999</v>
          </cell>
          <cell r="P1654">
            <v>2.3675122000000002</v>
          </cell>
          <cell r="Q1654">
            <v>1.9081999999999999</v>
          </cell>
          <cell r="R1654">
            <v>0</v>
          </cell>
          <cell r="S1654">
            <v>0</v>
          </cell>
          <cell r="T1654">
            <v>0</v>
          </cell>
          <cell r="U1654">
            <v>14.14</v>
          </cell>
          <cell r="V1654">
            <v>0</v>
          </cell>
          <cell r="W1654">
            <v>0</v>
          </cell>
          <cell r="X1654">
            <v>0.87919999999999998</v>
          </cell>
          <cell r="Y1654">
            <v>0</v>
          </cell>
          <cell r="Z1654">
            <v>39.293100000000003</v>
          </cell>
          <cell r="AA1654">
            <v>0</v>
          </cell>
          <cell r="AB1654">
            <v>0.3339529</v>
          </cell>
        </row>
        <row r="1655">
          <cell r="A1655">
            <v>27510171</v>
          </cell>
          <cell r="B1655" t="str">
            <v>Cheeseburger, 1 small patty, with condiments, on bun, from fast food / restaurant (Burger King WHOPPER Jr. with cheese)</v>
          </cell>
          <cell r="I1655">
            <v>140</v>
          </cell>
          <cell r="J1655">
            <v>315.64857999999998</v>
          </cell>
          <cell r="K1655">
            <v>2.2546327142857141</v>
          </cell>
          <cell r="L1655">
            <v>0.29719299999999998</v>
          </cell>
          <cell r="M1655">
            <v>6.5277310000000002</v>
          </cell>
          <cell r="N1655">
            <v>0</v>
          </cell>
          <cell r="O1655">
            <v>0.24184369999999999</v>
          </cell>
          <cell r="P1655">
            <v>0.93824560000000001</v>
          </cell>
          <cell r="Q1655">
            <v>2.8698972999999999</v>
          </cell>
          <cell r="R1655">
            <v>0</v>
          </cell>
          <cell r="S1655">
            <v>0</v>
          </cell>
          <cell r="T1655">
            <v>0</v>
          </cell>
          <cell r="U1655">
            <v>28.052398</v>
          </cell>
          <cell r="V1655">
            <v>0</v>
          </cell>
          <cell r="W1655">
            <v>0</v>
          </cell>
          <cell r="X1655">
            <v>0.62313149999999995</v>
          </cell>
          <cell r="Y1655">
            <v>0</v>
          </cell>
          <cell r="Z1655">
            <v>28.224</v>
          </cell>
          <cell r="AA1655">
            <v>0</v>
          </cell>
          <cell r="AB1655">
            <v>0.47344269999999999</v>
          </cell>
        </row>
        <row r="1656">
          <cell r="A1656">
            <v>27510172</v>
          </cell>
          <cell r="B1656" t="str">
            <v>Cheeseburger, 1 small patty, with condiments, on bun, from fast food / restaurant (McDonald's Cheeseburger)</v>
          </cell>
          <cell r="I1656">
            <v>140</v>
          </cell>
          <cell r="J1656">
            <v>378</v>
          </cell>
          <cell r="K1656">
            <v>2.7</v>
          </cell>
          <cell r="L1656">
            <v>0.29248780000000002</v>
          </cell>
          <cell r="M1656">
            <v>8.1158000000000001</v>
          </cell>
          <cell r="N1656">
            <v>0</v>
          </cell>
          <cell r="O1656">
            <v>0.17219999999999999</v>
          </cell>
          <cell r="P1656">
            <v>2.3675122000000002</v>
          </cell>
          <cell r="Q1656">
            <v>1.9081999999999999</v>
          </cell>
          <cell r="R1656">
            <v>0</v>
          </cell>
          <cell r="S1656">
            <v>0</v>
          </cell>
          <cell r="T1656">
            <v>0</v>
          </cell>
          <cell r="U1656">
            <v>14.14</v>
          </cell>
          <cell r="V1656">
            <v>0</v>
          </cell>
          <cell r="W1656">
            <v>0</v>
          </cell>
          <cell r="X1656">
            <v>0.87919999999999998</v>
          </cell>
          <cell r="Y1656">
            <v>0</v>
          </cell>
          <cell r="Z1656">
            <v>39.293100000000003</v>
          </cell>
          <cell r="AA1656">
            <v>0</v>
          </cell>
          <cell r="AB1656">
            <v>0.33444439999999998</v>
          </cell>
        </row>
        <row r="1657">
          <cell r="A1657">
            <v>27510174</v>
          </cell>
          <cell r="B1657" t="str">
            <v>Cheeseburger, 1 small patty, with condiments, on bun, from fast food / restaurant (Wendy's Jr. Cheeseburger)</v>
          </cell>
          <cell r="I1657">
            <v>140</v>
          </cell>
          <cell r="J1657">
            <v>378</v>
          </cell>
          <cell r="K1657">
            <v>2.7</v>
          </cell>
          <cell r="L1657">
            <v>0.29248780000000002</v>
          </cell>
          <cell r="M1657">
            <v>8.1158000000000001</v>
          </cell>
          <cell r="N1657">
            <v>0</v>
          </cell>
          <cell r="O1657">
            <v>0.17219999999999999</v>
          </cell>
          <cell r="P1657">
            <v>2.3675122000000002</v>
          </cell>
          <cell r="Q1657">
            <v>1.9081999999999999</v>
          </cell>
          <cell r="R1657">
            <v>0</v>
          </cell>
          <cell r="S1657">
            <v>0</v>
          </cell>
          <cell r="T1657">
            <v>0</v>
          </cell>
          <cell r="U1657">
            <v>14.14</v>
          </cell>
          <cell r="V1657">
            <v>0</v>
          </cell>
          <cell r="W1657">
            <v>0</v>
          </cell>
          <cell r="X1657">
            <v>0.87919999999999998</v>
          </cell>
          <cell r="Y1657">
            <v>0</v>
          </cell>
          <cell r="Z1657">
            <v>39.293100000000003</v>
          </cell>
          <cell r="AA1657">
            <v>0</v>
          </cell>
          <cell r="AB1657">
            <v>0.33454440000000002</v>
          </cell>
        </row>
        <row r="1658">
          <cell r="A1658">
            <v>27510190</v>
          </cell>
          <cell r="B1658" t="str">
            <v>Cheeseburger on bun, from school</v>
          </cell>
          <cell r="I1658">
            <v>140</v>
          </cell>
          <cell r="J1658">
            <v>341.40784000000002</v>
          </cell>
          <cell r="K1658">
            <v>2.4386274285714289</v>
          </cell>
          <cell r="L1658">
            <v>4.2823529000000002</v>
          </cell>
          <cell r="M1658">
            <v>4.7858587999999997</v>
          </cell>
          <cell r="N1658">
            <v>0</v>
          </cell>
          <cell r="O1658">
            <v>0.226498</v>
          </cell>
          <cell r="P1658">
            <v>0</v>
          </cell>
          <cell r="Q1658">
            <v>1.4899568999999999</v>
          </cell>
          <cell r="R1658">
            <v>41.453175999999999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0.44827450000000002</v>
          </cell>
          <cell r="Y1658">
            <v>0</v>
          </cell>
          <cell r="Z1658">
            <v>53.386941</v>
          </cell>
          <cell r="AA1658">
            <v>0</v>
          </cell>
          <cell r="AB1658">
            <v>0.31966670000000003</v>
          </cell>
        </row>
        <row r="1659">
          <cell r="A1659">
            <v>27510195</v>
          </cell>
          <cell r="B1659" t="str">
            <v>Cheeseburger, 1 small patty, plain, on white bun</v>
          </cell>
          <cell r="I1659">
            <v>140</v>
          </cell>
          <cell r="J1659">
            <v>403.20114000000001</v>
          </cell>
          <cell r="K1659">
            <v>2.8800081428571431</v>
          </cell>
          <cell r="L1659">
            <v>0</v>
          </cell>
          <cell r="M1659">
            <v>8.5409334000000001</v>
          </cell>
          <cell r="N1659">
            <v>0</v>
          </cell>
          <cell r="O1659">
            <v>0.29814350000000001</v>
          </cell>
          <cell r="P1659">
            <v>0.9495652</v>
          </cell>
          <cell r="Q1659">
            <v>1.532041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0.74024290000000004</v>
          </cell>
          <cell r="Y1659">
            <v>0</v>
          </cell>
          <cell r="Z1659">
            <v>58.884171000000002</v>
          </cell>
          <cell r="AA1659">
            <v>0</v>
          </cell>
          <cell r="AB1659">
            <v>0.77200190000000002</v>
          </cell>
        </row>
        <row r="1660">
          <cell r="A1660">
            <v>27510206</v>
          </cell>
          <cell r="B1660" t="str">
            <v>Cheeseburger, 1 small patty, with condiments, on wheat bun</v>
          </cell>
          <cell r="I1660">
            <v>140</v>
          </cell>
          <cell r="J1660">
            <v>311.53795000000002</v>
          </cell>
          <cell r="K1660">
            <v>2.2252710714285717</v>
          </cell>
          <cell r="L1660">
            <v>1.7831798000000001</v>
          </cell>
          <cell r="M1660">
            <v>6.3596978999999996</v>
          </cell>
          <cell r="N1660">
            <v>0</v>
          </cell>
          <cell r="O1660">
            <v>0.22659950000000001</v>
          </cell>
          <cell r="P1660">
            <v>0.62810589999999999</v>
          </cell>
          <cell r="Q1660">
            <v>2.4734248000000001</v>
          </cell>
          <cell r="R1660">
            <v>12.839543000000001</v>
          </cell>
          <cell r="S1660">
            <v>0</v>
          </cell>
          <cell r="T1660">
            <v>0</v>
          </cell>
          <cell r="U1660">
            <v>24.474285999999999</v>
          </cell>
          <cell r="V1660">
            <v>0</v>
          </cell>
          <cell r="W1660">
            <v>0</v>
          </cell>
          <cell r="X1660">
            <v>0.68865220000000005</v>
          </cell>
          <cell r="Y1660">
            <v>3.6854999999999999E-2</v>
          </cell>
          <cell r="Z1660">
            <v>41.459263</v>
          </cell>
          <cell r="AA1660">
            <v>0</v>
          </cell>
          <cell r="AB1660">
            <v>0.54832239999999999</v>
          </cell>
        </row>
        <row r="1661">
          <cell r="A1661">
            <v>27510215</v>
          </cell>
          <cell r="B1661" t="str">
            <v>Cheeseburger, 1 medium patty, plain, on bun, from fast food / restaurant</v>
          </cell>
          <cell r="I1661">
            <v>140</v>
          </cell>
          <cell r="J1661">
            <v>434</v>
          </cell>
          <cell r="K1661">
            <v>3.1</v>
          </cell>
          <cell r="L1661">
            <v>0</v>
          </cell>
          <cell r="M1661">
            <v>9.6221999999999994</v>
          </cell>
          <cell r="N1661">
            <v>0</v>
          </cell>
          <cell r="O1661">
            <v>0.15959999999999999</v>
          </cell>
          <cell r="P1661">
            <v>2.38</v>
          </cell>
          <cell r="Q1661">
            <v>2.1027999999999998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0.6734</v>
          </cell>
          <cell r="Y1661">
            <v>0</v>
          </cell>
          <cell r="Z1661">
            <v>48.421799999999998</v>
          </cell>
          <cell r="AA1661">
            <v>0</v>
          </cell>
          <cell r="AB1661">
            <v>0.87639999999999996</v>
          </cell>
        </row>
        <row r="1662">
          <cell r="A1662">
            <v>27510225</v>
          </cell>
          <cell r="B1662" t="str">
            <v>Cheeseburger, 1 medium patty, with condiments, on bun, from fast food / restaurant</v>
          </cell>
          <cell r="I1662">
            <v>140</v>
          </cell>
          <cell r="J1662">
            <v>376.6</v>
          </cell>
          <cell r="K1662">
            <v>2.69</v>
          </cell>
          <cell r="L1662">
            <v>0.26460739999999999</v>
          </cell>
          <cell r="M1662">
            <v>9.8461999999999996</v>
          </cell>
          <cell r="N1662">
            <v>0</v>
          </cell>
          <cell r="O1662">
            <v>0.25059999999999999</v>
          </cell>
          <cell r="P1662">
            <v>1.4153925999999999</v>
          </cell>
          <cell r="Q1662">
            <v>1.7696000000000001</v>
          </cell>
          <cell r="R1662">
            <v>0</v>
          </cell>
          <cell r="S1662">
            <v>0</v>
          </cell>
          <cell r="T1662">
            <v>0</v>
          </cell>
          <cell r="U1662">
            <v>16.38</v>
          </cell>
          <cell r="V1662">
            <v>0</v>
          </cell>
          <cell r="W1662">
            <v>0</v>
          </cell>
          <cell r="X1662">
            <v>0.82740000000000002</v>
          </cell>
          <cell r="Y1662">
            <v>0</v>
          </cell>
          <cell r="Z1662">
            <v>45.246600000000001</v>
          </cell>
          <cell r="AA1662">
            <v>0</v>
          </cell>
          <cell r="AB1662">
            <v>0.2471119</v>
          </cell>
        </row>
        <row r="1663">
          <cell r="A1663">
            <v>27510230</v>
          </cell>
          <cell r="B1663" t="str">
            <v>Cheeseburger, with mayonnaise or salad dressing, and tomato and/or catsup, on bun</v>
          </cell>
          <cell r="I1663">
            <v>140</v>
          </cell>
          <cell r="J1663">
            <v>316.62522999999999</v>
          </cell>
          <cell r="K1663">
            <v>2.2616087857142855</v>
          </cell>
          <cell r="L1663">
            <v>0.39083479999999998</v>
          </cell>
          <cell r="M1663">
            <v>6.0250212999999997</v>
          </cell>
          <cell r="N1663">
            <v>0</v>
          </cell>
          <cell r="O1663">
            <v>0.202792</v>
          </cell>
          <cell r="P1663">
            <v>0.90698920000000005</v>
          </cell>
          <cell r="Q1663">
            <v>3.0891074999999999</v>
          </cell>
          <cell r="R1663">
            <v>0</v>
          </cell>
          <cell r="S1663">
            <v>0</v>
          </cell>
          <cell r="T1663">
            <v>0</v>
          </cell>
          <cell r="U1663">
            <v>34.458376000000001</v>
          </cell>
          <cell r="V1663">
            <v>0</v>
          </cell>
          <cell r="W1663">
            <v>0</v>
          </cell>
          <cell r="X1663">
            <v>0.66425060000000002</v>
          </cell>
          <cell r="Y1663">
            <v>0</v>
          </cell>
          <cell r="Z1663">
            <v>29.526662999999999</v>
          </cell>
          <cell r="AA1663">
            <v>0</v>
          </cell>
          <cell r="AB1663">
            <v>0.43076720000000002</v>
          </cell>
        </row>
        <row r="1664">
          <cell r="A1664">
            <v>27510231</v>
          </cell>
          <cell r="B1664" t="str">
            <v>Cheeseburger, 1 medium patty, with condiments, on bun, from fast food / restaurant (Burger King WHOPPER with cheese)</v>
          </cell>
          <cell r="I1664">
            <v>140</v>
          </cell>
          <cell r="J1664">
            <v>375.2</v>
          </cell>
          <cell r="K1664">
            <v>2.6799999999999997</v>
          </cell>
          <cell r="L1664">
            <v>0.51734670000000005</v>
          </cell>
          <cell r="M1664">
            <v>8.0443999999999996</v>
          </cell>
          <cell r="N1664">
            <v>0</v>
          </cell>
          <cell r="O1664">
            <v>0.1022</v>
          </cell>
          <cell r="P1664">
            <v>1.0226533</v>
          </cell>
          <cell r="Q1664">
            <v>3.3123999999999998</v>
          </cell>
          <cell r="R1664">
            <v>0</v>
          </cell>
          <cell r="S1664">
            <v>0</v>
          </cell>
          <cell r="T1664">
            <v>0</v>
          </cell>
          <cell r="U1664">
            <v>35.14</v>
          </cell>
          <cell r="V1664">
            <v>0</v>
          </cell>
          <cell r="W1664">
            <v>0</v>
          </cell>
          <cell r="X1664">
            <v>0.66220000000000001</v>
          </cell>
          <cell r="Y1664">
            <v>0</v>
          </cell>
          <cell r="Z1664">
            <v>39.69</v>
          </cell>
          <cell r="AA1664">
            <v>0</v>
          </cell>
          <cell r="AB1664">
            <v>0.87919999999999998</v>
          </cell>
        </row>
        <row r="1665">
          <cell r="A1665">
            <v>27510232</v>
          </cell>
          <cell r="B1665" t="str">
            <v>Cheeseburger, 1 medium patty, with condiments, on bun, from fast food / restaurant (McDonald's Quarter Pounder with cheese)</v>
          </cell>
          <cell r="I1665">
            <v>140</v>
          </cell>
          <cell r="J1665">
            <v>376.6</v>
          </cell>
          <cell r="K1665">
            <v>2.69</v>
          </cell>
          <cell r="L1665">
            <v>0.26460739999999999</v>
          </cell>
          <cell r="M1665">
            <v>9.8461999999999996</v>
          </cell>
          <cell r="N1665">
            <v>0</v>
          </cell>
          <cell r="O1665">
            <v>0.25059999999999999</v>
          </cell>
          <cell r="P1665">
            <v>1.4153925999999999</v>
          </cell>
          <cell r="Q1665">
            <v>1.7696000000000001</v>
          </cell>
          <cell r="R1665">
            <v>0</v>
          </cell>
          <cell r="S1665">
            <v>0</v>
          </cell>
          <cell r="T1665">
            <v>0</v>
          </cell>
          <cell r="U1665">
            <v>16.38</v>
          </cell>
          <cell r="V1665">
            <v>0</v>
          </cell>
          <cell r="W1665">
            <v>0</v>
          </cell>
          <cell r="X1665">
            <v>0.82740000000000002</v>
          </cell>
          <cell r="Y1665">
            <v>0</v>
          </cell>
          <cell r="Z1665">
            <v>45.246600000000001</v>
          </cell>
          <cell r="AA1665">
            <v>0</v>
          </cell>
          <cell r="AB1665">
            <v>0.2470897</v>
          </cell>
        </row>
        <row r="1666">
          <cell r="A1666">
            <v>27510233</v>
          </cell>
          <cell r="B1666" t="str">
            <v>Cheeseburger, 1 medium patty, with condiments, on bun, from fast food / restaurant (Wendy's 1/4 lb Single with cheese)</v>
          </cell>
          <cell r="I1666">
            <v>140</v>
          </cell>
          <cell r="J1666">
            <v>375.2</v>
          </cell>
          <cell r="K1666">
            <v>2.6799999999999997</v>
          </cell>
          <cell r="L1666">
            <v>0.51734670000000005</v>
          </cell>
          <cell r="M1666">
            <v>8.0443999999999996</v>
          </cell>
          <cell r="N1666">
            <v>0</v>
          </cell>
          <cell r="O1666">
            <v>0.1022</v>
          </cell>
          <cell r="P1666">
            <v>1.0226533</v>
          </cell>
          <cell r="Q1666">
            <v>3.3123999999999998</v>
          </cell>
          <cell r="R1666">
            <v>0</v>
          </cell>
          <cell r="S1666">
            <v>0</v>
          </cell>
          <cell r="T1666">
            <v>0</v>
          </cell>
          <cell r="U1666">
            <v>35.14</v>
          </cell>
          <cell r="V1666">
            <v>0</v>
          </cell>
          <cell r="W1666">
            <v>0</v>
          </cell>
          <cell r="X1666">
            <v>0.66220000000000001</v>
          </cell>
          <cell r="Y1666">
            <v>0</v>
          </cell>
          <cell r="Z1666">
            <v>39.69</v>
          </cell>
          <cell r="AA1666">
            <v>0</v>
          </cell>
          <cell r="AB1666">
            <v>0.87919999999999998</v>
          </cell>
        </row>
        <row r="1667">
          <cell r="A1667">
            <v>27510241</v>
          </cell>
          <cell r="B1667" t="str">
            <v>Cheeseburger, 1 medium patty, plain, on white bun</v>
          </cell>
          <cell r="I1667">
            <v>140</v>
          </cell>
          <cell r="J1667">
            <v>399.94914</v>
          </cell>
          <cell r="K1667">
            <v>2.8567795714285715</v>
          </cell>
          <cell r="L1667">
            <v>1.554E-16</v>
          </cell>
          <cell r="M1667">
            <v>8.3294596999999992</v>
          </cell>
          <cell r="N1667">
            <v>0</v>
          </cell>
          <cell r="O1667">
            <v>0.26212010000000002</v>
          </cell>
          <cell r="P1667">
            <v>0.91084339999999997</v>
          </cell>
          <cell r="Q1667">
            <v>1.4804846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0.71339889999999995</v>
          </cell>
          <cell r="Y1667">
            <v>0</v>
          </cell>
          <cell r="Z1667">
            <v>64.014025000000004</v>
          </cell>
          <cell r="AA1667">
            <v>0</v>
          </cell>
          <cell r="AB1667">
            <v>0.78918869999999997</v>
          </cell>
        </row>
        <row r="1668">
          <cell r="A1668">
            <v>27510242</v>
          </cell>
          <cell r="B1668" t="str">
            <v>Cheeseburger, 1 medium patty, plain, on wheat bun</v>
          </cell>
          <cell r="I1668">
            <v>140</v>
          </cell>
          <cell r="J1668">
            <v>391.77686</v>
          </cell>
          <cell r="K1668">
            <v>2.798406142857143</v>
          </cell>
          <cell r="L1668">
            <v>2.0761115000000001</v>
          </cell>
          <cell r="M1668">
            <v>8.2658778000000002</v>
          </cell>
          <cell r="N1668">
            <v>0</v>
          </cell>
          <cell r="O1668">
            <v>0.270596</v>
          </cell>
          <cell r="P1668">
            <v>0.65135829999999995</v>
          </cell>
          <cell r="Q1668">
            <v>1.3690327</v>
          </cell>
          <cell r="R1668">
            <v>17.492241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0.69834459999999998</v>
          </cell>
          <cell r="Y1668">
            <v>5.0210200000000003E-2</v>
          </cell>
          <cell r="Z1668">
            <v>64.014025000000004</v>
          </cell>
          <cell r="AA1668">
            <v>0</v>
          </cell>
          <cell r="AB1668">
            <v>0.78736700000000004</v>
          </cell>
        </row>
        <row r="1669">
          <cell r="A1669">
            <v>27510243</v>
          </cell>
          <cell r="B1669" t="str">
            <v>Cheeseburger, 1 medium patty, plain, on whole wheat bun</v>
          </cell>
          <cell r="I1669">
            <v>140</v>
          </cell>
          <cell r="J1669">
            <v>391.77686</v>
          </cell>
          <cell r="K1669">
            <v>2.798406142857143</v>
          </cell>
          <cell r="L1669">
            <v>2.0761115000000001</v>
          </cell>
          <cell r="M1669">
            <v>8.2658778000000002</v>
          </cell>
          <cell r="N1669">
            <v>0</v>
          </cell>
          <cell r="O1669">
            <v>0.270596</v>
          </cell>
          <cell r="P1669">
            <v>0.65135829999999995</v>
          </cell>
          <cell r="Q1669">
            <v>1.3690327</v>
          </cell>
          <cell r="R1669">
            <v>17.492241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0.69834459999999998</v>
          </cell>
          <cell r="Y1669">
            <v>5.0210200000000003E-2</v>
          </cell>
          <cell r="Z1669">
            <v>64.014025000000004</v>
          </cell>
          <cell r="AA1669">
            <v>0</v>
          </cell>
          <cell r="AB1669">
            <v>0.78736700000000004</v>
          </cell>
        </row>
        <row r="1670">
          <cell r="A1670">
            <v>27510250</v>
          </cell>
          <cell r="B1670" t="str">
            <v>Cheeseburger, 1/4 lb meat, with mayonnaise or salad dressing, on bun</v>
          </cell>
          <cell r="I1670">
            <v>140</v>
          </cell>
          <cell r="J1670">
            <v>390.13121000000001</v>
          </cell>
          <cell r="K1670">
            <v>2.7866515000000001</v>
          </cell>
          <cell r="L1670">
            <v>0.11697050000000001</v>
          </cell>
          <cell r="M1670">
            <v>8.7402911000000003</v>
          </cell>
          <cell r="N1670">
            <v>0</v>
          </cell>
          <cell r="O1670">
            <v>0.25907479999999999</v>
          </cell>
          <cell r="P1670">
            <v>0.93302779999999996</v>
          </cell>
          <cell r="Q1670">
            <v>4.2038390000000003</v>
          </cell>
          <cell r="R1670">
            <v>0</v>
          </cell>
          <cell r="S1670">
            <v>0</v>
          </cell>
          <cell r="T1670">
            <v>0</v>
          </cell>
          <cell r="U1670">
            <v>8.8924936999999993</v>
          </cell>
          <cell r="V1670">
            <v>0</v>
          </cell>
          <cell r="W1670">
            <v>0</v>
          </cell>
          <cell r="X1670">
            <v>0.80566020000000005</v>
          </cell>
          <cell r="Y1670">
            <v>0</v>
          </cell>
          <cell r="Z1670">
            <v>44.214846999999999</v>
          </cell>
          <cell r="AA1670">
            <v>0</v>
          </cell>
          <cell r="AB1670">
            <v>0.66248260000000003</v>
          </cell>
        </row>
        <row r="1671">
          <cell r="A1671">
            <v>27510251</v>
          </cell>
          <cell r="B1671" t="str">
            <v>Cheeseburger, 1 medium patty, with condiments, on white bun</v>
          </cell>
          <cell r="I1671">
            <v>140</v>
          </cell>
          <cell r="J1671">
            <v>325.83463</v>
          </cell>
          <cell r="K1671">
            <v>2.3273902142857144</v>
          </cell>
          <cell r="L1671">
            <v>0.22687499999999999</v>
          </cell>
          <cell r="M1671">
            <v>6.5164714999999998</v>
          </cell>
          <cell r="N1671">
            <v>0</v>
          </cell>
          <cell r="O1671">
            <v>0.2034029</v>
          </cell>
          <cell r="P1671">
            <v>0.80625000000000002</v>
          </cell>
          <cell r="Q1671">
            <v>2.3891260999999999</v>
          </cell>
          <cell r="R1671">
            <v>0</v>
          </cell>
          <cell r="S1671">
            <v>0</v>
          </cell>
          <cell r="T1671">
            <v>0</v>
          </cell>
          <cell r="U1671">
            <v>21.414999999999999</v>
          </cell>
          <cell r="V1671">
            <v>0</v>
          </cell>
          <cell r="W1671">
            <v>0</v>
          </cell>
          <cell r="X1671">
            <v>0.68487640000000005</v>
          </cell>
          <cell r="Y1671">
            <v>0</v>
          </cell>
          <cell r="Z1671">
            <v>47.438965000000003</v>
          </cell>
          <cell r="AA1671">
            <v>0</v>
          </cell>
          <cell r="AB1671">
            <v>0.59018899999999996</v>
          </cell>
        </row>
        <row r="1672">
          <cell r="A1672">
            <v>27510252</v>
          </cell>
          <cell r="B1672" t="str">
            <v>Cheeseburger, 1 medium patty, with condiments, on wheat bun</v>
          </cell>
          <cell r="I1672">
            <v>140</v>
          </cell>
          <cell r="J1672">
            <v>319.77838000000003</v>
          </cell>
          <cell r="K1672">
            <v>2.2841312857142859</v>
          </cell>
          <cell r="L1672">
            <v>1.7654219</v>
          </cell>
          <cell r="M1672">
            <v>6.4693528000000002</v>
          </cell>
          <cell r="N1672">
            <v>0</v>
          </cell>
          <cell r="O1672">
            <v>0.20968410000000001</v>
          </cell>
          <cell r="P1672">
            <v>0.61395310000000003</v>
          </cell>
          <cell r="Q1672">
            <v>2.3065323000000002</v>
          </cell>
          <cell r="R1672">
            <v>12.962999999999999</v>
          </cell>
          <cell r="S1672">
            <v>0</v>
          </cell>
          <cell r="T1672">
            <v>0</v>
          </cell>
          <cell r="U1672">
            <v>21.414999999999999</v>
          </cell>
          <cell r="V1672">
            <v>0</v>
          </cell>
          <cell r="W1672">
            <v>0</v>
          </cell>
          <cell r="X1672">
            <v>0.67372010000000004</v>
          </cell>
          <cell r="Y1672">
            <v>3.7209399999999997E-2</v>
          </cell>
          <cell r="Z1672">
            <v>47.438965000000003</v>
          </cell>
          <cell r="AA1672">
            <v>0</v>
          </cell>
          <cell r="AB1672">
            <v>0.588839</v>
          </cell>
        </row>
        <row r="1673">
          <cell r="A1673">
            <v>27510253</v>
          </cell>
          <cell r="B1673" t="str">
            <v>Cheeseburger, 1 medium patty, with condiments, on whole wheat bun</v>
          </cell>
          <cell r="I1673">
            <v>140</v>
          </cell>
          <cell r="J1673">
            <v>319.77838000000003</v>
          </cell>
          <cell r="K1673">
            <v>2.2841312857142859</v>
          </cell>
          <cell r="L1673">
            <v>1.7654219</v>
          </cell>
          <cell r="M1673">
            <v>6.4693528000000002</v>
          </cell>
          <cell r="N1673">
            <v>0</v>
          </cell>
          <cell r="O1673">
            <v>0.20968410000000001</v>
          </cell>
          <cell r="P1673">
            <v>0.61395310000000003</v>
          </cell>
          <cell r="Q1673">
            <v>2.3065323000000002</v>
          </cell>
          <cell r="R1673">
            <v>12.962999999999999</v>
          </cell>
          <cell r="S1673">
            <v>0</v>
          </cell>
          <cell r="T1673">
            <v>0</v>
          </cell>
          <cell r="U1673">
            <v>21.414999999999999</v>
          </cell>
          <cell r="V1673">
            <v>0</v>
          </cell>
          <cell r="W1673">
            <v>0</v>
          </cell>
          <cell r="X1673">
            <v>0.67372010000000004</v>
          </cell>
          <cell r="Y1673">
            <v>3.7209399999999997E-2</v>
          </cell>
          <cell r="Z1673">
            <v>47.438965000000003</v>
          </cell>
          <cell r="AA1673">
            <v>0</v>
          </cell>
          <cell r="AB1673">
            <v>0.588839</v>
          </cell>
        </row>
        <row r="1674">
          <cell r="A1674">
            <v>27510265</v>
          </cell>
          <cell r="B1674" t="str">
            <v>Double cheeseburger, (2 patties, 1 oz each), plain, on miniature bun</v>
          </cell>
          <cell r="I1674">
            <v>140</v>
          </cell>
          <cell r="J1674">
            <v>434.96769</v>
          </cell>
          <cell r="K1674">
            <v>3.1069120714285714</v>
          </cell>
          <cell r="L1674">
            <v>0</v>
          </cell>
          <cell r="M1674">
            <v>11.26482</v>
          </cell>
          <cell r="N1674">
            <v>0</v>
          </cell>
          <cell r="O1674">
            <v>0.26984039999999998</v>
          </cell>
          <cell r="P1674">
            <v>0.86017310000000002</v>
          </cell>
          <cell r="Q1674">
            <v>1.6640936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0.48416720000000002</v>
          </cell>
          <cell r="Y1674">
            <v>0</v>
          </cell>
          <cell r="Z1674">
            <v>55.894049000000003</v>
          </cell>
          <cell r="AA1674">
            <v>0</v>
          </cell>
          <cell r="AB1674">
            <v>0.96406910000000001</v>
          </cell>
        </row>
        <row r="1675">
          <cell r="A1675">
            <v>27510266</v>
          </cell>
          <cell r="B1675" t="str">
            <v>Cheeseburger, 1 large patty, with condiments, on bun, from fast food / restaurant</v>
          </cell>
          <cell r="I1675">
            <v>140</v>
          </cell>
          <cell r="J1675">
            <v>306.92311999999998</v>
          </cell>
          <cell r="K1675">
            <v>2.1923079999999997</v>
          </cell>
          <cell r="L1675">
            <v>0.32472839999999997</v>
          </cell>
          <cell r="M1675">
            <v>7.2137497000000002</v>
          </cell>
          <cell r="N1675">
            <v>0</v>
          </cell>
          <cell r="O1675">
            <v>0.1942295</v>
          </cell>
          <cell r="P1675">
            <v>0.67092649999999998</v>
          </cell>
          <cell r="Q1675">
            <v>2.8055481000000002</v>
          </cell>
          <cell r="R1675">
            <v>0</v>
          </cell>
          <cell r="S1675">
            <v>0</v>
          </cell>
          <cell r="T1675">
            <v>0</v>
          </cell>
          <cell r="U1675">
            <v>30.651502000000001</v>
          </cell>
          <cell r="V1675">
            <v>0</v>
          </cell>
          <cell r="W1675">
            <v>0</v>
          </cell>
          <cell r="X1675">
            <v>0.54464710000000005</v>
          </cell>
          <cell r="Y1675">
            <v>0</v>
          </cell>
          <cell r="Z1675">
            <v>40.476191999999998</v>
          </cell>
          <cell r="AA1675">
            <v>0</v>
          </cell>
          <cell r="AB1675">
            <v>0.57014799999999999</v>
          </cell>
        </row>
        <row r="1676">
          <cell r="A1676">
            <v>27510276</v>
          </cell>
          <cell r="B1676" t="str">
            <v>Bacon cheeseburger, 1 small patty, with condiments, on bun, from fast food / restaurant</v>
          </cell>
          <cell r="I1676">
            <v>140</v>
          </cell>
          <cell r="J1676">
            <v>401.22093999999998</v>
          </cell>
          <cell r="K1676">
            <v>2.8658638571428572</v>
          </cell>
          <cell r="L1676">
            <v>0.26798620000000001</v>
          </cell>
          <cell r="M1676">
            <v>8.8390503000000002</v>
          </cell>
          <cell r="N1676">
            <v>0</v>
          </cell>
          <cell r="O1676">
            <v>0.15906490000000001</v>
          </cell>
          <cell r="P1676">
            <v>2.1691866000000002</v>
          </cell>
          <cell r="Q1676">
            <v>2.4651508</v>
          </cell>
          <cell r="R1676">
            <v>0</v>
          </cell>
          <cell r="S1676">
            <v>0</v>
          </cell>
          <cell r="T1676">
            <v>0</v>
          </cell>
          <cell r="U1676">
            <v>12.955496999999999</v>
          </cell>
          <cell r="V1676">
            <v>0</v>
          </cell>
          <cell r="W1676">
            <v>0</v>
          </cell>
          <cell r="X1676">
            <v>1.003045</v>
          </cell>
          <cell r="Y1676">
            <v>0</v>
          </cell>
          <cell r="Z1676">
            <v>36.001531</v>
          </cell>
          <cell r="AA1676">
            <v>8.3785381999999995</v>
          </cell>
          <cell r="AB1676">
            <v>0.41759190000000002</v>
          </cell>
        </row>
        <row r="1677">
          <cell r="A1677">
            <v>27510280</v>
          </cell>
          <cell r="B1677" t="str">
            <v>Double cheeseburger (2 patties), with mayonnaise or salad dressing, on bun</v>
          </cell>
          <cell r="I1677">
            <v>140</v>
          </cell>
          <cell r="J1677">
            <v>390.13121000000001</v>
          </cell>
          <cell r="K1677">
            <v>2.7866515000000001</v>
          </cell>
          <cell r="L1677">
            <v>0.11697050000000001</v>
          </cell>
          <cell r="M1677">
            <v>8.7402911000000003</v>
          </cell>
          <cell r="N1677">
            <v>0</v>
          </cell>
          <cell r="O1677">
            <v>0.25907479999999999</v>
          </cell>
          <cell r="P1677">
            <v>0.93302779999999996</v>
          </cell>
          <cell r="Q1677">
            <v>4.2038390000000003</v>
          </cell>
          <cell r="R1677">
            <v>0</v>
          </cell>
          <cell r="S1677">
            <v>0</v>
          </cell>
          <cell r="T1677">
            <v>0</v>
          </cell>
          <cell r="U1677">
            <v>8.8924936999999993</v>
          </cell>
          <cell r="V1677">
            <v>0</v>
          </cell>
          <cell r="W1677">
            <v>0</v>
          </cell>
          <cell r="X1677">
            <v>0.80566020000000005</v>
          </cell>
          <cell r="Y1677">
            <v>0</v>
          </cell>
          <cell r="Z1677">
            <v>44.214846999999999</v>
          </cell>
          <cell r="AA1677">
            <v>0</v>
          </cell>
          <cell r="AB1677">
            <v>0.63969929999999997</v>
          </cell>
        </row>
        <row r="1678">
          <cell r="A1678">
            <v>27510281</v>
          </cell>
          <cell r="B1678" t="str">
            <v>Bacon cheeseburger, 1 small patty, with condiments, on bun, from fast food / restaurant (Wendy's Jr. Bacon Cheeseburger)</v>
          </cell>
          <cell r="I1678">
            <v>140</v>
          </cell>
          <cell r="J1678">
            <v>380.69738000000001</v>
          </cell>
          <cell r="K1678">
            <v>2.7192669999999999</v>
          </cell>
          <cell r="L1678">
            <v>0.2779045</v>
          </cell>
          <cell r="M1678">
            <v>8.0488932000000002</v>
          </cell>
          <cell r="N1678">
            <v>0</v>
          </cell>
          <cell r="O1678">
            <v>0.1193005</v>
          </cell>
          <cell r="P1678">
            <v>1.5179069999999999</v>
          </cell>
          <cell r="Q1678">
            <v>2.2316953000000002</v>
          </cell>
          <cell r="R1678">
            <v>0</v>
          </cell>
          <cell r="S1678">
            <v>0</v>
          </cell>
          <cell r="T1678">
            <v>0</v>
          </cell>
          <cell r="U1678">
            <v>16.418848000000001</v>
          </cell>
          <cell r="V1678">
            <v>0</v>
          </cell>
          <cell r="W1678">
            <v>0</v>
          </cell>
          <cell r="X1678">
            <v>0.89786180000000004</v>
          </cell>
          <cell r="Y1678">
            <v>0</v>
          </cell>
          <cell r="Z1678">
            <v>37.819791000000002</v>
          </cell>
          <cell r="AA1678">
            <v>8.3785381999999995</v>
          </cell>
          <cell r="AB1678">
            <v>0.61463659999999998</v>
          </cell>
        </row>
        <row r="1679">
          <cell r="A1679">
            <v>27510300</v>
          </cell>
          <cell r="B1679" t="str">
            <v>Double cheeseburger (2 patties), with mayonnaise or salad dressing, on double-decker bun</v>
          </cell>
          <cell r="I1679">
            <v>140</v>
          </cell>
          <cell r="J1679">
            <v>365.4</v>
          </cell>
          <cell r="K1679">
            <v>2.61</v>
          </cell>
          <cell r="L1679">
            <v>0.41887659999999999</v>
          </cell>
          <cell r="M1679">
            <v>7.0629999999999997</v>
          </cell>
          <cell r="N1679">
            <v>0</v>
          </cell>
          <cell r="O1679">
            <v>0.17780000000000001</v>
          </cell>
          <cell r="P1679">
            <v>1.5411234</v>
          </cell>
          <cell r="Q1679">
            <v>5.3563999999999998</v>
          </cell>
          <cell r="R1679">
            <v>0</v>
          </cell>
          <cell r="S1679">
            <v>0</v>
          </cell>
          <cell r="T1679">
            <v>0</v>
          </cell>
          <cell r="U1679">
            <v>24.64</v>
          </cell>
          <cell r="V1679">
            <v>0</v>
          </cell>
          <cell r="W1679">
            <v>0</v>
          </cell>
          <cell r="X1679">
            <v>0.67900000000000005</v>
          </cell>
          <cell r="Y1679">
            <v>0</v>
          </cell>
          <cell r="Z1679">
            <v>34.133400000000002</v>
          </cell>
          <cell r="AA1679">
            <v>0</v>
          </cell>
          <cell r="AB1679">
            <v>0.36049959999999998</v>
          </cell>
        </row>
        <row r="1680">
          <cell r="A1680">
            <v>27510305</v>
          </cell>
          <cell r="B1680" t="str">
            <v>Bacon cheeseburger, 1 medium patty, plain, on bun, from fast food / restaurant</v>
          </cell>
          <cell r="I1680">
            <v>140</v>
          </cell>
          <cell r="J1680">
            <v>455.32047999999998</v>
          </cell>
          <cell r="K1680">
            <v>3.2522891428571428</v>
          </cell>
          <cell r="L1680">
            <v>0</v>
          </cell>
          <cell r="M1680">
            <v>10.309177999999999</v>
          </cell>
          <cell r="N1680">
            <v>0</v>
          </cell>
          <cell r="O1680">
            <v>0.1457012</v>
          </cell>
          <cell r="P1680">
            <v>2.1506023999999999</v>
          </cell>
          <cell r="Q1680">
            <v>2.7248722999999999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0.83573249999999999</v>
          </cell>
          <cell r="Y1680">
            <v>0</v>
          </cell>
          <cell r="Z1680">
            <v>43.754638999999997</v>
          </cell>
          <cell r="AA1680">
            <v>9.6403663000000002</v>
          </cell>
          <cell r="AB1680">
            <v>0.81135900000000005</v>
          </cell>
        </row>
        <row r="1681">
          <cell r="A1681">
            <v>27510310</v>
          </cell>
          <cell r="B1681" t="str">
            <v>Cheeseburger with tomato and/or catsup, on bun</v>
          </cell>
          <cell r="I1681">
            <v>140</v>
          </cell>
          <cell r="J1681">
            <v>378</v>
          </cell>
          <cell r="K1681">
            <v>2.7</v>
          </cell>
          <cell r="L1681">
            <v>0.29509459999999998</v>
          </cell>
          <cell r="M1681">
            <v>8.1158000000000001</v>
          </cell>
          <cell r="N1681">
            <v>0</v>
          </cell>
          <cell r="O1681">
            <v>0.17219999999999999</v>
          </cell>
          <cell r="P1681">
            <v>2.3649054</v>
          </cell>
          <cell r="Q1681">
            <v>1.9081999999999999</v>
          </cell>
          <cell r="R1681">
            <v>0</v>
          </cell>
          <cell r="S1681">
            <v>0</v>
          </cell>
          <cell r="T1681">
            <v>0</v>
          </cell>
          <cell r="U1681">
            <v>14.14</v>
          </cell>
          <cell r="V1681">
            <v>0</v>
          </cell>
          <cell r="W1681">
            <v>0</v>
          </cell>
          <cell r="X1681">
            <v>0.87919999999999998</v>
          </cell>
          <cell r="Y1681">
            <v>0</v>
          </cell>
          <cell r="Z1681">
            <v>39.293100000000003</v>
          </cell>
          <cell r="AA1681">
            <v>0</v>
          </cell>
          <cell r="AB1681">
            <v>0.36993120000000002</v>
          </cell>
        </row>
        <row r="1682">
          <cell r="A1682">
            <v>27510311</v>
          </cell>
          <cell r="B1682" t="str">
            <v>Cheeseburger, 1 oz meat, plain, on miniature bun</v>
          </cell>
          <cell r="I1682">
            <v>140</v>
          </cell>
          <cell r="J1682">
            <v>416.84536000000003</v>
          </cell>
          <cell r="K1682">
            <v>2.9774668571428573</v>
          </cell>
          <cell r="L1682">
            <v>-1.55E-16</v>
          </cell>
          <cell r="M1682">
            <v>8.5309431</v>
          </cell>
          <cell r="N1682">
            <v>0</v>
          </cell>
          <cell r="O1682">
            <v>0.3205962</v>
          </cell>
          <cell r="P1682">
            <v>1.2822096999999999</v>
          </cell>
          <cell r="Q1682">
            <v>1.846789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0.75878679999999998</v>
          </cell>
          <cell r="Y1682">
            <v>0</v>
          </cell>
          <cell r="Z1682">
            <v>41.658993000000002</v>
          </cell>
          <cell r="AA1682">
            <v>0</v>
          </cell>
          <cell r="AB1682">
            <v>0.68500360000000005</v>
          </cell>
        </row>
        <row r="1683">
          <cell r="A1683">
            <v>27510312</v>
          </cell>
          <cell r="B1683" t="str">
            <v>Bacon cheeseburger, 1 medium patty, with condiments, on bun, from fast food / restaurant</v>
          </cell>
          <cell r="I1683">
            <v>140</v>
          </cell>
          <cell r="J1683">
            <v>395.48813999999999</v>
          </cell>
          <cell r="K1683">
            <v>2.8249152857142854</v>
          </cell>
          <cell r="L1683">
            <v>0.2466679</v>
          </cell>
          <cell r="M1683">
            <v>10.314227000000001</v>
          </cell>
          <cell r="N1683">
            <v>0</v>
          </cell>
          <cell r="O1683">
            <v>0.23465420000000001</v>
          </cell>
          <cell r="P1683">
            <v>1.3194338000000001</v>
          </cell>
          <cell r="Q1683">
            <v>2.2297492000000001</v>
          </cell>
          <cell r="R1683">
            <v>0</v>
          </cell>
          <cell r="S1683">
            <v>0</v>
          </cell>
          <cell r="T1683">
            <v>0</v>
          </cell>
          <cell r="U1683">
            <v>15.269492</v>
          </cell>
          <cell r="V1683">
            <v>0</v>
          </cell>
          <cell r="W1683">
            <v>0</v>
          </cell>
          <cell r="X1683">
            <v>0.93114240000000004</v>
          </cell>
          <cell r="Y1683">
            <v>0</v>
          </cell>
          <cell r="Z1683">
            <v>42.179034000000001</v>
          </cell>
          <cell r="AA1683">
            <v>6.7809356000000003</v>
          </cell>
          <cell r="AB1683">
            <v>0.32133850000000003</v>
          </cell>
        </row>
        <row r="1684">
          <cell r="A1684">
            <v>27510320</v>
          </cell>
          <cell r="B1684" t="str">
            <v>Cheeseburger, 1/4 lb meat, with tomato and/or catsup, on bun</v>
          </cell>
          <cell r="I1684">
            <v>140</v>
          </cell>
          <cell r="J1684">
            <v>376.6</v>
          </cell>
          <cell r="K1684">
            <v>2.69</v>
          </cell>
          <cell r="L1684">
            <v>0.26683859999999998</v>
          </cell>
          <cell r="M1684">
            <v>9.8461999999999996</v>
          </cell>
          <cell r="N1684">
            <v>0</v>
          </cell>
          <cell r="O1684">
            <v>0.25059999999999999</v>
          </cell>
          <cell r="P1684">
            <v>1.4131613999999999</v>
          </cell>
          <cell r="Q1684">
            <v>1.7696000000000001</v>
          </cell>
          <cell r="R1684">
            <v>0</v>
          </cell>
          <cell r="S1684">
            <v>0</v>
          </cell>
          <cell r="T1684">
            <v>0</v>
          </cell>
          <cell r="U1684">
            <v>16.38</v>
          </cell>
          <cell r="V1684">
            <v>0</v>
          </cell>
          <cell r="W1684">
            <v>0</v>
          </cell>
          <cell r="X1684">
            <v>0.82740000000000002</v>
          </cell>
          <cell r="Y1684">
            <v>0</v>
          </cell>
          <cell r="Z1684">
            <v>45.246600000000001</v>
          </cell>
          <cell r="AA1684">
            <v>0</v>
          </cell>
          <cell r="AB1684">
            <v>0.36515629999999999</v>
          </cell>
        </row>
        <row r="1685">
          <cell r="A1685">
            <v>27510330</v>
          </cell>
          <cell r="B1685" t="str">
            <v>Double cheeseburger (2 patties), with tomato and/or catsup, on bun</v>
          </cell>
          <cell r="I1685">
            <v>140</v>
          </cell>
          <cell r="J1685">
            <v>394.8</v>
          </cell>
          <cell r="K1685">
            <v>2.8200000000000003</v>
          </cell>
          <cell r="L1685">
            <v>0.20451530000000001</v>
          </cell>
          <cell r="M1685">
            <v>9.7439999999999998</v>
          </cell>
          <cell r="N1685">
            <v>0</v>
          </cell>
          <cell r="O1685">
            <v>0.21</v>
          </cell>
          <cell r="P1685">
            <v>1.0554847000000001</v>
          </cell>
          <cell r="Q1685">
            <v>1.8395999999999999</v>
          </cell>
          <cell r="R1685">
            <v>0</v>
          </cell>
          <cell r="S1685">
            <v>0</v>
          </cell>
          <cell r="T1685">
            <v>0</v>
          </cell>
          <cell r="U1685">
            <v>14.84</v>
          </cell>
          <cell r="V1685">
            <v>0</v>
          </cell>
          <cell r="W1685">
            <v>0</v>
          </cell>
          <cell r="X1685">
            <v>0.86380000000000001</v>
          </cell>
          <cell r="Y1685">
            <v>0</v>
          </cell>
          <cell r="Z1685">
            <v>47.628</v>
          </cell>
          <cell r="AA1685">
            <v>0</v>
          </cell>
          <cell r="AB1685">
            <v>1.0094000000000001</v>
          </cell>
        </row>
        <row r="1686">
          <cell r="A1686">
            <v>27510340</v>
          </cell>
          <cell r="B1686" t="str">
            <v>Double cheeseburger (2 patties), with mayonnaise or salad dressing and tomatoes and/or catsup, on bun</v>
          </cell>
          <cell r="I1686">
            <v>140</v>
          </cell>
          <cell r="J1686">
            <v>357.64479999999998</v>
          </cell>
          <cell r="K1686">
            <v>2.5546057142857141</v>
          </cell>
          <cell r="L1686">
            <v>0.25611240000000002</v>
          </cell>
          <cell r="M1686">
            <v>7.9657144000000004</v>
          </cell>
          <cell r="N1686">
            <v>0</v>
          </cell>
          <cell r="O1686">
            <v>0.2372581</v>
          </cell>
          <cell r="P1686">
            <v>0.84996910000000003</v>
          </cell>
          <cell r="Q1686">
            <v>3.8399548000000001</v>
          </cell>
          <cell r="R1686">
            <v>0</v>
          </cell>
          <cell r="S1686">
            <v>0</v>
          </cell>
          <cell r="T1686">
            <v>0</v>
          </cell>
          <cell r="U1686">
            <v>20.563768</v>
          </cell>
          <cell r="V1686">
            <v>0</v>
          </cell>
          <cell r="W1686">
            <v>0</v>
          </cell>
          <cell r="X1686">
            <v>0.73456299999999997</v>
          </cell>
          <cell r="Y1686">
            <v>0</v>
          </cell>
          <cell r="Z1686">
            <v>40.278813</v>
          </cell>
          <cell r="AA1686">
            <v>0</v>
          </cell>
          <cell r="AB1686">
            <v>0.56522919999999999</v>
          </cell>
        </row>
        <row r="1687">
          <cell r="A1687">
            <v>27510341</v>
          </cell>
          <cell r="B1687" t="str">
            <v>Bacon cheeseburger, 1 medium patty, with condiments, on white bun</v>
          </cell>
          <cell r="I1687">
            <v>140</v>
          </cell>
          <cell r="J1687">
            <v>347.79232999999999</v>
          </cell>
          <cell r="K1687">
            <v>2.4842309285714284</v>
          </cell>
          <cell r="L1687">
            <v>0.21174999999999999</v>
          </cell>
          <cell r="M1687">
            <v>7.1986800999999998</v>
          </cell>
          <cell r="N1687">
            <v>0</v>
          </cell>
          <cell r="O1687">
            <v>0.19086929999999999</v>
          </cell>
          <cell r="P1687">
            <v>0.75249999999999995</v>
          </cell>
          <cell r="Q1687">
            <v>2.8003043000000001</v>
          </cell>
          <cell r="R1687">
            <v>0</v>
          </cell>
          <cell r="S1687">
            <v>0</v>
          </cell>
          <cell r="T1687">
            <v>0</v>
          </cell>
          <cell r="U1687">
            <v>19.987333</v>
          </cell>
          <cell r="V1687">
            <v>0</v>
          </cell>
          <cell r="W1687">
            <v>0</v>
          </cell>
          <cell r="X1687">
            <v>0.79639130000000002</v>
          </cell>
          <cell r="Y1687">
            <v>0</v>
          </cell>
          <cell r="Z1687">
            <v>44.276367</v>
          </cell>
          <cell r="AA1687">
            <v>6.6679199999999996</v>
          </cell>
          <cell r="AB1687">
            <v>0.56428299999999998</v>
          </cell>
        </row>
        <row r="1688">
          <cell r="A1688">
            <v>27510342</v>
          </cell>
          <cell r="B1688" t="str">
            <v>Bacon cheeseburger, 1 medium patty, with condiments, on wheat bun</v>
          </cell>
          <cell r="I1688">
            <v>140</v>
          </cell>
          <cell r="J1688">
            <v>342.13983000000002</v>
          </cell>
          <cell r="K1688">
            <v>2.4438559285714287</v>
          </cell>
          <cell r="L1688">
            <v>1.6477271</v>
          </cell>
          <cell r="M1688">
            <v>7.1547026000000002</v>
          </cell>
          <cell r="N1688">
            <v>0</v>
          </cell>
          <cell r="O1688">
            <v>0.19673180000000001</v>
          </cell>
          <cell r="P1688">
            <v>0.5730229</v>
          </cell>
          <cell r="Q1688">
            <v>2.7232167999999999</v>
          </cell>
          <cell r="R1688">
            <v>12.098800000000001</v>
          </cell>
          <cell r="S1688">
            <v>0</v>
          </cell>
          <cell r="T1688">
            <v>0</v>
          </cell>
          <cell r="U1688">
            <v>19.987333</v>
          </cell>
          <cell r="V1688">
            <v>0</v>
          </cell>
          <cell r="W1688">
            <v>0</v>
          </cell>
          <cell r="X1688">
            <v>0.78597879999999998</v>
          </cell>
          <cell r="Y1688">
            <v>3.4728799999999997E-2</v>
          </cell>
          <cell r="Z1688">
            <v>44.276367</v>
          </cell>
          <cell r="AA1688">
            <v>6.6679199999999996</v>
          </cell>
          <cell r="AB1688">
            <v>0.56302300000000005</v>
          </cell>
        </row>
        <row r="1689">
          <cell r="A1689">
            <v>27510346</v>
          </cell>
          <cell r="B1689" t="str">
            <v>Bacon cheeseburger, 1 large patty, with condiments, on bun, from fast food / restaurant</v>
          </cell>
          <cell r="I1689">
            <v>140</v>
          </cell>
          <cell r="J1689">
            <v>331.72622000000001</v>
          </cell>
          <cell r="K1689">
            <v>2.3694730000000002</v>
          </cell>
          <cell r="L1689">
            <v>0.30160239999999999</v>
          </cell>
          <cell r="M1689">
            <v>7.8928607</v>
          </cell>
          <cell r="N1689">
            <v>0</v>
          </cell>
          <cell r="O1689">
            <v>0.18149380000000001</v>
          </cell>
          <cell r="P1689">
            <v>0.62314539999999996</v>
          </cell>
          <cell r="Q1689">
            <v>3.2151328000000001</v>
          </cell>
          <cell r="R1689">
            <v>0</v>
          </cell>
          <cell r="S1689">
            <v>0</v>
          </cell>
          <cell r="T1689">
            <v>0</v>
          </cell>
          <cell r="U1689">
            <v>28.468605</v>
          </cell>
          <cell r="V1689">
            <v>0</v>
          </cell>
          <cell r="W1689">
            <v>0</v>
          </cell>
          <cell r="X1689">
            <v>0.67375940000000001</v>
          </cell>
          <cell r="Y1689">
            <v>0</v>
          </cell>
          <cell r="Z1689">
            <v>37.593614000000002</v>
          </cell>
          <cell r="AA1689">
            <v>7.1230006000000001</v>
          </cell>
          <cell r="AB1689">
            <v>0.62525160000000002</v>
          </cell>
        </row>
        <row r="1690">
          <cell r="A1690">
            <v>27510350</v>
          </cell>
          <cell r="B1690" t="str">
            <v>Cheeseburger, 1/4 lb meat, with mayonnaise or salad dressing, and tomato and/or catsup, on bun</v>
          </cell>
          <cell r="I1690">
            <v>140</v>
          </cell>
          <cell r="J1690">
            <v>375.2</v>
          </cell>
          <cell r="K1690">
            <v>2.6799999999999997</v>
          </cell>
          <cell r="L1690">
            <v>0.52077899999999999</v>
          </cell>
          <cell r="M1690">
            <v>8.0443999999999996</v>
          </cell>
          <cell r="N1690">
            <v>0</v>
          </cell>
          <cell r="O1690">
            <v>0.1022</v>
          </cell>
          <cell r="P1690">
            <v>1.0192209999999999</v>
          </cell>
          <cell r="Q1690">
            <v>3.3123999999999998</v>
          </cell>
          <cell r="R1690">
            <v>0</v>
          </cell>
          <cell r="S1690">
            <v>0</v>
          </cell>
          <cell r="T1690">
            <v>0</v>
          </cell>
          <cell r="U1690">
            <v>35.14</v>
          </cell>
          <cell r="V1690">
            <v>0</v>
          </cell>
          <cell r="W1690">
            <v>0</v>
          </cell>
          <cell r="X1690">
            <v>0.66220000000000001</v>
          </cell>
          <cell r="Y1690">
            <v>0</v>
          </cell>
          <cell r="Z1690">
            <v>39.69</v>
          </cell>
          <cell r="AA1690">
            <v>0</v>
          </cell>
          <cell r="AB1690">
            <v>0.87919999999999998</v>
          </cell>
        </row>
        <row r="1691">
          <cell r="A1691">
            <v>27510355</v>
          </cell>
          <cell r="B1691" t="str">
            <v>Cheeseburger, 1/3 lb meat, with mayonnaise or salad dressing, tomato and/or catsup on bun</v>
          </cell>
          <cell r="I1691">
            <v>140</v>
          </cell>
          <cell r="J1691">
            <v>349.45814999999999</v>
          </cell>
          <cell r="K1691">
            <v>2.4961296428571429</v>
          </cell>
          <cell r="L1691">
            <v>0.24056520000000001</v>
          </cell>
          <cell r="M1691">
            <v>7.8330833000000002</v>
          </cell>
          <cell r="N1691">
            <v>0</v>
          </cell>
          <cell r="O1691">
            <v>0.1607537</v>
          </cell>
          <cell r="P1691">
            <v>0.82948580000000005</v>
          </cell>
          <cell r="Q1691">
            <v>3.3659045000000001</v>
          </cell>
          <cell r="R1691">
            <v>0</v>
          </cell>
          <cell r="S1691">
            <v>0</v>
          </cell>
          <cell r="T1691">
            <v>0</v>
          </cell>
          <cell r="U1691">
            <v>22.917003999999999</v>
          </cell>
          <cell r="V1691">
            <v>0</v>
          </cell>
          <cell r="W1691">
            <v>0</v>
          </cell>
          <cell r="X1691">
            <v>0.49602170000000001</v>
          </cell>
          <cell r="Y1691">
            <v>0</v>
          </cell>
          <cell r="Z1691">
            <v>43.648156999999998</v>
          </cell>
          <cell r="AA1691">
            <v>0</v>
          </cell>
          <cell r="AB1691">
            <v>0.60676649999999999</v>
          </cell>
        </row>
        <row r="1692">
          <cell r="A1692">
            <v>27510359</v>
          </cell>
          <cell r="B1692" t="str">
            <v>Cheeseburger, 1/3 lb meat, with mayonnaise or salad dressing, and mushrooms, on bun</v>
          </cell>
          <cell r="I1692">
            <v>140</v>
          </cell>
          <cell r="J1692">
            <v>408.04608000000002</v>
          </cell>
          <cell r="K1692">
            <v>2.9146148571428574</v>
          </cell>
          <cell r="L1692">
            <v>0.36805650000000001</v>
          </cell>
          <cell r="M1692">
            <v>8.7845327999999991</v>
          </cell>
          <cell r="N1692">
            <v>0</v>
          </cell>
          <cell r="O1692">
            <v>0.2094125</v>
          </cell>
          <cell r="P1692">
            <v>0.8637456</v>
          </cell>
          <cell r="Q1692">
            <v>4.7263739999999999</v>
          </cell>
          <cell r="R1692">
            <v>0</v>
          </cell>
          <cell r="S1692">
            <v>0</v>
          </cell>
          <cell r="T1692">
            <v>0</v>
          </cell>
          <cell r="U1692">
            <v>15.335689</v>
          </cell>
          <cell r="V1692">
            <v>0</v>
          </cell>
          <cell r="W1692">
            <v>0</v>
          </cell>
          <cell r="X1692">
            <v>0.4158618</v>
          </cell>
          <cell r="Y1692">
            <v>0</v>
          </cell>
          <cell r="Z1692">
            <v>46.898713999999998</v>
          </cell>
          <cell r="AA1692">
            <v>0</v>
          </cell>
          <cell r="AB1692">
            <v>0.64396209999999998</v>
          </cell>
        </row>
        <row r="1693">
          <cell r="A1693">
            <v>27510360</v>
          </cell>
          <cell r="B1693" t="str">
            <v>Bacon cheeseburger, with mayonnaise or salad dressing, tomato and/or catsup, on bun</v>
          </cell>
          <cell r="I1693">
            <v>140</v>
          </cell>
          <cell r="J1693">
            <v>370.39506</v>
          </cell>
          <cell r="K1693">
            <v>2.6456789999999999</v>
          </cell>
          <cell r="L1693">
            <v>0.29077380000000003</v>
          </cell>
          <cell r="M1693">
            <v>7.7223480999999996</v>
          </cell>
          <cell r="N1693">
            <v>0</v>
          </cell>
          <cell r="O1693">
            <v>0.1232</v>
          </cell>
          <cell r="P1693">
            <v>1.5724359999999999</v>
          </cell>
          <cell r="Q1693">
            <v>1.9943086000000001</v>
          </cell>
          <cell r="R1693">
            <v>0</v>
          </cell>
          <cell r="S1693">
            <v>0</v>
          </cell>
          <cell r="T1693">
            <v>0</v>
          </cell>
          <cell r="U1693">
            <v>17.035062</v>
          </cell>
          <cell r="V1693">
            <v>0</v>
          </cell>
          <cell r="W1693">
            <v>0</v>
          </cell>
          <cell r="X1693">
            <v>0.84307650000000001</v>
          </cell>
          <cell r="Y1693">
            <v>0</v>
          </cell>
          <cell r="Z1693">
            <v>39.239199999999997</v>
          </cell>
          <cell r="AA1693">
            <v>4.9391999999999996</v>
          </cell>
          <cell r="AB1693">
            <v>0.63013830000000004</v>
          </cell>
        </row>
        <row r="1694">
          <cell r="A1694">
            <v>27510370</v>
          </cell>
          <cell r="B1694" t="str">
            <v>Double cheeseburger (2 patties, 1/4 lb meat each), with mayonnaise or salad dressing, on bun</v>
          </cell>
          <cell r="I1694">
            <v>140</v>
          </cell>
          <cell r="J1694">
            <v>385.78399999999999</v>
          </cell>
          <cell r="K1694">
            <v>2.7555999999999998</v>
          </cell>
          <cell r="L1694">
            <v>0.31992409999999999</v>
          </cell>
          <cell r="M1694">
            <v>9.1073640000000005</v>
          </cell>
          <cell r="N1694">
            <v>0</v>
          </cell>
          <cell r="O1694">
            <v>0.18335799999999999</v>
          </cell>
          <cell r="P1694">
            <v>1.0436759</v>
          </cell>
          <cell r="Q1694">
            <v>4.7027400000000004</v>
          </cell>
          <cell r="R1694">
            <v>0</v>
          </cell>
          <cell r="S1694">
            <v>0</v>
          </cell>
          <cell r="T1694">
            <v>0</v>
          </cell>
          <cell r="U1694">
            <v>22.414000000000001</v>
          </cell>
          <cell r="V1694">
            <v>0</v>
          </cell>
          <cell r="W1694">
            <v>0</v>
          </cell>
          <cell r="X1694">
            <v>0.81347000000000003</v>
          </cell>
          <cell r="Y1694">
            <v>0</v>
          </cell>
          <cell r="Z1694">
            <v>43.182720000000003</v>
          </cell>
          <cell r="AA1694">
            <v>0</v>
          </cell>
          <cell r="AB1694">
            <v>0.87107999999999997</v>
          </cell>
        </row>
        <row r="1695">
          <cell r="A1695">
            <v>27510376</v>
          </cell>
          <cell r="B1695" t="str">
            <v>Double cheeseburger, 2 small patties, with condiments, on bun, from fast food / restaurant</v>
          </cell>
          <cell r="I1695">
            <v>140</v>
          </cell>
          <cell r="J1695">
            <v>394.8</v>
          </cell>
          <cell r="K1695">
            <v>2.8200000000000003</v>
          </cell>
          <cell r="L1695">
            <v>0.2028122</v>
          </cell>
          <cell r="M1695">
            <v>9.7439999999999998</v>
          </cell>
          <cell r="N1695">
            <v>0</v>
          </cell>
          <cell r="O1695">
            <v>0.21</v>
          </cell>
          <cell r="P1695">
            <v>1.0571877999999999</v>
          </cell>
          <cell r="Q1695">
            <v>1.8395999999999999</v>
          </cell>
          <cell r="R1695">
            <v>0</v>
          </cell>
          <cell r="S1695">
            <v>0</v>
          </cell>
          <cell r="T1695">
            <v>0</v>
          </cell>
          <cell r="U1695">
            <v>14.84</v>
          </cell>
          <cell r="V1695">
            <v>0</v>
          </cell>
          <cell r="W1695">
            <v>0</v>
          </cell>
          <cell r="X1695">
            <v>0.86380000000000001</v>
          </cell>
          <cell r="Y1695">
            <v>0</v>
          </cell>
          <cell r="Z1695">
            <v>47.628</v>
          </cell>
          <cell r="AA1695">
            <v>0</v>
          </cell>
          <cell r="AB1695">
            <v>1.0094000000000001</v>
          </cell>
        </row>
        <row r="1696">
          <cell r="A1696">
            <v>27510380</v>
          </cell>
          <cell r="B1696" t="str">
            <v>Triple cheeseburger (3 patties, 1/4 lb meat each), with mayonnaise or salad dressing and tomatoes and/or catsup, on bun</v>
          </cell>
          <cell r="I1696">
            <v>140</v>
          </cell>
          <cell r="J1696">
            <v>375.53618</v>
          </cell>
          <cell r="K1696">
            <v>2.6824012857142856</v>
          </cell>
          <cell r="L1696">
            <v>0.22805839999999999</v>
          </cell>
          <cell r="M1696">
            <v>10.772684</v>
          </cell>
          <cell r="N1696">
            <v>0</v>
          </cell>
          <cell r="O1696">
            <v>0.2809025</v>
          </cell>
          <cell r="P1696">
            <v>0.43431039999999999</v>
          </cell>
          <cell r="Q1696">
            <v>2.9873303999999998</v>
          </cell>
          <cell r="R1696">
            <v>0</v>
          </cell>
          <cell r="S1696">
            <v>0</v>
          </cell>
          <cell r="T1696">
            <v>0</v>
          </cell>
          <cell r="U1696">
            <v>17.869118</v>
          </cell>
          <cell r="V1696">
            <v>0</v>
          </cell>
          <cell r="W1696">
            <v>0</v>
          </cell>
          <cell r="X1696">
            <v>0.67138589999999998</v>
          </cell>
          <cell r="Y1696">
            <v>0</v>
          </cell>
          <cell r="Z1696">
            <v>58.730038</v>
          </cell>
          <cell r="AA1696">
            <v>0</v>
          </cell>
          <cell r="AB1696">
            <v>0.85235439999999996</v>
          </cell>
        </row>
        <row r="1697">
          <cell r="A1697">
            <v>27510385</v>
          </cell>
          <cell r="B1697" t="str">
            <v>Double bacon cheeseburger (2 patties), with tomato and/or catsup, on bun</v>
          </cell>
          <cell r="I1697">
            <v>140</v>
          </cell>
          <cell r="J1697">
            <v>448.90640999999999</v>
          </cell>
          <cell r="K1697">
            <v>3.2064743571428571</v>
          </cell>
          <cell r="L1697">
            <v>-1.55E-16</v>
          </cell>
          <cell r="M1697">
            <v>9.7202269000000001</v>
          </cell>
          <cell r="N1697">
            <v>0</v>
          </cell>
          <cell r="O1697">
            <v>0.19465379999999999</v>
          </cell>
          <cell r="P1697">
            <v>0.92076919999999995</v>
          </cell>
          <cell r="Q1697">
            <v>4.1246691999999996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0.69087310000000002</v>
          </cell>
          <cell r="Y1697">
            <v>0</v>
          </cell>
          <cell r="Z1697">
            <v>54.141230999999998</v>
          </cell>
          <cell r="AA1697">
            <v>7.6937537999999996</v>
          </cell>
          <cell r="AB1697">
            <v>0.79655140000000002</v>
          </cell>
        </row>
        <row r="1698">
          <cell r="A1698">
            <v>27510386</v>
          </cell>
          <cell r="B1698" t="str">
            <v>Double cheeseburger, 2 small patties, with condiments, on bun, from fast food / restaurant (Burger King Double Cheeseburger)</v>
          </cell>
          <cell r="I1698">
            <v>140</v>
          </cell>
          <cell r="J1698">
            <v>394.8</v>
          </cell>
          <cell r="K1698">
            <v>2.8200000000000003</v>
          </cell>
          <cell r="L1698">
            <v>0.2028122</v>
          </cell>
          <cell r="M1698">
            <v>9.7439999999999998</v>
          </cell>
          <cell r="N1698">
            <v>0</v>
          </cell>
          <cell r="O1698">
            <v>0.21</v>
          </cell>
          <cell r="P1698">
            <v>1.0571877999999999</v>
          </cell>
          <cell r="Q1698">
            <v>1.8395999999999999</v>
          </cell>
          <cell r="R1698">
            <v>0</v>
          </cell>
          <cell r="S1698">
            <v>0</v>
          </cell>
          <cell r="T1698">
            <v>0</v>
          </cell>
          <cell r="U1698">
            <v>14.84</v>
          </cell>
          <cell r="V1698">
            <v>0</v>
          </cell>
          <cell r="W1698">
            <v>0</v>
          </cell>
          <cell r="X1698">
            <v>0.86380000000000001</v>
          </cell>
          <cell r="Y1698">
            <v>0</v>
          </cell>
          <cell r="Z1698">
            <v>47.628</v>
          </cell>
          <cell r="AA1698">
            <v>0</v>
          </cell>
          <cell r="AB1698">
            <v>1.0094000000000001</v>
          </cell>
        </row>
        <row r="1699">
          <cell r="A1699">
            <v>27510387</v>
          </cell>
          <cell r="B1699" t="str">
            <v>Double cheeseburger, 2 small patties, with condiments, on bun, from fast food / restaurant (McDonald's Double Cheeseburger)</v>
          </cell>
          <cell r="I1699">
            <v>140</v>
          </cell>
          <cell r="J1699">
            <v>394.8</v>
          </cell>
          <cell r="K1699">
            <v>2.8200000000000003</v>
          </cell>
          <cell r="L1699">
            <v>0.2028122</v>
          </cell>
          <cell r="M1699">
            <v>9.7439999999999998</v>
          </cell>
          <cell r="N1699">
            <v>0</v>
          </cell>
          <cell r="O1699">
            <v>0.21</v>
          </cell>
          <cell r="P1699">
            <v>1.0571877999999999</v>
          </cell>
          <cell r="Q1699">
            <v>1.8395999999999999</v>
          </cell>
          <cell r="R1699">
            <v>0</v>
          </cell>
          <cell r="S1699">
            <v>0</v>
          </cell>
          <cell r="T1699">
            <v>0</v>
          </cell>
          <cell r="U1699">
            <v>14.84</v>
          </cell>
          <cell r="V1699">
            <v>0</v>
          </cell>
          <cell r="W1699">
            <v>0</v>
          </cell>
          <cell r="X1699">
            <v>0.86380000000000001</v>
          </cell>
          <cell r="Y1699">
            <v>0</v>
          </cell>
          <cell r="Z1699">
            <v>47.628</v>
          </cell>
          <cell r="AA1699">
            <v>0</v>
          </cell>
          <cell r="AB1699">
            <v>1.0094000000000001</v>
          </cell>
        </row>
        <row r="1700">
          <cell r="A1700">
            <v>27510388</v>
          </cell>
          <cell r="B1700" t="str">
            <v>Double cheeseburger, 2 small patties, with condiments, on bun, from fast food / restaurant (McDonald's McDouble)</v>
          </cell>
          <cell r="I1700">
            <v>140</v>
          </cell>
          <cell r="J1700">
            <v>394.8</v>
          </cell>
          <cell r="K1700">
            <v>2.8200000000000003</v>
          </cell>
          <cell r="L1700">
            <v>0.2028122</v>
          </cell>
          <cell r="M1700">
            <v>9.7439999999999998</v>
          </cell>
          <cell r="N1700">
            <v>0</v>
          </cell>
          <cell r="O1700">
            <v>0.21</v>
          </cell>
          <cell r="P1700">
            <v>1.0571877999999999</v>
          </cell>
          <cell r="Q1700">
            <v>1.8395999999999999</v>
          </cell>
          <cell r="R1700">
            <v>0</v>
          </cell>
          <cell r="S1700">
            <v>0</v>
          </cell>
          <cell r="T1700">
            <v>0</v>
          </cell>
          <cell r="U1700">
            <v>14.84</v>
          </cell>
          <cell r="V1700">
            <v>0</v>
          </cell>
          <cell r="W1700">
            <v>0</v>
          </cell>
          <cell r="X1700">
            <v>0.86380000000000001</v>
          </cell>
          <cell r="Y1700">
            <v>0</v>
          </cell>
          <cell r="Z1700">
            <v>47.628</v>
          </cell>
          <cell r="AA1700">
            <v>0</v>
          </cell>
          <cell r="AB1700">
            <v>1.0094000000000001</v>
          </cell>
        </row>
        <row r="1701">
          <cell r="A1701">
            <v>27510389</v>
          </cell>
          <cell r="B1701" t="str">
            <v>Double cheeseburger, 2 small patties, with condiments, on bun, from fast food / restaurant (McDonald's Big Mac)</v>
          </cell>
          <cell r="I1701">
            <v>140</v>
          </cell>
          <cell r="J1701">
            <v>365.4</v>
          </cell>
          <cell r="K1701">
            <v>2.61</v>
          </cell>
          <cell r="L1701">
            <v>0.41560079999999999</v>
          </cell>
          <cell r="M1701">
            <v>7.0629999999999997</v>
          </cell>
          <cell r="N1701">
            <v>0</v>
          </cell>
          <cell r="O1701">
            <v>0.17780000000000001</v>
          </cell>
          <cell r="P1701">
            <v>1.5443992</v>
          </cell>
          <cell r="Q1701">
            <v>5.3563999999999998</v>
          </cell>
          <cell r="R1701">
            <v>0</v>
          </cell>
          <cell r="S1701">
            <v>0</v>
          </cell>
          <cell r="T1701">
            <v>0</v>
          </cell>
          <cell r="U1701">
            <v>24.64</v>
          </cell>
          <cell r="V1701">
            <v>0</v>
          </cell>
          <cell r="W1701">
            <v>0</v>
          </cell>
          <cell r="X1701">
            <v>0.67900000000000005</v>
          </cell>
          <cell r="Y1701">
            <v>0</v>
          </cell>
          <cell r="Z1701">
            <v>34.133400000000002</v>
          </cell>
          <cell r="AA1701">
            <v>0</v>
          </cell>
          <cell r="AB1701">
            <v>0.29729559999999999</v>
          </cell>
        </row>
        <row r="1702">
          <cell r="A1702">
            <v>27510391</v>
          </cell>
          <cell r="B1702" t="str">
            <v>Double cheeseburger, 2 small patties, with condiments, on bun, from fast food / restaurant (Wendy's Double Stack)</v>
          </cell>
          <cell r="I1702">
            <v>140</v>
          </cell>
          <cell r="J1702">
            <v>394.8</v>
          </cell>
          <cell r="K1702">
            <v>2.8200000000000003</v>
          </cell>
          <cell r="L1702">
            <v>0.2028122</v>
          </cell>
          <cell r="M1702">
            <v>9.7439999999999998</v>
          </cell>
          <cell r="N1702">
            <v>0</v>
          </cell>
          <cell r="O1702">
            <v>0.21</v>
          </cell>
          <cell r="P1702">
            <v>1.0571877999999999</v>
          </cell>
          <cell r="Q1702">
            <v>1.8395999999999999</v>
          </cell>
          <cell r="R1702">
            <v>0</v>
          </cell>
          <cell r="S1702">
            <v>0</v>
          </cell>
          <cell r="T1702">
            <v>0</v>
          </cell>
          <cell r="U1702">
            <v>14.84</v>
          </cell>
          <cell r="V1702">
            <v>0</v>
          </cell>
          <cell r="W1702">
            <v>0</v>
          </cell>
          <cell r="X1702">
            <v>0.86380000000000001</v>
          </cell>
          <cell r="Y1702">
            <v>0</v>
          </cell>
          <cell r="Z1702">
            <v>47.628</v>
          </cell>
          <cell r="AA1702">
            <v>0</v>
          </cell>
          <cell r="AB1702">
            <v>1.0094000000000001</v>
          </cell>
        </row>
        <row r="1703">
          <cell r="A1703">
            <v>27510400</v>
          </cell>
          <cell r="B1703" t="str">
            <v>Bacon cheeseburger, 1/4 lb meat, with tomato and/or catsup, on bun</v>
          </cell>
          <cell r="I1703">
            <v>140</v>
          </cell>
          <cell r="J1703">
            <v>400.88164999999998</v>
          </cell>
          <cell r="K1703">
            <v>2.8634403571428568</v>
          </cell>
          <cell r="L1703">
            <v>0.2435821</v>
          </cell>
          <cell r="M1703">
            <v>10.447872</v>
          </cell>
          <cell r="N1703">
            <v>0</v>
          </cell>
          <cell r="O1703">
            <v>0.2301009</v>
          </cell>
          <cell r="P1703">
            <v>1.2899959000000001</v>
          </cell>
          <cell r="Q1703">
            <v>2.361145</v>
          </cell>
          <cell r="R1703">
            <v>0</v>
          </cell>
          <cell r="S1703">
            <v>0</v>
          </cell>
          <cell r="T1703">
            <v>0</v>
          </cell>
          <cell r="U1703">
            <v>14.952385</v>
          </cell>
          <cell r="V1703">
            <v>0</v>
          </cell>
          <cell r="W1703">
            <v>0</v>
          </cell>
          <cell r="X1703">
            <v>0.96076609999999996</v>
          </cell>
          <cell r="Y1703">
            <v>0</v>
          </cell>
          <cell r="Z1703">
            <v>41.303089</v>
          </cell>
          <cell r="AA1703">
            <v>8.7172348999999993</v>
          </cell>
          <cell r="AB1703">
            <v>0.57748200000000005</v>
          </cell>
        </row>
        <row r="1704">
          <cell r="A1704">
            <v>27510401</v>
          </cell>
          <cell r="B1704" t="str">
            <v>Double cheeseburger, 2 medium patties, plain, on bun, from fast food / restaurant</v>
          </cell>
          <cell r="I1704">
            <v>140</v>
          </cell>
          <cell r="J1704">
            <v>426.85106000000002</v>
          </cell>
          <cell r="K1704">
            <v>3.0489361428571429</v>
          </cell>
          <cell r="L1704">
            <v>3.1089999999999998E-16</v>
          </cell>
          <cell r="M1704">
            <v>10.542983</v>
          </cell>
          <cell r="N1704">
            <v>0</v>
          </cell>
          <cell r="O1704">
            <v>0.1105106</v>
          </cell>
          <cell r="P1704">
            <v>1.5697871999999999</v>
          </cell>
          <cell r="Q1704">
            <v>1.6996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0.48085529999999999</v>
          </cell>
          <cell r="Y1704">
            <v>0</v>
          </cell>
          <cell r="Z1704">
            <v>73.012710999999996</v>
          </cell>
          <cell r="AA1704">
            <v>0</v>
          </cell>
          <cell r="AB1704">
            <v>0.93860429999999995</v>
          </cell>
        </row>
        <row r="1705">
          <cell r="A1705">
            <v>27510406</v>
          </cell>
          <cell r="B1705" t="str">
            <v>Double cheeseburger, 2 medium patties, with condiments, on bun, from fast food / restaurant</v>
          </cell>
          <cell r="I1705">
            <v>140</v>
          </cell>
          <cell r="J1705">
            <v>394.8</v>
          </cell>
          <cell r="K1705">
            <v>2.8200000000000003</v>
          </cell>
          <cell r="L1705">
            <v>0.2197038</v>
          </cell>
          <cell r="M1705">
            <v>9.7439999999999998</v>
          </cell>
          <cell r="N1705">
            <v>0</v>
          </cell>
          <cell r="O1705">
            <v>0.21</v>
          </cell>
          <cell r="P1705">
            <v>1.1802961999999999</v>
          </cell>
          <cell r="Q1705">
            <v>1.8395999999999999</v>
          </cell>
          <cell r="R1705">
            <v>0</v>
          </cell>
          <cell r="S1705">
            <v>0</v>
          </cell>
          <cell r="T1705">
            <v>0</v>
          </cell>
          <cell r="U1705">
            <v>14.84</v>
          </cell>
          <cell r="V1705">
            <v>0</v>
          </cell>
          <cell r="W1705">
            <v>0</v>
          </cell>
          <cell r="X1705">
            <v>0.86380000000000001</v>
          </cell>
          <cell r="Y1705">
            <v>0</v>
          </cell>
          <cell r="Z1705">
            <v>50.803199999999997</v>
          </cell>
          <cell r="AA1705">
            <v>0</v>
          </cell>
          <cell r="AB1705">
            <v>1.0094000000000001</v>
          </cell>
        </row>
        <row r="1706">
          <cell r="A1706">
            <v>27510410</v>
          </cell>
          <cell r="B1706" t="str">
            <v>Chiliburger, on bun</v>
          </cell>
          <cell r="I1706">
            <v>140</v>
          </cell>
          <cell r="J1706">
            <v>350.30050999999997</v>
          </cell>
          <cell r="K1706">
            <v>2.5021464999999998</v>
          </cell>
          <cell r="L1706">
            <v>0.93333330000000003</v>
          </cell>
          <cell r="M1706">
            <v>6.4662499999999996</v>
          </cell>
          <cell r="N1706">
            <v>0</v>
          </cell>
          <cell r="O1706">
            <v>8.6753999999999998E-2</v>
          </cell>
          <cell r="P1706">
            <v>0.82727269999999997</v>
          </cell>
          <cell r="Q1706">
            <v>1.3175555999999999</v>
          </cell>
          <cell r="R1706">
            <v>0</v>
          </cell>
          <cell r="S1706">
            <v>4.9494949000000004</v>
          </cell>
          <cell r="T1706">
            <v>0</v>
          </cell>
          <cell r="U1706">
            <v>4.8505051000000003</v>
          </cell>
          <cell r="V1706">
            <v>0</v>
          </cell>
          <cell r="W1706">
            <v>0</v>
          </cell>
          <cell r="X1706">
            <v>0.53406109999999996</v>
          </cell>
          <cell r="Y1706">
            <v>0</v>
          </cell>
          <cell r="Z1706">
            <v>60.938181999999998</v>
          </cell>
          <cell r="AA1706">
            <v>0</v>
          </cell>
          <cell r="AB1706">
            <v>0.53838240000000004</v>
          </cell>
        </row>
        <row r="1707">
          <cell r="A1707">
            <v>27510425</v>
          </cell>
          <cell r="B1707" t="str">
            <v>Double bacon cheeseburger (2 patties, 1/4 lb meat each), with mayonnaise or salad dressing, on bun</v>
          </cell>
          <cell r="I1707">
            <v>140</v>
          </cell>
          <cell r="J1707">
            <v>398.61333000000002</v>
          </cell>
          <cell r="K1707">
            <v>2.8472380714285714</v>
          </cell>
          <cell r="L1707">
            <v>0.3046896</v>
          </cell>
          <cell r="M1707">
            <v>9.4712800000000001</v>
          </cell>
          <cell r="N1707">
            <v>0</v>
          </cell>
          <cell r="O1707">
            <v>0.17535999999999999</v>
          </cell>
          <cell r="P1707">
            <v>0.99397709999999995</v>
          </cell>
          <cell r="Q1707">
            <v>4.8862667000000002</v>
          </cell>
          <cell r="R1707">
            <v>0</v>
          </cell>
          <cell r="S1707">
            <v>0</v>
          </cell>
          <cell r="T1707">
            <v>0</v>
          </cell>
          <cell r="U1707">
            <v>21.346667</v>
          </cell>
          <cell r="V1707">
            <v>0</v>
          </cell>
          <cell r="W1707">
            <v>0</v>
          </cell>
          <cell r="X1707">
            <v>0.88700000000000001</v>
          </cell>
          <cell r="Y1707">
            <v>0</v>
          </cell>
          <cell r="Z1707">
            <v>41.126399999999997</v>
          </cell>
          <cell r="AA1707">
            <v>4.7628000000000004</v>
          </cell>
          <cell r="AB1707">
            <v>0.83919999999999995</v>
          </cell>
        </row>
        <row r="1708">
          <cell r="A1708">
            <v>27510430</v>
          </cell>
          <cell r="B1708" t="str">
            <v>Double bacon cheeseburger (2 patties, 1/4 lb meat each), with mayonnaise or salad dressing, and tomato and/or catsup, on bun</v>
          </cell>
          <cell r="I1708">
            <v>140</v>
          </cell>
          <cell r="J1708">
            <v>366.14260999999999</v>
          </cell>
          <cell r="K1708">
            <v>2.6153043571428571</v>
          </cell>
          <cell r="L1708">
            <v>0.42428179999999999</v>
          </cell>
          <cell r="M1708">
            <v>8.6510990999999997</v>
          </cell>
          <cell r="N1708">
            <v>0</v>
          </cell>
          <cell r="O1708">
            <v>0.16132869999999999</v>
          </cell>
          <cell r="P1708">
            <v>0.90754429999999997</v>
          </cell>
          <cell r="Q1708">
            <v>4.4714783000000002</v>
          </cell>
          <cell r="R1708">
            <v>0</v>
          </cell>
          <cell r="S1708">
            <v>0</v>
          </cell>
          <cell r="T1708">
            <v>0</v>
          </cell>
          <cell r="U1708">
            <v>31.664348</v>
          </cell>
          <cell r="V1708">
            <v>0</v>
          </cell>
          <cell r="W1708">
            <v>0</v>
          </cell>
          <cell r="X1708">
            <v>0.81047829999999998</v>
          </cell>
          <cell r="Y1708">
            <v>0</v>
          </cell>
          <cell r="Z1708">
            <v>37.550190999999998</v>
          </cell>
          <cell r="AA1708">
            <v>4.3486434999999997</v>
          </cell>
          <cell r="AB1708">
            <v>0.76622610000000002</v>
          </cell>
        </row>
        <row r="1709">
          <cell r="A1709">
            <v>27510431</v>
          </cell>
          <cell r="B1709" t="str">
            <v>Double bacon cheeseburger, 2 small patties, with condiments, on bun, from fast food / restaurant (Burger King Bacon Double Cheeseburger)</v>
          </cell>
          <cell r="I1709">
            <v>140</v>
          </cell>
          <cell r="J1709">
            <v>356.73615999999998</v>
          </cell>
          <cell r="K1709">
            <v>2.5481154285714283</v>
          </cell>
          <cell r="L1709">
            <v>0.22387670000000001</v>
          </cell>
          <cell r="M1709">
            <v>8.2701127000000003</v>
          </cell>
          <cell r="N1709">
            <v>0</v>
          </cell>
          <cell r="O1709">
            <v>0.1859809</v>
          </cell>
          <cell r="P1709">
            <v>0.70678410000000003</v>
          </cell>
          <cell r="Q1709">
            <v>2.92686</v>
          </cell>
          <cell r="R1709">
            <v>0</v>
          </cell>
          <cell r="S1709">
            <v>0</v>
          </cell>
          <cell r="T1709">
            <v>0</v>
          </cell>
          <cell r="U1709">
            <v>21.131982000000001</v>
          </cell>
          <cell r="V1709">
            <v>0</v>
          </cell>
          <cell r="W1709">
            <v>0</v>
          </cell>
          <cell r="X1709">
            <v>0.65457750000000003</v>
          </cell>
          <cell r="Y1709">
            <v>0</v>
          </cell>
          <cell r="Z1709">
            <v>42.522502000000003</v>
          </cell>
          <cell r="AA1709">
            <v>7.0497832999999996</v>
          </cell>
          <cell r="AB1709">
            <v>0.67527150000000002</v>
          </cell>
        </row>
        <row r="1710">
          <cell r="A1710">
            <v>27510435</v>
          </cell>
          <cell r="B1710" t="str">
            <v>Double bacon cheeseburger (2 patties,1/3 lb meat each), with mayonnaise or salad dressing, on bun</v>
          </cell>
          <cell r="I1710">
            <v>140</v>
          </cell>
          <cell r="J1710">
            <v>427.40086000000002</v>
          </cell>
          <cell r="K1710">
            <v>3.0528632857142859</v>
          </cell>
          <cell r="L1710">
            <v>0.106896</v>
          </cell>
          <cell r="M1710">
            <v>11.163531000000001</v>
          </cell>
          <cell r="N1710">
            <v>0</v>
          </cell>
          <cell r="O1710">
            <v>0.31147649999999999</v>
          </cell>
          <cell r="P1710">
            <v>0.65678420000000004</v>
          </cell>
          <cell r="Q1710">
            <v>4.7701864</v>
          </cell>
          <cell r="R1710">
            <v>0</v>
          </cell>
          <cell r="S1710">
            <v>0</v>
          </cell>
          <cell r="T1710">
            <v>0</v>
          </cell>
          <cell r="U1710">
            <v>7.7042131999999999</v>
          </cell>
          <cell r="V1710">
            <v>0</v>
          </cell>
          <cell r="W1710">
            <v>0</v>
          </cell>
          <cell r="X1710">
            <v>0.85607889999999998</v>
          </cell>
          <cell r="Y1710">
            <v>0</v>
          </cell>
          <cell r="Z1710">
            <v>45.648618999999997</v>
          </cell>
          <cell r="AA1710">
            <v>6.5360522999999997</v>
          </cell>
          <cell r="AB1710">
            <v>0.75596079999999999</v>
          </cell>
        </row>
        <row r="1711">
          <cell r="A1711">
            <v>27510440</v>
          </cell>
          <cell r="B1711" t="str">
            <v>Bacon cheeseburger, 1/4 lb meat, with mayonnaise or salad dressing, and tomato and/or catsup, on bun</v>
          </cell>
          <cell r="I1711">
            <v>140</v>
          </cell>
          <cell r="J1711">
            <v>366.26065999999997</v>
          </cell>
          <cell r="K1711">
            <v>2.6161475714285714</v>
          </cell>
          <cell r="L1711">
            <v>0.40976980000000002</v>
          </cell>
          <cell r="M1711">
            <v>9.3193167999999993</v>
          </cell>
          <cell r="N1711">
            <v>0</v>
          </cell>
          <cell r="O1711">
            <v>0.2004621</v>
          </cell>
          <cell r="P1711">
            <v>1.1133731</v>
          </cell>
          <cell r="Q1711">
            <v>3.1868953000000002</v>
          </cell>
          <cell r="R1711">
            <v>0</v>
          </cell>
          <cell r="S1711">
            <v>0</v>
          </cell>
          <cell r="T1711">
            <v>0</v>
          </cell>
          <cell r="U1711">
            <v>29.533342000000001</v>
          </cell>
          <cell r="V1711">
            <v>0</v>
          </cell>
          <cell r="W1711">
            <v>0</v>
          </cell>
          <cell r="X1711">
            <v>0.8461824</v>
          </cell>
          <cell r="Y1711">
            <v>0</v>
          </cell>
          <cell r="Z1711">
            <v>35.647978999999999</v>
          </cell>
          <cell r="AA1711">
            <v>7.5236939999999999</v>
          </cell>
          <cell r="AB1711">
            <v>0.32750479999999998</v>
          </cell>
        </row>
        <row r="1712">
          <cell r="A1712">
            <v>27510445</v>
          </cell>
          <cell r="B1712" t="str">
            <v>Bacon cheeseburger, 1/3 lb meat, with tomato and/or catsup, on bun</v>
          </cell>
          <cell r="I1712">
            <v>140</v>
          </cell>
          <cell r="J1712">
            <v>369.57603</v>
          </cell>
          <cell r="K1712">
            <v>2.6398287857142857</v>
          </cell>
          <cell r="L1712">
            <v>0.1208219</v>
          </cell>
          <cell r="M1712">
            <v>7.8280472999999997</v>
          </cell>
          <cell r="N1712">
            <v>0</v>
          </cell>
          <cell r="O1712">
            <v>0.17513419999999999</v>
          </cell>
          <cell r="P1712">
            <v>0.94260270000000002</v>
          </cell>
          <cell r="Q1712">
            <v>1.6910322</v>
          </cell>
          <cell r="R1712">
            <v>0</v>
          </cell>
          <cell r="S1712">
            <v>0</v>
          </cell>
          <cell r="T1712">
            <v>0</v>
          </cell>
          <cell r="U1712">
            <v>11.092603</v>
          </cell>
          <cell r="V1712">
            <v>0</v>
          </cell>
          <cell r="W1712">
            <v>0</v>
          </cell>
          <cell r="X1712">
            <v>0.68046709999999999</v>
          </cell>
          <cell r="Y1712">
            <v>0</v>
          </cell>
          <cell r="Z1712">
            <v>45.453204999999997</v>
          </cell>
          <cell r="AA1712">
            <v>4.1103616000000001</v>
          </cell>
          <cell r="AB1712">
            <v>0.64057819999999999</v>
          </cell>
        </row>
        <row r="1713">
          <cell r="A1713">
            <v>27510446</v>
          </cell>
          <cell r="B1713" t="str">
            <v>Double bacon cheeseburger, 2 medium patties, plain, on bun, from fast food / restaurant</v>
          </cell>
          <cell r="I1713">
            <v>140</v>
          </cell>
          <cell r="J1713">
            <v>435.60365000000002</v>
          </cell>
          <cell r="K1713">
            <v>3.1114546428571428</v>
          </cell>
          <cell r="L1713">
            <v>0</v>
          </cell>
          <cell r="M1713">
            <v>11.801337</v>
          </cell>
          <cell r="N1713">
            <v>0</v>
          </cell>
          <cell r="O1713">
            <v>0.25617970000000001</v>
          </cell>
          <cell r="P1713">
            <v>0.5438849</v>
          </cell>
          <cell r="Q1713">
            <v>1.8108995000000001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0.57212220000000003</v>
          </cell>
          <cell r="Y1713">
            <v>0</v>
          </cell>
          <cell r="Z1713">
            <v>69.443223000000003</v>
          </cell>
          <cell r="AA1713">
            <v>5.7564776999999996</v>
          </cell>
          <cell r="AB1713">
            <v>1.0284015</v>
          </cell>
        </row>
        <row r="1714">
          <cell r="A1714">
            <v>27510451</v>
          </cell>
          <cell r="B1714" t="str">
            <v>Double bacon cheeseburger, 2 medium patties, with condiments, on bun, from fast food / restaurant</v>
          </cell>
          <cell r="I1714">
            <v>140</v>
          </cell>
          <cell r="J1714">
            <v>380.03933000000001</v>
          </cell>
          <cell r="K1714">
            <v>2.7145666428571431</v>
          </cell>
          <cell r="L1714">
            <v>0.15125</v>
          </cell>
          <cell r="M1714">
            <v>9.9933662999999999</v>
          </cell>
          <cell r="N1714">
            <v>0</v>
          </cell>
          <cell r="O1714">
            <v>0.21806030000000001</v>
          </cell>
          <cell r="P1714">
            <v>0.53749999999999998</v>
          </cell>
          <cell r="Q1714">
            <v>2.3596246000000001</v>
          </cell>
          <cell r="R1714">
            <v>0</v>
          </cell>
          <cell r="S1714">
            <v>0</v>
          </cell>
          <cell r="T1714">
            <v>0</v>
          </cell>
          <cell r="U1714">
            <v>14.276667</v>
          </cell>
          <cell r="V1714">
            <v>0</v>
          </cell>
          <cell r="W1714">
            <v>0</v>
          </cell>
          <cell r="X1714">
            <v>0.57749430000000002</v>
          </cell>
          <cell r="Y1714">
            <v>0</v>
          </cell>
          <cell r="Z1714">
            <v>57.456000000000003</v>
          </cell>
          <cell r="AA1714">
            <v>4.7628000000000004</v>
          </cell>
          <cell r="AB1714">
            <v>0.84910660000000004</v>
          </cell>
        </row>
        <row r="1715">
          <cell r="A1715">
            <v>27510465</v>
          </cell>
          <cell r="B1715" t="str">
            <v>Double bacon cheeseburger, 2 medium patties, with condiments, on bun, from fast food / restaurant (Wendy's Baconator)</v>
          </cell>
          <cell r="I1715">
            <v>140</v>
          </cell>
          <cell r="J1715">
            <v>380.03933000000001</v>
          </cell>
          <cell r="K1715">
            <v>2.7145666428571431</v>
          </cell>
          <cell r="L1715">
            <v>0.15125</v>
          </cell>
          <cell r="M1715">
            <v>9.9933662999999999</v>
          </cell>
          <cell r="N1715">
            <v>0</v>
          </cell>
          <cell r="O1715">
            <v>0.21806030000000001</v>
          </cell>
          <cell r="P1715">
            <v>0.53749999999999998</v>
          </cell>
          <cell r="Q1715">
            <v>2.3596246000000001</v>
          </cell>
          <cell r="R1715">
            <v>0</v>
          </cell>
          <cell r="S1715">
            <v>0</v>
          </cell>
          <cell r="T1715">
            <v>0</v>
          </cell>
          <cell r="U1715">
            <v>14.276667</v>
          </cell>
          <cell r="V1715">
            <v>0</v>
          </cell>
          <cell r="W1715">
            <v>0</v>
          </cell>
          <cell r="X1715">
            <v>0.57749430000000002</v>
          </cell>
          <cell r="Y1715">
            <v>0</v>
          </cell>
          <cell r="Z1715">
            <v>57.456000000000003</v>
          </cell>
          <cell r="AA1715">
            <v>4.7628000000000004</v>
          </cell>
          <cell r="AB1715">
            <v>0.84915779999999996</v>
          </cell>
        </row>
        <row r="1716">
          <cell r="A1716">
            <v>27510501</v>
          </cell>
          <cell r="B1716" t="str">
            <v>Hamburger, 1 miniature patty, plain, on miniature bun, from fast food / restaurant</v>
          </cell>
          <cell r="I1716">
            <v>140</v>
          </cell>
          <cell r="J1716">
            <v>399.93333000000001</v>
          </cell>
          <cell r="K1716">
            <v>2.8566666428571428</v>
          </cell>
          <cell r="L1716">
            <v>0</v>
          </cell>
          <cell r="M1716">
            <v>5.8238833000000003</v>
          </cell>
          <cell r="N1716">
            <v>0</v>
          </cell>
          <cell r="O1716">
            <v>0.12401669999999999</v>
          </cell>
          <cell r="P1716">
            <v>1.47</v>
          </cell>
          <cell r="Q1716">
            <v>1.8363332999999999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0.44835000000000003</v>
          </cell>
          <cell r="Y1716">
            <v>0</v>
          </cell>
          <cell r="Z1716">
            <v>50.274000000000001</v>
          </cell>
          <cell r="AA1716">
            <v>0</v>
          </cell>
          <cell r="AB1716">
            <v>0.55014980000000002</v>
          </cell>
        </row>
        <row r="1717">
          <cell r="A1717">
            <v>27510506</v>
          </cell>
          <cell r="B1717" t="str">
            <v>Hamburger, 1 miniature patty, with condiments, on miniature bun, from fast food / restaurant</v>
          </cell>
          <cell r="I1717">
            <v>140</v>
          </cell>
          <cell r="J1717">
            <v>349.40499999999997</v>
          </cell>
          <cell r="K1717">
            <v>2.4957499999999997</v>
          </cell>
          <cell r="L1717">
            <v>3.15E-2</v>
          </cell>
          <cell r="M1717">
            <v>5.00136</v>
          </cell>
          <cell r="N1717">
            <v>0</v>
          </cell>
          <cell r="O1717">
            <v>0.106085</v>
          </cell>
          <cell r="P1717">
            <v>1.3474999999999999</v>
          </cell>
          <cell r="Q1717">
            <v>3.7626750000000002</v>
          </cell>
          <cell r="R1717">
            <v>0</v>
          </cell>
          <cell r="S1717">
            <v>0</v>
          </cell>
          <cell r="T1717">
            <v>0</v>
          </cell>
          <cell r="U1717">
            <v>7.3079999999999998</v>
          </cell>
          <cell r="V1717">
            <v>0</v>
          </cell>
          <cell r="W1717">
            <v>0</v>
          </cell>
          <cell r="X1717">
            <v>0.62573000000000001</v>
          </cell>
          <cell r="Y1717">
            <v>0</v>
          </cell>
          <cell r="Z1717">
            <v>37.705500000000001</v>
          </cell>
          <cell r="AA1717">
            <v>0</v>
          </cell>
          <cell r="AB1717">
            <v>0.40292470000000002</v>
          </cell>
        </row>
        <row r="1718">
          <cell r="A1718">
            <v>27510510</v>
          </cell>
          <cell r="B1718" t="str">
            <v>Hamburger, with tomato and/or catsup, on bun</v>
          </cell>
          <cell r="I1718">
            <v>140</v>
          </cell>
          <cell r="J1718">
            <v>368.2</v>
          </cell>
          <cell r="K1718">
            <v>2.63</v>
          </cell>
          <cell r="L1718">
            <v>0.23366780000000001</v>
          </cell>
          <cell r="M1718">
            <v>4.9938000000000002</v>
          </cell>
          <cell r="N1718">
            <v>0</v>
          </cell>
          <cell r="O1718">
            <v>0.16239999999999999</v>
          </cell>
          <cell r="P1718">
            <v>2.2863321999999999</v>
          </cell>
          <cell r="Q1718">
            <v>1.9390000000000001</v>
          </cell>
          <cell r="R1718">
            <v>0</v>
          </cell>
          <cell r="S1718">
            <v>0</v>
          </cell>
          <cell r="T1718">
            <v>0</v>
          </cell>
          <cell r="U1718">
            <v>12.46</v>
          </cell>
          <cell r="V1718">
            <v>0</v>
          </cell>
          <cell r="W1718">
            <v>0</v>
          </cell>
          <cell r="X1718">
            <v>0.68179999999999996</v>
          </cell>
          <cell r="Y1718">
            <v>0</v>
          </cell>
          <cell r="Z1718">
            <v>48.421799999999998</v>
          </cell>
          <cell r="AA1718">
            <v>0</v>
          </cell>
          <cell r="AB1718">
            <v>0.61040000000000005</v>
          </cell>
        </row>
        <row r="1719">
          <cell r="A1719">
            <v>27510520</v>
          </cell>
          <cell r="B1719" t="str">
            <v>Hamburger, with mayonnaise or salad dressing, and tomato and/or catsup, on bun</v>
          </cell>
          <cell r="I1719">
            <v>140</v>
          </cell>
          <cell r="J1719">
            <v>315.60244999999998</v>
          </cell>
          <cell r="K1719">
            <v>2.2543032142857142</v>
          </cell>
          <cell r="L1719">
            <v>0.3984761</v>
          </cell>
          <cell r="M1719">
            <v>4.6502249999999998</v>
          </cell>
          <cell r="N1719">
            <v>0</v>
          </cell>
          <cell r="O1719">
            <v>6.6333299999999998E-2</v>
          </cell>
          <cell r="P1719">
            <v>1.6316478999999999</v>
          </cell>
          <cell r="Q1719">
            <v>3.4698779000000002</v>
          </cell>
          <cell r="R1719">
            <v>0</v>
          </cell>
          <cell r="S1719">
            <v>0</v>
          </cell>
          <cell r="T1719">
            <v>0</v>
          </cell>
          <cell r="U1719">
            <v>34.968195000000001</v>
          </cell>
          <cell r="V1719">
            <v>0</v>
          </cell>
          <cell r="W1719">
            <v>0</v>
          </cell>
          <cell r="X1719">
            <v>0.51683250000000003</v>
          </cell>
          <cell r="Y1719">
            <v>0</v>
          </cell>
          <cell r="Z1719">
            <v>36.587629999999997</v>
          </cell>
          <cell r="AA1719">
            <v>0</v>
          </cell>
          <cell r="AB1719">
            <v>0.48172350000000003</v>
          </cell>
        </row>
        <row r="1720">
          <cell r="A1720">
            <v>27510531</v>
          </cell>
          <cell r="B1720" t="str">
            <v>Hamburger, 1 small patty, plain, on bun, from fast food / restaurant</v>
          </cell>
          <cell r="I1720">
            <v>140</v>
          </cell>
          <cell r="J1720">
            <v>415.8</v>
          </cell>
          <cell r="K1720">
            <v>2.97</v>
          </cell>
          <cell r="L1720">
            <v>0</v>
          </cell>
          <cell r="M1720">
            <v>6.2901999999999996</v>
          </cell>
          <cell r="N1720">
            <v>0</v>
          </cell>
          <cell r="O1720">
            <v>8.6800000000000002E-2</v>
          </cell>
          <cell r="P1720">
            <v>2.38</v>
          </cell>
          <cell r="Q1720">
            <v>2.3519999999999999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0.46339999999999998</v>
          </cell>
          <cell r="Y1720">
            <v>0</v>
          </cell>
          <cell r="Z1720">
            <v>55.566000000000003</v>
          </cell>
          <cell r="AA1720">
            <v>0</v>
          </cell>
          <cell r="AB1720">
            <v>0.71960000000000002</v>
          </cell>
        </row>
        <row r="1721">
          <cell r="A1721">
            <v>27510536</v>
          </cell>
          <cell r="B1721" t="str">
            <v>Hamburger, 1 small patty, with condiments, on bun, from fast food / restaurant</v>
          </cell>
          <cell r="I1721">
            <v>140</v>
          </cell>
          <cell r="J1721">
            <v>368.2</v>
          </cell>
          <cell r="K1721">
            <v>2.63</v>
          </cell>
          <cell r="L1721">
            <v>0.23156170000000001</v>
          </cell>
          <cell r="M1721">
            <v>4.9938000000000002</v>
          </cell>
          <cell r="N1721">
            <v>0</v>
          </cell>
          <cell r="O1721">
            <v>0.16239999999999999</v>
          </cell>
          <cell r="P1721">
            <v>2.2884383000000001</v>
          </cell>
          <cell r="Q1721">
            <v>1.9390000000000001</v>
          </cell>
          <cell r="R1721">
            <v>0</v>
          </cell>
          <cell r="S1721">
            <v>0</v>
          </cell>
          <cell r="T1721">
            <v>0</v>
          </cell>
          <cell r="U1721">
            <v>12.46</v>
          </cell>
          <cell r="V1721">
            <v>0</v>
          </cell>
          <cell r="W1721">
            <v>0</v>
          </cell>
          <cell r="X1721">
            <v>0.68179999999999996</v>
          </cell>
          <cell r="Y1721">
            <v>0</v>
          </cell>
          <cell r="Z1721">
            <v>48.421799999999998</v>
          </cell>
          <cell r="AA1721">
            <v>0</v>
          </cell>
          <cell r="AB1721">
            <v>0.61040000000000005</v>
          </cell>
        </row>
        <row r="1722">
          <cell r="A1722">
            <v>27510540</v>
          </cell>
          <cell r="B1722" t="str">
            <v>Double hamburger (2 patties), with tomato and/or catsup, on bun</v>
          </cell>
          <cell r="I1722">
            <v>140</v>
          </cell>
          <cell r="J1722">
            <v>324.83019000000002</v>
          </cell>
          <cell r="K1722">
            <v>2.3202156428571428</v>
          </cell>
          <cell r="L1722">
            <v>0.16301889999999999</v>
          </cell>
          <cell r="M1722">
            <v>5.4283245000000004</v>
          </cell>
          <cell r="N1722">
            <v>0</v>
          </cell>
          <cell r="O1722">
            <v>8.9818899999999993E-2</v>
          </cell>
          <cell r="P1722">
            <v>1.029434</v>
          </cell>
          <cell r="Q1722">
            <v>1.3083321000000001</v>
          </cell>
          <cell r="R1722">
            <v>0</v>
          </cell>
          <cell r="S1722">
            <v>0</v>
          </cell>
          <cell r="T1722">
            <v>0</v>
          </cell>
          <cell r="U1722">
            <v>17.690566</v>
          </cell>
          <cell r="V1722">
            <v>0</v>
          </cell>
          <cell r="W1722">
            <v>0</v>
          </cell>
          <cell r="X1722">
            <v>0.63236979999999998</v>
          </cell>
          <cell r="Y1722">
            <v>0</v>
          </cell>
          <cell r="Z1722">
            <v>48.783396000000003</v>
          </cell>
          <cell r="AA1722">
            <v>0</v>
          </cell>
          <cell r="AB1722">
            <v>0.53726450000000003</v>
          </cell>
        </row>
        <row r="1723">
          <cell r="A1723">
            <v>27510551</v>
          </cell>
          <cell r="B1723" t="str">
            <v>Hamburger, 1 small patty, with condiments, on bun, from fast food / restaurant (Burger King Hamburger)</v>
          </cell>
          <cell r="I1723">
            <v>140</v>
          </cell>
          <cell r="J1723">
            <v>368.2</v>
          </cell>
          <cell r="K1723">
            <v>2.63</v>
          </cell>
          <cell r="L1723">
            <v>0.23156170000000001</v>
          </cell>
          <cell r="M1723">
            <v>4.9938000000000002</v>
          </cell>
          <cell r="N1723">
            <v>0</v>
          </cell>
          <cell r="O1723">
            <v>0.16239999999999999</v>
          </cell>
          <cell r="P1723">
            <v>2.2884383000000001</v>
          </cell>
          <cell r="Q1723">
            <v>1.9390000000000001</v>
          </cell>
          <cell r="R1723">
            <v>0</v>
          </cell>
          <cell r="S1723">
            <v>0</v>
          </cell>
          <cell r="T1723">
            <v>0</v>
          </cell>
          <cell r="U1723">
            <v>12.46</v>
          </cell>
          <cell r="V1723">
            <v>0</v>
          </cell>
          <cell r="W1723">
            <v>0</v>
          </cell>
          <cell r="X1723">
            <v>0.68179999999999996</v>
          </cell>
          <cell r="Y1723">
            <v>0</v>
          </cell>
          <cell r="Z1723">
            <v>48.421799999999998</v>
          </cell>
          <cell r="AA1723">
            <v>0</v>
          </cell>
          <cell r="AB1723">
            <v>0.61040000000000005</v>
          </cell>
        </row>
        <row r="1724">
          <cell r="A1724">
            <v>27510552</v>
          </cell>
          <cell r="B1724" t="str">
            <v>Hamburger, 1 small patty, with condiments, on bun, from fast food / restaurant (Burger King WHOPPER Jr.)</v>
          </cell>
          <cell r="I1724">
            <v>140</v>
          </cell>
          <cell r="J1724">
            <v>289.51067</v>
          </cell>
          <cell r="K1724">
            <v>2.0679333571428571</v>
          </cell>
          <cell r="L1724">
            <v>0.33879999999999999</v>
          </cell>
          <cell r="M1724">
            <v>4.2091792999999997</v>
          </cell>
          <cell r="N1724">
            <v>0</v>
          </cell>
          <cell r="O1724">
            <v>8.76633E-2</v>
          </cell>
          <cell r="P1724">
            <v>1.0696000000000001</v>
          </cell>
          <cell r="Q1724">
            <v>3.0381586999999999</v>
          </cell>
          <cell r="R1724">
            <v>0</v>
          </cell>
          <cell r="S1724">
            <v>0</v>
          </cell>
          <cell r="T1724">
            <v>0</v>
          </cell>
          <cell r="U1724">
            <v>31.979733</v>
          </cell>
          <cell r="V1724">
            <v>0</v>
          </cell>
          <cell r="W1724">
            <v>0</v>
          </cell>
          <cell r="X1724">
            <v>0.50175530000000002</v>
          </cell>
          <cell r="Y1724">
            <v>0</v>
          </cell>
          <cell r="Z1724">
            <v>32.175359999999998</v>
          </cell>
          <cell r="AA1724">
            <v>0</v>
          </cell>
          <cell r="AB1724">
            <v>0.34471350000000001</v>
          </cell>
        </row>
        <row r="1725">
          <cell r="A1725">
            <v>27510553</v>
          </cell>
          <cell r="B1725" t="str">
            <v>Hamburger, 1 small patty, with condiments, on bun, from fast food / restaurant (McDonald's Hamburger)</v>
          </cell>
          <cell r="I1725">
            <v>140</v>
          </cell>
          <cell r="J1725">
            <v>368.2</v>
          </cell>
          <cell r="K1725">
            <v>2.63</v>
          </cell>
          <cell r="L1725">
            <v>0.23156170000000001</v>
          </cell>
          <cell r="M1725">
            <v>4.9938000000000002</v>
          </cell>
          <cell r="N1725">
            <v>0</v>
          </cell>
          <cell r="O1725">
            <v>0.16239999999999999</v>
          </cell>
          <cell r="P1725">
            <v>2.2884383000000001</v>
          </cell>
          <cell r="Q1725">
            <v>1.9390000000000001</v>
          </cell>
          <cell r="R1725">
            <v>0</v>
          </cell>
          <cell r="S1725">
            <v>0</v>
          </cell>
          <cell r="T1725">
            <v>0</v>
          </cell>
          <cell r="U1725">
            <v>12.46</v>
          </cell>
          <cell r="V1725">
            <v>0</v>
          </cell>
          <cell r="W1725">
            <v>0</v>
          </cell>
          <cell r="X1725">
            <v>0.68179999999999996</v>
          </cell>
          <cell r="Y1725">
            <v>0</v>
          </cell>
          <cell r="Z1725">
            <v>48.421799999999998</v>
          </cell>
          <cell r="AA1725">
            <v>0</v>
          </cell>
          <cell r="AB1725">
            <v>0.61040000000000005</v>
          </cell>
        </row>
        <row r="1726">
          <cell r="A1726">
            <v>27510555</v>
          </cell>
          <cell r="B1726" t="str">
            <v>Hamburger, 1 small patty, with condiments, on bun, from fast food / restaurant (Wendy's Jr. Hamburger)</v>
          </cell>
          <cell r="I1726">
            <v>140</v>
          </cell>
          <cell r="J1726">
            <v>368.2</v>
          </cell>
          <cell r="K1726">
            <v>2.63</v>
          </cell>
          <cell r="L1726">
            <v>0.23156170000000001</v>
          </cell>
          <cell r="M1726">
            <v>4.9938000000000002</v>
          </cell>
          <cell r="N1726">
            <v>0</v>
          </cell>
          <cell r="O1726">
            <v>0.16239999999999999</v>
          </cell>
          <cell r="P1726">
            <v>2.2884383000000001</v>
          </cell>
          <cell r="Q1726">
            <v>1.9390000000000001</v>
          </cell>
          <cell r="R1726">
            <v>0</v>
          </cell>
          <cell r="S1726">
            <v>0</v>
          </cell>
          <cell r="T1726">
            <v>0</v>
          </cell>
          <cell r="U1726">
            <v>12.46</v>
          </cell>
          <cell r="V1726">
            <v>0</v>
          </cell>
          <cell r="W1726">
            <v>0</v>
          </cell>
          <cell r="X1726">
            <v>0.68179999999999996</v>
          </cell>
          <cell r="Y1726">
            <v>0</v>
          </cell>
          <cell r="Z1726">
            <v>48.421799999999998</v>
          </cell>
          <cell r="AA1726">
            <v>0</v>
          </cell>
          <cell r="AB1726">
            <v>0.61040000000000005</v>
          </cell>
        </row>
        <row r="1727">
          <cell r="A1727">
            <v>27510560</v>
          </cell>
          <cell r="B1727" t="str">
            <v>Hamburger, 1/4 lb meat, with mayonnaise or salad dressing, and tomato and/or catsup, on bun</v>
          </cell>
          <cell r="I1727">
            <v>140</v>
          </cell>
          <cell r="J1727">
            <v>316.39999999999998</v>
          </cell>
          <cell r="K1727">
            <v>2.2599999999999998</v>
          </cell>
          <cell r="L1727">
            <v>0.69309370000000003</v>
          </cell>
          <cell r="M1727">
            <v>5.5608000000000004</v>
          </cell>
          <cell r="N1727">
            <v>0</v>
          </cell>
          <cell r="O1727">
            <v>6.4399999999999999E-2</v>
          </cell>
          <cell r="P1727">
            <v>1.4069062999999999</v>
          </cell>
          <cell r="Q1727">
            <v>4.4016000000000002</v>
          </cell>
          <cell r="R1727">
            <v>0</v>
          </cell>
          <cell r="S1727">
            <v>0</v>
          </cell>
          <cell r="T1727">
            <v>0</v>
          </cell>
          <cell r="U1727">
            <v>38.5</v>
          </cell>
          <cell r="V1727">
            <v>0</v>
          </cell>
          <cell r="W1727">
            <v>0</v>
          </cell>
          <cell r="X1727">
            <v>0.4788</v>
          </cell>
          <cell r="Y1727">
            <v>0</v>
          </cell>
          <cell r="Z1727">
            <v>42.468299999999999</v>
          </cell>
          <cell r="AA1727">
            <v>0</v>
          </cell>
          <cell r="AB1727">
            <v>0.3300497</v>
          </cell>
        </row>
        <row r="1728">
          <cell r="A1728">
            <v>27510570</v>
          </cell>
          <cell r="B1728" t="str">
            <v>Hamburger, 2-1/2 oz meat, with mayonnaise or salad dressing and tomatoes, on bun</v>
          </cell>
          <cell r="I1728">
            <v>140</v>
          </cell>
          <cell r="J1728">
            <v>299.58499</v>
          </cell>
          <cell r="K1728">
            <v>2.1398927857142858</v>
          </cell>
          <cell r="L1728">
            <v>0.38034679999999998</v>
          </cell>
          <cell r="M1728">
            <v>4.8053469</v>
          </cell>
          <cell r="N1728">
            <v>0</v>
          </cell>
          <cell r="O1728">
            <v>9.8066200000000006E-2</v>
          </cell>
          <cell r="P1728">
            <v>1.1530707</v>
          </cell>
          <cell r="Q1728">
            <v>2.9807459000000001</v>
          </cell>
          <cell r="R1728">
            <v>0</v>
          </cell>
          <cell r="S1728">
            <v>0</v>
          </cell>
          <cell r="T1728">
            <v>0</v>
          </cell>
          <cell r="U1728">
            <v>30.538792000000001</v>
          </cell>
          <cell r="V1728">
            <v>0</v>
          </cell>
          <cell r="W1728">
            <v>0</v>
          </cell>
          <cell r="X1728">
            <v>0.48844769999999998</v>
          </cell>
          <cell r="Y1728">
            <v>0</v>
          </cell>
          <cell r="Z1728">
            <v>37.884203999999997</v>
          </cell>
          <cell r="AA1728">
            <v>0</v>
          </cell>
          <cell r="AB1728">
            <v>0.4194447</v>
          </cell>
        </row>
        <row r="1729">
          <cell r="A1729">
            <v>27510575</v>
          </cell>
          <cell r="B1729" t="str">
            <v>Hamburger, 1 small patty, plain, on white bun</v>
          </cell>
          <cell r="I1729">
            <v>140</v>
          </cell>
          <cell r="J1729">
            <v>385.40555999999998</v>
          </cell>
          <cell r="K1729">
            <v>2.7528968571428569</v>
          </cell>
          <cell r="L1729">
            <v>1.554E-16</v>
          </cell>
          <cell r="M1729">
            <v>5.9297753000000002</v>
          </cell>
          <cell r="N1729">
            <v>0</v>
          </cell>
          <cell r="O1729">
            <v>0.1105815</v>
          </cell>
          <cell r="P1729">
            <v>1.1200000000000001</v>
          </cell>
          <cell r="Q1729">
            <v>1.5076327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0.60565250000000004</v>
          </cell>
          <cell r="Y1729">
            <v>0</v>
          </cell>
          <cell r="Z1729">
            <v>69.453125</v>
          </cell>
          <cell r="AA1729">
            <v>0</v>
          </cell>
          <cell r="AB1729">
            <v>0.68809629999999999</v>
          </cell>
        </row>
        <row r="1730">
          <cell r="A1730">
            <v>27510585</v>
          </cell>
          <cell r="B1730" t="str">
            <v>Hamburger, 1 small patty, with condiments, on white bun</v>
          </cell>
          <cell r="I1730">
            <v>140</v>
          </cell>
          <cell r="J1730">
            <v>295.35914000000002</v>
          </cell>
          <cell r="K1730">
            <v>2.1097081428571429</v>
          </cell>
          <cell r="L1730">
            <v>0.29039999999999999</v>
          </cell>
          <cell r="M1730">
            <v>4.4044743000000004</v>
          </cell>
          <cell r="N1730">
            <v>0</v>
          </cell>
          <cell r="O1730">
            <v>8.5647600000000004E-2</v>
          </cell>
          <cell r="P1730">
            <v>0.91679999999999995</v>
          </cell>
          <cell r="Q1730">
            <v>2.6616962000000002</v>
          </cell>
          <cell r="R1730">
            <v>0</v>
          </cell>
          <cell r="S1730">
            <v>0</v>
          </cell>
          <cell r="T1730">
            <v>0</v>
          </cell>
          <cell r="U1730">
            <v>27.411200000000001</v>
          </cell>
          <cell r="V1730">
            <v>0</v>
          </cell>
          <cell r="W1730">
            <v>0</v>
          </cell>
          <cell r="X1730">
            <v>0.60485390000000006</v>
          </cell>
          <cell r="Y1730">
            <v>0</v>
          </cell>
          <cell r="Z1730">
            <v>46.434375000000003</v>
          </cell>
          <cell r="AA1730">
            <v>0</v>
          </cell>
          <cell r="AB1730">
            <v>0.4668815</v>
          </cell>
        </row>
        <row r="1731">
          <cell r="A1731">
            <v>27510600</v>
          </cell>
          <cell r="B1731" t="str">
            <v>Hamburger, 1 oz meat, plain, on miniature bun</v>
          </cell>
          <cell r="I1731">
            <v>140</v>
          </cell>
          <cell r="J1731">
            <v>399.23061000000001</v>
          </cell>
          <cell r="K1731">
            <v>2.8516472142857143</v>
          </cell>
          <cell r="L1731">
            <v>0</v>
          </cell>
          <cell r="M1731">
            <v>5.6794772</v>
          </cell>
          <cell r="N1731">
            <v>0</v>
          </cell>
          <cell r="O1731">
            <v>0.12622910000000001</v>
          </cell>
          <cell r="P1731">
            <v>1.4996811999999999</v>
          </cell>
          <cell r="Q1731">
            <v>1.8538916000000001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0.51277490000000003</v>
          </cell>
          <cell r="Y1731">
            <v>0</v>
          </cell>
          <cell r="Z1731">
            <v>48.724642000000003</v>
          </cell>
          <cell r="AA1731">
            <v>0</v>
          </cell>
          <cell r="AB1731">
            <v>0.55240909999999999</v>
          </cell>
        </row>
        <row r="1732">
          <cell r="A1732">
            <v>27510601</v>
          </cell>
          <cell r="B1732" t="str">
            <v>Hamburger, 1 medium patty, plain, on bun, from fast food / restaurant</v>
          </cell>
          <cell r="I1732">
            <v>140</v>
          </cell>
          <cell r="J1732">
            <v>415.8</v>
          </cell>
          <cell r="K1732">
            <v>2.97</v>
          </cell>
          <cell r="L1732">
            <v>0</v>
          </cell>
          <cell r="M1732">
            <v>6.2901999999999996</v>
          </cell>
          <cell r="N1732">
            <v>0</v>
          </cell>
          <cell r="O1732">
            <v>8.6800000000000002E-2</v>
          </cell>
          <cell r="P1732">
            <v>2.38</v>
          </cell>
          <cell r="Q1732">
            <v>2.3519999999999999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0.46339999999999998</v>
          </cell>
          <cell r="Y1732">
            <v>0</v>
          </cell>
          <cell r="Z1732">
            <v>55.566000000000003</v>
          </cell>
          <cell r="AA1732">
            <v>0</v>
          </cell>
          <cell r="AB1732">
            <v>0.71960000000000002</v>
          </cell>
        </row>
        <row r="1733">
          <cell r="A1733">
            <v>27510606</v>
          </cell>
          <cell r="B1733" t="str">
            <v>Hamburger, 1 medium patty, with condiments, on bun, from fast food / restaurant</v>
          </cell>
          <cell r="I1733">
            <v>140</v>
          </cell>
          <cell r="J1733">
            <v>358.4</v>
          </cell>
          <cell r="K1733">
            <v>2.56</v>
          </cell>
          <cell r="L1733">
            <v>0.17025090000000001</v>
          </cell>
          <cell r="M1733">
            <v>6.6989999999999998</v>
          </cell>
          <cell r="N1733">
            <v>0</v>
          </cell>
          <cell r="O1733">
            <v>0.12180000000000001</v>
          </cell>
          <cell r="P1733">
            <v>1.3697490999999999</v>
          </cell>
          <cell r="Q1733">
            <v>1.6506000000000001</v>
          </cell>
          <cell r="R1733">
            <v>0</v>
          </cell>
          <cell r="S1733">
            <v>0</v>
          </cell>
          <cell r="T1733">
            <v>0</v>
          </cell>
          <cell r="U1733">
            <v>12.46</v>
          </cell>
          <cell r="V1733">
            <v>0</v>
          </cell>
          <cell r="W1733">
            <v>0</v>
          </cell>
          <cell r="X1733">
            <v>0.52359999999999995</v>
          </cell>
          <cell r="Y1733">
            <v>0</v>
          </cell>
          <cell r="Z1733">
            <v>59.138100000000001</v>
          </cell>
          <cell r="AA1733">
            <v>0</v>
          </cell>
          <cell r="AB1733">
            <v>0.21174589999999999</v>
          </cell>
        </row>
        <row r="1734">
          <cell r="A1734">
            <v>27510615</v>
          </cell>
          <cell r="B1734" t="str">
            <v>Hamburger, 1 medium patty, with condiments, on bun, from fast food / restaurant (Burger King WHOPPER)</v>
          </cell>
          <cell r="I1734">
            <v>140</v>
          </cell>
          <cell r="J1734">
            <v>316.39999999999998</v>
          </cell>
          <cell r="K1734">
            <v>2.2599999999999998</v>
          </cell>
          <cell r="L1734">
            <v>0.68846989999999997</v>
          </cell>
          <cell r="M1734">
            <v>5.5608000000000004</v>
          </cell>
          <cell r="N1734">
            <v>0</v>
          </cell>
          <cell r="O1734">
            <v>6.4399999999999999E-2</v>
          </cell>
          <cell r="P1734">
            <v>1.4115301</v>
          </cell>
          <cell r="Q1734">
            <v>4.4016000000000002</v>
          </cell>
          <cell r="R1734">
            <v>0</v>
          </cell>
          <cell r="S1734">
            <v>0</v>
          </cell>
          <cell r="T1734">
            <v>0</v>
          </cell>
          <cell r="U1734">
            <v>38.5</v>
          </cell>
          <cell r="V1734">
            <v>0</v>
          </cell>
          <cell r="W1734">
            <v>0</v>
          </cell>
          <cell r="X1734">
            <v>0.4788</v>
          </cell>
          <cell r="Y1734">
            <v>0</v>
          </cell>
          <cell r="Z1734">
            <v>42.468299999999999</v>
          </cell>
          <cell r="AA1734">
            <v>0</v>
          </cell>
          <cell r="AB1734">
            <v>0.2600576</v>
          </cell>
        </row>
        <row r="1735">
          <cell r="A1735">
            <v>27510616</v>
          </cell>
          <cell r="B1735" t="str">
            <v>Hamburger, 1 medium patty, with condiments, on bun, from fast food / restaurant (Wendy's 1/4 lb Single )</v>
          </cell>
          <cell r="I1735">
            <v>140</v>
          </cell>
          <cell r="J1735">
            <v>316.39999999999998</v>
          </cell>
          <cell r="K1735">
            <v>2.2599999999999998</v>
          </cell>
          <cell r="L1735">
            <v>0.68846989999999997</v>
          </cell>
          <cell r="M1735">
            <v>5.5608000000000004</v>
          </cell>
          <cell r="N1735">
            <v>0</v>
          </cell>
          <cell r="O1735">
            <v>6.4399999999999999E-2</v>
          </cell>
          <cell r="P1735">
            <v>1.4115301</v>
          </cell>
          <cell r="Q1735">
            <v>4.4016000000000002</v>
          </cell>
          <cell r="R1735">
            <v>0</v>
          </cell>
          <cell r="S1735">
            <v>0</v>
          </cell>
          <cell r="T1735">
            <v>0</v>
          </cell>
          <cell r="U1735">
            <v>38.5</v>
          </cell>
          <cell r="V1735">
            <v>0</v>
          </cell>
          <cell r="W1735">
            <v>0</v>
          </cell>
          <cell r="X1735">
            <v>0.4788</v>
          </cell>
          <cell r="Y1735">
            <v>0</v>
          </cell>
          <cell r="Z1735">
            <v>42.468299999999999</v>
          </cell>
          <cell r="AA1735">
            <v>0</v>
          </cell>
          <cell r="AB1735">
            <v>0.25939329999999999</v>
          </cell>
        </row>
        <row r="1736">
          <cell r="A1736">
            <v>27510620</v>
          </cell>
          <cell r="B1736" t="str">
            <v>Hamburger, 1/4 lb meat, with tomato and/or catsup, on bun</v>
          </cell>
          <cell r="I1736">
            <v>140</v>
          </cell>
          <cell r="J1736">
            <v>358.4</v>
          </cell>
          <cell r="K1736">
            <v>2.56</v>
          </cell>
          <cell r="L1736">
            <v>0.17176720000000001</v>
          </cell>
          <cell r="M1736">
            <v>6.6989999999999998</v>
          </cell>
          <cell r="N1736">
            <v>0</v>
          </cell>
          <cell r="O1736">
            <v>0.12180000000000001</v>
          </cell>
          <cell r="P1736">
            <v>1.3682327999999999</v>
          </cell>
          <cell r="Q1736">
            <v>1.6506000000000001</v>
          </cell>
          <cell r="R1736">
            <v>0</v>
          </cell>
          <cell r="S1736">
            <v>0</v>
          </cell>
          <cell r="T1736">
            <v>0</v>
          </cell>
          <cell r="U1736">
            <v>12.46</v>
          </cell>
          <cell r="V1736">
            <v>0</v>
          </cell>
          <cell r="W1736">
            <v>0</v>
          </cell>
          <cell r="X1736">
            <v>0.52359999999999995</v>
          </cell>
          <cell r="Y1736">
            <v>0</v>
          </cell>
          <cell r="Z1736">
            <v>59.138100000000001</v>
          </cell>
          <cell r="AA1736">
            <v>0</v>
          </cell>
          <cell r="AB1736">
            <v>0.235232</v>
          </cell>
        </row>
        <row r="1737">
          <cell r="A1737">
            <v>27510631</v>
          </cell>
          <cell r="B1737" t="str">
            <v>Hamburger, 1 medium patty, plain, on white bun</v>
          </cell>
          <cell r="I1737">
            <v>140</v>
          </cell>
          <cell r="J1737">
            <v>385.11896999999999</v>
          </cell>
          <cell r="K1737">
            <v>2.7508497857142857</v>
          </cell>
          <cell r="L1737">
            <v>0</v>
          </cell>
          <cell r="M1737">
            <v>6.1918981000000004</v>
          </cell>
          <cell r="N1737">
            <v>0</v>
          </cell>
          <cell r="O1737">
            <v>0.1055598</v>
          </cell>
          <cell r="P1737">
            <v>1.0427586</v>
          </cell>
          <cell r="Q1737">
            <v>1.4533228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0.60091050000000001</v>
          </cell>
          <cell r="Y1737">
            <v>0</v>
          </cell>
          <cell r="Z1737">
            <v>73.285021999999998</v>
          </cell>
          <cell r="AA1737">
            <v>0</v>
          </cell>
          <cell r="AB1737">
            <v>0.72397469999999997</v>
          </cell>
        </row>
        <row r="1738">
          <cell r="A1738">
            <v>27510632</v>
          </cell>
          <cell r="B1738" t="str">
            <v>Hamburger, 1 medium patty, plain, on wheat bun</v>
          </cell>
          <cell r="I1738">
            <v>140</v>
          </cell>
          <cell r="J1738">
            <v>375.76310000000001</v>
          </cell>
          <cell r="K1738">
            <v>2.6840221428571431</v>
          </cell>
          <cell r="L1738">
            <v>2.3767898000000001</v>
          </cell>
          <cell r="M1738">
            <v>6.1191076999999998</v>
          </cell>
          <cell r="N1738">
            <v>0</v>
          </cell>
          <cell r="O1738">
            <v>0.1152632</v>
          </cell>
          <cell r="P1738">
            <v>0.74569300000000005</v>
          </cell>
          <cell r="Q1738">
            <v>1.3257296999999999</v>
          </cell>
          <cell r="R1738">
            <v>20.025600000000001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0.58367610000000003</v>
          </cell>
          <cell r="Y1738">
            <v>5.7482100000000001E-2</v>
          </cell>
          <cell r="Z1738">
            <v>73.285021999999998</v>
          </cell>
          <cell r="AA1738">
            <v>0</v>
          </cell>
          <cell r="AB1738">
            <v>0.72188920000000001</v>
          </cell>
        </row>
        <row r="1739">
          <cell r="A1739">
            <v>27510633</v>
          </cell>
          <cell r="B1739" t="str">
            <v>Hamburger, 1 medium patty, plain, on whole wheat bun</v>
          </cell>
          <cell r="I1739">
            <v>140</v>
          </cell>
          <cell r="J1739">
            <v>375.76310000000001</v>
          </cell>
          <cell r="K1739">
            <v>2.6840221428571431</v>
          </cell>
          <cell r="L1739">
            <v>2.3767898000000001</v>
          </cell>
          <cell r="M1739">
            <v>6.1191076999999998</v>
          </cell>
          <cell r="N1739">
            <v>0</v>
          </cell>
          <cell r="O1739">
            <v>0.1152632</v>
          </cell>
          <cell r="P1739">
            <v>0.74569300000000005</v>
          </cell>
          <cell r="Q1739">
            <v>1.3257296999999999</v>
          </cell>
          <cell r="R1739">
            <v>20.025600000000001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0.58367610000000003</v>
          </cell>
          <cell r="Y1739">
            <v>5.7482100000000001E-2</v>
          </cell>
          <cell r="Z1739">
            <v>73.285021999999998</v>
          </cell>
          <cell r="AA1739">
            <v>0</v>
          </cell>
          <cell r="AB1739">
            <v>0.72188920000000001</v>
          </cell>
        </row>
        <row r="1740">
          <cell r="A1740">
            <v>27510641</v>
          </cell>
          <cell r="B1740" t="str">
            <v>Hamburger, 1 medium patty, with condiments, on white bun</v>
          </cell>
          <cell r="I1740">
            <v>140</v>
          </cell>
          <cell r="J1740">
            <v>307.57463000000001</v>
          </cell>
          <cell r="K1740">
            <v>2.196961642857143</v>
          </cell>
          <cell r="L1740">
            <v>0.25034479999999998</v>
          </cell>
          <cell r="M1740">
            <v>4.8020911999999996</v>
          </cell>
          <cell r="N1740">
            <v>0</v>
          </cell>
          <cell r="O1740">
            <v>8.5499800000000001E-2</v>
          </cell>
          <cell r="P1740">
            <v>0.88965519999999998</v>
          </cell>
          <cell r="Q1740">
            <v>2.4637221999999999</v>
          </cell>
          <cell r="R1740">
            <v>0</v>
          </cell>
          <cell r="S1740">
            <v>0</v>
          </cell>
          <cell r="T1740">
            <v>0</v>
          </cell>
          <cell r="U1740">
            <v>23.630344999999998</v>
          </cell>
          <cell r="V1740">
            <v>0</v>
          </cell>
          <cell r="W1740">
            <v>0</v>
          </cell>
          <cell r="X1740">
            <v>0.60157700000000003</v>
          </cell>
          <cell r="Y1740">
            <v>0</v>
          </cell>
          <cell r="Z1740">
            <v>52.346443999999998</v>
          </cell>
          <cell r="AA1740">
            <v>0</v>
          </cell>
          <cell r="AB1740">
            <v>0.52302130000000002</v>
          </cell>
        </row>
        <row r="1741">
          <cell r="A1741">
            <v>27510642</v>
          </cell>
          <cell r="B1741" t="str">
            <v>Hamburger, 1 medium patty, with condiments, on wheat bun</v>
          </cell>
          <cell r="I1741">
            <v>140</v>
          </cell>
          <cell r="J1741">
            <v>300.89186999999998</v>
          </cell>
          <cell r="K1741">
            <v>2.1492276428571429</v>
          </cell>
          <cell r="L1741">
            <v>1.9480518</v>
          </cell>
          <cell r="M1741">
            <v>4.7500980999999998</v>
          </cell>
          <cell r="N1741">
            <v>0</v>
          </cell>
          <cell r="O1741">
            <v>9.2430899999999996E-2</v>
          </cell>
          <cell r="P1741">
            <v>0.6774654</v>
          </cell>
          <cell r="Q1741">
            <v>2.3725843000000002</v>
          </cell>
          <cell r="R1741">
            <v>14.304</v>
          </cell>
          <cell r="S1741">
            <v>0</v>
          </cell>
          <cell r="T1741">
            <v>0</v>
          </cell>
          <cell r="U1741">
            <v>23.630344999999998</v>
          </cell>
          <cell r="V1741">
            <v>0</v>
          </cell>
          <cell r="W1741">
            <v>0</v>
          </cell>
          <cell r="X1741">
            <v>0.58926659999999997</v>
          </cell>
          <cell r="Y1741">
            <v>4.1058600000000001E-2</v>
          </cell>
          <cell r="Z1741">
            <v>52.346443999999998</v>
          </cell>
          <cell r="AA1741">
            <v>0</v>
          </cell>
          <cell r="AB1741">
            <v>0.52153170000000004</v>
          </cell>
        </row>
        <row r="1742">
          <cell r="A1742">
            <v>27510667</v>
          </cell>
          <cell r="B1742" t="str">
            <v>Double hamburger, 2 small patties, with condiments, on bun, from fast food / restaurant</v>
          </cell>
          <cell r="I1742">
            <v>140</v>
          </cell>
          <cell r="J1742">
            <v>315.50842</v>
          </cell>
          <cell r="K1742">
            <v>2.2536315714285715</v>
          </cell>
          <cell r="L1742">
            <v>0.26747369999999998</v>
          </cell>
          <cell r="M1742">
            <v>5.9181942000000003</v>
          </cell>
          <cell r="N1742">
            <v>0</v>
          </cell>
          <cell r="O1742">
            <v>7.2450000000000001E-2</v>
          </cell>
          <cell r="P1742">
            <v>0.84442110000000004</v>
          </cell>
          <cell r="Q1742">
            <v>2.5918937</v>
          </cell>
          <cell r="R1742">
            <v>0</v>
          </cell>
          <cell r="S1742">
            <v>0</v>
          </cell>
          <cell r="T1742">
            <v>0</v>
          </cell>
          <cell r="U1742">
            <v>25.247157999999999</v>
          </cell>
          <cell r="V1742">
            <v>0</v>
          </cell>
          <cell r="W1742">
            <v>0</v>
          </cell>
          <cell r="X1742">
            <v>0.41881740000000001</v>
          </cell>
          <cell r="Y1742">
            <v>0</v>
          </cell>
          <cell r="Z1742">
            <v>50.803199999999997</v>
          </cell>
          <cell r="AA1742">
            <v>0</v>
          </cell>
          <cell r="AB1742">
            <v>0.54000649999999994</v>
          </cell>
        </row>
        <row r="1743">
          <cell r="A1743">
            <v>27510676</v>
          </cell>
          <cell r="B1743" t="str">
            <v>Double hamburger, 2 medium patties, with condiments, on bun, from fast food / restaurant</v>
          </cell>
          <cell r="I1743">
            <v>140</v>
          </cell>
          <cell r="J1743">
            <v>352.8</v>
          </cell>
          <cell r="K1743">
            <v>2.52</v>
          </cell>
          <cell r="L1743">
            <v>0.62428099999999997</v>
          </cell>
          <cell r="M1743">
            <v>8.0822000000000003</v>
          </cell>
          <cell r="N1743">
            <v>0</v>
          </cell>
          <cell r="O1743">
            <v>4.9000000000000002E-2</v>
          </cell>
          <cell r="P1743">
            <v>1.3357190000000001</v>
          </cell>
          <cell r="Q1743">
            <v>4.2224000000000004</v>
          </cell>
          <cell r="R1743">
            <v>0</v>
          </cell>
          <cell r="S1743">
            <v>0</v>
          </cell>
          <cell r="T1743">
            <v>0</v>
          </cell>
          <cell r="U1743">
            <v>27.3</v>
          </cell>
          <cell r="V1743">
            <v>0</v>
          </cell>
          <cell r="W1743">
            <v>0</v>
          </cell>
          <cell r="X1743">
            <v>0.40460000000000002</v>
          </cell>
          <cell r="Y1743">
            <v>0</v>
          </cell>
          <cell r="Z1743">
            <v>60.328800000000001</v>
          </cell>
          <cell r="AA1743">
            <v>0</v>
          </cell>
          <cell r="AB1743">
            <v>0.56279999999999997</v>
          </cell>
        </row>
        <row r="1744">
          <cell r="A1744">
            <v>27510680</v>
          </cell>
          <cell r="B1744" t="str">
            <v>Double hamburger (2 patties, 1/4 lb meat each), with tomato and/or catsup, on bun</v>
          </cell>
          <cell r="I1744">
            <v>140</v>
          </cell>
          <cell r="J1744">
            <v>347.38065</v>
          </cell>
          <cell r="K1744">
            <v>2.4812903571428571</v>
          </cell>
          <cell r="L1744">
            <v>0.1418596</v>
          </cell>
          <cell r="M1744">
            <v>7.3459674000000001</v>
          </cell>
          <cell r="N1744">
            <v>0</v>
          </cell>
          <cell r="O1744">
            <v>7.7422400000000002E-2</v>
          </cell>
          <cell r="P1744">
            <v>0.84053129999999998</v>
          </cell>
          <cell r="Q1744">
            <v>1.1190595999999999</v>
          </cell>
          <cell r="R1744">
            <v>0</v>
          </cell>
          <cell r="S1744">
            <v>0</v>
          </cell>
          <cell r="T1744">
            <v>0</v>
          </cell>
          <cell r="U1744">
            <v>14.047817999999999</v>
          </cell>
          <cell r="V1744">
            <v>0</v>
          </cell>
          <cell r="W1744">
            <v>0</v>
          </cell>
          <cell r="X1744">
            <v>0.48300270000000001</v>
          </cell>
          <cell r="Y1744">
            <v>0</v>
          </cell>
          <cell r="Z1744">
            <v>68.685541000000001</v>
          </cell>
          <cell r="AA1744">
            <v>0</v>
          </cell>
          <cell r="AB1744">
            <v>0.67407819999999996</v>
          </cell>
        </row>
        <row r="1745">
          <cell r="A1745">
            <v>27510681</v>
          </cell>
          <cell r="B1745" t="str">
            <v>Double hamburger, 2 medium patties, with condiments, on bun, from fast food / restaurant (Burger King Double WHOPPER)</v>
          </cell>
          <cell r="I1745">
            <v>140</v>
          </cell>
          <cell r="J1745">
            <v>352.8</v>
          </cell>
          <cell r="K1745">
            <v>2.52</v>
          </cell>
          <cell r="L1745">
            <v>0.62428099999999997</v>
          </cell>
          <cell r="M1745">
            <v>8.0822000000000003</v>
          </cell>
          <cell r="N1745">
            <v>0</v>
          </cell>
          <cell r="O1745">
            <v>4.9000000000000002E-2</v>
          </cell>
          <cell r="P1745">
            <v>1.3357190000000001</v>
          </cell>
          <cell r="Q1745">
            <v>4.2224000000000004</v>
          </cell>
          <cell r="R1745">
            <v>0</v>
          </cell>
          <cell r="S1745">
            <v>0</v>
          </cell>
          <cell r="T1745">
            <v>0</v>
          </cell>
          <cell r="U1745">
            <v>27.3</v>
          </cell>
          <cell r="V1745">
            <v>0</v>
          </cell>
          <cell r="W1745">
            <v>0</v>
          </cell>
          <cell r="X1745">
            <v>0.40460000000000002</v>
          </cell>
          <cell r="Y1745">
            <v>0</v>
          </cell>
          <cell r="Z1745">
            <v>60.328800000000001</v>
          </cell>
          <cell r="AA1745">
            <v>0</v>
          </cell>
          <cell r="AB1745">
            <v>0.56279999999999997</v>
          </cell>
        </row>
        <row r="1746">
          <cell r="A1746">
            <v>27510682</v>
          </cell>
          <cell r="B1746" t="str">
            <v>Double hamburger, 2 medium patties, with condiments, on bun, from fast food / restaurant (Wendy's 1/2 lb Double)</v>
          </cell>
          <cell r="I1746">
            <v>140</v>
          </cell>
          <cell r="J1746">
            <v>352.8</v>
          </cell>
          <cell r="K1746">
            <v>2.52</v>
          </cell>
          <cell r="L1746">
            <v>0.62428099999999997</v>
          </cell>
          <cell r="M1746">
            <v>8.0822000000000003</v>
          </cell>
          <cell r="N1746">
            <v>0</v>
          </cell>
          <cell r="O1746">
            <v>4.9000000000000002E-2</v>
          </cell>
          <cell r="P1746">
            <v>1.3357190000000001</v>
          </cell>
          <cell r="Q1746">
            <v>4.2224000000000004</v>
          </cell>
          <cell r="R1746">
            <v>0</v>
          </cell>
          <cell r="S1746">
            <v>0</v>
          </cell>
          <cell r="T1746">
            <v>0</v>
          </cell>
          <cell r="U1746">
            <v>27.3</v>
          </cell>
          <cell r="V1746">
            <v>0</v>
          </cell>
          <cell r="W1746">
            <v>0</v>
          </cell>
          <cell r="X1746">
            <v>0.40460000000000002</v>
          </cell>
          <cell r="Y1746">
            <v>0</v>
          </cell>
          <cell r="Z1746">
            <v>60.328800000000001</v>
          </cell>
          <cell r="AA1746">
            <v>0</v>
          </cell>
          <cell r="AB1746">
            <v>0.56279999999999997</v>
          </cell>
        </row>
        <row r="1747">
          <cell r="A1747">
            <v>27510690</v>
          </cell>
          <cell r="B1747" t="str">
            <v>Double hamburger (2 patties, 1/4 lb meat each), with mayonnaise or salad dressing and tomatoes and/or catsup, on double-decker bun</v>
          </cell>
          <cell r="I1747">
            <v>140</v>
          </cell>
          <cell r="J1747">
            <v>352.8</v>
          </cell>
          <cell r="K1747">
            <v>2.52</v>
          </cell>
          <cell r="L1747">
            <v>0.62853230000000004</v>
          </cell>
          <cell r="M1747">
            <v>8.0822000000000003</v>
          </cell>
          <cell r="N1747">
            <v>0</v>
          </cell>
          <cell r="O1747">
            <v>4.9000000000000002E-2</v>
          </cell>
          <cell r="P1747">
            <v>1.3314676999999999</v>
          </cell>
          <cell r="Q1747">
            <v>4.2224000000000004</v>
          </cell>
          <cell r="R1747">
            <v>0</v>
          </cell>
          <cell r="S1747">
            <v>0</v>
          </cell>
          <cell r="T1747">
            <v>0</v>
          </cell>
          <cell r="U1747">
            <v>27.3</v>
          </cell>
          <cell r="V1747">
            <v>0</v>
          </cell>
          <cell r="W1747">
            <v>0</v>
          </cell>
          <cell r="X1747">
            <v>0.40460000000000002</v>
          </cell>
          <cell r="Y1747">
            <v>0</v>
          </cell>
          <cell r="Z1747">
            <v>60.328800000000001</v>
          </cell>
          <cell r="AA1747">
            <v>0</v>
          </cell>
          <cell r="AB1747">
            <v>0.56279999999999997</v>
          </cell>
        </row>
        <row r="1748">
          <cell r="A1748">
            <v>27510700</v>
          </cell>
          <cell r="B1748" t="str">
            <v>Meatball and spaghetti sauce submarine sandwich</v>
          </cell>
          <cell r="I1748">
            <v>195</v>
          </cell>
          <cell r="J1748">
            <v>427.05</v>
          </cell>
          <cell r="K1748">
            <v>2.19</v>
          </cell>
          <cell r="L1748">
            <v>0.92513769999999995</v>
          </cell>
          <cell r="M1748">
            <v>6.0918000000000001</v>
          </cell>
          <cell r="N1748">
            <v>0</v>
          </cell>
          <cell r="O1748">
            <v>0.34320000000000001</v>
          </cell>
          <cell r="P1748">
            <v>3.1698623000000001</v>
          </cell>
          <cell r="Q1748">
            <v>2.1937500000000001</v>
          </cell>
          <cell r="R1748">
            <v>0</v>
          </cell>
          <cell r="S1748">
            <v>0</v>
          </cell>
          <cell r="T1748">
            <v>0</v>
          </cell>
          <cell r="U1748">
            <v>42.997500000000002</v>
          </cell>
          <cell r="V1748">
            <v>0</v>
          </cell>
          <cell r="W1748">
            <v>0</v>
          </cell>
          <cell r="X1748">
            <v>0.85214999999999996</v>
          </cell>
          <cell r="Y1748">
            <v>0</v>
          </cell>
          <cell r="Z1748">
            <v>44.225999999999999</v>
          </cell>
          <cell r="AA1748">
            <v>0</v>
          </cell>
          <cell r="AB1748">
            <v>0.82094999999999996</v>
          </cell>
        </row>
        <row r="1749">
          <cell r="A1749">
            <v>27510705</v>
          </cell>
          <cell r="B1749" t="str">
            <v>Chiliburger, with or without cheese, on bun</v>
          </cell>
          <cell r="I1749">
            <v>140</v>
          </cell>
          <cell r="J1749">
            <v>353.44878</v>
          </cell>
          <cell r="K1749">
            <v>2.5246341428571428</v>
          </cell>
          <cell r="L1749">
            <v>0.90146340000000003</v>
          </cell>
          <cell r="M1749">
            <v>6.6964389999999998</v>
          </cell>
          <cell r="N1749">
            <v>0</v>
          </cell>
          <cell r="O1749">
            <v>8.4273200000000006E-2</v>
          </cell>
          <cell r="P1749">
            <v>0.79902439999999997</v>
          </cell>
          <cell r="Q1749">
            <v>1.3061659000000001</v>
          </cell>
          <cell r="R1749">
            <v>0</v>
          </cell>
          <cell r="S1749">
            <v>4.7804878000000004</v>
          </cell>
          <cell r="T1749">
            <v>0</v>
          </cell>
          <cell r="U1749">
            <v>4.6848780000000003</v>
          </cell>
          <cell r="V1749">
            <v>0</v>
          </cell>
          <cell r="W1749">
            <v>0</v>
          </cell>
          <cell r="X1749">
            <v>0.3874244</v>
          </cell>
          <cell r="Y1749">
            <v>0</v>
          </cell>
          <cell r="Z1749">
            <v>63.271667999999998</v>
          </cell>
          <cell r="AA1749">
            <v>0</v>
          </cell>
          <cell r="AB1749">
            <v>0.67640060000000002</v>
          </cell>
        </row>
        <row r="1750">
          <cell r="A1750">
            <v>27510950</v>
          </cell>
          <cell r="B1750" t="str">
            <v>Reuben sandwich, corned beef sandwich with sauerkraut and cheese, with spread</v>
          </cell>
          <cell r="I1750">
            <v>140</v>
          </cell>
          <cell r="J1750">
            <v>399.34598</v>
          </cell>
          <cell r="K1750">
            <v>2.8524712857142855</v>
          </cell>
          <cell r="L1750">
            <v>0.18501390000000001</v>
          </cell>
          <cell r="M1750">
            <v>7.9608081000000004</v>
          </cell>
          <cell r="N1750">
            <v>0</v>
          </cell>
          <cell r="O1750">
            <v>0.2305613</v>
          </cell>
          <cell r="P1750">
            <v>2.9375578</v>
          </cell>
          <cell r="Q1750">
            <v>5.1590154999999998</v>
          </cell>
          <cell r="R1750">
            <v>0</v>
          </cell>
          <cell r="S1750">
            <v>0</v>
          </cell>
          <cell r="T1750">
            <v>0</v>
          </cell>
          <cell r="U1750">
            <v>7.3658649</v>
          </cell>
          <cell r="V1750">
            <v>0</v>
          </cell>
          <cell r="W1750">
            <v>0</v>
          </cell>
          <cell r="X1750">
            <v>0.99901150000000005</v>
          </cell>
          <cell r="Y1750">
            <v>0</v>
          </cell>
          <cell r="Z1750">
            <v>0</v>
          </cell>
          <cell r="AA1750">
            <v>37.472352999999998</v>
          </cell>
          <cell r="AB1750">
            <v>0.29550349999999997</v>
          </cell>
        </row>
        <row r="1751">
          <cell r="A1751">
            <v>27511010</v>
          </cell>
          <cell r="B1751" t="str">
            <v>Pastrami sandwich</v>
          </cell>
          <cell r="I1751">
            <v>140</v>
          </cell>
          <cell r="J1751">
            <v>231.15109000000001</v>
          </cell>
          <cell r="K1751">
            <v>1.6510792142857145</v>
          </cell>
          <cell r="L1751">
            <v>3.1089999999999998E-16</v>
          </cell>
          <cell r="M1751">
            <v>1.8901539999999999</v>
          </cell>
          <cell r="N1751">
            <v>0</v>
          </cell>
          <cell r="O1751">
            <v>8.4676899999999999E-2</v>
          </cell>
          <cell r="P1751">
            <v>1.8365802</v>
          </cell>
          <cell r="Q1751">
            <v>0.9846454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1.2244123</v>
          </cell>
          <cell r="Y1751">
            <v>0</v>
          </cell>
          <cell r="Z1751">
            <v>0</v>
          </cell>
          <cell r="AA1751">
            <v>55.627189999999999</v>
          </cell>
          <cell r="AB1751">
            <v>2.8505800000000001E-2</v>
          </cell>
        </row>
        <row r="1752">
          <cell r="A1752">
            <v>27513010</v>
          </cell>
          <cell r="B1752" t="str">
            <v>Roast beef sandwich</v>
          </cell>
          <cell r="I1752">
            <v>140</v>
          </cell>
          <cell r="J1752">
            <v>341.6</v>
          </cell>
          <cell r="K1752">
            <v>2.44</v>
          </cell>
          <cell r="L1752">
            <v>0</v>
          </cell>
          <cell r="M1752">
            <v>4.7586000000000004</v>
          </cell>
          <cell r="N1752">
            <v>0</v>
          </cell>
          <cell r="O1752">
            <v>7.6999999999999999E-2</v>
          </cell>
          <cell r="P1752">
            <v>1.82</v>
          </cell>
          <cell r="Q1752">
            <v>2.4668000000000001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0.91420000000000001</v>
          </cell>
          <cell r="Y1752">
            <v>0</v>
          </cell>
          <cell r="Z1752">
            <v>48.421799999999998</v>
          </cell>
          <cell r="AA1752">
            <v>0</v>
          </cell>
          <cell r="AB1752">
            <v>0.54459999999999997</v>
          </cell>
        </row>
        <row r="1753">
          <cell r="A1753">
            <v>27513040</v>
          </cell>
          <cell r="B1753" t="str">
            <v>Roast beef submarine sandwich, with lettuce, tomato and spread</v>
          </cell>
          <cell r="I1753">
            <v>140</v>
          </cell>
          <cell r="J1753">
            <v>253.33332999999999</v>
          </cell>
          <cell r="K1753">
            <v>1.8095237857142856</v>
          </cell>
          <cell r="L1753">
            <v>0.23381969999999999</v>
          </cell>
          <cell r="M1753">
            <v>2.0762</v>
          </cell>
          <cell r="N1753">
            <v>0</v>
          </cell>
          <cell r="O1753">
            <v>0.21920000000000001</v>
          </cell>
          <cell r="P1753">
            <v>0.69951359999999996</v>
          </cell>
          <cell r="Q1753">
            <v>3.9366667</v>
          </cell>
          <cell r="R1753">
            <v>0</v>
          </cell>
          <cell r="S1753">
            <v>0</v>
          </cell>
          <cell r="T1753">
            <v>0</v>
          </cell>
          <cell r="U1753">
            <v>32.666666999999997</v>
          </cell>
          <cell r="V1753">
            <v>0</v>
          </cell>
          <cell r="W1753">
            <v>0</v>
          </cell>
          <cell r="X1753">
            <v>0.48099999999999998</v>
          </cell>
          <cell r="Y1753">
            <v>0</v>
          </cell>
          <cell r="Z1753">
            <v>35.909999999999997</v>
          </cell>
          <cell r="AA1753">
            <v>0</v>
          </cell>
          <cell r="AB1753">
            <v>8.1799999999999998E-2</v>
          </cell>
        </row>
        <row r="1754">
          <cell r="A1754">
            <v>27513041</v>
          </cell>
          <cell r="B1754" t="str">
            <v>Roast beef submarine sandwich, with cheese, lettuce, tomato and spread</v>
          </cell>
          <cell r="I1754">
            <v>140</v>
          </cell>
          <cell r="J1754">
            <v>265.42727000000002</v>
          </cell>
          <cell r="K1754">
            <v>1.8959090714285716</v>
          </cell>
          <cell r="L1754">
            <v>0.22319149999999999</v>
          </cell>
          <cell r="M1754">
            <v>3.1309090999999998</v>
          </cell>
          <cell r="N1754">
            <v>0</v>
          </cell>
          <cell r="O1754">
            <v>0.27573639999999999</v>
          </cell>
          <cell r="P1754">
            <v>0.66771760000000002</v>
          </cell>
          <cell r="Q1754">
            <v>3.8395636</v>
          </cell>
          <cell r="R1754">
            <v>0</v>
          </cell>
          <cell r="S1754">
            <v>0</v>
          </cell>
          <cell r="T1754">
            <v>0</v>
          </cell>
          <cell r="U1754">
            <v>31.181818</v>
          </cell>
          <cell r="V1754">
            <v>0</v>
          </cell>
          <cell r="W1754">
            <v>0</v>
          </cell>
          <cell r="X1754">
            <v>0.56547270000000005</v>
          </cell>
          <cell r="Y1754">
            <v>0</v>
          </cell>
          <cell r="Z1754">
            <v>34.277726999999999</v>
          </cell>
          <cell r="AA1754">
            <v>0</v>
          </cell>
          <cell r="AB1754">
            <v>0.15088180000000001</v>
          </cell>
        </row>
        <row r="1755">
          <cell r="A1755">
            <v>27513050</v>
          </cell>
          <cell r="B1755" t="str">
            <v>Roast beef sandwich with cheese</v>
          </cell>
          <cell r="I1755">
            <v>140</v>
          </cell>
          <cell r="J1755">
            <v>456.07229000000001</v>
          </cell>
          <cell r="K1755">
            <v>3.2576592142857144</v>
          </cell>
          <cell r="L1755">
            <v>0</v>
          </cell>
          <cell r="M1755">
            <v>12.036154</v>
          </cell>
          <cell r="N1755">
            <v>0</v>
          </cell>
          <cell r="O1755">
            <v>0.21724370000000001</v>
          </cell>
          <cell r="P1755">
            <v>1.3022454999999999</v>
          </cell>
          <cell r="Q1755">
            <v>1.6543038999999999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0.6979088</v>
          </cell>
          <cell r="Y1755">
            <v>0</v>
          </cell>
          <cell r="Z1755">
            <v>56.693216</v>
          </cell>
          <cell r="AA1755">
            <v>0</v>
          </cell>
          <cell r="AB1755">
            <v>0.54020520000000005</v>
          </cell>
        </row>
        <row r="1756">
          <cell r="A1756">
            <v>27515020</v>
          </cell>
          <cell r="B1756" t="str">
            <v>Steak and cheese submarine sandwich, with lettuce and tomato</v>
          </cell>
          <cell r="I1756">
            <v>140</v>
          </cell>
          <cell r="J1756">
            <v>256.2</v>
          </cell>
          <cell r="K1756">
            <v>1.8299999999999998</v>
          </cell>
          <cell r="L1756">
            <v>0.41728890000000002</v>
          </cell>
          <cell r="M1756">
            <v>2.8448000000000002</v>
          </cell>
          <cell r="N1756">
            <v>0</v>
          </cell>
          <cell r="O1756">
            <v>0.25619999999999998</v>
          </cell>
          <cell r="P1756">
            <v>1.2627111</v>
          </cell>
          <cell r="Q1756">
            <v>1.1816</v>
          </cell>
          <cell r="R1756">
            <v>0</v>
          </cell>
          <cell r="S1756">
            <v>0</v>
          </cell>
          <cell r="T1756">
            <v>0</v>
          </cell>
          <cell r="U1756">
            <v>30.52</v>
          </cell>
          <cell r="V1756">
            <v>0</v>
          </cell>
          <cell r="W1756">
            <v>0</v>
          </cell>
          <cell r="X1756">
            <v>0.62160000000000004</v>
          </cell>
          <cell r="Y1756">
            <v>0</v>
          </cell>
          <cell r="Z1756">
            <v>36.117899999999999</v>
          </cell>
          <cell r="AA1756">
            <v>0</v>
          </cell>
          <cell r="AB1756">
            <v>0.25619999999999998</v>
          </cell>
        </row>
        <row r="1757">
          <cell r="A1757">
            <v>27515030</v>
          </cell>
          <cell r="B1757" t="str">
            <v>Steak and cheese sandwich, plain, on roll</v>
          </cell>
          <cell r="I1757">
            <v>140</v>
          </cell>
          <cell r="J1757">
            <v>347.81096000000002</v>
          </cell>
          <cell r="K1757">
            <v>2.4843640000000002</v>
          </cell>
          <cell r="L1757">
            <v>0</v>
          </cell>
          <cell r="M1757">
            <v>6.0593554999999997</v>
          </cell>
          <cell r="N1757">
            <v>0</v>
          </cell>
          <cell r="O1757">
            <v>0.39118219999999998</v>
          </cell>
          <cell r="P1757">
            <v>0.83753809999999995</v>
          </cell>
          <cell r="Q1757">
            <v>1.3377345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0.73111550000000003</v>
          </cell>
          <cell r="Y1757">
            <v>0</v>
          </cell>
          <cell r="Z1757">
            <v>69.056062999999995</v>
          </cell>
          <cell r="AA1757">
            <v>0</v>
          </cell>
          <cell r="AB1757">
            <v>0.26247409999999999</v>
          </cell>
        </row>
        <row r="1758">
          <cell r="A1758">
            <v>27515040</v>
          </cell>
          <cell r="B1758" t="str">
            <v>Steak and cheese submarine sandwich, plain, on roll</v>
          </cell>
          <cell r="I1758">
            <v>140</v>
          </cell>
          <cell r="J1758">
            <v>352.56034</v>
          </cell>
          <cell r="K1758">
            <v>2.5182881428571426</v>
          </cell>
          <cell r="L1758">
            <v>0</v>
          </cell>
          <cell r="M1758">
            <v>5.5176366999999997</v>
          </cell>
          <cell r="N1758">
            <v>0</v>
          </cell>
          <cell r="O1758">
            <v>0.37013950000000001</v>
          </cell>
          <cell r="P1758">
            <v>1.0242834999999999</v>
          </cell>
          <cell r="Q1758">
            <v>1.4658525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0.72672950000000003</v>
          </cell>
          <cell r="Y1758">
            <v>0</v>
          </cell>
          <cell r="Z1758">
            <v>61.391164000000003</v>
          </cell>
          <cell r="AA1758">
            <v>0</v>
          </cell>
          <cell r="AB1758">
            <v>0.27038810000000002</v>
          </cell>
        </row>
        <row r="1759">
          <cell r="A1759">
            <v>27515070</v>
          </cell>
          <cell r="B1759" t="str">
            <v>Steak and cheese submarine sandwich, with fried peppers and onions, on roll</v>
          </cell>
          <cell r="I1759">
            <v>140</v>
          </cell>
          <cell r="J1759">
            <v>324.50558000000001</v>
          </cell>
          <cell r="K1759">
            <v>2.3178969999999999</v>
          </cell>
          <cell r="L1759">
            <v>0.40858369999999999</v>
          </cell>
          <cell r="M1759">
            <v>5.3327141999999998</v>
          </cell>
          <cell r="N1759">
            <v>0</v>
          </cell>
          <cell r="O1759">
            <v>0.18811069999999999</v>
          </cell>
          <cell r="P1759">
            <v>0.84360520000000006</v>
          </cell>
          <cell r="Q1759">
            <v>1.4796738</v>
          </cell>
          <cell r="R1759">
            <v>0</v>
          </cell>
          <cell r="S1759">
            <v>0</v>
          </cell>
          <cell r="T1759">
            <v>0</v>
          </cell>
          <cell r="U1759">
            <v>24.034334999999999</v>
          </cell>
          <cell r="V1759">
            <v>0</v>
          </cell>
          <cell r="W1759">
            <v>0</v>
          </cell>
          <cell r="X1759">
            <v>0.39669870000000002</v>
          </cell>
          <cell r="Y1759">
            <v>0</v>
          </cell>
          <cell r="Z1759">
            <v>50.532353999999998</v>
          </cell>
          <cell r="AA1759">
            <v>0</v>
          </cell>
          <cell r="AB1759">
            <v>0.1870687</v>
          </cell>
        </row>
        <row r="1760">
          <cell r="A1760">
            <v>27515080</v>
          </cell>
          <cell r="B1760" t="str">
            <v>Steak sandwich, plain, on biscuit</v>
          </cell>
          <cell r="I1760">
            <v>140</v>
          </cell>
          <cell r="J1760">
            <v>401.52</v>
          </cell>
          <cell r="K1760">
            <v>2.8679999999999999</v>
          </cell>
          <cell r="L1760">
            <v>-1.55E-16</v>
          </cell>
          <cell r="M1760">
            <v>2.591904</v>
          </cell>
          <cell r="N1760">
            <v>0</v>
          </cell>
          <cell r="O1760">
            <v>5.5160000000000001E-2</v>
          </cell>
          <cell r="P1760">
            <v>1.2376</v>
          </cell>
          <cell r="Q1760">
            <v>4.0791519999999997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0.92411200000000004</v>
          </cell>
          <cell r="Y1760">
            <v>0</v>
          </cell>
          <cell r="Z1760">
            <v>44.8</v>
          </cell>
          <cell r="AA1760">
            <v>0</v>
          </cell>
          <cell r="AB1760">
            <v>0.96313409999999999</v>
          </cell>
        </row>
        <row r="1761">
          <cell r="A1761">
            <v>27516010</v>
          </cell>
          <cell r="B1761" t="str">
            <v>Gyro sandwich (pita bread, beef, lamb, onion, condiments), with tomato and spread</v>
          </cell>
          <cell r="I1761">
            <v>140</v>
          </cell>
          <cell r="J1761">
            <v>233.9666</v>
          </cell>
          <cell r="K1761">
            <v>1.67119</v>
          </cell>
          <cell r="L1761">
            <v>0.53480000000000005</v>
          </cell>
          <cell r="M1761">
            <v>1.7217074000000001</v>
          </cell>
          <cell r="N1761">
            <v>0</v>
          </cell>
          <cell r="O1761">
            <v>6.3538999999999998E-2</v>
          </cell>
          <cell r="P1761">
            <v>0.91476000000000002</v>
          </cell>
          <cell r="Q1761">
            <v>0.77684180000000003</v>
          </cell>
          <cell r="R1761">
            <v>0</v>
          </cell>
          <cell r="S1761">
            <v>0</v>
          </cell>
          <cell r="T1761">
            <v>0</v>
          </cell>
          <cell r="U1761">
            <v>42</v>
          </cell>
          <cell r="V1761">
            <v>0</v>
          </cell>
          <cell r="W1761">
            <v>0</v>
          </cell>
          <cell r="X1761">
            <v>0.2560404</v>
          </cell>
          <cell r="Y1761">
            <v>0</v>
          </cell>
          <cell r="Z1761">
            <v>41.243195999999998</v>
          </cell>
          <cell r="AA1761">
            <v>0</v>
          </cell>
          <cell r="AB1761">
            <v>0.10409110000000001</v>
          </cell>
        </row>
        <row r="1762">
          <cell r="A1762">
            <v>27517000</v>
          </cell>
          <cell r="B1762" t="str">
            <v>Wrap sandwich filled with beef patty, cheese and spread and/or sauce</v>
          </cell>
          <cell r="I1762">
            <v>140</v>
          </cell>
          <cell r="J1762">
            <v>377.50589000000002</v>
          </cell>
          <cell r="K1762">
            <v>2.6964706428571432</v>
          </cell>
          <cell r="L1762">
            <v>0.2582853</v>
          </cell>
          <cell r="M1762">
            <v>8.7450016999999995</v>
          </cell>
          <cell r="N1762">
            <v>0</v>
          </cell>
          <cell r="O1762">
            <v>0.24044740000000001</v>
          </cell>
          <cell r="P1762">
            <v>1.7448556</v>
          </cell>
          <cell r="Q1762">
            <v>3.1257090000000001</v>
          </cell>
          <cell r="R1762">
            <v>0</v>
          </cell>
          <cell r="S1762">
            <v>0</v>
          </cell>
          <cell r="T1762">
            <v>0</v>
          </cell>
          <cell r="U1762">
            <v>16.428626999999999</v>
          </cell>
          <cell r="V1762">
            <v>0</v>
          </cell>
          <cell r="W1762">
            <v>0</v>
          </cell>
          <cell r="X1762">
            <v>0.78015230000000002</v>
          </cell>
          <cell r="Y1762">
            <v>0</v>
          </cell>
          <cell r="Z1762">
            <v>41.137011999999999</v>
          </cell>
          <cell r="AA1762">
            <v>0</v>
          </cell>
          <cell r="AB1762">
            <v>0.72459700000000005</v>
          </cell>
        </row>
        <row r="1763">
          <cell r="A1763">
            <v>27520130</v>
          </cell>
          <cell r="B1763" t="str">
            <v>Bacon, chicken, and tomato club sandwich, with lettuce and spread</v>
          </cell>
          <cell r="I1763">
            <v>140</v>
          </cell>
          <cell r="J1763">
            <v>308</v>
          </cell>
          <cell r="K1763">
            <v>2.2000000000000002</v>
          </cell>
          <cell r="L1763">
            <v>0.92184189999999999</v>
          </cell>
          <cell r="M1763">
            <v>4.3525999999999998</v>
          </cell>
          <cell r="N1763">
            <v>0</v>
          </cell>
          <cell r="O1763">
            <v>0.13300000000000001</v>
          </cell>
          <cell r="P1763">
            <v>0.75815809999999995</v>
          </cell>
          <cell r="Q1763">
            <v>2.6320000000000001</v>
          </cell>
          <cell r="R1763">
            <v>8.0640000000000001</v>
          </cell>
          <cell r="S1763">
            <v>0</v>
          </cell>
          <cell r="T1763">
            <v>0</v>
          </cell>
          <cell r="U1763">
            <v>23.52</v>
          </cell>
          <cell r="V1763">
            <v>0</v>
          </cell>
          <cell r="W1763">
            <v>0</v>
          </cell>
          <cell r="X1763">
            <v>0.88200000000000001</v>
          </cell>
          <cell r="Y1763">
            <v>0</v>
          </cell>
          <cell r="Z1763">
            <v>0</v>
          </cell>
          <cell r="AA1763">
            <v>3.5720999999999998</v>
          </cell>
          <cell r="AB1763">
            <v>9.9400000000000002E-2</v>
          </cell>
        </row>
        <row r="1764">
          <cell r="A1764">
            <v>27520135</v>
          </cell>
          <cell r="B1764" t="str">
            <v>Bacon, chicken, and tomato club sandwich, with cheese, lettuce and spread</v>
          </cell>
          <cell r="I1764">
            <v>140</v>
          </cell>
          <cell r="J1764">
            <v>308</v>
          </cell>
          <cell r="K1764">
            <v>2.2000000000000002</v>
          </cell>
          <cell r="L1764">
            <v>0.95164000000000004</v>
          </cell>
          <cell r="M1764">
            <v>4.3525999999999998</v>
          </cell>
          <cell r="N1764">
            <v>0</v>
          </cell>
          <cell r="O1764">
            <v>0.13300000000000001</v>
          </cell>
          <cell r="P1764">
            <v>0.72836000000000001</v>
          </cell>
          <cell r="Q1764">
            <v>2.6320000000000001</v>
          </cell>
          <cell r="R1764">
            <v>8.0640000000000001</v>
          </cell>
          <cell r="S1764">
            <v>0</v>
          </cell>
          <cell r="T1764">
            <v>0</v>
          </cell>
          <cell r="U1764">
            <v>23.52</v>
          </cell>
          <cell r="V1764">
            <v>0</v>
          </cell>
          <cell r="W1764">
            <v>0</v>
          </cell>
          <cell r="X1764">
            <v>0.88200000000000001</v>
          </cell>
          <cell r="Y1764">
            <v>0</v>
          </cell>
          <cell r="Z1764">
            <v>0</v>
          </cell>
          <cell r="AA1764">
            <v>3.5720999999999998</v>
          </cell>
          <cell r="AB1764">
            <v>9.9400000000000002E-2</v>
          </cell>
        </row>
        <row r="1765">
          <cell r="A1765">
            <v>27520155</v>
          </cell>
          <cell r="B1765" t="str">
            <v>Bacon, lettuce, and tomato submarine sandwich, with spread</v>
          </cell>
          <cell r="I1765">
            <v>140</v>
          </cell>
          <cell r="J1765">
            <v>287</v>
          </cell>
          <cell r="K1765">
            <v>2.0499999999999998</v>
          </cell>
          <cell r="L1765">
            <v>0.77347520000000003</v>
          </cell>
          <cell r="M1765">
            <v>2.6838000000000002</v>
          </cell>
          <cell r="N1765">
            <v>0</v>
          </cell>
          <cell r="O1765">
            <v>0.29399999999999998</v>
          </cell>
          <cell r="P1765">
            <v>1.4665248</v>
          </cell>
          <cell r="Q1765">
            <v>2.2637999999999998</v>
          </cell>
          <cell r="R1765">
            <v>0</v>
          </cell>
          <cell r="S1765">
            <v>0</v>
          </cell>
          <cell r="T1765">
            <v>0</v>
          </cell>
          <cell r="U1765">
            <v>63.28</v>
          </cell>
          <cell r="V1765">
            <v>0</v>
          </cell>
          <cell r="W1765">
            <v>0</v>
          </cell>
          <cell r="X1765">
            <v>0.49559999999999998</v>
          </cell>
          <cell r="Y1765">
            <v>0</v>
          </cell>
          <cell r="Z1765">
            <v>0</v>
          </cell>
          <cell r="AA1765">
            <v>13.0977</v>
          </cell>
          <cell r="AB1765">
            <v>4.3400000000000001E-2</v>
          </cell>
        </row>
        <row r="1766">
          <cell r="A1766">
            <v>27520156</v>
          </cell>
          <cell r="B1766" t="str">
            <v>Bacon, lettuce, tomato, and cheese submarine sandwich, with spread</v>
          </cell>
          <cell r="I1766">
            <v>140</v>
          </cell>
          <cell r="J1766">
            <v>326.68362999999999</v>
          </cell>
          <cell r="K1766">
            <v>2.3334544999999998</v>
          </cell>
          <cell r="L1766">
            <v>0.6552308</v>
          </cell>
          <cell r="M1766">
            <v>7.3901826000000002</v>
          </cell>
          <cell r="N1766">
            <v>0</v>
          </cell>
          <cell r="O1766">
            <v>0.25733080000000003</v>
          </cell>
          <cell r="P1766">
            <v>1.1856557000000001</v>
          </cell>
          <cell r="Q1766">
            <v>4.0435565000000002</v>
          </cell>
          <cell r="R1766">
            <v>0</v>
          </cell>
          <cell r="S1766">
            <v>0</v>
          </cell>
          <cell r="T1766">
            <v>0</v>
          </cell>
          <cell r="U1766">
            <v>54.602564000000001</v>
          </cell>
          <cell r="V1766">
            <v>0</v>
          </cell>
          <cell r="W1766">
            <v>0</v>
          </cell>
          <cell r="X1766">
            <v>0.98079079999999996</v>
          </cell>
          <cell r="Y1766">
            <v>0</v>
          </cell>
          <cell r="Z1766">
            <v>0</v>
          </cell>
          <cell r="AA1766">
            <v>16.718212999999999</v>
          </cell>
          <cell r="AB1766">
            <v>0.43441540000000001</v>
          </cell>
        </row>
        <row r="1767">
          <cell r="A1767">
            <v>27520160</v>
          </cell>
          <cell r="B1767" t="str">
            <v>Bacon, chicken, and tomato club sandwich, on multigrain roll with lettuce and spread</v>
          </cell>
          <cell r="I1767">
            <v>140</v>
          </cell>
          <cell r="J1767">
            <v>312.05641000000003</v>
          </cell>
          <cell r="K1767">
            <v>2.2289743571428575</v>
          </cell>
          <cell r="L1767">
            <v>0.3948718</v>
          </cell>
          <cell r="M1767">
            <v>5.8375991000000003</v>
          </cell>
          <cell r="N1767">
            <v>0</v>
          </cell>
          <cell r="O1767">
            <v>0.1549094</v>
          </cell>
          <cell r="P1767">
            <v>1.2504274</v>
          </cell>
          <cell r="Q1767">
            <v>2.6777932</v>
          </cell>
          <cell r="R1767">
            <v>0</v>
          </cell>
          <cell r="S1767">
            <v>0</v>
          </cell>
          <cell r="T1767">
            <v>0</v>
          </cell>
          <cell r="U1767">
            <v>32.905982999999999</v>
          </cell>
          <cell r="V1767">
            <v>0</v>
          </cell>
          <cell r="W1767">
            <v>0</v>
          </cell>
          <cell r="X1767">
            <v>0.59282820000000003</v>
          </cell>
          <cell r="Y1767">
            <v>0</v>
          </cell>
          <cell r="Z1767">
            <v>0</v>
          </cell>
          <cell r="AA1767">
            <v>15.387508</v>
          </cell>
          <cell r="AB1767">
            <v>0.2032852</v>
          </cell>
        </row>
        <row r="1768">
          <cell r="A1768">
            <v>27520165</v>
          </cell>
          <cell r="B1768" t="str">
            <v>Bacon, chicken fillet (breaded, fried), and tomato club with lettuce and spread</v>
          </cell>
          <cell r="I1768">
            <v>140</v>
          </cell>
          <cell r="J1768">
            <v>359.11470000000003</v>
          </cell>
          <cell r="K1768">
            <v>2.5651050000000004</v>
          </cell>
          <cell r="L1768">
            <v>1.0321503999999999</v>
          </cell>
          <cell r="M1768">
            <v>5.4596223000000004</v>
          </cell>
          <cell r="N1768">
            <v>0</v>
          </cell>
          <cell r="O1768">
            <v>0.1771298</v>
          </cell>
          <cell r="P1768">
            <v>1.3970795</v>
          </cell>
          <cell r="Q1768">
            <v>6.0912084999999996</v>
          </cell>
          <cell r="R1768">
            <v>6.1682627999999999</v>
          </cell>
          <cell r="S1768">
            <v>0</v>
          </cell>
          <cell r="T1768">
            <v>0</v>
          </cell>
          <cell r="U1768">
            <v>26.009692999999999</v>
          </cell>
          <cell r="V1768">
            <v>0</v>
          </cell>
          <cell r="W1768">
            <v>0</v>
          </cell>
          <cell r="X1768">
            <v>0.82526189999999999</v>
          </cell>
          <cell r="Y1768">
            <v>0</v>
          </cell>
          <cell r="Z1768">
            <v>0</v>
          </cell>
          <cell r="AA1768">
            <v>3.8779501999999999</v>
          </cell>
          <cell r="AB1768">
            <v>0.26209909999999997</v>
          </cell>
        </row>
        <row r="1769">
          <cell r="A1769">
            <v>27520166</v>
          </cell>
          <cell r="B1769" t="str">
            <v>Bacon, breaded fried chicken fillet, and tomato club sandwich with cheese, lettuce and spread</v>
          </cell>
          <cell r="I1769">
            <v>140</v>
          </cell>
          <cell r="J1769">
            <v>359.8</v>
          </cell>
          <cell r="K1769">
            <v>2.5700000000000003</v>
          </cell>
          <cell r="L1769">
            <v>0.79754519999999995</v>
          </cell>
          <cell r="M1769">
            <v>4.7207999999999997</v>
          </cell>
          <cell r="N1769">
            <v>0</v>
          </cell>
          <cell r="O1769">
            <v>0.1288</v>
          </cell>
          <cell r="P1769">
            <v>0.88245479999999998</v>
          </cell>
          <cell r="Q1769">
            <v>4.4897999999999998</v>
          </cell>
          <cell r="R1769">
            <v>8.0640000000000001</v>
          </cell>
          <cell r="S1769">
            <v>0</v>
          </cell>
          <cell r="T1769">
            <v>0</v>
          </cell>
          <cell r="U1769">
            <v>23.52</v>
          </cell>
          <cell r="V1769">
            <v>0</v>
          </cell>
          <cell r="W1769">
            <v>0</v>
          </cell>
          <cell r="X1769">
            <v>0.84699999999999998</v>
          </cell>
          <cell r="Y1769">
            <v>0</v>
          </cell>
          <cell r="Z1769">
            <v>0</v>
          </cell>
          <cell r="AA1769">
            <v>3.5720999999999998</v>
          </cell>
          <cell r="AB1769">
            <v>0.12908910000000001</v>
          </cell>
        </row>
        <row r="1770">
          <cell r="A1770">
            <v>27520170</v>
          </cell>
          <cell r="B1770" t="str">
            <v>Bacon on biscuit</v>
          </cell>
          <cell r="I1770">
            <v>140</v>
          </cell>
          <cell r="J1770">
            <v>496.49599999999998</v>
          </cell>
          <cell r="K1770">
            <v>3.5463999999999998</v>
          </cell>
          <cell r="L1770">
            <v>3.1089999999999998E-16</v>
          </cell>
          <cell r="M1770">
            <v>4.1900095999999998</v>
          </cell>
          <cell r="N1770">
            <v>0</v>
          </cell>
          <cell r="O1770">
            <v>6.1790400000000002E-2</v>
          </cell>
          <cell r="P1770">
            <v>1.58704</v>
          </cell>
          <cell r="Q1770">
            <v>6.1957728000000003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1.4517663999999999</v>
          </cell>
          <cell r="Y1770">
            <v>0</v>
          </cell>
          <cell r="Z1770">
            <v>0</v>
          </cell>
          <cell r="AA1770">
            <v>12.802406</v>
          </cell>
          <cell r="AB1770">
            <v>1.3495482000000001</v>
          </cell>
        </row>
        <row r="1771">
          <cell r="A1771">
            <v>27520250</v>
          </cell>
          <cell r="B1771" t="str">
            <v>Ham on biscuit</v>
          </cell>
          <cell r="I1771">
            <v>140</v>
          </cell>
          <cell r="J1771">
            <v>478.8</v>
          </cell>
          <cell r="K1771">
            <v>3.42</v>
          </cell>
          <cell r="L1771">
            <v>0</v>
          </cell>
          <cell r="M1771">
            <v>14.134399999999999</v>
          </cell>
          <cell r="N1771">
            <v>0</v>
          </cell>
          <cell r="O1771">
            <v>0.1988</v>
          </cell>
          <cell r="P1771">
            <v>0.98</v>
          </cell>
          <cell r="Q1771">
            <v>1.2851999999999999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1.3635999999999999</v>
          </cell>
          <cell r="Y1771">
            <v>0</v>
          </cell>
          <cell r="Z1771">
            <v>0</v>
          </cell>
          <cell r="AA1771">
            <v>51.993899999999996</v>
          </cell>
          <cell r="AB1771">
            <v>0.72372639999999999</v>
          </cell>
        </row>
        <row r="1772">
          <cell r="A1772">
            <v>27520300</v>
          </cell>
          <cell r="B1772" t="str">
            <v>Ham sandwich, with spread</v>
          </cell>
          <cell r="I1772">
            <v>140</v>
          </cell>
          <cell r="J1772">
            <v>337.34760999999997</v>
          </cell>
          <cell r="K1772">
            <v>2.4096257857142853</v>
          </cell>
          <cell r="L1772">
            <v>-3.1100000000000002E-16</v>
          </cell>
          <cell r="M1772">
            <v>3.3487288999999998</v>
          </cell>
          <cell r="N1772">
            <v>0</v>
          </cell>
          <cell r="O1772">
            <v>0.1109908</v>
          </cell>
          <cell r="P1772">
            <v>2.6332762000000001</v>
          </cell>
          <cell r="Q1772">
            <v>5.1713893000000004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1.1311663000000001</v>
          </cell>
          <cell r="Y1772">
            <v>0</v>
          </cell>
          <cell r="Z1772">
            <v>0</v>
          </cell>
          <cell r="AA1772">
            <v>66.385114000000002</v>
          </cell>
          <cell r="AB1772">
            <v>3.8348599999999997E-2</v>
          </cell>
        </row>
        <row r="1773">
          <cell r="A1773">
            <v>27520370</v>
          </cell>
          <cell r="B1773" t="str">
            <v>Hot ham and cheese sandwich, on bun</v>
          </cell>
          <cell r="I1773">
            <v>140</v>
          </cell>
          <cell r="J1773">
            <v>297.78181999999998</v>
          </cell>
          <cell r="K1773">
            <v>2.1270129999999998</v>
          </cell>
          <cell r="L1773">
            <v>0.32727270000000003</v>
          </cell>
          <cell r="M1773">
            <v>4.9340545000000002</v>
          </cell>
          <cell r="N1773">
            <v>0</v>
          </cell>
          <cell r="O1773">
            <v>0.294103</v>
          </cell>
          <cell r="P1773">
            <v>1.3242423999999999</v>
          </cell>
          <cell r="Q1773">
            <v>5.0291515000000002</v>
          </cell>
          <cell r="R1773">
            <v>0</v>
          </cell>
          <cell r="S1773">
            <v>0</v>
          </cell>
          <cell r="T1773">
            <v>0</v>
          </cell>
          <cell r="U1773">
            <v>27.272727</v>
          </cell>
          <cell r="V1773">
            <v>0</v>
          </cell>
          <cell r="W1773">
            <v>0</v>
          </cell>
          <cell r="X1773">
            <v>1.0335939000000001</v>
          </cell>
          <cell r="Y1773">
            <v>0</v>
          </cell>
          <cell r="Z1773">
            <v>0</v>
          </cell>
          <cell r="AA1773">
            <v>51.515152</v>
          </cell>
          <cell r="AB1773">
            <v>0.15937580000000001</v>
          </cell>
        </row>
        <row r="1774">
          <cell r="A1774">
            <v>27520380</v>
          </cell>
          <cell r="B1774" t="str">
            <v>Ham and cheese on English muffin</v>
          </cell>
          <cell r="I1774">
            <v>140</v>
          </cell>
          <cell r="J1774">
            <v>354.88600000000002</v>
          </cell>
          <cell r="K1774">
            <v>2.5349000000000004</v>
          </cell>
          <cell r="L1774">
            <v>-3.1100000000000002E-16</v>
          </cell>
          <cell r="M1774">
            <v>9.9656269999999996</v>
          </cell>
          <cell r="N1774">
            <v>0</v>
          </cell>
          <cell r="O1774">
            <v>0.39716600000000002</v>
          </cell>
          <cell r="P1774">
            <v>1.96</v>
          </cell>
          <cell r="Q1774">
            <v>0.93533999999999995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1.038961</v>
          </cell>
          <cell r="Y1774">
            <v>0</v>
          </cell>
          <cell r="Z1774">
            <v>0</v>
          </cell>
          <cell r="AA1774">
            <v>41.549897000000001</v>
          </cell>
          <cell r="AB1774">
            <v>0.391125</v>
          </cell>
        </row>
        <row r="1775">
          <cell r="A1775">
            <v>27520390</v>
          </cell>
          <cell r="B1775" t="str">
            <v>Ham and cheese submarine sandwich, with lettuce, tomato and spread</v>
          </cell>
          <cell r="I1775">
            <v>140</v>
          </cell>
          <cell r="J1775">
            <v>211.4</v>
          </cell>
          <cell r="K1775">
            <v>1.51</v>
          </cell>
          <cell r="L1775">
            <v>0.43260920000000003</v>
          </cell>
          <cell r="M1775">
            <v>0.87639999999999996</v>
          </cell>
          <cell r="N1775">
            <v>0</v>
          </cell>
          <cell r="O1775">
            <v>0.2366</v>
          </cell>
          <cell r="P1775">
            <v>1.3873907999999999</v>
          </cell>
          <cell r="Q1775">
            <v>1.1634</v>
          </cell>
          <cell r="R1775">
            <v>0</v>
          </cell>
          <cell r="S1775">
            <v>0</v>
          </cell>
          <cell r="T1775">
            <v>0</v>
          </cell>
          <cell r="U1775">
            <v>30.52</v>
          </cell>
          <cell r="V1775">
            <v>0</v>
          </cell>
          <cell r="W1775">
            <v>0</v>
          </cell>
          <cell r="X1775">
            <v>0.5544</v>
          </cell>
          <cell r="Y1775">
            <v>0</v>
          </cell>
          <cell r="Z1775">
            <v>0</v>
          </cell>
          <cell r="AA1775">
            <v>27.386099999999999</v>
          </cell>
          <cell r="AB1775">
            <v>1.8200000000000001E-2</v>
          </cell>
        </row>
        <row r="1776">
          <cell r="A1776">
            <v>27520500</v>
          </cell>
          <cell r="B1776" t="str">
            <v>Pork sandwich, on white roll, with onions, dill pickles and barbecue sauce</v>
          </cell>
          <cell r="I1776">
            <v>195</v>
          </cell>
          <cell r="J1776">
            <v>435.11178999999998</v>
          </cell>
          <cell r="K1776">
            <v>2.2313425128205129</v>
          </cell>
          <cell r="L1776">
            <v>0.44730439999999999</v>
          </cell>
          <cell r="M1776">
            <v>4.2543702000000003</v>
          </cell>
          <cell r="N1776">
            <v>0</v>
          </cell>
          <cell r="O1776">
            <v>0.1355394</v>
          </cell>
          <cell r="P1776">
            <v>1.3852008</v>
          </cell>
          <cell r="Q1776">
            <v>2.3391858000000001</v>
          </cell>
          <cell r="R1776">
            <v>0</v>
          </cell>
          <cell r="S1776">
            <v>0</v>
          </cell>
          <cell r="T1776">
            <v>0</v>
          </cell>
          <cell r="U1776">
            <v>18.703818999999999</v>
          </cell>
          <cell r="V1776">
            <v>0</v>
          </cell>
          <cell r="W1776">
            <v>0</v>
          </cell>
          <cell r="X1776">
            <v>0.9374903</v>
          </cell>
          <cell r="Y1776">
            <v>0</v>
          </cell>
          <cell r="Z1776">
            <v>68.927811000000005</v>
          </cell>
          <cell r="AA1776">
            <v>0</v>
          </cell>
          <cell r="AB1776">
            <v>9.3068200000000004E-2</v>
          </cell>
        </row>
        <row r="1777">
          <cell r="A1777">
            <v>27520510</v>
          </cell>
          <cell r="B1777" t="str">
            <v>Pork barbecue sandwich or Sloppy Joe, on bun</v>
          </cell>
          <cell r="I1777">
            <v>140</v>
          </cell>
          <cell r="J1777">
            <v>291.90701000000001</v>
          </cell>
          <cell r="K1777">
            <v>2.0850500714285713</v>
          </cell>
          <cell r="L1777">
            <v>0.53754489999999999</v>
          </cell>
          <cell r="M1777">
            <v>1.7061841</v>
          </cell>
          <cell r="N1777">
            <v>0</v>
          </cell>
          <cell r="O1777">
            <v>7.9111799999999996E-2</v>
          </cell>
          <cell r="P1777">
            <v>0.64218240000000004</v>
          </cell>
          <cell r="Q1777">
            <v>1.0802349</v>
          </cell>
          <cell r="R1777">
            <v>0</v>
          </cell>
          <cell r="S1777">
            <v>0</v>
          </cell>
          <cell r="T1777">
            <v>0</v>
          </cell>
          <cell r="U1777">
            <v>19.023115000000001</v>
          </cell>
          <cell r="V1777">
            <v>0</v>
          </cell>
          <cell r="W1777">
            <v>0</v>
          </cell>
          <cell r="X1777">
            <v>0.81416960000000005</v>
          </cell>
          <cell r="Y1777">
            <v>0</v>
          </cell>
          <cell r="Z1777">
            <v>44.595996999999997</v>
          </cell>
          <cell r="AA1777">
            <v>0</v>
          </cell>
          <cell r="AB1777">
            <v>2.3903500000000001E-2</v>
          </cell>
        </row>
        <row r="1778">
          <cell r="A1778">
            <v>27540110</v>
          </cell>
          <cell r="B1778" t="str">
            <v>Chicken sandwich, with spread</v>
          </cell>
          <cell r="I1778">
            <v>140</v>
          </cell>
          <cell r="J1778">
            <v>312.07697999999999</v>
          </cell>
          <cell r="K1778">
            <v>2.2291212857142857</v>
          </cell>
          <cell r="L1778">
            <v>0</v>
          </cell>
          <cell r="M1778">
            <v>1.6887665999999999</v>
          </cell>
          <cell r="N1778">
            <v>0</v>
          </cell>
          <cell r="O1778">
            <v>0.105404</v>
          </cell>
          <cell r="P1778">
            <v>1.8025598</v>
          </cell>
          <cell r="Q1778">
            <v>3.8424716999999999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0.65284980000000004</v>
          </cell>
          <cell r="Y1778">
            <v>0</v>
          </cell>
          <cell r="Z1778">
            <v>0</v>
          </cell>
          <cell r="AA1778">
            <v>0</v>
          </cell>
          <cell r="AB1778">
            <v>2.8242699999999999E-2</v>
          </cell>
        </row>
        <row r="1779">
          <cell r="A1779">
            <v>27540120</v>
          </cell>
          <cell r="B1779" t="str">
            <v>Chicken salad or chicken spread sandwich</v>
          </cell>
          <cell r="I1779">
            <v>140</v>
          </cell>
          <cell r="J1779">
            <v>316.30804000000001</v>
          </cell>
          <cell r="K1779">
            <v>2.2593431428571429</v>
          </cell>
          <cell r="L1779">
            <v>0.35220129999999999</v>
          </cell>
          <cell r="M1779">
            <v>2.4068239999999999</v>
          </cell>
          <cell r="N1779">
            <v>0</v>
          </cell>
          <cell r="O1779">
            <v>9.1795399999999999E-2</v>
          </cell>
          <cell r="P1779">
            <v>1.4792453000000001</v>
          </cell>
          <cell r="Q1779">
            <v>7.3138338000000003</v>
          </cell>
          <cell r="R1779">
            <v>0</v>
          </cell>
          <cell r="S1779">
            <v>0</v>
          </cell>
          <cell r="T1779">
            <v>0</v>
          </cell>
          <cell r="U1779">
            <v>22.012578999999999</v>
          </cell>
          <cell r="V1779">
            <v>0</v>
          </cell>
          <cell r="W1779">
            <v>0</v>
          </cell>
          <cell r="X1779">
            <v>0.48822729999999998</v>
          </cell>
          <cell r="Y1779">
            <v>0</v>
          </cell>
          <cell r="Z1779">
            <v>0</v>
          </cell>
          <cell r="AA1779">
            <v>0</v>
          </cell>
          <cell r="AB1779">
            <v>4.0039400000000003E-2</v>
          </cell>
        </row>
        <row r="1780">
          <cell r="A1780">
            <v>27540130</v>
          </cell>
          <cell r="B1780" t="str">
            <v>Chicken barbecue sandwich</v>
          </cell>
          <cell r="I1780">
            <v>140</v>
          </cell>
          <cell r="J1780">
            <v>310.88274999999999</v>
          </cell>
          <cell r="K1780">
            <v>2.2205910714285713</v>
          </cell>
          <cell r="L1780">
            <v>0.12479229999999999</v>
          </cell>
          <cell r="M1780">
            <v>1.7367379999999999</v>
          </cell>
          <cell r="N1780">
            <v>0</v>
          </cell>
          <cell r="O1780">
            <v>0.1042855</v>
          </cell>
          <cell r="P1780">
            <v>1.6907348</v>
          </cell>
          <cell r="Q1780">
            <v>2.0886770000000001</v>
          </cell>
          <cell r="R1780">
            <v>0</v>
          </cell>
          <cell r="S1780">
            <v>0</v>
          </cell>
          <cell r="T1780">
            <v>0</v>
          </cell>
          <cell r="U1780">
            <v>4.4162619999999997</v>
          </cell>
          <cell r="V1780">
            <v>0</v>
          </cell>
          <cell r="W1780">
            <v>0</v>
          </cell>
          <cell r="X1780">
            <v>0.54710479999999995</v>
          </cell>
          <cell r="Y1780">
            <v>0</v>
          </cell>
          <cell r="Z1780">
            <v>0</v>
          </cell>
          <cell r="AA1780">
            <v>0</v>
          </cell>
          <cell r="AB1780">
            <v>1.69074E-2</v>
          </cell>
        </row>
        <row r="1781">
          <cell r="A1781">
            <v>27540140</v>
          </cell>
          <cell r="B1781" t="str">
            <v>Chicken fillet, breaded, fried, sandwich</v>
          </cell>
          <cell r="I1781">
            <v>140</v>
          </cell>
          <cell r="J1781">
            <v>350</v>
          </cell>
          <cell r="K1781">
            <v>2.5</v>
          </cell>
          <cell r="L1781">
            <v>0</v>
          </cell>
          <cell r="M1781">
            <v>2.9722</v>
          </cell>
          <cell r="N1781">
            <v>0</v>
          </cell>
          <cell r="O1781">
            <v>8.1199999999999994E-2</v>
          </cell>
          <cell r="P1781">
            <v>1.96</v>
          </cell>
          <cell r="Q1781">
            <v>4.4478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1.0542</v>
          </cell>
          <cell r="Y1781">
            <v>0</v>
          </cell>
          <cell r="Z1781">
            <v>0</v>
          </cell>
          <cell r="AA1781">
            <v>0</v>
          </cell>
          <cell r="AB1781">
            <v>4.2000000000000003E-2</v>
          </cell>
        </row>
        <row r="1782">
          <cell r="A1782">
            <v>27540145</v>
          </cell>
          <cell r="B1782" t="str">
            <v>Chicken fillet, breaded, fried, sandwich on biscuit</v>
          </cell>
          <cell r="I1782">
            <v>140</v>
          </cell>
          <cell r="J1782">
            <v>420</v>
          </cell>
          <cell r="K1782">
            <v>3</v>
          </cell>
          <cell r="L1782">
            <v>0</v>
          </cell>
          <cell r="M1782">
            <v>7.9968000000000004</v>
          </cell>
          <cell r="N1782">
            <v>0</v>
          </cell>
          <cell r="O1782">
            <v>6.1600000000000002E-2</v>
          </cell>
          <cell r="P1782">
            <v>1.96</v>
          </cell>
          <cell r="Q1782">
            <v>4.6311999999999998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1.2152000000000001</v>
          </cell>
          <cell r="Y1782">
            <v>0</v>
          </cell>
          <cell r="Z1782">
            <v>0</v>
          </cell>
          <cell r="AA1782">
            <v>0</v>
          </cell>
          <cell r="AB1782">
            <v>9.8000000000000004E-2</v>
          </cell>
        </row>
        <row r="1783">
          <cell r="A1783">
            <v>27540150</v>
          </cell>
          <cell r="B1783" t="str">
            <v>Chicken fillet, breaded, fried, sandwich with lettuce, tomato and spread</v>
          </cell>
          <cell r="I1783">
            <v>140</v>
          </cell>
          <cell r="J1783">
            <v>386.4</v>
          </cell>
          <cell r="K1783">
            <v>2.76</v>
          </cell>
          <cell r="L1783">
            <v>0.63331780000000004</v>
          </cell>
          <cell r="M1783">
            <v>3.4453999999999998</v>
          </cell>
          <cell r="N1783">
            <v>0</v>
          </cell>
          <cell r="O1783">
            <v>0.1008</v>
          </cell>
          <cell r="P1783">
            <v>1.3266822</v>
          </cell>
          <cell r="Q1783">
            <v>7.8834</v>
          </cell>
          <cell r="R1783">
            <v>0</v>
          </cell>
          <cell r="S1783">
            <v>0</v>
          </cell>
          <cell r="T1783">
            <v>0</v>
          </cell>
          <cell r="U1783">
            <v>53.13</v>
          </cell>
          <cell r="V1783">
            <v>0</v>
          </cell>
          <cell r="W1783">
            <v>0</v>
          </cell>
          <cell r="X1783">
            <v>0.86380000000000001</v>
          </cell>
          <cell r="Y1783">
            <v>0</v>
          </cell>
          <cell r="Z1783">
            <v>0</v>
          </cell>
          <cell r="AA1783">
            <v>0</v>
          </cell>
          <cell r="AB1783">
            <v>0.10920000000000001</v>
          </cell>
        </row>
        <row r="1784">
          <cell r="A1784">
            <v>27540151</v>
          </cell>
          <cell r="B1784" t="str">
            <v>Chicken fillet, breaded, fried, sandwich with cheese, lettuce, tomato and spread</v>
          </cell>
          <cell r="I1784">
            <v>140</v>
          </cell>
          <cell r="J1784">
            <v>399.7</v>
          </cell>
          <cell r="K1784">
            <v>2.855</v>
          </cell>
          <cell r="L1784">
            <v>0.56998610000000005</v>
          </cell>
          <cell r="M1784">
            <v>5.6288400000000003</v>
          </cell>
          <cell r="N1784">
            <v>0</v>
          </cell>
          <cell r="O1784">
            <v>0.23702000000000001</v>
          </cell>
          <cell r="P1784">
            <v>1.1940139000000001</v>
          </cell>
          <cell r="Q1784">
            <v>7.2751000000000001</v>
          </cell>
          <cell r="R1784">
            <v>0</v>
          </cell>
          <cell r="S1784">
            <v>0</v>
          </cell>
          <cell r="T1784">
            <v>0</v>
          </cell>
          <cell r="U1784">
            <v>47.817</v>
          </cell>
          <cell r="V1784">
            <v>0</v>
          </cell>
          <cell r="W1784">
            <v>0</v>
          </cell>
          <cell r="X1784">
            <v>1.01136</v>
          </cell>
          <cell r="Y1784">
            <v>0</v>
          </cell>
          <cell r="Z1784">
            <v>0</v>
          </cell>
          <cell r="AA1784">
            <v>0</v>
          </cell>
          <cell r="AB1784">
            <v>0.25844</v>
          </cell>
        </row>
        <row r="1785">
          <cell r="A1785">
            <v>27540170</v>
          </cell>
          <cell r="B1785" t="str">
            <v>Chicken patty sandwich, miniature, with spread</v>
          </cell>
          <cell r="I1785">
            <v>140</v>
          </cell>
          <cell r="J1785">
            <v>423.33748000000003</v>
          </cell>
          <cell r="K1785">
            <v>3.0238391428571432</v>
          </cell>
          <cell r="L1785">
            <v>0</v>
          </cell>
          <cell r="M1785">
            <v>3.394088</v>
          </cell>
          <cell r="N1785">
            <v>0</v>
          </cell>
          <cell r="O1785">
            <v>9.8223599999999994E-2</v>
          </cell>
          <cell r="P1785">
            <v>1.9206847</v>
          </cell>
          <cell r="Q1785">
            <v>9.4517184000000007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0.90073749999999997</v>
          </cell>
          <cell r="Y1785">
            <v>0</v>
          </cell>
          <cell r="Z1785">
            <v>0</v>
          </cell>
          <cell r="AA1785">
            <v>0</v>
          </cell>
          <cell r="AB1785">
            <v>7.0917099999999997E-2</v>
          </cell>
        </row>
        <row r="1786">
          <cell r="A1786">
            <v>27540180</v>
          </cell>
          <cell r="B1786" t="str">
            <v>Chicken patty sandwich or biscuit</v>
          </cell>
          <cell r="I1786">
            <v>140</v>
          </cell>
          <cell r="J1786">
            <v>431.51110999999997</v>
          </cell>
          <cell r="K1786">
            <v>3.0822222142857143</v>
          </cell>
          <cell r="L1786">
            <v>0</v>
          </cell>
          <cell r="M1786">
            <v>2.8547555999999998</v>
          </cell>
          <cell r="N1786">
            <v>0</v>
          </cell>
          <cell r="O1786">
            <v>4.86889E-2</v>
          </cell>
          <cell r="P1786">
            <v>1.7577777999999999</v>
          </cell>
          <cell r="Q1786">
            <v>6.8478667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1.2111556000000001</v>
          </cell>
          <cell r="Y1786">
            <v>0</v>
          </cell>
          <cell r="Z1786">
            <v>0</v>
          </cell>
          <cell r="AA1786">
            <v>0</v>
          </cell>
          <cell r="AB1786">
            <v>0.91562189999999999</v>
          </cell>
        </row>
        <row r="1787">
          <cell r="A1787">
            <v>27540190</v>
          </cell>
          <cell r="B1787" t="str">
            <v>Chicken patty sandwich, with lettuce and spread</v>
          </cell>
          <cell r="I1787">
            <v>140</v>
          </cell>
          <cell r="J1787">
            <v>386.4</v>
          </cell>
          <cell r="K1787">
            <v>2.76</v>
          </cell>
          <cell r="L1787">
            <v>0.63331780000000004</v>
          </cell>
          <cell r="M1787">
            <v>3.4453999999999998</v>
          </cell>
          <cell r="N1787">
            <v>0</v>
          </cell>
          <cell r="O1787">
            <v>0.1008</v>
          </cell>
          <cell r="P1787">
            <v>1.3266822</v>
          </cell>
          <cell r="Q1787">
            <v>7.8834</v>
          </cell>
          <cell r="R1787">
            <v>0</v>
          </cell>
          <cell r="S1787">
            <v>0</v>
          </cell>
          <cell r="T1787">
            <v>0</v>
          </cell>
          <cell r="U1787">
            <v>53.13</v>
          </cell>
          <cell r="V1787">
            <v>0</v>
          </cell>
          <cell r="W1787">
            <v>0</v>
          </cell>
          <cell r="X1787">
            <v>0.86380000000000001</v>
          </cell>
          <cell r="Y1787">
            <v>0</v>
          </cell>
          <cell r="Z1787">
            <v>0</v>
          </cell>
          <cell r="AA1787">
            <v>0</v>
          </cell>
          <cell r="AB1787">
            <v>0.10920000000000001</v>
          </cell>
        </row>
        <row r="1788">
          <cell r="A1788">
            <v>27540200</v>
          </cell>
          <cell r="B1788" t="str">
            <v>Fajita-style chicken sandwich with cheese, on pita bread, with lettuce and tomato</v>
          </cell>
          <cell r="I1788">
            <v>140</v>
          </cell>
          <cell r="J1788">
            <v>217.95124000000001</v>
          </cell>
          <cell r="K1788">
            <v>1.5567945714285716</v>
          </cell>
          <cell r="L1788">
            <v>1.0239468</v>
          </cell>
          <cell r="M1788">
            <v>3.0430725000000001</v>
          </cell>
          <cell r="N1788">
            <v>0</v>
          </cell>
          <cell r="O1788">
            <v>0.127882</v>
          </cell>
          <cell r="P1788">
            <v>0.67606279999999996</v>
          </cell>
          <cell r="Q1788">
            <v>1.6661356</v>
          </cell>
          <cell r="R1788">
            <v>0</v>
          </cell>
          <cell r="S1788">
            <v>0</v>
          </cell>
          <cell r="T1788">
            <v>0</v>
          </cell>
          <cell r="U1788">
            <v>63.657192999999999</v>
          </cell>
          <cell r="V1788">
            <v>0</v>
          </cell>
          <cell r="W1788">
            <v>0</v>
          </cell>
          <cell r="X1788">
            <v>0.80936439999999998</v>
          </cell>
          <cell r="Y1788">
            <v>0</v>
          </cell>
          <cell r="Z1788">
            <v>0</v>
          </cell>
          <cell r="AA1788">
            <v>0</v>
          </cell>
          <cell r="AB1788">
            <v>0.3165442</v>
          </cell>
        </row>
        <row r="1789">
          <cell r="A1789">
            <v>27540210</v>
          </cell>
          <cell r="B1789" t="str">
            <v>Wrap sandwich filled with breaded fried chicken strips, cheese, lettuce, and spread</v>
          </cell>
          <cell r="I1789">
            <v>140</v>
          </cell>
          <cell r="J1789">
            <v>385</v>
          </cell>
          <cell r="K1789">
            <v>2.75</v>
          </cell>
          <cell r="L1789">
            <v>0.15396689999999999</v>
          </cell>
          <cell r="M1789">
            <v>5.3718000000000004</v>
          </cell>
          <cell r="N1789">
            <v>0</v>
          </cell>
          <cell r="O1789">
            <v>0.1232</v>
          </cell>
          <cell r="P1789">
            <v>1.6660330999999999</v>
          </cell>
          <cell r="Q1789">
            <v>6.8963999999999999</v>
          </cell>
          <cell r="R1789">
            <v>0</v>
          </cell>
          <cell r="S1789">
            <v>0</v>
          </cell>
          <cell r="T1789">
            <v>0</v>
          </cell>
          <cell r="U1789">
            <v>13.86</v>
          </cell>
          <cell r="V1789">
            <v>0</v>
          </cell>
          <cell r="W1789">
            <v>0</v>
          </cell>
          <cell r="X1789">
            <v>0.8498</v>
          </cell>
          <cell r="Y1789">
            <v>0</v>
          </cell>
          <cell r="Z1789">
            <v>0</v>
          </cell>
          <cell r="AA1789">
            <v>0</v>
          </cell>
          <cell r="AB1789">
            <v>0.2016</v>
          </cell>
        </row>
        <row r="1790">
          <cell r="A1790">
            <v>27540235</v>
          </cell>
          <cell r="B1790" t="str">
            <v>Chicken fillet, broiled, sandwich with lettuce, tomato, and spread</v>
          </cell>
          <cell r="I1790">
            <v>140</v>
          </cell>
          <cell r="J1790">
            <v>254.8</v>
          </cell>
          <cell r="K1790">
            <v>1.82</v>
          </cell>
          <cell r="L1790">
            <v>0.33609349999999999</v>
          </cell>
          <cell r="M1790">
            <v>1.3286</v>
          </cell>
          <cell r="N1790">
            <v>0</v>
          </cell>
          <cell r="O1790">
            <v>8.6800000000000002E-2</v>
          </cell>
          <cell r="P1790">
            <v>0.92390649999999996</v>
          </cell>
          <cell r="Q1790">
            <v>2.5746000000000002</v>
          </cell>
          <cell r="R1790">
            <v>0</v>
          </cell>
          <cell r="S1790">
            <v>0</v>
          </cell>
          <cell r="T1790">
            <v>0</v>
          </cell>
          <cell r="U1790">
            <v>28.14</v>
          </cell>
          <cell r="V1790">
            <v>0</v>
          </cell>
          <cell r="W1790">
            <v>0</v>
          </cell>
          <cell r="X1790">
            <v>0.5978</v>
          </cell>
          <cell r="Y1790">
            <v>0</v>
          </cell>
          <cell r="Z1790">
            <v>0</v>
          </cell>
          <cell r="AA1790">
            <v>0</v>
          </cell>
          <cell r="AB1790">
            <v>0</v>
          </cell>
        </row>
        <row r="1791">
          <cell r="A1791">
            <v>27540240</v>
          </cell>
          <cell r="B1791" t="str">
            <v>Chicken fillet, broiled, sandwich, on whole wheat roll, with lettuce, tomato and spread</v>
          </cell>
          <cell r="I1791">
            <v>140</v>
          </cell>
          <cell r="J1791">
            <v>285.08260000000001</v>
          </cell>
          <cell r="K1791">
            <v>2.0363042857142859</v>
          </cell>
          <cell r="L1791">
            <v>4.1846639000000003</v>
          </cell>
          <cell r="M1791">
            <v>1.8441599</v>
          </cell>
          <cell r="N1791">
            <v>0</v>
          </cell>
          <cell r="O1791">
            <v>6.7432400000000003E-2</v>
          </cell>
          <cell r="P1791">
            <v>0</v>
          </cell>
          <cell r="Q1791">
            <v>4.7270700999999997</v>
          </cell>
          <cell r="R1791">
            <v>29.185348000000001</v>
          </cell>
          <cell r="S1791">
            <v>0</v>
          </cell>
          <cell r="T1791">
            <v>0</v>
          </cell>
          <cell r="U1791">
            <v>22.992659</v>
          </cell>
          <cell r="V1791">
            <v>0</v>
          </cell>
          <cell r="W1791">
            <v>0</v>
          </cell>
          <cell r="X1791">
            <v>0.50873590000000002</v>
          </cell>
          <cell r="Y1791">
            <v>0</v>
          </cell>
          <cell r="Z1791">
            <v>0</v>
          </cell>
          <cell r="AA1791">
            <v>0</v>
          </cell>
          <cell r="AB1791">
            <v>1.3138199999999999E-2</v>
          </cell>
        </row>
        <row r="1792">
          <cell r="A1792">
            <v>27540250</v>
          </cell>
          <cell r="B1792" t="str">
            <v>Chicken fillet, broiled, sandwich with cheese, on whole wheat roll, with lettuce, tomato and non-mayonnaise type spread</v>
          </cell>
          <cell r="I1792">
            <v>140</v>
          </cell>
          <cell r="J1792">
            <v>277.38819999999998</v>
          </cell>
          <cell r="K1792">
            <v>1.9813442857142856</v>
          </cell>
          <cell r="L1792">
            <v>3.6661871000000001</v>
          </cell>
          <cell r="M1792">
            <v>3.2445792999999998</v>
          </cell>
          <cell r="N1792">
            <v>0</v>
          </cell>
          <cell r="O1792">
            <v>0.29098819999999997</v>
          </cell>
          <cell r="P1792">
            <v>6.3545400000000002E-2</v>
          </cell>
          <cell r="Q1792">
            <v>2.0186628</v>
          </cell>
          <cell r="R1792">
            <v>25.569305</v>
          </cell>
          <cell r="S1792">
            <v>0</v>
          </cell>
          <cell r="T1792">
            <v>0</v>
          </cell>
          <cell r="U1792">
            <v>20.143885000000001</v>
          </cell>
          <cell r="V1792">
            <v>0</v>
          </cell>
          <cell r="W1792">
            <v>0</v>
          </cell>
          <cell r="X1792">
            <v>0.65555540000000001</v>
          </cell>
          <cell r="Y1792">
            <v>0</v>
          </cell>
          <cell r="Z1792">
            <v>0</v>
          </cell>
          <cell r="AA1792">
            <v>0</v>
          </cell>
          <cell r="AB1792">
            <v>0.1410421</v>
          </cell>
        </row>
        <row r="1793">
          <cell r="A1793">
            <v>27540270</v>
          </cell>
          <cell r="B1793" t="str">
            <v>Chicken fillet, broiled, sandwich, with lettuce, tomato, and non-mayonnaise type spread</v>
          </cell>
          <cell r="I1793">
            <v>140</v>
          </cell>
          <cell r="J1793">
            <v>254.8</v>
          </cell>
          <cell r="K1793">
            <v>1.82</v>
          </cell>
          <cell r="L1793">
            <v>0.33855740000000001</v>
          </cell>
          <cell r="M1793">
            <v>1.3286</v>
          </cell>
          <cell r="N1793">
            <v>0</v>
          </cell>
          <cell r="O1793">
            <v>8.6800000000000002E-2</v>
          </cell>
          <cell r="P1793">
            <v>0.9214426</v>
          </cell>
          <cell r="Q1793">
            <v>2.5746000000000002</v>
          </cell>
          <cell r="R1793">
            <v>0</v>
          </cell>
          <cell r="S1793">
            <v>0</v>
          </cell>
          <cell r="T1793">
            <v>0</v>
          </cell>
          <cell r="U1793">
            <v>28.14</v>
          </cell>
          <cell r="V1793">
            <v>0</v>
          </cell>
          <cell r="W1793">
            <v>0</v>
          </cell>
          <cell r="X1793">
            <v>0.5978</v>
          </cell>
          <cell r="Y1793">
            <v>0</v>
          </cell>
          <cell r="Z1793">
            <v>0</v>
          </cell>
          <cell r="AA1793">
            <v>0</v>
          </cell>
          <cell r="AB1793">
            <v>0.1114301</v>
          </cell>
        </row>
        <row r="1794">
          <cell r="A1794">
            <v>27540280</v>
          </cell>
          <cell r="B1794" t="str">
            <v>Chicken fillet, broiled, sandwich with cheese, on bun, with lettuce, tomato and spread</v>
          </cell>
          <cell r="I1794">
            <v>140</v>
          </cell>
          <cell r="J1794">
            <v>219.8</v>
          </cell>
          <cell r="K1794">
            <v>1.57</v>
          </cell>
          <cell r="L1794">
            <v>0.3917061</v>
          </cell>
          <cell r="M1794">
            <v>1.0136000000000001</v>
          </cell>
          <cell r="N1794">
            <v>0</v>
          </cell>
          <cell r="O1794">
            <v>0.21560000000000001</v>
          </cell>
          <cell r="P1794">
            <v>1.2882939</v>
          </cell>
          <cell r="Q1794">
            <v>1.3328</v>
          </cell>
          <cell r="R1794">
            <v>0</v>
          </cell>
          <cell r="S1794">
            <v>0</v>
          </cell>
          <cell r="T1794">
            <v>0</v>
          </cell>
          <cell r="U1794">
            <v>31.92</v>
          </cell>
          <cell r="V1794">
            <v>0</v>
          </cell>
          <cell r="W1794">
            <v>0</v>
          </cell>
          <cell r="X1794">
            <v>0.37519999999999998</v>
          </cell>
          <cell r="Y1794">
            <v>0</v>
          </cell>
          <cell r="Z1794">
            <v>0</v>
          </cell>
          <cell r="AA1794">
            <v>0</v>
          </cell>
          <cell r="AB1794">
            <v>2.1000000000000001E-2</v>
          </cell>
        </row>
        <row r="1795">
          <cell r="A1795">
            <v>27540285</v>
          </cell>
          <cell r="B1795" t="str">
            <v>Chicken, bacon, and tomato club sandwich, with lettuce and spread</v>
          </cell>
          <cell r="I1795">
            <v>140</v>
          </cell>
          <cell r="J1795">
            <v>308</v>
          </cell>
          <cell r="K1795">
            <v>2.2000000000000002</v>
          </cell>
          <cell r="L1795">
            <v>0.95164000000000004</v>
          </cell>
          <cell r="M1795">
            <v>4.3525999999999998</v>
          </cell>
          <cell r="N1795">
            <v>0</v>
          </cell>
          <cell r="O1795">
            <v>0.13300000000000001</v>
          </cell>
          <cell r="P1795">
            <v>0.72836000000000001</v>
          </cell>
          <cell r="Q1795">
            <v>2.6320000000000001</v>
          </cell>
          <cell r="R1795">
            <v>8.0640000000000001</v>
          </cell>
          <cell r="S1795">
            <v>0</v>
          </cell>
          <cell r="T1795">
            <v>0</v>
          </cell>
          <cell r="U1795">
            <v>23.52</v>
          </cell>
          <cell r="V1795">
            <v>0</v>
          </cell>
          <cell r="W1795">
            <v>0</v>
          </cell>
          <cell r="X1795">
            <v>0.88200000000000001</v>
          </cell>
          <cell r="Y1795">
            <v>0</v>
          </cell>
          <cell r="Z1795">
            <v>0</v>
          </cell>
          <cell r="AA1795">
            <v>3.5720999999999998</v>
          </cell>
          <cell r="AB1795">
            <v>9.9400000000000002E-2</v>
          </cell>
        </row>
        <row r="1796">
          <cell r="A1796">
            <v>27540290</v>
          </cell>
          <cell r="B1796" t="str">
            <v>Chicken submarine sandwich, with lettuce, tomato and spread</v>
          </cell>
          <cell r="I1796">
            <v>140</v>
          </cell>
          <cell r="J1796">
            <v>217</v>
          </cell>
          <cell r="K1796">
            <v>1.55</v>
          </cell>
          <cell r="L1796">
            <v>0.4543739</v>
          </cell>
          <cell r="M1796">
            <v>0.70699999999999996</v>
          </cell>
          <cell r="N1796">
            <v>0</v>
          </cell>
          <cell r="O1796">
            <v>0.1988</v>
          </cell>
          <cell r="P1796">
            <v>1.2256260999999999</v>
          </cell>
          <cell r="Q1796">
            <v>1.1634</v>
          </cell>
          <cell r="R1796">
            <v>0</v>
          </cell>
          <cell r="S1796">
            <v>0</v>
          </cell>
          <cell r="T1796">
            <v>0</v>
          </cell>
          <cell r="U1796">
            <v>38.92</v>
          </cell>
          <cell r="V1796">
            <v>0</v>
          </cell>
          <cell r="W1796">
            <v>0</v>
          </cell>
          <cell r="X1796">
            <v>0.42699999999999999</v>
          </cell>
          <cell r="Y1796">
            <v>0</v>
          </cell>
          <cell r="Z1796">
            <v>0</v>
          </cell>
          <cell r="AA1796">
            <v>0</v>
          </cell>
          <cell r="AB1796">
            <v>1.6799999999999999E-2</v>
          </cell>
        </row>
        <row r="1797">
          <cell r="A1797">
            <v>27540291</v>
          </cell>
          <cell r="B1797" t="str">
            <v>Chicken submarine sandwich, with cheese, lettuce, tomato and spread</v>
          </cell>
          <cell r="I1797">
            <v>140</v>
          </cell>
          <cell r="J1797">
            <v>217</v>
          </cell>
          <cell r="K1797">
            <v>1.55</v>
          </cell>
          <cell r="L1797">
            <v>0.4543739</v>
          </cell>
          <cell r="M1797">
            <v>0.70699999999999996</v>
          </cell>
          <cell r="N1797">
            <v>0</v>
          </cell>
          <cell r="O1797">
            <v>0.1988</v>
          </cell>
          <cell r="P1797">
            <v>1.2256260999999999</v>
          </cell>
          <cell r="Q1797">
            <v>1.1634</v>
          </cell>
          <cell r="R1797">
            <v>0</v>
          </cell>
          <cell r="S1797">
            <v>0</v>
          </cell>
          <cell r="T1797">
            <v>0</v>
          </cell>
          <cell r="U1797">
            <v>38.92</v>
          </cell>
          <cell r="V1797">
            <v>0</v>
          </cell>
          <cell r="W1797">
            <v>0</v>
          </cell>
          <cell r="X1797">
            <v>0.42699999999999999</v>
          </cell>
          <cell r="Y1797">
            <v>0</v>
          </cell>
          <cell r="Z1797">
            <v>0</v>
          </cell>
          <cell r="AA1797">
            <v>0</v>
          </cell>
          <cell r="AB1797">
            <v>1.6799999999999999E-2</v>
          </cell>
        </row>
        <row r="1798">
          <cell r="A1798">
            <v>27540296</v>
          </cell>
          <cell r="B1798" t="str">
            <v>Buffalo chicken submarine sandwich with cheese</v>
          </cell>
          <cell r="I1798">
            <v>140</v>
          </cell>
          <cell r="J1798">
            <v>284.07508999999999</v>
          </cell>
          <cell r="K1798">
            <v>2.0291077857142858</v>
          </cell>
          <cell r="L1798">
            <v>0.34430040000000001</v>
          </cell>
          <cell r="M1798">
            <v>4.2788579999999996</v>
          </cell>
          <cell r="N1798">
            <v>0</v>
          </cell>
          <cell r="O1798">
            <v>0.28377839999999999</v>
          </cell>
          <cell r="P1798">
            <v>1.0296772999999999</v>
          </cell>
          <cell r="Q1798">
            <v>4.9195792000000003</v>
          </cell>
          <cell r="R1798">
            <v>0</v>
          </cell>
          <cell r="S1798">
            <v>0</v>
          </cell>
          <cell r="T1798">
            <v>0</v>
          </cell>
          <cell r="U1798">
            <v>28.7</v>
          </cell>
          <cell r="V1798">
            <v>0</v>
          </cell>
          <cell r="W1798">
            <v>0</v>
          </cell>
          <cell r="X1798">
            <v>0.51335759999999997</v>
          </cell>
          <cell r="Y1798">
            <v>0</v>
          </cell>
          <cell r="Z1798">
            <v>0</v>
          </cell>
          <cell r="AA1798">
            <v>0</v>
          </cell>
          <cell r="AB1798">
            <v>3.5627199999999998E-2</v>
          </cell>
        </row>
        <row r="1799">
          <cell r="A1799">
            <v>27540300</v>
          </cell>
          <cell r="B1799" t="str">
            <v>Wrap sandwich filled with broiled chicken strips, cheese, lettuce, and spread</v>
          </cell>
          <cell r="I1799">
            <v>140</v>
          </cell>
          <cell r="J1799">
            <v>310.8</v>
          </cell>
          <cell r="K1799">
            <v>2.2200000000000002</v>
          </cell>
          <cell r="L1799">
            <v>0.129716</v>
          </cell>
          <cell r="M1799">
            <v>4.7081999999999997</v>
          </cell>
          <cell r="N1799">
            <v>0</v>
          </cell>
          <cell r="O1799">
            <v>0.13020000000000001</v>
          </cell>
          <cell r="P1799">
            <v>1.1302840000000001</v>
          </cell>
          <cell r="Q1799">
            <v>4.7809999999999997</v>
          </cell>
          <cell r="R1799">
            <v>0</v>
          </cell>
          <cell r="S1799">
            <v>0</v>
          </cell>
          <cell r="T1799">
            <v>0</v>
          </cell>
          <cell r="U1799">
            <v>13.86</v>
          </cell>
          <cell r="V1799">
            <v>0</v>
          </cell>
          <cell r="W1799">
            <v>0</v>
          </cell>
          <cell r="X1799">
            <v>0.80779999999999996</v>
          </cell>
          <cell r="Y1799">
            <v>0</v>
          </cell>
          <cell r="Z1799">
            <v>0</v>
          </cell>
          <cell r="AA1799">
            <v>0</v>
          </cell>
          <cell r="AB1799">
            <v>0.182</v>
          </cell>
        </row>
        <row r="1800">
          <cell r="A1800">
            <v>27540310</v>
          </cell>
          <cell r="B1800" t="str">
            <v>Turkey sandwich, with spread</v>
          </cell>
          <cell r="I1800">
            <v>140</v>
          </cell>
          <cell r="J1800">
            <v>312.04674999999997</v>
          </cell>
          <cell r="K1800">
            <v>2.2289053571428568</v>
          </cell>
          <cell r="L1800">
            <v>0</v>
          </cell>
          <cell r="M1800">
            <v>2.0384673000000002</v>
          </cell>
          <cell r="N1800">
            <v>0</v>
          </cell>
          <cell r="O1800">
            <v>0.14855109999999999</v>
          </cell>
          <cell r="P1800">
            <v>1.4280991999999999</v>
          </cell>
          <cell r="Q1800">
            <v>4.5782984999999998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0.4918921</v>
          </cell>
          <cell r="Y1800">
            <v>0</v>
          </cell>
          <cell r="Z1800">
            <v>0</v>
          </cell>
          <cell r="AA1800">
            <v>0</v>
          </cell>
          <cell r="AB1800">
            <v>6.5785800000000005E-2</v>
          </cell>
        </row>
        <row r="1801">
          <cell r="A1801">
            <v>27540350</v>
          </cell>
          <cell r="B1801" t="str">
            <v>Turkey submarine sandwich, with cheese, lettuce, tomato and spread</v>
          </cell>
          <cell r="I1801">
            <v>140</v>
          </cell>
          <cell r="J1801">
            <v>205.8</v>
          </cell>
          <cell r="K1801">
            <v>1.47</v>
          </cell>
          <cell r="L1801">
            <v>0.44073770000000001</v>
          </cell>
          <cell r="M1801">
            <v>0.66639999999999999</v>
          </cell>
          <cell r="N1801">
            <v>0</v>
          </cell>
          <cell r="O1801">
            <v>0.2366</v>
          </cell>
          <cell r="P1801">
            <v>1.3792622999999999</v>
          </cell>
          <cell r="Q1801">
            <v>1.4518</v>
          </cell>
          <cell r="R1801">
            <v>0</v>
          </cell>
          <cell r="S1801">
            <v>0</v>
          </cell>
          <cell r="T1801">
            <v>0</v>
          </cell>
          <cell r="U1801">
            <v>30.52</v>
          </cell>
          <cell r="V1801">
            <v>0</v>
          </cell>
          <cell r="W1801">
            <v>0</v>
          </cell>
          <cell r="X1801">
            <v>0.44379999999999997</v>
          </cell>
          <cell r="Y1801">
            <v>0</v>
          </cell>
          <cell r="Z1801">
            <v>0</v>
          </cell>
          <cell r="AA1801">
            <v>33.736499999999999</v>
          </cell>
          <cell r="AB1801">
            <v>2.52E-2</v>
          </cell>
        </row>
        <row r="1802">
          <cell r="A1802">
            <v>27540361</v>
          </cell>
          <cell r="B1802" t="str">
            <v>Turkey and bacon submarine sandwich, with cheese, lettuce, tomato and spread</v>
          </cell>
          <cell r="I1802">
            <v>140</v>
          </cell>
          <cell r="J1802">
            <v>311.28971000000001</v>
          </cell>
          <cell r="K1802">
            <v>2.2234979285714287</v>
          </cell>
          <cell r="L1802">
            <v>0.33554099999999998</v>
          </cell>
          <cell r="M1802">
            <v>5.3091111</v>
          </cell>
          <cell r="N1802">
            <v>0</v>
          </cell>
          <cell r="O1802">
            <v>0.30374240000000002</v>
          </cell>
          <cell r="P1802">
            <v>1.0500556999999999</v>
          </cell>
          <cell r="Q1802">
            <v>5.3973687000000004</v>
          </cell>
          <cell r="R1802">
            <v>0</v>
          </cell>
          <cell r="S1802">
            <v>0</v>
          </cell>
          <cell r="T1802">
            <v>0</v>
          </cell>
          <cell r="U1802">
            <v>23.235391</v>
          </cell>
          <cell r="V1802">
            <v>0</v>
          </cell>
          <cell r="W1802">
            <v>0</v>
          </cell>
          <cell r="X1802">
            <v>0.68563700000000005</v>
          </cell>
          <cell r="Y1802">
            <v>0</v>
          </cell>
          <cell r="Z1802">
            <v>0</v>
          </cell>
          <cell r="AA1802">
            <v>32.269767000000002</v>
          </cell>
          <cell r="AB1802">
            <v>0.16939599999999999</v>
          </cell>
        </row>
        <row r="1803">
          <cell r="A1803">
            <v>27541000</v>
          </cell>
          <cell r="B1803" t="str">
            <v>Turkey, ham, and roast beef club sandwich, with lettuce, tomato and spread</v>
          </cell>
          <cell r="I1803">
            <v>140</v>
          </cell>
          <cell r="J1803">
            <v>231.94953000000001</v>
          </cell>
          <cell r="K1803">
            <v>1.6567823571428573</v>
          </cell>
          <cell r="L1803">
            <v>0.64967770000000002</v>
          </cell>
          <cell r="M1803">
            <v>2.9003111000000001</v>
          </cell>
          <cell r="N1803">
            <v>0</v>
          </cell>
          <cell r="O1803">
            <v>7.2406899999999996E-2</v>
          </cell>
          <cell r="P1803">
            <v>0.77924309999999997</v>
          </cell>
          <cell r="Q1803">
            <v>3.9439408999999999</v>
          </cell>
          <cell r="R1803">
            <v>0</v>
          </cell>
          <cell r="S1803">
            <v>0</v>
          </cell>
          <cell r="T1803">
            <v>0</v>
          </cell>
          <cell r="U1803">
            <v>44.885142999999999</v>
          </cell>
          <cell r="V1803">
            <v>0</v>
          </cell>
          <cell r="W1803">
            <v>0</v>
          </cell>
          <cell r="X1803">
            <v>0.71133579999999996</v>
          </cell>
          <cell r="Y1803">
            <v>0</v>
          </cell>
          <cell r="Z1803">
            <v>10.153123000000001</v>
          </cell>
          <cell r="AA1803">
            <v>26.033649</v>
          </cell>
          <cell r="AB1803">
            <v>0.10638839999999999</v>
          </cell>
        </row>
        <row r="1804">
          <cell r="A1804">
            <v>27541001</v>
          </cell>
          <cell r="B1804" t="str">
            <v>Turkey, ham, and roast beef club sandwich with cheese, lettuce, tomato, and spread</v>
          </cell>
          <cell r="I1804">
            <v>140</v>
          </cell>
          <cell r="J1804">
            <v>204.4</v>
          </cell>
          <cell r="K1804">
            <v>1.46</v>
          </cell>
          <cell r="L1804">
            <v>0.76323669999999999</v>
          </cell>
          <cell r="M1804">
            <v>0.79800000000000004</v>
          </cell>
          <cell r="N1804">
            <v>0</v>
          </cell>
          <cell r="O1804">
            <v>0.2142</v>
          </cell>
          <cell r="P1804">
            <v>1.1967633</v>
          </cell>
          <cell r="Q1804">
            <v>1.1816</v>
          </cell>
          <cell r="R1804">
            <v>0</v>
          </cell>
          <cell r="S1804">
            <v>0</v>
          </cell>
          <cell r="T1804">
            <v>0</v>
          </cell>
          <cell r="U1804">
            <v>47.32</v>
          </cell>
          <cell r="V1804">
            <v>0</v>
          </cell>
          <cell r="W1804">
            <v>0</v>
          </cell>
          <cell r="X1804">
            <v>0.48720000000000002</v>
          </cell>
          <cell r="Y1804">
            <v>0</v>
          </cell>
          <cell r="Z1804">
            <v>9.9224999999999994</v>
          </cell>
          <cell r="AA1804">
            <v>25.0047</v>
          </cell>
          <cell r="AB1804">
            <v>4.3400000000000001E-2</v>
          </cell>
        </row>
        <row r="1805">
          <cell r="A1805">
            <v>27545010</v>
          </cell>
          <cell r="B1805" t="str">
            <v>Turkey or chicken burger, with condiments, on bun, from fast food / restaurant</v>
          </cell>
          <cell r="I1805">
            <v>140</v>
          </cell>
          <cell r="J1805">
            <v>265.94666000000001</v>
          </cell>
          <cell r="K1805">
            <v>1.8996190000000002</v>
          </cell>
          <cell r="L1805">
            <v>0.25034479999999998</v>
          </cell>
          <cell r="M1805">
            <v>2.2792739000000002</v>
          </cell>
          <cell r="N1805">
            <v>0</v>
          </cell>
          <cell r="O1805">
            <v>8.6080500000000004E-2</v>
          </cell>
          <cell r="P1805">
            <v>0.88965519999999998</v>
          </cell>
          <cell r="Q1805">
            <v>3.8579077000000002</v>
          </cell>
          <cell r="R1805">
            <v>0</v>
          </cell>
          <cell r="S1805">
            <v>0</v>
          </cell>
          <cell r="T1805">
            <v>0</v>
          </cell>
          <cell r="U1805">
            <v>23.630344999999998</v>
          </cell>
          <cell r="V1805">
            <v>0</v>
          </cell>
          <cell r="W1805">
            <v>0</v>
          </cell>
          <cell r="X1805">
            <v>0.61137220000000003</v>
          </cell>
          <cell r="Y1805">
            <v>0</v>
          </cell>
          <cell r="Z1805">
            <v>0</v>
          </cell>
          <cell r="AA1805">
            <v>0</v>
          </cell>
          <cell r="AB1805">
            <v>9.4966400000000006E-2</v>
          </cell>
        </row>
        <row r="1806">
          <cell r="A1806">
            <v>27545100</v>
          </cell>
          <cell r="B1806" t="str">
            <v>Turkey or chicken burger, plain, on white bun</v>
          </cell>
          <cell r="I1806">
            <v>140</v>
          </cell>
          <cell r="J1806">
            <v>326.83980000000003</v>
          </cell>
          <cell r="K1806">
            <v>2.3345700000000003</v>
          </cell>
          <cell r="L1806">
            <v>0</v>
          </cell>
          <cell r="M1806">
            <v>2.6599537</v>
          </cell>
          <cell r="N1806">
            <v>0</v>
          </cell>
          <cell r="O1806">
            <v>0.1063727</v>
          </cell>
          <cell r="P1806">
            <v>1.0427586</v>
          </cell>
          <cell r="Q1806">
            <v>3.4051825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0.61462380000000005</v>
          </cell>
          <cell r="Y1806">
            <v>0</v>
          </cell>
          <cell r="Z1806">
            <v>0</v>
          </cell>
          <cell r="AA1806">
            <v>0</v>
          </cell>
          <cell r="AB1806">
            <v>0.12469769999999999</v>
          </cell>
        </row>
        <row r="1807">
          <cell r="A1807">
            <v>27545110</v>
          </cell>
          <cell r="B1807" t="str">
            <v>Turkey or chicken burger, plain, on wheat bun</v>
          </cell>
          <cell r="I1807">
            <v>140</v>
          </cell>
          <cell r="J1807">
            <v>317.48394000000002</v>
          </cell>
          <cell r="K1807">
            <v>2.2677424285714287</v>
          </cell>
          <cell r="L1807">
            <v>2.3767898000000001</v>
          </cell>
          <cell r="M1807">
            <v>2.5871634000000001</v>
          </cell>
          <cell r="N1807">
            <v>0</v>
          </cell>
          <cell r="O1807">
            <v>0.1160761</v>
          </cell>
          <cell r="P1807">
            <v>0.74569300000000005</v>
          </cell>
          <cell r="Q1807">
            <v>3.2775894000000001</v>
          </cell>
          <cell r="R1807">
            <v>20.025600000000001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0.59738930000000001</v>
          </cell>
          <cell r="Y1807">
            <v>5.7482100000000001E-2</v>
          </cell>
          <cell r="Z1807">
            <v>0</v>
          </cell>
          <cell r="AA1807">
            <v>0</v>
          </cell>
          <cell r="AB1807">
            <v>0.1226122</v>
          </cell>
        </row>
        <row r="1808">
          <cell r="A1808">
            <v>27545200</v>
          </cell>
          <cell r="B1808" t="str">
            <v>Turkey or chicken burger, with condiments, on white bun</v>
          </cell>
          <cell r="I1808">
            <v>140</v>
          </cell>
          <cell r="J1808">
            <v>265.94666000000001</v>
          </cell>
          <cell r="K1808">
            <v>1.8996190000000002</v>
          </cell>
          <cell r="L1808">
            <v>0.25034479999999998</v>
          </cell>
          <cell r="M1808">
            <v>2.2792739000000002</v>
          </cell>
          <cell r="N1808">
            <v>0</v>
          </cell>
          <cell r="O1808">
            <v>8.6080500000000004E-2</v>
          </cell>
          <cell r="P1808">
            <v>0.88965519999999998</v>
          </cell>
          <cell r="Q1808">
            <v>3.8579077000000002</v>
          </cell>
          <cell r="R1808">
            <v>0</v>
          </cell>
          <cell r="S1808">
            <v>0</v>
          </cell>
          <cell r="T1808">
            <v>0</v>
          </cell>
          <cell r="U1808">
            <v>23.630344999999998</v>
          </cell>
          <cell r="V1808">
            <v>0</v>
          </cell>
          <cell r="W1808">
            <v>0</v>
          </cell>
          <cell r="X1808">
            <v>0.61137220000000003</v>
          </cell>
          <cell r="Y1808">
            <v>0</v>
          </cell>
          <cell r="Z1808">
            <v>0</v>
          </cell>
          <cell r="AA1808">
            <v>0</v>
          </cell>
          <cell r="AB1808">
            <v>9.4966400000000006E-2</v>
          </cell>
        </row>
        <row r="1809">
          <cell r="A1809">
            <v>27545210</v>
          </cell>
          <cell r="B1809" t="str">
            <v>Turkey or chicken burger, with condiments, on wheat bun</v>
          </cell>
          <cell r="I1809">
            <v>140</v>
          </cell>
          <cell r="J1809">
            <v>259.26389999999998</v>
          </cell>
          <cell r="K1809">
            <v>1.8518849999999998</v>
          </cell>
          <cell r="L1809">
            <v>1.9480518</v>
          </cell>
          <cell r="M1809">
            <v>2.2272807000000001</v>
          </cell>
          <cell r="N1809">
            <v>0</v>
          </cell>
          <cell r="O1809">
            <v>9.3011499999999997E-2</v>
          </cell>
          <cell r="P1809">
            <v>0.6774654</v>
          </cell>
          <cell r="Q1809">
            <v>3.7667697000000002</v>
          </cell>
          <cell r="R1809">
            <v>14.304</v>
          </cell>
          <cell r="S1809">
            <v>0</v>
          </cell>
          <cell r="T1809">
            <v>0</v>
          </cell>
          <cell r="U1809">
            <v>23.630344999999998</v>
          </cell>
          <cell r="V1809">
            <v>0</v>
          </cell>
          <cell r="W1809">
            <v>0</v>
          </cell>
          <cell r="X1809">
            <v>0.59906179999999998</v>
          </cell>
          <cell r="Y1809">
            <v>4.1058600000000001E-2</v>
          </cell>
          <cell r="Z1809">
            <v>0</v>
          </cell>
          <cell r="AA1809">
            <v>0</v>
          </cell>
          <cell r="AB1809">
            <v>9.3476699999999996E-2</v>
          </cell>
        </row>
        <row r="1810">
          <cell r="A1810">
            <v>27550000</v>
          </cell>
          <cell r="B1810" t="str">
            <v>Fish sandwich, on bun, with spread</v>
          </cell>
          <cell r="I1810">
            <v>140</v>
          </cell>
          <cell r="J1810">
            <v>359.8</v>
          </cell>
          <cell r="K1810">
            <v>2.5700000000000003</v>
          </cell>
          <cell r="L1810">
            <v>0.36629489999999998</v>
          </cell>
          <cell r="M1810">
            <v>2.7286000000000001</v>
          </cell>
          <cell r="N1810">
            <v>0.13020000000000001</v>
          </cell>
          <cell r="O1810">
            <v>5.1799999999999999E-2</v>
          </cell>
          <cell r="P1810">
            <v>1.0337050999999999</v>
          </cell>
          <cell r="Q1810">
            <v>8.7598000000000003</v>
          </cell>
          <cell r="R1810">
            <v>5.1520000000000001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0.84279999999999999</v>
          </cell>
          <cell r="Y1810">
            <v>0</v>
          </cell>
          <cell r="Z1810">
            <v>0</v>
          </cell>
          <cell r="AA1810">
            <v>0</v>
          </cell>
          <cell r="AB1810">
            <v>0.112</v>
          </cell>
        </row>
        <row r="1811">
          <cell r="A1811">
            <v>27550100</v>
          </cell>
          <cell r="B1811" t="str">
            <v>Fish sandwich, on bun, with cheese and spread</v>
          </cell>
          <cell r="I1811">
            <v>140</v>
          </cell>
          <cell r="J1811">
            <v>390.6</v>
          </cell>
          <cell r="K1811">
            <v>2.79</v>
          </cell>
          <cell r="L1811">
            <v>0.27895560000000003</v>
          </cell>
          <cell r="M1811">
            <v>3.9662000000000002</v>
          </cell>
          <cell r="N1811">
            <v>0.12740000000000001</v>
          </cell>
          <cell r="O1811">
            <v>0.16800000000000001</v>
          </cell>
          <cell r="P1811">
            <v>0.84104440000000003</v>
          </cell>
          <cell r="Q1811">
            <v>8.3328000000000007</v>
          </cell>
          <cell r="R1811">
            <v>4.7039999999999997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0.60760000000000003</v>
          </cell>
          <cell r="Y1811">
            <v>0</v>
          </cell>
          <cell r="Z1811">
            <v>0</v>
          </cell>
          <cell r="AA1811">
            <v>0</v>
          </cell>
          <cell r="AB1811">
            <v>0.1792</v>
          </cell>
        </row>
        <row r="1812">
          <cell r="A1812">
            <v>27550720</v>
          </cell>
          <cell r="B1812" t="str">
            <v>Tuna salad sandwich</v>
          </cell>
          <cell r="I1812">
            <v>140</v>
          </cell>
          <cell r="J1812">
            <v>226.13659999999999</v>
          </cell>
          <cell r="K1812">
            <v>1.6152614285714284</v>
          </cell>
          <cell r="L1812">
            <v>0.2517626</v>
          </cell>
          <cell r="M1812">
            <v>0.89207630000000004</v>
          </cell>
          <cell r="N1812">
            <v>0.1123035</v>
          </cell>
          <cell r="O1812">
            <v>8.4168499999999993E-2</v>
          </cell>
          <cell r="P1812">
            <v>1.4588717</v>
          </cell>
          <cell r="Q1812">
            <v>2.4958214999999999</v>
          </cell>
          <cell r="R1812">
            <v>0</v>
          </cell>
          <cell r="S1812">
            <v>0</v>
          </cell>
          <cell r="T1812">
            <v>0</v>
          </cell>
          <cell r="U1812">
            <v>15.192574</v>
          </cell>
          <cell r="V1812">
            <v>0</v>
          </cell>
          <cell r="W1812">
            <v>0</v>
          </cell>
          <cell r="X1812">
            <v>0.55875850000000005</v>
          </cell>
          <cell r="Y1812">
            <v>0</v>
          </cell>
          <cell r="Z1812">
            <v>0</v>
          </cell>
          <cell r="AA1812">
            <v>0</v>
          </cell>
          <cell r="AB1812">
            <v>2.4083299999999998E-2</v>
          </cell>
        </row>
        <row r="1813">
          <cell r="A1813">
            <v>27550750</v>
          </cell>
          <cell r="B1813" t="str">
            <v>Tuna salad submarine sandwich, with lettuce and tomato</v>
          </cell>
          <cell r="I1813">
            <v>140</v>
          </cell>
          <cell r="J1813">
            <v>305.2</v>
          </cell>
          <cell r="K1813">
            <v>2.1799999999999997</v>
          </cell>
          <cell r="L1813">
            <v>0.2482019</v>
          </cell>
          <cell r="M1813">
            <v>2.8826000000000001</v>
          </cell>
          <cell r="N1813">
            <v>0.1946</v>
          </cell>
          <cell r="O1813">
            <v>0.19040000000000001</v>
          </cell>
          <cell r="P1813">
            <v>0.73179810000000001</v>
          </cell>
          <cell r="Q1813">
            <v>9.0706000000000007</v>
          </cell>
          <cell r="R1813">
            <v>0</v>
          </cell>
          <cell r="S1813">
            <v>0</v>
          </cell>
          <cell r="T1813">
            <v>0</v>
          </cell>
          <cell r="U1813">
            <v>30.52</v>
          </cell>
          <cell r="V1813">
            <v>0</v>
          </cell>
          <cell r="W1813">
            <v>0</v>
          </cell>
          <cell r="X1813">
            <v>0.46060000000000001</v>
          </cell>
          <cell r="Y1813">
            <v>0</v>
          </cell>
          <cell r="Z1813">
            <v>0</v>
          </cell>
          <cell r="AA1813">
            <v>0</v>
          </cell>
          <cell r="AB1813">
            <v>6.0199999999999997E-2</v>
          </cell>
        </row>
        <row r="1814">
          <cell r="A1814">
            <v>27550751</v>
          </cell>
          <cell r="B1814" t="str">
            <v>Tuna salad submarine sandwich, with cheese, lettuce and tomato</v>
          </cell>
          <cell r="I1814">
            <v>140</v>
          </cell>
          <cell r="J1814">
            <v>305.2</v>
          </cell>
          <cell r="K1814">
            <v>2.1799999999999997</v>
          </cell>
          <cell r="L1814">
            <v>0.2482019</v>
          </cell>
          <cell r="M1814">
            <v>2.8826000000000001</v>
          </cell>
          <cell r="N1814">
            <v>0.1946</v>
          </cell>
          <cell r="O1814">
            <v>0.19040000000000001</v>
          </cell>
          <cell r="P1814">
            <v>0.73179810000000001</v>
          </cell>
          <cell r="Q1814">
            <v>9.0706000000000007</v>
          </cell>
          <cell r="R1814">
            <v>0</v>
          </cell>
          <cell r="S1814">
            <v>0</v>
          </cell>
          <cell r="T1814">
            <v>0</v>
          </cell>
          <cell r="U1814">
            <v>30.52</v>
          </cell>
          <cell r="V1814">
            <v>0</v>
          </cell>
          <cell r="W1814">
            <v>0</v>
          </cell>
          <cell r="X1814">
            <v>0.46060000000000001</v>
          </cell>
          <cell r="Y1814">
            <v>0</v>
          </cell>
          <cell r="Z1814">
            <v>0</v>
          </cell>
          <cell r="AA1814">
            <v>0</v>
          </cell>
          <cell r="AB1814">
            <v>6.0199999999999997E-2</v>
          </cell>
        </row>
        <row r="1815">
          <cell r="A1815">
            <v>27560300</v>
          </cell>
          <cell r="B1815" t="str">
            <v>Corn dog, frankfurter or hot dog with cornbread coating</v>
          </cell>
          <cell r="I1815">
            <v>140</v>
          </cell>
          <cell r="J1815">
            <v>350</v>
          </cell>
          <cell r="K1815">
            <v>2.5</v>
          </cell>
          <cell r="L1815">
            <v>0</v>
          </cell>
          <cell r="M1815">
            <v>4.8524000000000003</v>
          </cell>
          <cell r="N1815">
            <v>0</v>
          </cell>
          <cell r="O1815">
            <v>0.1008</v>
          </cell>
          <cell r="P1815">
            <v>1.4</v>
          </cell>
          <cell r="Q1815">
            <v>4.6955999999999998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0.93520000000000003</v>
          </cell>
          <cell r="Y1815">
            <v>0</v>
          </cell>
          <cell r="Z1815">
            <v>0</v>
          </cell>
          <cell r="AA1815">
            <v>49.215600000000002</v>
          </cell>
          <cell r="AB1815">
            <v>0.23799999999999999</v>
          </cell>
        </row>
        <row r="1816">
          <cell r="A1816">
            <v>27560350</v>
          </cell>
          <cell r="B1816" t="str">
            <v>Pig in a blanket, frankfurter or hot dog wrapped in dough</v>
          </cell>
          <cell r="I1816">
            <v>140</v>
          </cell>
          <cell r="J1816">
            <v>438.67487</v>
          </cell>
          <cell r="K1816">
            <v>3.1333919285714287</v>
          </cell>
          <cell r="L1816">
            <v>0</v>
          </cell>
          <cell r="M1816">
            <v>11.354209000000001</v>
          </cell>
          <cell r="N1816">
            <v>0</v>
          </cell>
          <cell r="O1816">
            <v>9.58643E-2</v>
          </cell>
          <cell r="P1816">
            <v>0.93005269999999995</v>
          </cell>
          <cell r="Q1816">
            <v>2.1933522000000001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1.0259195000000001</v>
          </cell>
          <cell r="Y1816">
            <v>0</v>
          </cell>
          <cell r="Z1816">
            <v>0</v>
          </cell>
          <cell r="AA1816">
            <v>72.892882</v>
          </cell>
          <cell r="AB1816">
            <v>1.5520562</v>
          </cell>
        </row>
        <row r="1817">
          <cell r="A1817">
            <v>27560500</v>
          </cell>
          <cell r="B1817" t="str">
            <v>Pepperoni and salami submarine sandwich, with lettuce, tomato and spread</v>
          </cell>
          <cell r="I1817">
            <v>140</v>
          </cell>
          <cell r="J1817">
            <v>314.36532999999997</v>
          </cell>
          <cell r="K1817">
            <v>2.2454666428571426</v>
          </cell>
          <cell r="L1817">
            <v>0.67511109999999996</v>
          </cell>
          <cell r="M1817">
            <v>4.8823289000000001</v>
          </cell>
          <cell r="N1817">
            <v>0</v>
          </cell>
          <cell r="O1817">
            <v>8.3079100000000003E-2</v>
          </cell>
          <cell r="P1817">
            <v>0.87360000000000004</v>
          </cell>
          <cell r="Q1817">
            <v>5.9399822000000002</v>
          </cell>
          <cell r="R1817">
            <v>0</v>
          </cell>
          <cell r="S1817">
            <v>0</v>
          </cell>
          <cell r="T1817">
            <v>0</v>
          </cell>
          <cell r="U1817">
            <v>57.244444000000001</v>
          </cell>
          <cell r="V1817">
            <v>0</v>
          </cell>
          <cell r="W1817">
            <v>0</v>
          </cell>
          <cell r="X1817">
            <v>0.71543730000000005</v>
          </cell>
          <cell r="Y1817">
            <v>0</v>
          </cell>
          <cell r="Z1817">
            <v>0</v>
          </cell>
          <cell r="AA1817">
            <v>17.393039999999999</v>
          </cell>
          <cell r="AB1817">
            <v>0.2935084</v>
          </cell>
        </row>
        <row r="1818">
          <cell r="A1818">
            <v>27560650</v>
          </cell>
          <cell r="B1818" t="str">
            <v>Sausage on biscuit</v>
          </cell>
          <cell r="I1818">
            <v>140</v>
          </cell>
          <cell r="J1818">
            <v>519.4</v>
          </cell>
          <cell r="K1818">
            <v>3.71</v>
          </cell>
          <cell r="L1818">
            <v>0</v>
          </cell>
          <cell r="M1818">
            <v>10.3978</v>
          </cell>
          <cell r="N1818">
            <v>0</v>
          </cell>
          <cell r="O1818">
            <v>6.5799999999999997E-2</v>
          </cell>
          <cell r="P1818">
            <v>0.56000000000000005</v>
          </cell>
          <cell r="Q1818">
            <v>4.3498000000000001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1.1395999999999999</v>
          </cell>
          <cell r="Y1818">
            <v>0</v>
          </cell>
          <cell r="Z1818">
            <v>0</v>
          </cell>
          <cell r="AA1818">
            <v>36.117899999999999</v>
          </cell>
          <cell r="AB1818">
            <v>1.6093358</v>
          </cell>
        </row>
        <row r="1819">
          <cell r="A1819">
            <v>27560660</v>
          </cell>
          <cell r="B1819" t="str">
            <v>Sausage griddle cake sandwich</v>
          </cell>
          <cell r="I1819">
            <v>140</v>
          </cell>
          <cell r="J1819">
            <v>445.2</v>
          </cell>
          <cell r="K1819">
            <v>3.1799999999999997</v>
          </cell>
          <cell r="L1819">
            <v>0</v>
          </cell>
          <cell r="M1819">
            <v>7.5082000000000004</v>
          </cell>
          <cell r="N1819">
            <v>0</v>
          </cell>
          <cell r="O1819">
            <v>8.8200000000000001E-2</v>
          </cell>
          <cell r="P1819">
            <v>1.4</v>
          </cell>
          <cell r="Q1819">
            <v>3.3795999999999999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1.0318000000000001</v>
          </cell>
          <cell r="Y1819">
            <v>0</v>
          </cell>
          <cell r="Z1819">
            <v>0</v>
          </cell>
          <cell r="AA1819">
            <v>33.339599999999997</v>
          </cell>
          <cell r="AB1819">
            <v>1.3384</v>
          </cell>
        </row>
        <row r="1820">
          <cell r="A1820">
            <v>27560670</v>
          </cell>
          <cell r="B1820" t="str">
            <v>Sausage and cheese on English muffin</v>
          </cell>
          <cell r="I1820">
            <v>140</v>
          </cell>
          <cell r="J1820">
            <v>473.2</v>
          </cell>
          <cell r="K1820">
            <v>3.38</v>
          </cell>
          <cell r="L1820">
            <v>0</v>
          </cell>
          <cell r="M1820">
            <v>11.412800000000001</v>
          </cell>
          <cell r="N1820">
            <v>0</v>
          </cell>
          <cell r="O1820">
            <v>0.29399999999999998</v>
          </cell>
          <cell r="P1820">
            <v>0.7</v>
          </cell>
          <cell r="Q1820">
            <v>4.3609999999999998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0.93520000000000003</v>
          </cell>
          <cell r="Y1820">
            <v>0</v>
          </cell>
          <cell r="Z1820">
            <v>0</v>
          </cell>
          <cell r="AA1820">
            <v>38.102400000000003</v>
          </cell>
          <cell r="AB1820">
            <v>0.74982720000000003</v>
          </cell>
        </row>
        <row r="1821">
          <cell r="A1821">
            <v>27560705</v>
          </cell>
          <cell r="B1821" t="str">
            <v>Sausage balls, made with biscuit mix and cheese</v>
          </cell>
          <cell r="I1821">
            <v>140</v>
          </cell>
          <cell r="J1821">
            <v>551.73056999999994</v>
          </cell>
          <cell r="K1821">
            <v>3.9409326428571423</v>
          </cell>
          <cell r="L1821">
            <v>1.554E-16</v>
          </cell>
          <cell r="M1821">
            <v>15.982324999999999</v>
          </cell>
          <cell r="N1821">
            <v>0</v>
          </cell>
          <cell r="O1821">
            <v>0.52560929999999995</v>
          </cell>
          <cell r="P1821">
            <v>0.97492230000000002</v>
          </cell>
          <cell r="Q1821">
            <v>3.4759364000000001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1.3259475000000001</v>
          </cell>
          <cell r="Y1821">
            <v>0</v>
          </cell>
          <cell r="Z1821">
            <v>0</v>
          </cell>
          <cell r="AA1821">
            <v>26.010317000000001</v>
          </cell>
          <cell r="AB1821">
            <v>1.4597624</v>
          </cell>
        </row>
        <row r="1822">
          <cell r="A1822">
            <v>27560910</v>
          </cell>
          <cell r="B1822" t="str">
            <v>Cold cut sumarine sandwich, with cheese, lettuce, tomato and spread</v>
          </cell>
          <cell r="I1822">
            <v>140</v>
          </cell>
          <cell r="J1822">
            <v>298.2</v>
          </cell>
          <cell r="K1822">
            <v>2.13</v>
          </cell>
          <cell r="L1822">
            <v>0.63838919999999999</v>
          </cell>
          <cell r="M1822">
            <v>4.9756</v>
          </cell>
          <cell r="N1822">
            <v>0</v>
          </cell>
          <cell r="O1822">
            <v>0.2394</v>
          </cell>
          <cell r="P1822">
            <v>1.0416107999999999</v>
          </cell>
          <cell r="Q1822">
            <v>2.6978</v>
          </cell>
          <cell r="R1822">
            <v>0</v>
          </cell>
          <cell r="S1822">
            <v>0</v>
          </cell>
          <cell r="T1822">
            <v>0</v>
          </cell>
          <cell r="U1822">
            <v>43.54</v>
          </cell>
          <cell r="V1822">
            <v>0</v>
          </cell>
          <cell r="W1822">
            <v>0</v>
          </cell>
          <cell r="X1822">
            <v>0.80500000000000005</v>
          </cell>
          <cell r="Y1822">
            <v>0</v>
          </cell>
          <cell r="Z1822">
            <v>0</v>
          </cell>
          <cell r="AA1822">
            <v>42.468299999999999</v>
          </cell>
          <cell r="AB1822">
            <v>0.1666</v>
          </cell>
        </row>
        <row r="1823">
          <cell r="A1823">
            <v>27564000</v>
          </cell>
          <cell r="B1823" t="str">
            <v>Frankfurter or hot dog sandwich, NFS, plain, on white bun</v>
          </cell>
          <cell r="I1823">
            <v>140</v>
          </cell>
          <cell r="J1823">
            <v>418.76470999999998</v>
          </cell>
          <cell r="K1823">
            <v>2.9911764999999999</v>
          </cell>
          <cell r="L1823">
            <v>1.554E-16</v>
          </cell>
          <cell r="M1823">
            <v>9.4858235000000004</v>
          </cell>
          <cell r="N1823">
            <v>0</v>
          </cell>
          <cell r="O1823">
            <v>9.98941E-2</v>
          </cell>
          <cell r="P1823">
            <v>1.1117646999999999</v>
          </cell>
          <cell r="Q1823">
            <v>1.9584353000000001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0.98185290000000003</v>
          </cell>
          <cell r="Y1823">
            <v>0</v>
          </cell>
          <cell r="Z1823">
            <v>0</v>
          </cell>
          <cell r="AA1823">
            <v>60.994191000000001</v>
          </cell>
          <cell r="AB1823">
            <v>1.3153824000000001</v>
          </cell>
        </row>
        <row r="1824">
          <cell r="A1824">
            <v>27564001</v>
          </cell>
          <cell r="B1824" t="str">
            <v>Frankfurter or hot dog sandwich, NFS, plain, on wheat bun</v>
          </cell>
          <cell r="I1824">
            <v>140</v>
          </cell>
          <cell r="J1824">
            <v>412.58823999999998</v>
          </cell>
          <cell r="K1824">
            <v>2.9470588571428569</v>
          </cell>
          <cell r="L1824">
            <v>1.1442884</v>
          </cell>
          <cell r="M1824">
            <v>9.4265293999999997</v>
          </cell>
          <cell r="N1824">
            <v>0</v>
          </cell>
          <cell r="O1824">
            <v>0.13201180000000001</v>
          </cell>
          <cell r="P1824">
            <v>1.4498291999999999</v>
          </cell>
          <cell r="Q1824">
            <v>1.9683176</v>
          </cell>
          <cell r="R1824">
            <v>8.6964705999999996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0.9627059</v>
          </cell>
          <cell r="Y1824">
            <v>0</v>
          </cell>
          <cell r="Z1824">
            <v>0</v>
          </cell>
          <cell r="AA1824">
            <v>60.994191000000001</v>
          </cell>
          <cell r="AB1824">
            <v>1.3098235</v>
          </cell>
        </row>
        <row r="1825">
          <cell r="A1825">
            <v>27564010</v>
          </cell>
          <cell r="B1825" t="str">
            <v>Frankfurter or hot dog sandwich, NFS, plain, on white bread</v>
          </cell>
          <cell r="I1825">
            <v>140</v>
          </cell>
          <cell r="J1825">
            <v>418.40235000000001</v>
          </cell>
          <cell r="K1825">
            <v>2.9885882142857145</v>
          </cell>
          <cell r="L1825">
            <v>1.554E-16</v>
          </cell>
          <cell r="M1825">
            <v>11.080819</v>
          </cell>
          <cell r="N1825">
            <v>0</v>
          </cell>
          <cell r="O1825">
            <v>7.9552899999999996E-2</v>
          </cell>
          <cell r="P1825">
            <v>1.2451764999999999</v>
          </cell>
          <cell r="Q1825">
            <v>1.7696329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1.0380587999999999</v>
          </cell>
          <cell r="Y1825">
            <v>0</v>
          </cell>
          <cell r="Z1825">
            <v>0</v>
          </cell>
          <cell r="AA1825">
            <v>73.193028999999996</v>
          </cell>
          <cell r="AB1825">
            <v>1.5708987999999999</v>
          </cell>
        </row>
        <row r="1826">
          <cell r="A1826">
            <v>27564020</v>
          </cell>
          <cell r="B1826" t="str">
            <v>Frankfurter or hot dog sandwich, NFS, plain, on wheat bread</v>
          </cell>
          <cell r="I1826">
            <v>140</v>
          </cell>
          <cell r="J1826">
            <v>422.09176000000002</v>
          </cell>
          <cell r="K1826">
            <v>3.0149411428571429</v>
          </cell>
          <cell r="L1826">
            <v>0.86262000000000005</v>
          </cell>
          <cell r="M1826">
            <v>11.080358</v>
          </cell>
          <cell r="N1826">
            <v>0</v>
          </cell>
          <cell r="O1826">
            <v>7.0790599999999995E-2</v>
          </cell>
          <cell r="P1826">
            <v>0.98208589999999996</v>
          </cell>
          <cell r="Q1826">
            <v>1.7756282000000001</v>
          </cell>
          <cell r="R1826">
            <v>7.3050353000000001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1.0302188000000001</v>
          </cell>
          <cell r="Y1826">
            <v>0</v>
          </cell>
          <cell r="Z1826">
            <v>0</v>
          </cell>
          <cell r="AA1826">
            <v>73.193028999999996</v>
          </cell>
          <cell r="AB1826">
            <v>1.5736659</v>
          </cell>
        </row>
        <row r="1827">
          <cell r="A1827">
            <v>27564060</v>
          </cell>
          <cell r="B1827" t="str">
            <v>Frankfurter or hot dog sandwich, beef, plain, on white bun</v>
          </cell>
          <cell r="I1827">
            <v>140</v>
          </cell>
          <cell r="J1827">
            <v>418.76470999999998</v>
          </cell>
          <cell r="K1827">
            <v>2.9911764999999999</v>
          </cell>
          <cell r="L1827">
            <v>1.554E-16</v>
          </cell>
          <cell r="M1827">
            <v>9.4858235000000004</v>
          </cell>
          <cell r="N1827">
            <v>0</v>
          </cell>
          <cell r="O1827">
            <v>9.98941E-2</v>
          </cell>
          <cell r="P1827">
            <v>1.1117646999999999</v>
          </cell>
          <cell r="Q1827">
            <v>1.9584353000000001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0.98185290000000003</v>
          </cell>
          <cell r="Y1827">
            <v>0</v>
          </cell>
          <cell r="Z1827">
            <v>0</v>
          </cell>
          <cell r="AA1827">
            <v>60.994191000000001</v>
          </cell>
          <cell r="AB1827">
            <v>1.3153824000000001</v>
          </cell>
        </row>
        <row r="1828">
          <cell r="A1828">
            <v>27564061</v>
          </cell>
          <cell r="B1828" t="str">
            <v>Frankfurter or hot dog sandwich, beef, plain, on wheat bun</v>
          </cell>
          <cell r="I1828">
            <v>140</v>
          </cell>
          <cell r="J1828">
            <v>412.58823999999998</v>
          </cell>
          <cell r="K1828">
            <v>2.9470588571428569</v>
          </cell>
          <cell r="L1828">
            <v>1.1442884</v>
          </cell>
          <cell r="M1828">
            <v>9.4265293999999997</v>
          </cell>
          <cell r="N1828">
            <v>0</v>
          </cell>
          <cell r="O1828">
            <v>0.13201180000000001</v>
          </cell>
          <cell r="P1828">
            <v>1.4498291999999999</v>
          </cell>
          <cell r="Q1828">
            <v>1.9683176</v>
          </cell>
          <cell r="R1828">
            <v>8.6964705999999996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0.9627059</v>
          </cell>
          <cell r="Y1828">
            <v>0</v>
          </cell>
          <cell r="Z1828">
            <v>0</v>
          </cell>
          <cell r="AA1828">
            <v>60.994191000000001</v>
          </cell>
          <cell r="AB1828">
            <v>1.3098235</v>
          </cell>
        </row>
        <row r="1829">
          <cell r="A1829">
            <v>27564062</v>
          </cell>
          <cell r="B1829" t="str">
            <v>Frankfurter or hot dog sandwich, beef, plain, on whole wheat bun</v>
          </cell>
          <cell r="I1829">
            <v>140</v>
          </cell>
          <cell r="J1829">
            <v>412.58823999999998</v>
          </cell>
          <cell r="K1829">
            <v>2.9470588571428569</v>
          </cell>
          <cell r="L1829">
            <v>3.6364054000000001</v>
          </cell>
          <cell r="M1829">
            <v>9.5346176000000007</v>
          </cell>
          <cell r="N1829">
            <v>0</v>
          </cell>
          <cell r="O1829">
            <v>0.13324710000000001</v>
          </cell>
          <cell r="P1829">
            <v>0.13124160000000001</v>
          </cell>
          <cell r="Q1829">
            <v>1.9559647</v>
          </cell>
          <cell r="R1829">
            <v>32.710588000000001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0.94047060000000005</v>
          </cell>
          <cell r="Y1829">
            <v>0</v>
          </cell>
          <cell r="Z1829">
            <v>0</v>
          </cell>
          <cell r="AA1829">
            <v>60.994191000000001</v>
          </cell>
          <cell r="AB1829">
            <v>1.3122940999999999</v>
          </cell>
        </row>
        <row r="1830">
          <cell r="A1830">
            <v>27564064</v>
          </cell>
          <cell r="B1830" t="str">
            <v>Frankfurter or hot dog sandwich, beef, plain, on multigrain bun</v>
          </cell>
          <cell r="I1830">
            <v>140</v>
          </cell>
          <cell r="J1830">
            <v>408.88234999999997</v>
          </cell>
          <cell r="K1830">
            <v>2.920588214285714</v>
          </cell>
          <cell r="L1830">
            <v>0</v>
          </cell>
          <cell r="M1830">
            <v>9.8242940999999995</v>
          </cell>
          <cell r="N1830">
            <v>0</v>
          </cell>
          <cell r="O1830">
            <v>6.9629399999999994E-2</v>
          </cell>
          <cell r="P1830">
            <v>2.3470588000000001</v>
          </cell>
          <cell r="Q1830">
            <v>1.5711706000000001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0.95961759999999996</v>
          </cell>
          <cell r="Y1830">
            <v>0</v>
          </cell>
          <cell r="Z1830">
            <v>0</v>
          </cell>
          <cell r="AA1830">
            <v>60.994191000000001</v>
          </cell>
          <cell r="AB1830">
            <v>1.4901442</v>
          </cell>
        </row>
        <row r="1831">
          <cell r="A1831">
            <v>27564070</v>
          </cell>
          <cell r="B1831" t="str">
            <v>Frankfurter or hot dog sandwich, beef, plain, on white bread</v>
          </cell>
          <cell r="I1831">
            <v>140</v>
          </cell>
          <cell r="J1831">
            <v>418.40235000000001</v>
          </cell>
          <cell r="K1831">
            <v>2.9885882142857145</v>
          </cell>
          <cell r="L1831">
            <v>1.554E-16</v>
          </cell>
          <cell r="M1831">
            <v>11.080819</v>
          </cell>
          <cell r="N1831">
            <v>0</v>
          </cell>
          <cell r="O1831">
            <v>7.9552899999999996E-2</v>
          </cell>
          <cell r="P1831">
            <v>1.2451764999999999</v>
          </cell>
          <cell r="Q1831">
            <v>1.7696329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1.0380587999999999</v>
          </cell>
          <cell r="Y1831">
            <v>0</v>
          </cell>
          <cell r="Z1831">
            <v>0</v>
          </cell>
          <cell r="AA1831">
            <v>73.193028999999996</v>
          </cell>
          <cell r="AB1831">
            <v>1.5708987999999999</v>
          </cell>
        </row>
        <row r="1832">
          <cell r="A1832">
            <v>27564080</v>
          </cell>
          <cell r="B1832" t="str">
            <v>Frankfurter or hot dog sandwich, beef, plain, on wheat bread</v>
          </cell>
          <cell r="I1832">
            <v>140</v>
          </cell>
          <cell r="J1832">
            <v>422.09176000000002</v>
          </cell>
          <cell r="K1832">
            <v>3.0149411428571429</v>
          </cell>
          <cell r="L1832">
            <v>0.90885640000000001</v>
          </cell>
          <cell r="M1832">
            <v>11.080358</v>
          </cell>
          <cell r="N1832">
            <v>0</v>
          </cell>
          <cell r="O1832">
            <v>7.0790599999999995E-2</v>
          </cell>
          <cell r="P1832">
            <v>0.9358495</v>
          </cell>
          <cell r="Q1832">
            <v>1.7756282000000001</v>
          </cell>
          <cell r="R1832">
            <v>7.3050353000000001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1.0302188000000001</v>
          </cell>
          <cell r="Y1832">
            <v>0</v>
          </cell>
          <cell r="Z1832">
            <v>0</v>
          </cell>
          <cell r="AA1832">
            <v>73.193028999999996</v>
          </cell>
          <cell r="AB1832">
            <v>1.5736659</v>
          </cell>
        </row>
        <row r="1833">
          <cell r="A1833">
            <v>27564090</v>
          </cell>
          <cell r="B1833" t="str">
            <v>Frankfurter or hot dog sandwich, beef, plain, on whole wheat bread</v>
          </cell>
          <cell r="I1833">
            <v>140</v>
          </cell>
          <cell r="J1833">
            <v>406.85806000000002</v>
          </cell>
          <cell r="K1833">
            <v>2.906129</v>
          </cell>
          <cell r="L1833">
            <v>3.2516129</v>
          </cell>
          <cell r="M1833">
            <v>10.224697000000001</v>
          </cell>
          <cell r="N1833">
            <v>0</v>
          </cell>
          <cell r="O1833">
            <v>9.9264500000000006E-2</v>
          </cell>
          <cell r="P1833">
            <v>0</v>
          </cell>
          <cell r="Q1833">
            <v>1.8049161</v>
          </cell>
          <cell r="R1833">
            <v>31.475612999999999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0.98880650000000003</v>
          </cell>
          <cell r="Y1833">
            <v>0</v>
          </cell>
          <cell r="Z1833">
            <v>0</v>
          </cell>
          <cell r="AA1833">
            <v>66.896855000000002</v>
          </cell>
          <cell r="AB1833">
            <v>1.4352258</v>
          </cell>
        </row>
        <row r="1834">
          <cell r="A1834">
            <v>27564100</v>
          </cell>
          <cell r="B1834" t="str">
            <v>Frankfurter or hot dog sandwich, beef, plain, on whole grain white bread</v>
          </cell>
          <cell r="I1834">
            <v>140</v>
          </cell>
          <cell r="J1834">
            <v>399.27096999999998</v>
          </cell>
          <cell r="K1834">
            <v>2.8519354999999997</v>
          </cell>
          <cell r="L1834">
            <v>4.8009316000000002</v>
          </cell>
          <cell r="M1834">
            <v>10.174839</v>
          </cell>
          <cell r="N1834">
            <v>0</v>
          </cell>
          <cell r="O1834">
            <v>0.3826968</v>
          </cell>
          <cell r="P1834">
            <v>0.18487490000000001</v>
          </cell>
          <cell r="Q1834">
            <v>1.4694581</v>
          </cell>
          <cell r="R1834">
            <v>29.741419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1.001271</v>
          </cell>
          <cell r="Y1834">
            <v>0</v>
          </cell>
          <cell r="Z1834">
            <v>0</v>
          </cell>
          <cell r="AA1834">
            <v>66.896855000000002</v>
          </cell>
          <cell r="AB1834">
            <v>1.4411871000000001</v>
          </cell>
        </row>
        <row r="1835">
          <cell r="A1835">
            <v>27564120</v>
          </cell>
          <cell r="B1835" t="str">
            <v>Frankfurter or hot dog sandwich, beef and pork, plain, on white bun</v>
          </cell>
          <cell r="I1835">
            <v>140</v>
          </cell>
          <cell r="J1835">
            <v>389.03528999999997</v>
          </cell>
          <cell r="K1835">
            <v>2.7788234999999997</v>
          </cell>
          <cell r="L1835">
            <v>1.554E-16</v>
          </cell>
          <cell r="M1835">
            <v>6.4526412000000004</v>
          </cell>
          <cell r="N1835">
            <v>0</v>
          </cell>
          <cell r="O1835">
            <v>0.17187060000000001</v>
          </cell>
          <cell r="P1835">
            <v>1.1117646999999999</v>
          </cell>
          <cell r="Q1835">
            <v>5.3131646999999997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1.0686941000000001</v>
          </cell>
          <cell r="Y1835">
            <v>0</v>
          </cell>
          <cell r="Z1835">
            <v>0</v>
          </cell>
          <cell r="AA1835">
            <v>62.990364999999997</v>
          </cell>
          <cell r="AB1835">
            <v>0.18097060000000001</v>
          </cell>
        </row>
        <row r="1836">
          <cell r="A1836">
            <v>27564130</v>
          </cell>
          <cell r="B1836" t="str">
            <v>Frankfurter or hot dog sandwich, beef and pork, plain, on white bread</v>
          </cell>
          <cell r="I1836">
            <v>140</v>
          </cell>
          <cell r="J1836">
            <v>382.72705999999999</v>
          </cell>
          <cell r="K1836">
            <v>2.7337647142857144</v>
          </cell>
          <cell r="L1836">
            <v>1.554E-16</v>
          </cell>
          <cell r="M1836">
            <v>7.4409999999999998</v>
          </cell>
          <cell r="N1836">
            <v>0</v>
          </cell>
          <cell r="O1836">
            <v>0.16592470000000001</v>
          </cell>
          <cell r="P1836">
            <v>1.2451764999999999</v>
          </cell>
          <cell r="Q1836">
            <v>5.7953082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1.1422682</v>
          </cell>
          <cell r="Y1836">
            <v>0</v>
          </cell>
          <cell r="Z1836">
            <v>0</v>
          </cell>
          <cell r="AA1836">
            <v>75.588437999999996</v>
          </cell>
          <cell r="AB1836">
            <v>0.2096047</v>
          </cell>
        </row>
        <row r="1837">
          <cell r="A1837">
            <v>27564140</v>
          </cell>
          <cell r="B1837" t="str">
            <v>Frankfurter or hot dog sandwich, beef and pork, plain, on wheat bread</v>
          </cell>
          <cell r="I1837">
            <v>140</v>
          </cell>
          <cell r="J1837">
            <v>386.41647</v>
          </cell>
          <cell r="K1837">
            <v>2.7601176428571428</v>
          </cell>
          <cell r="L1837">
            <v>0.86262000000000005</v>
          </cell>
          <cell r="M1837">
            <v>7.4405387999999997</v>
          </cell>
          <cell r="N1837">
            <v>0</v>
          </cell>
          <cell r="O1837">
            <v>0.15716240000000001</v>
          </cell>
          <cell r="P1837">
            <v>0.98208589999999996</v>
          </cell>
          <cell r="Q1837">
            <v>5.8013035000000004</v>
          </cell>
          <cell r="R1837">
            <v>7.3050353000000001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1.1344282000000001</v>
          </cell>
          <cell r="Y1837">
            <v>0</v>
          </cell>
          <cell r="Z1837">
            <v>0</v>
          </cell>
          <cell r="AA1837">
            <v>75.588437999999996</v>
          </cell>
          <cell r="AB1837">
            <v>0.2123718</v>
          </cell>
        </row>
        <row r="1838">
          <cell r="A1838">
            <v>27564150</v>
          </cell>
          <cell r="B1838" t="str">
            <v>Frankfurter or hot dog sandwich, beef and pork, plain, on whole wheat bread</v>
          </cell>
          <cell r="I1838">
            <v>140</v>
          </cell>
          <cell r="J1838">
            <v>374.25161000000003</v>
          </cell>
          <cell r="K1838">
            <v>2.673225785714286</v>
          </cell>
          <cell r="L1838">
            <v>3.2516129</v>
          </cell>
          <cell r="M1838">
            <v>6.8979806000000004</v>
          </cell>
          <cell r="N1838">
            <v>0</v>
          </cell>
          <cell r="O1838">
            <v>0.17820649999999999</v>
          </cell>
          <cell r="P1838">
            <v>0</v>
          </cell>
          <cell r="Q1838">
            <v>5.4842968000000001</v>
          </cell>
          <cell r="R1838">
            <v>31.475612999999999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1.0840516</v>
          </cell>
          <cell r="Y1838">
            <v>0</v>
          </cell>
          <cell r="Z1838">
            <v>0</v>
          </cell>
          <cell r="AA1838">
            <v>69.086206000000004</v>
          </cell>
          <cell r="AB1838">
            <v>0.19103229999999999</v>
          </cell>
        </row>
        <row r="1839">
          <cell r="A1839">
            <v>27564180</v>
          </cell>
          <cell r="B1839" t="str">
            <v>Frankfurter or hot dog sandwich, meat and poultry, plain, on white bun</v>
          </cell>
          <cell r="I1839">
            <v>140</v>
          </cell>
          <cell r="J1839">
            <v>389.03528999999997</v>
          </cell>
          <cell r="K1839">
            <v>2.7788234999999997</v>
          </cell>
          <cell r="L1839">
            <v>1.554E-16</v>
          </cell>
          <cell r="M1839">
            <v>6.4526412000000004</v>
          </cell>
          <cell r="N1839">
            <v>0</v>
          </cell>
          <cell r="O1839">
            <v>0.17187060000000001</v>
          </cell>
          <cell r="P1839">
            <v>1.1117646999999999</v>
          </cell>
          <cell r="Q1839">
            <v>5.3131646999999997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1.0686941000000001</v>
          </cell>
          <cell r="Y1839">
            <v>0</v>
          </cell>
          <cell r="Z1839">
            <v>0</v>
          </cell>
          <cell r="AA1839">
            <v>62.990364999999997</v>
          </cell>
          <cell r="AB1839">
            <v>0.18097060000000001</v>
          </cell>
        </row>
        <row r="1840">
          <cell r="A1840">
            <v>27564190</v>
          </cell>
          <cell r="B1840" t="str">
            <v>Frankfurter or hot dog sandwich, meat and poultry, plain, on white bread</v>
          </cell>
          <cell r="I1840">
            <v>140</v>
          </cell>
          <cell r="J1840">
            <v>382.72705999999999</v>
          </cell>
          <cell r="K1840">
            <v>2.7337647142857144</v>
          </cell>
          <cell r="L1840">
            <v>1.554E-16</v>
          </cell>
          <cell r="M1840">
            <v>7.4409999999999998</v>
          </cell>
          <cell r="N1840">
            <v>0</v>
          </cell>
          <cell r="O1840">
            <v>0.16592470000000001</v>
          </cell>
          <cell r="P1840">
            <v>1.2451764999999999</v>
          </cell>
          <cell r="Q1840">
            <v>5.7953082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1.1422682</v>
          </cell>
          <cell r="Y1840">
            <v>0</v>
          </cell>
          <cell r="Z1840">
            <v>0</v>
          </cell>
          <cell r="AA1840">
            <v>75.588437999999996</v>
          </cell>
          <cell r="AB1840">
            <v>0.2096047</v>
          </cell>
        </row>
        <row r="1841">
          <cell r="A1841">
            <v>27564200</v>
          </cell>
          <cell r="B1841" t="str">
            <v>Frankfurter or hot dog sandwich, meat and poultry, plain, on wheat bread</v>
          </cell>
          <cell r="I1841">
            <v>140</v>
          </cell>
          <cell r="J1841">
            <v>386.41647</v>
          </cell>
          <cell r="K1841">
            <v>2.7601176428571428</v>
          </cell>
          <cell r="L1841">
            <v>0.90885640000000001</v>
          </cell>
          <cell r="M1841">
            <v>7.4405387999999997</v>
          </cell>
          <cell r="N1841">
            <v>0</v>
          </cell>
          <cell r="O1841">
            <v>0.15716240000000001</v>
          </cell>
          <cell r="P1841">
            <v>0.9358495</v>
          </cell>
          <cell r="Q1841">
            <v>5.8013035000000004</v>
          </cell>
          <cell r="R1841">
            <v>7.3050353000000001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1.1344282000000001</v>
          </cell>
          <cell r="Y1841">
            <v>0</v>
          </cell>
          <cell r="Z1841">
            <v>0</v>
          </cell>
          <cell r="AA1841">
            <v>75.588437999999996</v>
          </cell>
          <cell r="AB1841">
            <v>0.2123718</v>
          </cell>
        </row>
        <row r="1842">
          <cell r="A1842">
            <v>27564210</v>
          </cell>
          <cell r="B1842" t="str">
            <v>Frankfurter or hot dog sandwich, meat and poultry, plain, on whole wheat bread</v>
          </cell>
          <cell r="I1842">
            <v>140</v>
          </cell>
          <cell r="J1842">
            <v>374.25161000000003</v>
          </cell>
          <cell r="K1842">
            <v>2.673225785714286</v>
          </cell>
          <cell r="L1842">
            <v>3.2516129</v>
          </cell>
          <cell r="M1842">
            <v>6.8979806000000004</v>
          </cell>
          <cell r="N1842">
            <v>0</v>
          </cell>
          <cell r="O1842">
            <v>0.17820649999999999</v>
          </cell>
          <cell r="P1842">
            <v>0</v>
          </cell>
          <cell r="Q1842">
            <v>5.4842968000000001</v>
          </cell>
          <cell r="R1842">
            <v>31.475612999999999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1.0840516</v>
          </cell>
          <cell r="Y1842">
            <v>0</v>
          </cell>
          <cell r="Z1842">
            <v>0</v>
          </cell>
          <cell r="AA1842">
            <v>69.086206000000004</v>
          </cell>
          <cell r="AB1842">
            <v>0.19103229999999999</v>
          </cell>
        </row>
        <row r="1843">
          <cell r="A1843">
            <v>27564240</v>
          </cell>
          <cell r="B1843" t="str">
            <v>Frankfurter or hot dog sandwich, chicken and/or turkey, plain, on white bun</v>
          </cell>
          <cell r="I1843">
            <v>140</v>
          </cell>
          <cell r="J1843">
            <v>346.78823999999997</v>
          </cell>
          <cell r="K1843">
            <v>2.4770588571428571</v>
          </cell>
          <cell r="L1843">
            <v>1.554E-16</v>
          </cell>
          <cell r="M1843">
            <v>3.5368118000000002</v>
          </cell>
          <cell r="N1843">
            <v>0</v>
          </cell>
          <cell r="O1843">
            <v>0.1468353</v>
          </cell>
          <cell r="P1843">
            <v>1.1117646999999999</v>
          </cell>
          <cell r="Q1843">
            <v>4.1294646999999998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1.1085940999999999</v>
          </cell>
          <cell r="Y1843">
            <v>0</v>
          </cell>
          <cell r="Z1843">
            <v>0</v>
          </cell>
          <cell r="AA1843">
            <v>69.644276000000005</v>
          </cell>
          <cell r="AB1843">
            <v>0.13324710000000001</v>
          </cell>
        </row>
        <row r="1844">
          <cell r="A1844">
            <v>27564241</v>
          </cell>
          <cell r="B1844" t="str">
            <v>Frankfurter or hot dog sandwich, chicken and/or turkey, plain, on wheat bun</v>
          </cell>
          <cell r="I1844">
            <v>140</v>
          </cell>
          <cell r="J1844">
            <v>340.61176</v>
          </cell>
          <cell r="K1844">
            <v>2.432941142857143</v>
          </cell>
          <cell r="L1844">
            <v>1.1442884</v>
          </cell>
          <cell r="M1844">
            <v>3.4775176000000001</v>
          </cell>
          <cell r="N1844">
            <v>0</v>
          </cell>
          <cell r="O1844">
            <v>0.1789529</v>
          </cell>
          <cell r="P1844">
            <v>1.4498291999999999</v>
          </cell>
          <cell r="Q1844">
            <v>4.1393471000000002</v>
          </cell>
          <cell r="R1844">
            <v>8.6964705999999996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1.0894470999999999</v>
          </cell>
          <cell r="Y1844">
            <v>0</v>
          </cell>
          <cell r="Z1844">
            <v>0</v>
          </cell>
          <cell r="AA1844">
            <v>69.644276000000005</v>
          </cell>
          <cell r="AB1844">
            <v>0.1276882</v>
          </cell>
        </row>
        <row r="1845">
          <cell r="A1845">
            <v>27564250</v>
          </cell>
          <cell r="B1845" t="str">
            <v>Frankfurter or hot dog sandwich, chicken and/or turkey, plain, on white bread</v>
          </cell>
          <cell r="I1845">
            <v>140</v>
          </cell>
          <cell r="J1845">
            <v>332.03059000000002</v>
          </cell>
          <cell r="K1845">
            <v>2.3716470714285713</v>
          </cell>
          <cell r="L1845">
            <v>1.554E-16</v>
          </cell>
          <cell r="M1845">
            <v>3.9420047</v>
          </cell>
          <cell r="N1845">
            <v>0</v>
          </cell>
          <cell r="O1845">
            <v>0.13588239999999999</v>
          </cell>
          <cell r="P1845">
            <v>1.2451764999999999</v>
          </cell>
          <cell r="Q1845">
            <v>4.3748681999999999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1.1901482000000001</v>
          </cell>
          <cell r="Y1845">
            <v>0</v>
          </cell>
          <cell r="Z1845">
            <v>0</v>
          </cell>
          <cell r="AA1845">
            <v>83.573132000000001</v>
          </cell>
          <cell r="AB1845">
            <v>0.15233650000000001</v>
          </cell>
        </row>
        <row r="1846">
          <cell r="A1846">
            <v>27564260</v>
          </cell>
          <cell r="B1846" t="str">
            <v>Frankfurter or hot dog sandwich, chicken and/or turkey, plain, on wheat bread</v>
          </cell>
          <cell r="I1846">
            <v>140</v>
          </cell>
          <cell r="J1846">
            <v>335.72</v>
          </cell>
          <cell r="K1846">
            <v>2.3980000000000001</v>
          </cell>
          <cell r="L1846">
            <v>0.90885640000000001</v>
          </cell>
          <cell r="M1846">
            <v>3.9415434999999999</v>
          </cell>
          <cell r="N1846">
            <v>0</v>
          </cell>
          <cell r="O1846">
            <v>0.12712000000000001</v>
          </cell>
          <cell r="P1846">
            <v>0.9358495</v>
          </cell>
          <cell r="Q1846">
            <v>4.3808635000000002</v>
          </cell>
          <cell r="R1846">
            <v>7.3050353000000001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1.1823082</v>
          </cell>
          <cell r="Y1846">
            <v>0</v>
          </cell>
          <cell r="Z1846">
            <v>0</v>
          </cell>
          <cell r="AA1846">
            <v>83.573132000000001</v>
          </cell>
          <cell r="AB1846">
            <v>0.15510350000000001</v>
          </cell>
        </row>
        <row r="1847">
          <cell r="A1847">
            <v>27564270</v>
          </cell>
          <cell r="B1847" t="str">
            <v>Frankfurter or hot dog sandwich, chicken and/or turkey, plain, on whole wheat bread</v>
          </cell>
          <cell r="I1847">
            <v>140</v>
          </cell>
          <cell r="J1847">
            <v>327.91613000000001</v>
          </cell>
          <cell r="K1847">
            <v>2.3422580714285717</v>
          </cell>
          <cell r="L1847">
            <v>3.2516129</v>
          </cell>
          <cell r="M1847">
            <v>3.6999742000000002</v>
          </cell>
          <cell r="N1847">
            <v>0</v>
          </cell>
          <cell r="O1847">
            <v>0.1507484</v>
          </cell>
          <cell r="P1847">
            <v>0</v>
          </cell>
          <cell r="Q1847">
            <v>4.1860451999999997</v>
          </cell>
          <cell r="R1847">
            <v>31.475612999999999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1.1278128999999999</v>
          </cell>
          <cell r="Y1847">
            <v>0</v>
          </cell>
          <cell r="Z1847">
            <v>0</v>
          </cell>
          <cell r="AA1847">
            <v>76.384045</v>
          </cell>
          <cell r="AB1847">
            <v>0.13869029999999999</v>
          </cell>
        </row>
        <row r="1848">
          <cell r="A1848">
            <v>27564300</v>
          </cell>
          <cell r="B1848" t="str">
            <v>Frankfurter or hot dog sandwich, reduced fat or light, plain, on white bun</v>
          </cell>
          <cell r="I1848">
            <v>140</v>
          </cell>
          <cell r="J1848">
            <v>266.98824000000002</v>
          </cell>
          <cell r="K1848">
            <v>1.9070588571428573</v>
          </cell>
          <cell r="L1848">
            <v>1.554E-16</v>
          </cell>
          <cell r="M1848">
            <v>1.2789412</v>
          </cell>
          <cell r="N1848">
            <v>0</v>
          </cell>
          <cell r="O1848">
            <v>9.8329399999999997E-2</v>
          </cell>
          <cell r="P1848">
            <v>1.19</v>
          </cell>
          <cell r="Q1848">
            <v>1.3810587999999999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1.0741706</v>
          </cell>
          <cell r="Y1848">
            <v>0</v>
          </cell>
          <cell r="Z1848">
            <v>0</v>
          </cell>
          <cell r="AA1848">
            <v>78.235293999999996</v>
          </cell>
          <cell r="AB1848">
            <v>0.1007617</v>
          </cell>
        </row>
        <row r="1849">
          <cell r="A1849">
            <v>27564360</v>
          </cell>
          <cell r="B1849" t="str">
            <v>Frankfurter or hot dog sandwich, fat free, plain, on white bun</v>
          </cell>
          <cell r="I1849">
            <v>140</v>
          </cell>
          <cell r="J1849">
            <v>257.60000000000002</v>
          </cell>
          <cell r="K1849">
            <v>1.84</v>
          </cell>
          <cell r="L1849">
            <v>1.554E-16</v>
          </cell>
          <cell r="M1849">
            <v>0.91123529999999997</v>
          </cell>
          <cell r="N1849">
            <v>0</v>
          </cell>
          <cell r="O1849">
            <v>0.1311882</v>
          </cell>
          <cell r="P1849">
            <v>1.1117646999999999</v>
          </cell>
          <cell r="Q1849">
            <v>1.3732352999999999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0.99358820000000003</v>
          </cell>
          <cell r="Y1849">
            <v>0</v>
          </cell>
          <cell r="Z1849">
            <v>0</v>
          </cell>
          <cell r="AA1849">
            <v>78.235293999999996</v>
          </cell>
          <cell r="AB1849">
            <v>8.4737300000000002E-2</v>
          </cell>
        </row>
        <row r="1850">
          <cell r="A1850">
            <v>27564370</v>
          </cell>
          <cell r="B1850" t="str">
            <v>Frankfurter or hot dog sandwich, fat free, plain, on white bread</v>
          </cell>
          <cell r="I1850">
            <v>140</v>
          </cell>
          <cell r="J1850">
            <v>225.00470999999999</v>
          </cell>
          <cell r="K1850">
            <v>1.6071765</v>
          </cell>
          <cell r="L1850">
            <v>1.554E-16</v>
          </cell>
          <cell r="M1850">
            <v>0.79131289999999999</v>
          </cell>
          <cell r="N1850">
            <v>0</v>
          </cell>
          <cell r="O1850">
            <v>0.1171059</v>
          </cell>
          <cell r="P1850">
            <v>1.2451764999999999</v>
          </cell>
          <cell r="Q1850">
            <v>1.0673929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1.0521412000000001</v>
          </cell>
          <cell r="Y1850">
            <v>0</v>
          </cell>
          <cell r="Z1850">
            <v>0</v>
          </cell>
          <cell r="AA1850">
            <v>93.882352999999995</v>
          </cell>
          <cell r="AB1850">
            <v>8.5820400000000005E-2</v>
          </cell>
        </row>
        <row r="1851">
          <cell r="A1851">
            <v>27564420</v>
          </cell>
          <cell r="B1851" t="str">
            <v>Frankfurter or hot dog sandwich, meatless, plain, on bun</v>
          </cell>
          <cell r="I1851">
            <v>140</v>
          </cell>
          <cell r="J1851">
            <v>351.4</v>
          </cell>
          <cell r="K1851">
            <v>2.5099999999999998</v>
          </cell>
          <cell r="L1851">
            <v>0</v>
          </cell>
          <cell r="M1851">
            <v>1.8699129999999999</v>
          </cell>
          <cell r="N1851">
            <v>0</v>
          </cell>
          <cell r="O1851">
            <v>0.1070087</v>
          </cell>
          <cell r="P1851">
            <v>4.3095651999999998</v>
          </cell>
          <cell r="Q1851">
            <v>5.5896521999999997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0.67200000000000004</v>
          </cell>
          <cell r="Y1851">
            <v>0</v>
          </cell>
          <cell r="Z1851">
            <v>0</v>
          </cell>
          <cell r="AA1851">
            <v>0</v>
          </cell>
          <cell r="AB1851">
            <v>1.47913E-2</v>
          </cell>
        </row>
        <row r="1852">
          <cell r="A1852">
            <v>27564440</v>
          </cell>
          <cell r="B1852" t="str">
            <v>Frankfurter or hot dog sandwich, with chili, on white bun</v>
          </cell>
          <cell r="I1852">
            <v>140</v>
          </cell>
          <cell r="J1852">
            <v>315.06747000000001</v>
          </cell>
          <cell r="K1852">
            <v>2.2504819285714288</v>
          </cell>
          <cell r="L1852">
            <v>1.7812048</v>
          </cell>
          <cell r="M1852">
            <v>6.5049565999999999</v>
          </cell>
          <cell r="N1852">
            <v>0</v>
          </cell>
          <cell r="O1852">
            <v>7.9192799999999994E-2</v>
          </cell>
          <cell r="P1852">
            <v>0.68313250000000003</v>
          </cell>
          <cell r="Q1852">
            <v>1.4192795</v>
          </cell>
          <cell r="R1852">
            <v>0</v>
          </cell>
          <cell r="S1852">
            <v>10.390361</v>
          </cell>
          <cell r="T1852">
            <v>0</v>
          </cell>
          <cell r="U1852">
            <v>9.2568675000000002</v>
          </cell>
          <cell r="V1852">
            <v>0</v>
          </cell>
          <cell r="W1852">
            <v>0</v>
          </cell>
          <cell r="X1852">
            <v>0.84565900000000005</v>
          </cell>
          <cell r="Y1852">
            <v>0</v>
          </cell>
          <cell r="Z1852">
            <v>7.4980627000000002</v>
          </cell>
          <cell r="AA1852">
            <v>37.478358</v>
          </cell>
          <cell r="AB1852">
            <v>0.89784699999999995</v>
          </cell>
        </row>
        <row r="1853">
          <cell r="A1853">
            <v>27564441</v>
          </cell>
          <cell r="B1853" t="str">
            <v>Frankfurter or hot dog sandwich, with chili, on wheat bun</v>
          </cell>
          <cell r="I1853">
            <v>140</v>
          </cell>
          <cell r="J1853">
            <v>311.27229</v>
          </cell>
          <cell r="K1853">
            <v>2.2233735000000001</v>
          </cell>
          <cell r="L1853">
            <v>2.4843218</v>
          </cell>
          <cell r="M1853">
            <v>6.4685229</v>
          </cell>
          <cell r="N1853">
            <v>0</v>
          </cell>
          <cell r="O1853">
            <v>9.8927699999999993E-2</v>
          </cell>
          <cell r="P1853">
            <v>0.89085890000000001</v>
          </cell>
          <cell r="Q1853">
            <v>1.4253518000000001</v>
          </cell>
          <cell r="R1853">
            <v>5.3436145000000002</v>
          </cell>
          <cell r="S1853">
            <v>10.390361</v>
          </cell>
          <cell r="T1853">
            <v>0</v>
          </cell>
          <cell r="U1853">
            <v>9.2568675000000002</v>
          </cell>
          <cell r="V1853">
            <v>0</v>
          </cell>
          <cell r="W1853">
            <v>0</v>
          </cell>
          <cell r="X1853">
            <v>0.83389400000000002</v>
          </cell>
          <cell r="Y1853">
            <v>0</v>
          </cell>
          <cell r="Z1853">
            <v>7.4980627000000002</v>
          </cell>
          <cell r="AA1853">
            <v>37.478358</v>
          </cell>
          <cell r="AB1853">
            <v>0.89443130000000004</v>
          </cell>
        </row>
        <row r="1854">
          <cell r="A1854">
            <v>27564442</v>
          </cell>
          <cell r="B1854" t="str">
            <v>Frankfurter or hot dog sandwich, with chili, on whole wheat bun</v>
          </cell>
          <cell r="I1854">
            <v>140</v>
          </cell>
          <cell r="J1854">
            <v>311.27229</v>
          </cell>
          <cell r="K1854">
            <v>2.2233735000000001</v>
          </cell>
          <cell r="L1854">
            <v>2.4843218</v>
          </cell>
          <cell r="M1854">
            <v>6.4685229</v>
          </cell>
          <cell r="N1854">
            <v>0</v>
          </cell>
          <cell r="O1854">
            <v>9.8927699999999993E-2</v>
          </cell>
          <cell r="P1854">
            <v>0.89085890000000001</v>
          </cell>
          <cell r="Q1854">
            <v>1.4253518000000001</v>
          </cell>
          <cell r="R1854">
            <v>5.3436145000000002</v>
          </cell>
          <cell r="S1854">
            <v>10.390361</v>
          </cell>
          <cell r="T1854">
            <v>0</v>
          </cell>
          <cell r="U1854">
            <v>9.2568675000000002</v>
          </cell>
          <cell r="V1854">
            <v>0</v>
          </cell>
          <cell r="W1854">
            <v>0</v>
          </cell>
          <cell r="X1854">
            <v>0.83389400000000002</v>
          </cell>
          <cell r="Y1854">
            <v>0</v>
          </cell>
          <cell r="Z1854">
            <v>7.4980627000000002</v>
          </cell>
          <cell r="AA1854">
            <v>37.478358</v>
          </cell>
          <cell r="AB1854">
            <v>0.89443130000000004</v>
          </cell>
        </row>
        <row r="1855">
          <cell r="A1855">
            <v>27564450</v>
          </cell>
          <cell r="B1855" t="str">
            <v>Frankfurter or hot dog sandwich, with chili, on white bread</v>
          </cell>
          <cell r="I1855">
            <v>140</v>
          </cell>
          <cell r="J1855">
            <v>303.02953000000002</v>
          </cell>
          <cell r="K1855">
            <v>2.1644966428571428</v>
          </cell>
          <cell r="L1855">
            <v>1.9844295000000001</v>
          </cell>
          <cell r="M1855">
            <v>7.0747543999999998</v>
          </cell>
          <cell r="N1855">
            <v>0</v>
          </cell>
          <cell r="O1855">
            <v>6.5226800000000001E-2</v>
          </cell>
          <cell r="P1855">
            <v>0.71033559999999996</v>
          </cell>
          <cell r="Q1855">
            <v>1.2500591000000001</v>
          </cell>
          <cell r="R1855">
            <v>0</v>
          </cell>
          <cell r="S1855">
            <v>11.575839</v>
          </cell>
          <cell r="T1855">
            <v>0</v>
          </cell>
          <cell r="U1855">
            <v>10.31302</v>
          </cell>
          <cell r="V1855">
            <v>0</v>
          </cell>
          <cell r="W1855">
            <v>0</v>
          </cell>
          <cell r="X1855">
            <v>0.8621839</v>
          </cell>
          <cell r="Y1855">
            <v>0</v>
          </cell>
          <cell r="Z1855">
            <v>8.3535462999999996</v>
          </cell>
          <cell r="AA1855">
            <v>41.754413</v>
          </cell>
          <cell r="AB1855">
            <v>0.9959732</v>
          </cell>
        </row>
        <row r="1856">
          <cell r="A1856">
            <v>27564460</v>
          </cell>
          <cell r="B1856" t="str">
            <v>Frankfurter or hot dog sandwich, with chili, on wheat bread</v>
          </cell>
          <cell r="I1856">
            <v>140</v>
          </cell>
          <cell r="J1856">
            <v>305.13423</v>
          </cell>
          <cell r="K1856">
            <v>2.1795302142857143</v>
          </cell>
          <cell r="L1856">
            <v>2.4765282000000002</v>
          </cell>
          <cell r="M1856">
            <v>7.0744913</v>
          </cell>
          <cell r="N1856">
            <v>0</v>
          </cell>
          <cell r="O1856">
            <v>6.0228200000000003E-2</v>
          </cell>
          <cell r="P1856">
            <v>0.56025029999999998</v>
          </cell>
          <cell r="Q1856">
            <v>1.2534791999999999</v>
          </cell>
          <cell r="R1856">
            <v>4.1673020000000003</v>
          </cell>
          <cell r="S1856">
            <v>11.575839</v>
          </cell>
          <cell r="T1856">
            <v>0</v>
          </cell>
          <cell r="U1856">
            <v>10.31302</v>
          </cell>
          <cell r="V1856">
            <v>0</v>
          </cell>
          <cell r="W1856">
            <v>0</v>
          </cell>
          <cell r="X1856">
            <v>0.85771140000000001</v>
          </cell>
          <cell r="Y1856">
            <v>0</v>
          </cell>
          <cell r="Z1856">
            <v>8.3535462999999996</v>
          </cell>
          <cell r="AA1856">
            <v>41.754413</v>
          </cell>
          <cell r="AB1856">
            <v>0.99755170000000004</v>
          </cell>
        </row>
        <row r="1857">
          <cell r="A1857">
            <v>27564500</v>
          </cell>
          <cell r="B1857" t="str">
            <v>Frankfurter or hot dog sandwich, with meatless chili, on white bun</v>
          </cell>
          <cell r="I1857">
            <v>140</v>
          </cell>
          <cell r="J1857">
            <v>312.90843000000001</v>
          </cell>
          <cell r="K1857">
            <v>2.2350602142857143</v>
          </cell>
          <cell r="L1857">
            <v>1.7812048</v>
          </cell>
          <cell r="M1857">
            <v>6.4401855000000001</v>
          </cell>
          <cell r="N1857">
            <v>0</v>
          </cell>
          <cell r="O1857">
            <v>8.6749400000000004E-2</v>
          </cell>
          <cell r="P1857">
            <v>0.68313250000000003</v>
          </cell>
          <cell r="Q1857">
            <v>1.3377759</v>
          </cell>
          <cell r="R1857">
            <v>0</v>
          </cell>
          <cell r="S1857">
            <v>9.4457830999999999</v>
          </cell>
          <cell r="T1857">
            <v>0</v>
          </cell>
          <cell r="U1857">
            <v>9.2568675000000002</v>
          </cell>
          <cell r="V1857">
            <v>0</v>
          </cell>
          <cell r="W1857">
            <v>0</v>
          </cell>
          <cell r="X1857">
            <v>0.83162530000000001</v>
          </cell>
          <cell r="Y1857">
            <v>0</v>
          </cell>
          <cell r="Z1857">
            <v>8.7222360999999999</v>
          </cell>
          <cell r="AA1857">
            <v>37.478358</v>
          </cell>
          <cell r="AB1857">
            <v>0.80824700000000005</v>
          </cell>
        </row>
        <row r="1858">
          <cell r="A1858">
            <v>27570310</v>
          </cell>
          <cell r="B1858" t="str">
            <v>Hors d'oeuvres, with spread</v>
          </cell>
          <cell r="I1858">
            <v>140</v>
          </cell>
          <cell r="J1858">
            <v>287.89287000000002</v>
          </cell>
          <cell r="K1858">
            <v>2.056377642857143</v>
          </cell>
          <cell r="L1858">
            <v>0</v>
          </cell>
          <cell r="M1858">
            <v>1.3974302999999999</v>
          </cell>
          <cell r="N1858">
            <v>8.7955000000000005E-2</v>
          </cell>
          <cell r="O1858">
            <v>0.124317</v>
          </cell>
          <cell r="P1858">
            <v>2.0941668999999998</v>
          </cell>
          <cell r="Q1858">
            <v>3.0275892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0.57199580000000005</v>
          </cell>
          <cell r="Y1858">
            <v>0</v>
          </cell>
          <cell r="Z1858">
            <v>0</v>
          </cell>
          <cell r="AA1858">
            <v>0</v>
          </cell>
          <cell r="AB1858">
            <v>0.126694</v>
          </cell>
        </row>
        <row r="1859">
          <cell r="A1859">
            <v>28110220</v>
          </cell>
          <cell r="B1859" t="str">
            <v>Sirloin, chopped, with gravy, mashed potatoes, vegetable, frozen meal</v>
          </cell>
          <cell r="I1859">
            <v>195</v>
          </cell>
          <cell r="J1859">
            <v>301.80067000000003</v>
          </cell>
          <cell r="K1859">
            <v>1.5476957435897438</v>
          </cell>
          <cell r="L1859">
            <v>0.28859010000000002</v>
          </cell>
          <cell r="M1859">
            <v>7.3736290000000002</v>
          </cell>
          <cell r="N1859">
            <v>0</v>
          </cell>
          <cell r="O1859">
            <v>2.8880099999999999E-2</v>
          </cell>
          <cell r="P1859">
            <v>2.9443635000000001</v>
          </cell>
          <cell r="Q1859">
            <v>1.2390984</v>
          </cell>
          <cell r="R1859">
            <v>0</v>
          </cell>
          <cell r="S1859">
            <v>0</v>
          </cell>
          <cell r="T1859">
            <v>0</v>
          </cell>
          <cell r="U1859">
            <v>17.315404000000001</v>
          </cell>
          <cell r="V1859">
            <v>0</v>
          </cell>
          <cell r="W1859">
            <v>0</v>
          </cell>
          <cell r="X1859">
            <v>1.0930401999999999</v>
          </cell>
          <cell r="Y1859">
            <v>0</v>
          </cell>
          <cell r="Z1859">
            <v>33.597754999999999</v>
          </cell>
          <cell r="AA1859">
            <v>0</v>
          </cell>
          <cell r="AB1859">
            <v>0.46381909999999998</v>
          </cell>
        </row>
        <row r="1860">
          <cell r="A1860">
            <v>28110270</v>
          </cell>
          <cell r="B1860" t="str">
            <v>Sirloin beef, with gravy, potatoes, vegetable, frozen meal</v>
          </cell>
          <cell r="I1860">
            <v>195</v>
          </cell>
          <cell r="J1860">
            <v>165.28962000000001</v>
          </cell>
          <cell r="K1860">
            <v>0.84763907692307694</v>
          </cell>
          <cell r="L1860">
            <v>1.7238454000000001</v>
          </cell>
          <cell r="M1860">
            <v>2.5105732999999999</v>
          </cell>
          <cell r="N1860">
            <v>0</v>
          </cell>
          <cell r="O1860">
            <v>3.1810499999999998E-2</v>
          </cell>
          <cell r="P1860">
            <v>0.57200839999999997</v>
          </cell>
          <cell r="Q1860">
            <v>0.28499390000000002</v>
          </cell>
          <cell r="R1860">
            <v>0</v>
          </cell>
          <cell r="S1860">
            <v>0</v>
          </cell>
          <cell r="T1860">
            <v>0</v>
          </cell>
          <cell r="U1860">
            <v>67.228330999999997</v>
          </cell>
          <cell r="V1860">
            <v>0</v>
          </cell>
          <cell r="W1860">
            <v>0</v>
          </cell>
          <cell r="X1860">
            <v>0.60630870000000003</v>
          </cell>
          <cell r="Y1860">
            <v>0</v>
          </cell>
          <cell r="Z1860">
            <v>47.299483000000002</v>
          </cell>
          <cell r="AA1860">
            <v>0</v>
          </cell>
          <cell r="AB1860">
            <v>9.5963900000000005E-2</v>
          </cell>
        </row>
        <row r="1861">
          <cell r="A1861">
            <v>28110300</v>
          </cell>
          <cell r="B1861" t="str">
            <v>Salisbury steak dinner, NFS (frozen meal)</v>
          </cell>
          <cell r="I1861">
            <v>195</v>
          </cell>
          <cell r="J1861">
            <v>286.43256000000002</v>
          </cell>
          <cell r="K1861">
            <v>1.4688849230769232</v>
          </cell>
          <cell r="L1861">
            <v>0.32042019999999999</v>
          </cell>
          <cell r="M1861">
            <v>8.1427026999999992</v>
          </cell>
          <cell r="N1861">
            <v>0</v>
          </cell>
          <cell r="O1861">
            <v>3.0376899999999998E-2</v>
          </cell>
          <cell r="P1861">
            <v>2.3068487000000002</v>
          </cell>
          <cell r="Q1861">
            <v>0.76213929999999996</v>
          </cell>
          <cell r="R1861">
            <v>0</v>
          </cell>
          <cell r="S1861">
            <v>0</v>
          </cell>
          <cell r="T1861">
            <v>0</v>
          </cell>
          <cell r="U1861">
            <v>19.537814999999998</v>
          </cell>
          <cell r="V1861">
            <v>0</v>
          </cell>
          <cell r="W1861">
            <v>0</v>
          </cell>
          <cell r="X1861">
            <v>0.52149449999999997</v>
          </cell>
          <cell r="Y1861">
            <v>0</v>
          </cell>
          <cell r="Z1861">
            <v>35.119217999999996</v>
          </cell>
          <cell r="AA1861">
            <v>0</v>
          </cell>
          <cell r="AB1861">
            <v>0.70215499999999997</v>
          </cell>
        </row>
        <row r="1862">
          <cell r="A1862">
            <v>28110310</v>
          </cell>
          <cell r="B1862" t="str">
            <v>Salisbury steak with gravy, potatoes, vegetable, frozen meal</v>
          </cell>
          <cell r="I1862">
            <v>195</v>
          </cell>
          <cell r="J1862">
            <v>286.82458000000003</v>
          </cell>
          <cell r="K1862">
            <v>1.4708952820512822</v>
          </cell>
          <cell r="L1862">
            <v>0.32042019999999999</v>
          </cell>
          <cell r="M1862">
            <v>8.1466229000000006</v>
          </cell>
          <cell r="N1862">
            <v>0</v>
          </cell>
          <cell r="O1862">
            <v>3.0376899999999998E-2</v>
          </cell>
          <cell r="P1862">
            <v>2.3068487000000002</v>
          </cell>
          <cell r="Q1862">
            <v>0.76096319999999995</v>
          </cell>
          <cell r="R1862">
            <v>0</v>
          </cell>
          <cell r="S1862">
            <v>0</v>
          </cell>
          <cell r="T1862">
            <v>0</v>
          </cell>
          <cell r="U1862">
            <v>19.537814999999998</v>
          </cell>
          <cell r="V1862">
            <v>0</v>
          </cell>
          <cell r="W1862">
            <v>0</v>
          </cell>
          <cell r="X1862">
            <v>0.52149449999999997</v>
          </cell>
          <cell r="Y1862">
            <v>0</v>
          </cell>
          <cell r="Z1862">
            <v>35.008080999999997</v>
          </cell>
          <cell r="AA1862">
            <v>0</v>
          </cell>
          <cell r="AB1862">
            <v>0.70215499999999997</v>
          </cell>
        </row>
        <row r="1863">
          <cell r="A1863">
            <v>28110330</v>
          </cell>
          <cell r="B1863" t="str">
            <v>Salisbury steak with gravy, whipped potatoes, vegetable, dessert, frozen meal</v>
          </cell>
          <cell r="I1863">
            <v>195</v>
          </cell>
          <cell r="J1863">
            <v>273.69306999999998</v>
          </cell>
          <cell r="K1863">
            <v>1.4035542051282051</v>
          </cell>
          <cell r="L1863">
            <v>0</v>
          </cell>
          <cell r="M1863">
            <v>5.0726962000000002</v>
          </cell>
          <cell r="N1863">
            <v>0</v>
          </cell>
          <cell r="O1863">
            <v>5.0247800000000002E-2</v>
          </cell>
          <cell r="P1863">
            <v>1.5554117999999999</v>
          </cell>
          <cell r="Q1863">
            <v>1.3769952000000001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1.0923814999999999</v>
          </cell>
          <cell r="Y1863">
            <v>0</v>
          </cell>
          <cell r="Z1863">
            <v>35.151454999999999</v>
          </cell>
          <cell r="AA1863">
            <v>0</v>
          </cell>
          <cell r="AB1863">
            <v>0.53933149999999996</v>
          </cell>
        </row>
        <row r="1864">
          <cell r="A1864">
            <v>28110350</v>
          </cell>
          <cell r="B1864" t="str">
            <v>Salisbury steak with gravy, potatoes, vegetable, dessert, frozen meal</v>
          </cell>
          <cell r="I1864">
            <v>195</v>
          </cell>
          <cell r="J1864">
            <v>328.62468999999999</v>
          </cell>
          <cell r="K1864">
            <v>1.6852548205128204</v>
          </cell>
          <cell r="L1864">
            <v>0.65839199999999998</v>
          </cell>
          <cell r="M1864">
            <v>4.9947578000000004</v>
          </cell>
          <cell r="N1864">
            <v>0</v>
          </cell>
          <cell r="O1864">
            <v>6.0529300000000001E-2</v>
          </cell>
          <cell r="P1864">
            <v>2.3766753999999999</v>
          </cell>
          <cell r="Q1864">
            <v>1.5796667</v>
          </cell>
          <cell r="R1864">
            <v>0</v>
          </cell>
          <cell r="S1864">
            <v>0</v>
          </cell>
          <cell r="T1864">
            <v>11.910278</v>
          </cell>
          <cell r="U1864">
            <v>15.852990999999999</v>
          </cell>
          <cell r="V1864">
            <v>0</v>
          </cell>
          <cell r="W1864">
            <v>0</v>
          </cell>
          <cell r="X1864">
            <v>0.73915229999999998</v>
          </cell>
          <cell r="Y1864">
            <v>0</v>
          </cell>
          <cell r="Z1864">
            <v>55.308115000000001</v>
          </cell>
          <cell r="AA1864">
            <v>0</v>
          </cell>
          <cell r="AB1864">
            <v>0.60013510000000003</v>
          </cell>
        </row>
        <row r="1865">
          <cell r="A1865">
            <v>28110380</v>
          </cell>
          <cell r="B1865" t="str">
            <v>Salisbury steak with gravy, macaroni and cheese, frozen meal</v>
          </cell>
          <cell r="I1865">
            <v>195</v>
          </cell>
          <cell r="J1865">
            <v>393.62817000000001</v>
          </cell>
          <cell r="K1865">
            <v>2.0186060000000001</v>
          </cell>
          <cell r="L1865">
            <v>0.1447695</v>
          </cell>
          <cell r="M1865">
            <v>6.2197398000000002</v>
          </cell>
          <cell r="N1865">
            <v>0</v>
          </cell>
          <cell r="O1865">
            <v>0.2095496</v>
          </cell>
          <cell r="P1865">
            <v>2.3834347999999999</v>
          </cell>
          <cell r="Q1865">
            <v>2.2065868000000002</v>
          </cell>
          <cell r="R1865">
            <v>0</v>
          </cell>
          <cell r="S1865">
            <v>0</v>
          </cell>
          <cell r="T1865">
            <v>0</v>
          </cell>
          <cell r="U1865">
            <v>8.5348494000000006</v>
          </cell>
          <cell r="V1865">
            <v>0</v>
          </cell>
          <cell r="W1865">
            <v>0</v>
          </cell>
          <cell r="X1865">
            <v>0.74505889999999997</v>
          </cell>
          <cell r="Y1865">
            <v>0</v>
          </cell>
          <cell r="Z1865">
            <v>30.857627000000001</v>
          </cell>
          <cell r="AA1865">
            <v>0</v>
          </cell>
          <cell r="AB1865">
            <v>0.98428349999999998</v>
          </cell>
        </row>
        <row r="1866">
          <cell r="A1866">
            <v>28110390</v>
          </cell>
          <cell r="B1866" t="str">
            <v>Salisbury steak, potatoes, vegetable, dessert, diet frozen meal</v>
          </cell>
          <cell r="I1866">
            <v>195</v>
          </cell>
          <cell r="J1866">
            <v>180.19684000000001</v>
          </cell>
          <cell r="K1866">
            <v>0.92408635897435898</v>
          </cell>
          <cell r="L1866">
            <v>1.9685994</v>
          </cell>
          <cell r="M1866">
            <v>2.0010327999999999</v>
          </cell>
          <cell r="N1866">
            <v>0</v>
          </cell>
          <cell r="O1866">
            <v>2.7619100000000001E-2</v>
          </cell>
          <cell r="P1866">
            <v>0.54271080000000005</v>
          </cell>
          <cell r="Q1866">
            <v>0.3526955</v>
          </cell>
          <cell r="R1866">
            <v>0</v>
          </cell>
          <cell r="S1866">
            <v>0</v>
          </cell>
          <cell r="T1866">
            <v>30.346385999999999</v>
          </cell>
          <cell r="U1866">
            <v>51.686746999999997</v>
          </cell>
          <cell r="V1866">
            <v>0</v>
          </cell>
          <cell r="W1866">
            <v>0</v>
          </cell>
          <cell r="X1866">
            <v>0.26678780000000002</v>
          </cell>
          <cell r="Y1866">
            <v>0</v>
          </cell>
          <cell r="Z1866">
            <v>27.939309000000002</v>
          </cell>
          <cell r="AA1866">
            <v>0</v>
          </cell>
          <cell r="AB1866">
            <v>0.18724180000000001</v>
          </cell>
        </row>
        <row r="1867">
          <cell r="A1867">
            <v>28110510</v>
          </cell>
          <cell r="B1867" t="str">
            <v>Beef, sliced, with gravy, potatoes, vegetable, frozen meal</v>
          </cell>
          <cell r="I1867">
            <v>195</v>
          </cell>
          <cell r="J1867">
            <v>243.99397999999999</v>
          </cell>
          <cell r="K1867">
            <v>1.2512511794871795</v>
          </cell>
          <cell r="L1867">
            <v>0.91069480000000003</v>
          </cell>
          <cell r="M1867">
            <v>3.9249534000000001</v>
          </cell>
          <cell r="N1867">
            <v>0</v>
          </cell>
          <cell r="O1867">
            <v>1.9826699999999999E-2</v>
          </cell>
          <cell r="P1867">
            <v>0.52394370000000001</v>
          </cell>
          <cell r="Q1867">
            <v>2.4605261</v>
          </cell>
          <cell r="R1867">
            <v>0</v>
          </cell>
          <cell r="S1867">
            <v>0</v>
          </cell>
          <cell r="T1867">
            <v>0</v>
          </cell>
          <cell r="U1867">
            <v>32.918892999999997</v>
          </cell>
          <cell r="V1867">
            <v>0</v>
          </cell>
          <cell r="W1867">
            <v>0</v>
          </cell>
          <cell r="X1867">
            <v>0.57695540000000001</v>
          </cell>
          <cell r="Y1867">
            <v>0</v>
          </cell>
          <cell r="Z1867">
            <v>50.106000000000002</v>
          </cell>
          <cell r="AA1867">
            <v>0</v>
          </cell>
          <cell r="AB1867">
            <v>1.0953348000000001</v>
          </cell>
        </row>
        <row r="1868">
          <cell r="A1868">
            <v>28110620</v>
          </cell>
          <cell r="B1868" t="str">
            <v>Beef short ribs, boneless, with barbecue sauce, potatoes, vegetable, frozen meal</v>
          </cell>
          <cell r="I1868">
            <v>195</v>
          </cell>
          <cell r="J1868">
            <v>293.76303000000001</v>
          </cell>
          <cell r="K1868">
            <v>1.5064770769230771</v>
          </cell>
          <cell r="L1868">
            <v>2.0042958999999998</v>
          </cell>
          <cell r="M1868">
            <v>4.9090834000000001</v>
          </cell>
          <cell r="N1868">
            <v>0</v>
          </cell>
          <cell r="O1868">
            <v>4.6447099999999998E-2</v>
          </cell>
          <cell r="P1868">
            <v>0.91292200000000001</v>
          </cell>
          <cell r="Q1868">
            <v>0.47031810000000002</v>
          </cell>
          <cell r="R1868">
            <v>0</v>
          </cell>
          <cell r="S1868">
            <v>0</v>
          </cell>
          <cell r="T1868">
            <v>0</v>
          </cell>
          <cell r="U1868">
            <v>64.129931999999997</v>
          </cell>
          <cell r="V1868">
            <v>0</v>
          </cell>
          <cell r="W1868">
            <v>0</v>
          </cell>
          <cell r="X1868">
            <v>0.46084449999999999</v>
          </cell>
          <cell r="Y1868">
            <v>0</v>
          </cell>
          <cell r="Z1868">
            <v>45.723699000000003</v>
          </cell>
          <cell r="AA1868">
            <v>0</v>
          </cell>
          <cell r="AB1868">
            <v>0.33956829999999999</v>
          </cell>
        </row>
        <row r="1869">
          <cell r="A1869">
            <v>28110640</v>
          </cell>
          <cell r="B1869" t="str">
            <v>Meatballs, Swedish, in sauce, with noodles (frozen meal)</v>
          </cell>
          <cell r="I1869">
            <v>195</v>
          </cell>
          <cell r="J1869">
            <v>375.3947</v>
          </cell>
          <cell r="K1869">
            <v>1.9251010256410257</v>
          </cell>
          <cell r="L1869">
            <v>3.5337199999999999E-2</v>
          </cell>
          <cell r="M1869">
            <v>8.6465324999999993</v>
          </cell>
          <cell r="N1869">
            <v>0</v>
          </cell>
          <cell r="O1869">
            <v>9.5439700000000002E-2</v>
          </cell>
          <cell r="P1869">
            <v>1.2037348000000001</v>
          </cell>
          <cell r="Q1869">
            <v>1.4027509</v>
          </cell>
          <cell r="R1869">
            <v>0</v>
          </cell>
          <cell r="S1869">
            <v>0</v>
          </cell>
          <cell r="T1869">
            <v>0</v>
          </cell>
          <cell r="U1869">
            <v>1.9631803999999999</v>
          </cell>
          <cell r="V1869">
            <v>0</v>
          </cell>
          <cell r="W1869">
            <v>0</v>
          </cell>
          <cell r="X1869">
            <v>0.57672509999999999</v>
          </cell>
          <cell r="Y1869">
            <v>0</v>
          </cell>
          <cell r="Z1869">
            <v>56.635711999999998</v>
          </cell>
          <cell r="AA1869">
            <v>0</v>
          </cell>
          <cell r="AB1869">
            <v>0.80292110000000005</v>
          </cell>
        </row>
        <row r="1870">
          <cell r="A1870">
            <v>28110660</v>
          </cell>
          <cell r="B1870" t="str">
            <v>Meatballs, Swedish, in gravy, with noodles, diet frozen meal</v>
          </cell>
          <cell r="I1870">
            <v>195</v>
          </cell>
          <cell r="J1870">
            <v>217.46686</v>
          </cell>
          <cell r="K1870">
            <v>1.1152146666666667</v>
          </cell>
          <cell r="L1870">
            <v>0.63052330000000001</v>
          </cell>
          <cell r="M1870">
            <v>2.2826214999999999</v>
          </cell>
          <cell r="N1870">
            <v>0</v>
          </cell>
          <cell r="O1870">
            <v>4.7253499999999997E-2</v>
          </cell>
          <cell r="P1870">
            <v>1.0311627999999999</v>
          </cell>
          <cell r="Q1870">
            <v>0.58799829999999997</v>
          </cell>
          <cell r="R1870">
            <v>0</v>
          </cell>
          <cell r="S1870">
            <v>0</v>
          </cell>
          <cell r="T1870">
            <v>0.17441860000000001</v>
          </cell>
          <cell r="U1870">
            <v>28.953488</v>
          </cell>
          <cell r="V1870">
            <v>0</v>
          </cell>
          <cell r="W1870">
            <v>0</v>
          </cell>
          <cell r="X1870">
            <v>0.4914017</v>
          </cell>
          <cell r="Y1870">
            <v>0</v>
          </cell>
          <cell r="Z1870">
            <v>25.078872</v>
          </cell>
          <cell r="AA1870">
            <v>0</v>
          </cell>
          <cell r="AB1870">
            <v>0.2728701</v>
          </cell>
        </row>
        <row r="1871">
          <cell r="A1871">
            <v>28113140</v>
          </cell>
          <cell r="B1871" t="str">
            <v>Beef with spaetzle or rice, vegetable, frozen meal</v>
          </cell>
          <cell r="I1871">
            <v>195</v>
          </cell>
          <cell r="J1871">
            <v>231.42774</v>
          </cell>
          <cell r="K1871">
            <v>1.186808923076923</v>
          </cell>
          <cell r="L1871">
            <v>0.55614629999999998</v>
          </cell>
          <cell r="M1871">
            <v>2.5064926999999999</v>
          </cell>
          <cell r="N1871">
            <v>0</v>
          </cell>
          <cell r="O1871">
            <v>1.70498E-2</v>
          </cell>
          <cell r="P1871">
            <v>0.35084149999999997</v>
          </cell>
          <cell r="Q1871">
            <v>1.3618482999999999</v>
          </cell>
          <cell r="R1871">
            <v>0</v>
          </cell>
          <cell r="S1871">
            <v>0</v>
          </cell>
          <cell r="T1871">
            <v>0</v>
          </cell>
          <cell r="U1871">
            <v>40.189024000000003</v>
          </cell>
          <cell r="V1871">
            <v>0</v>
          </cell>
          <cell r="W1871">
            <v>0</v>
          </cell>
          <cell r="X1871">
            <v>0.54318279999999997</v>
          </cell>
          <cell r="Y1871">
            <v>0</v>
          </cell>
          <cell r="Z1871">
            <v>37.978628</v>
          </cell>
          <cell r="AA1871">
            <v>0</v>
          </cell>
          <cell r="AB1871">
            <v>0.3099152</v>
          </cell>
        </row>
        <row r="1872">
          <cell r="A1872">
            <v>28140100</v>
          </cell>
          <cell r="B1872" t="str">
            <v>Chicken dinner, NFS (frozen meal)</v>
          </cell>
          <cell r="I1872">
            <v>195</v>
          </cell>
          <cell r="J1872">
            <v>250.72985</v>
          </cell>
          <cell r="K1872">
            <v>1.2857941025641026</v>
          </cell>
          <cell r="L1872">
            <v>0.50209720000000002</v>
          </cell>
          <cell r="M1872">
            <v>3.2298773000000001</v>
          </cell>
          <cell r="N1872">
            <v>0</v>
          </cell>
          <cell r="O1872">
            <v>6.4910899999999994E-2</v>
          </cell>
          <cell r="P1872">
            <v>1.4014755999999999</v>
          </cell>
          <cell r="Q1872">
            <v>1.6806279</v>
          </cell>
          <cell r="R1872">
            <v>0</v>
          </cell>
          <cell r="S1872">
            <v>0</v>
          </cell>
          <cell r="T1872">
            <v>0</v>
          </cell>
          <cell r="U1872">
            <v>25.261762000000001</v>
          </cell>
          <cell r="V1872">
            <v>0</v>
          </cell>
          <cell r="W1872">
            <v>0</v>
          </cell>
          <cell r="X1872">
            <v>0.805813</v>
          </cell>
          <cell r="Y1872">
            <v>0</v>
          </cell>
          <cell r="Z1872">
            <v>0</v>
          </cell>
          <cell r="AA1872">
            <v>0</v>
          </cell>
          <cell r="AB1872">
            <v>0.40543050000000003</v>
          </cell>
        </row>
        <row r="1873">
          <cell r="A1873">
            <v>28140150</v>
          </cell>
          <cell r="B1873" t="str">
            <v>Chicken divan (frozen meal)</v>
          </cell>
          <cell r="I1873">
            <v>195</v>
          </cell>
          <cell r="J1873">
            <v>295.77321000000001</v>
          </cell>
          <cell r="K1873">
            <v>1.5167856923076923</v>
          </cell>
          <cell r="L1873">
            <v>0.83022989999999997</v>
          </cell>
          <cell r="M1873">
            <v>7.4295556999999999</v>
          </cell>
          <cell r="N1873">
            <v>0</v>
          </cell>
          <cell r="O1873">
            <v>0.21826680000000001</v>
          </cell>
          <cell r="P1873">
            <v>0.17863390000000001</v>
          </cell>
          <cell r="Q1873">
            <v>2.9110095999999999</v>
          </cell>
          <cell r="R1873">
            <v>0</v>
          </cell>
          <cell r="S1873">
            <v>0</v>
          </cell>
          <cell r="T1873">
            <v>0</v>
          </cell>
          <cell r="U1873">
            <v>25.158481999999999</v>
          </cell>
          <cell r="V1873">
            <v>0</v>
          </cell>
          <cell r="W1873">
            <v>0</v>
          </cell>
          <cell r="X1873">
            <v>0.57582279999999997</v>
          </cell>
          <cell r="Y1873">
            <v>0</v>
          </cell>
          <cell r="Z1873">
            <v>0</v>
          </cell>
          <cell r="AA1873">
            <v>0</v>
          </cell>
          <cell r="AB1873">
            <v>0.18824460000000001</v>
          </cell>
        </row>
        <row r="1874">
          <cell r="A1874">
            <v>28140320</v>
          </cell>
          <cell r="B1874" t="str">
            <v>Chicken and noodles with vegetable, dessert, frozen meal</v>
          </cell>
          <cell r="I1874">
            <v>195</v>
          </cell>
          <cell r="J1874">
            <v>264.57848000000001</v>
          </cell>
          <cell r="K1874">
            <v>1.3568127179487179</v>
          </cell>
          <cell r="L1874">
            <v>0</v>
          </cell>
          <cell r="M1874">
            <v>2.2924207000000001</v>
          </cell>
          <cell r="N1874">
            <v>0</v>
          </cell>
          <cell r="O1874">
            <v>2.96393E-2</v>
          </cell>
          <cell r="P1874">
            <v>2.6032155000000001</v>
          </cell>
          <cell r="Q1874">
            <v>2.3460711999999999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0.7656982</v>
          </cell>
          <cell r="Y1874">
            <v>0</v>
          </cell>
          <cell r="Z1874">
            <v>0</v>
          </cell>
          <cell r="AA1874">
            <v>0</v>
          </cell>
          <cell r="AB1874">
            <v>0.54652750000000005</v>
          </cell>
        </row>
        <row r="1875">
          <cell r="A1875">
            <v>28140710</v>
          </cell>
          <cell r="B1875" t="str">
            <v>Chicken, fried, with potatoes, vegetable, frozen meal</v>
          </cell>
          <cell r="I1875">
            <v>195</v>
          </cell>
          <cell r="J1875">
            <v>329.44322</v>
          </cell>
          <cell r="K1875">
            <v>1.6894524102564101</v>
          </cell>
          <cell r="L1875">
            <v>0.84730740000000004</v>
          </cell>
          <cell r="M1875">
            <v>6.1023755</v>
          </cell>
          <cell r="N1875">
            <v>0</v>
          </cell>
          <cell r="O1875">
            <v>5.0790599999999998E-2</v>
          </cell>
          <cell r="P1875">
            <v>1.6885763</v>
          </cell>
          <cell r="Q1875">
            <v>3.4794363000000001</v>
          </cell>
          <cell r="R1875">
            <v>0</v>
          </cell>
          <cell r="S1875">
            <v>0</v>
          </cell>
          <cell r="T1875">
            <v>0</v>
          </cell>
          <cell r="U1875">
            <v>19.256986000000001</v>
          </cell>
          <cell r="V1875">
            <v>0</v>
          </cell>
          <cell r="W1875">
            <v>0</v>
          </cell>
          <cell r="X1875">
            <v>0.85582539999999996</v>
          </cell>
          <cell r="Y1875">
            <v>0</v>
          </cell>
          <cell r="Z1875">
            <v>0</v>
          </cell>
          <cell r="AA1875">
            <v>0</v>
          </cell>
          <cell r="AB1875">
            <v>0.49682159999999997</v>
          </cell>
        </row>
        <row r="1876">
          <cell r="A1876">
            <v>28140720</v>
          </cell>
          <cell r="B1876" t="str">
            <v>Chicken patty, or nuggets, boneless, breaded, potatoes, vegetable, frozen meal</v>
          </cell>
          <cell r="I1876">
            <v>195</v>
          </cell>
          <cell r="J1876">
            <v>396.84640999999999</v>
          </cell>
          <cell r="K1876">
            <v>2.0351097948717949</v>
          </cell>
          <cell r="L1876">
            <v>0</v>
          </cell>
          <cell r="M1876">
            <v>3.8287943000000002</v>
          </cell>
          <cell r="N1876">
            <v>0</v>
          </cell>
          <cell r="O1876">
            <v>1.8428699999999999E-2</v>
          </cell>
          <cell r="P1876">
            <v>2.7301839000000001</v>
          </cell>
          <cell r="Q1876">
            <v>6.7509003999999999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0.82529300000000005</v>
          </cell>
          <cell r="Y1876">
            <v>0</v>
          </cell>
          <cell r="Z1876">
            <v>0</v>
          </cell>
          <cell r="AA1876">
            <v>0</v>
          </cell>
          <cell r="AB1876">
            <v>1.9655218999999999</v>
          </cell>
        </row>
        <row r="1877">
          <cell r="A1877">
            <v>28140730</v>
          </cell>
          <cell r="B1877" t="str">
            <v>Chicken patty, breaded, with tomato sauce and cheese, fettuccine alfredo, vegetable (frozen meal)</v>
          </cell>
          <cell r="I1877">
            <v>195</v>
          </cell>
          <cell r="J1877">
            <v>237.79283000000001</v>
          </cell>
          <cell r="K1877">
            <v>1.2194504102564103</v>
          </cell>
          <cell r="L1877">
            <v>1.7481857000000001</v>
          </cell>
          <cell r="M1877">
            <v>3.6914014000000002</v>
          </cell>
          <cell r="N1877">
            <v>0</v>
          </cell>
          <cell r="O1877">
            <v>7.4759900000000004E-2</v>
          </cell>
          <cell r="P1877">
            <v>0.56745350000000006</v>
          </cell>
          <cell r="Q1877">
            <v>2.1936819999999999</v>
          </cell>
          <cell r="R1877">
            <v>0</v>
          </cell>
          <cell r="S1877">
            <v>0</v>
          </cell>
          <cell r="T1877">
            <v>0</v>
          </cell>
          <cell r="U1877">
            <v>76.050466999999998</v>
          </cell>
          <cell r="V1877">
            <v>0</v>
          </cell>
          <cell r="W1877">
            <v>0</v>
          </cell>
          <cell r="X1877">
            <v>0.51569339999999997</v>
          </cell>
          <cell r="Y1877">
            <v>0</v>
          </cell>
          <cell r="Z1877">
            <v>0</v>
          </cell>
          <cell r="AA1877">
            <v>0</v>
          </cell>
          <cell r="AB1877">
            <v>1.1848069000000001</v>
          </cell>
        </row>
        <row r="1878">
          <cell r="A1878">
            <v>28140740</v>
          </cell>
          <cell r="B1878" t="str">
            <v>Chicken patty or nuggets, boneless, breaded, with pasta and tomato sauce, fruit, dessert, frozen meal</v>
          </cell>
          <cell r="I1878">
            <v>195</v>
          </cell>
          <cell r="J1878">
            <v>347.10750999999999</v>
          </cell>
          <cell r="K1878">
            <v>1.7800385128205127</v>
          </cell>
          <cell r="L1878">
            <v>1.2887077</v>
          </cell>
          <cell r="M1878">
            <v>2.9155587000000001</v>
          </cell>
          <cell r="N1878">
            <v>0</v>
          </cell>
          <cell r="O1878">
            <v>2.90342E-2</v>
          </cell>
          <cell r="P1878">
            <v>1.3542255000000001</v>
          </cell>
          <cell r="Q1878">
            <v>3.4519424999999999</v>
          </cell>
          <cell r="R1878">
            <v>0.37715159999999998</v>
          </cell>
          <cell r="S1878">
            <v>0</v>
          </cell>
          <cell r="T1878">
            <v>49.416317999999997</v>
          </cell>
          <cell r="U1878">
            <v>35.340631999999999</v>
          </cell>
          <cell r="V1878">
            <v>0</v>
          </cell>
          <cell r="W1878">
            <v>0</v>
          </cell>
          <cell r="X1878">
            <v>0.86699059999999994</v>
          </cell>
          <cell r="Y1878">
            <v>0</v>
          </cell>
          <cell r="Z1878">
            <v>0</v>
          </cell>
          <cell r="AA1878">
            <v>0</v>
          </cell>
          <cell r="AB1878">
            <v>0.3121505</v>
          </cell>
        </row>
        <row r="1879">
          <cell r="A1879">
            <v>28140810</v>
          </cell>
          <cell r="B1879" t="str">
            <v>Chicken, fried, with potatoes, vegetable, dessert (frozen meal)</v>
          </cell>
          <cell r="I1879">
            <v>195</v>
          </cell>
          <cell r="J1879">
            <v>335.12686000000002</v>
          </cell>
          <cell r="K1879">
            <v>1.7185992820512821</v>
          </cell>
          <cell r="L1879">
            <v>0.90534979999999998</v>
          </cell>
          <cell r="M1879">
            <v>5.6251398000000004</v>
          </cell>
          <cell r="N1879">
            <v>0</v>
          </cell>
          <cell r="O1879">
            <v>5.90013E-2</v>
          </cell>
          <cell r="P1879">
            <v>1.5939471000000001</v>
          </cell>
          <cell r="Q1879">
            <v>3.4833818999999999</v>
          </cell>
          <cell r="R1879">
            <v>0</v>
          </cell>
          <cell r="S1879">
            <v>0</v>
          </cell>
          <cell r="T1879">
            <v>7.5990149999999996</v>
          </cell>
          <cell r="U1879">
            <v>18.330967999999999</v>
          </cell>
          <cell r="V1879">
            <v>0</v>
          </cell>
          <cell r="W1879">
            <v>0</v>
          </cell>
          <cell r="X1879">
            <v>0.8237236</v>
          </cell>
          <cell r="Y1879">
            <v>0</v>
          </cell>
          <cell r="Z1879">
            <v>0</v>
          </cell>
          <cell r="AA1879">
            <v>0</v>
          </cell>
          <cell r="AB1879">
            <v>0.52091359999999998</v>
          </cell>
        </row>
        <row r="1880">
          <cell r="A1880">
            <v>28141010</v>
          </cell>
          <cell r="B1880" t="str">
            <v>Chicken, fried, with potatoes, vegetable, dessert, frozen meal, large meat portion</v>
          </cell>
          <cell r="I1880">
            <v>195</v>
          </cell>
          <cell r="J1880">
            <v>411.59514000000001</v>
          </cell>
          <cell r="K1880">
            <v>2.1107443076923076</v>
          </cell>
          <cell r="L1880">
            <v>1.066093</v>
          </cell>
          <cell r="M1880">
            <v>4.937424</v>
          </cell>
          <cell r="N1880">
            <v>0</v>
          </cell>
          <cell r="O1880">
            <v>3.6231899999999997E-2</v>
          </cell>
          <cell r="P1880">
            <v>1.6447731000000001</v>
          </cell>
          <cell r="Q1880">
            <v>5.4044467999999997</v>
          </cell>
          <cell r="R1880">
            <v>1.8305766999999999</v>
          </cell>
          <cell r="S1880">
            <v>0</v>
          </cell>
          <cell r="T1880">
            <v>31.163388000000001</v>
          </cell>
          <cell r="U1880">
            <v>0</v>
          </cell>
          <cell r="V1880">
            <v>0</v>
          </cell>
          <cell r="W1880">
            <v>0</v>
          </cell>
          <cell r="X1880">
            <v>0.74824120000000005</v>
          </cell>
          <cell r="Y1880">
            <v>0</v>
          </cell>
          <cell r="Z1880">
            <v>0</v>
          </cell>
          <cell r="AA1880">
            <v>0</v>
          </cell>
          <cell r="AB1880">
            <v>0.6855154</v>
          </cell>
        </row>
        <row r="1881">
          <cell r="A1881">
            <v>28141050</v>
          </cell>
          <cell r="B1881" t="str">
            <v>Chicken patty parmigiana, breaded, with vegetable, diet frozen meal</v>
          </cell>
          <cell r="I1881">
            <v>195</v>
          </cell>
          <cell r="J1881">
            <v>262.58129000000002</v>
          </cell>
          <cell r="K1881">
            <v>1.3465707179487181</v>
          </cell>
          <cell r="L1881">
            <v>2.0086987000000001</v>
          </cell>
          <cell r="M1881">
            <v>5.4481177000000001</v>
          </cell>
          <cell r="N1881">
            <v>0</v>
          </cell>
          <cell r="O1881">
            <v>0.225605</v>
          </cell>
          <cell r="P1881">
            <v>0.3519774</v>
          </cell>
          <cell r="Q1881">
            <v>3.1333476999999998</v>
          </cell>
          <cell r="R1881">
            <v>0</v>
          </cell>
          <cell r="S1881">
            <v>0</v>
          </cell>
          <cell r="T1881">
            <v>0</v>
          </cell>
          <cell r="U1881">
            <v>85.971495000000004</v>
          </cell>
          <cell r="V1881">
            <v>0</v>
          </cell>
          <cell r="W1881">
            <v>0</v>
          </cell>
          <cell r="X1881">
            <v>0.83602330000000002</v>
          </cell>
          <cell r="Y1881">
            <v>0</v>
          </cell>
          <cell r="Z1881">
            <v>0</v>
          </cell>
          <cell r="AA1881">
            <v>0</v>
          </cell>
          <cell r="AB1881">
            <v>0.1788196</v>
          </cell>
        </row>
        <row r="1882">
          <cell r="A1882">
            <v>28141201</v>
          </cell>
          <cell r="B1882" t="str">
            <v>Teriyaki chicken with rice and vegetable, diet frozen meal</v>
          </cell>
          <cell r="I1882">
            <v>195</v>
          </cell>
          <cell r="J1882">
            <v>245.7</v>
          </cell>
          <cell r="K1882">
            <v>1.26</v>
          </cell>
          <cell r="L1882">
            <v>0.25091659999999999</v>
          </cell>
          <cell r="M1882">
            <v>0.63765000000000005</v>
          </cell>
          <cell r="N1882">
            <v>0</v>
          </cell>
          <cell r="O1882">
            <v>2.5350000000000001E-2</v>
          </cell>
          <cell r="P1882">
            <v>1.1140833999999999</v>
          </cell>
          <cell r="Q1882">
            <v>0.80925000000000002</v>
          </cell>
          <cell r="R1882">
            <v>0</v>
          </cell>
          <cell r="S1882">
            <v>0</v>
          </cell>
          <cell r="T1882">
            <v>0</v>
          </cell>
          <cell r="U1882">
            <v>27.202500000000001</v>
          </cell>
          <cell r="V1882">
            <v>0</v>
          </cell>
          <cell r="W1882">
            <v>0</v>
          </cell>
          <cell r="X1882">
            <v>0.64934999999999998</v>
          </cell>
          <cell r="Y1882">
            <v>0</v>
          </cell>
          <cell r="Z1882">
            <v>0</v>
          </cell>
          <cell r="AA1882">
            <v>0</v>
          </cell>
          <cell r="AB1882">
            <v>5.4137900000000003E-2</v>
          </cell>
        </row>
        <row r="1883">
          <cell r="A1883">
            <v>28141250</v>
          </cell>
          <cell r="B1883" t="str">
            <v>Chicken with rice and vegetable, diet frozen meal</v>
          </cell>
          <cell r="I1883">
            <v>195</v>
          </cell>
          <cell r="J1883">
            <v>224.11784</v>
          </cell>
          <cell r="K1883">
            <v>1.1493222564102563</v>
          </cell>
          <cell r="L1883">
            <v>1.3677402000000001</v>
          </cell>
          <cell r="M1883">
            <v>1.4361919000000001</v>
          </cell>
          <cell r="N1883">
            <v>0</v>
          </cell>
          <cell r="O1883">
            <v>2.7434900000000002E-2</v>
          </cell>
          <cell r="P1883">
            <v>0.21924969999999999</v>
          </cell>
          <cell r="Q1883">
            <v>2.4830817999999999</v>
          </cell>
          <cell r="R1883">
            <v>0</v>
          </cell>
          <cell r="S1883">
            <v>0</v>
          </cell>
          <cell r="T1883">
            <v>1.3660669999999999</v>
          </cell>
          <cell r="U1883">
            <v>58.441800999999998</v>
          </cell>
          <cell r="V1883">
            <v>0</v>
          </cell>
          <cell r="W1883">
            <v>0</v>
          </cell>
          <cell r="X1883">
            <v>0.654609</v>
          </cell>
          <cell r="Y1883">
            <v>0</v>
          </cell>
          <cell r="Z1883">
            <v>0</v>
          </cell>
          <cell r="AA1883">
            <v>0</v>
          </cell>
          <cell r="AB1883">
            <v>7.3196899999999995E-2</v>
          </cell>
        </row>
        <row r="1884">
          <cell r="A1884">
            <v>28141300</v>
          </cell>
          <cell r="B1884" t="str">
            <v>Chicken with rice and vegetable, reduced fat and sodium (diet frozen meal)</v>
          </cell>
          <cell r="I1884">
            <v>195</v>
          </cell>
          <cell r="J1884">
            <v>194.86532</v>
          </cell>
          <cell r="K1884">
            <v>0.99930933333333327</v>
          </cell>
          <cell r="L1884">
            <v>1.9835735999999999</v>
          </cell>
          <cell r="M1884">
            <v>1.0332832999999999</v>
          </cell>
          <cell r="N1884">
            <v>0</v>
          </cell>
          <cell r="O1884">
            <v>3.2960700000000002E-2</v>
          </cell>
          <cell r="P1884">
            <v>0.1735285</v>
          </cell>
          <cell r="Q1884">
            <v>0.98523019999999994</v>
          </cell>
          <cell r="R1884">
            <v>11.126125999999999</v>
          </cell>
          <cell r="S1884">
            <v>0</v>
          </cell>
          <cell r="T1884">
            <v>0.19519520000000001</v>
          </cell>
          <cell r="U1884">
            <v>43.138137999999998</v>
          </cell>
          <cell r="V1884">
            <v>0</v>
          </cell>
          <cell r="W1884">
            <v>0</v>
          </cell>
          <cell r="X1884">
            <v>0.39477250000000003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</row>
        <row r="1885">
          <cell r="A1885">
            <v>28141610</v>
          </cell>
          <cell r="B1885" t="str">
            <v>Chicken and vegetables in cream or white sauce, diet frozen meal</v>
          </cell>
          <cell r="I1885">
            <v>195</v>
          </cell>
          <cell r="J1885">
            <v>186.67139</v>
          </cell>
          <cell r="K1885">
            <v>0.95728917948717951</v>
          </cell>
          <cell r="L1885">
            <v>0.64691540000000003</v>
          </cell>
          <cell r="M1885">
            <v>1.3989400000000001</v>
          </cell>
          <cell r="N1885">
            <v>0</v>
          </cell>
          <cell r="O1885">
            <v>9.3554700000000005E-2</v>
          </cell>
          <cell r="P1885">
            <v>0.68900309999999998</v>
          </cell>
          <cell r="Q1885">
            <v>2.0729861000000001</v>
          </cell>
          <cell r="R1885">
            <v>0</v>
          </cell>
          <cell r="S1885">
            <v>0</v>
          </cell>
          <cell r="T1885">
            <v>0</v>
          </cell>
          <cell r="U1885">
            <v>38.573368000000002</v>
          </cell>
          <cell r="V1885">
            <v>0</v>
          </cell>
          <cell r="W1885">
            <v>0</v>
          </cell>
          <cell r="X1885">
            <v>0.488126</v>
          </cell>
          <cell r="Y1885">
            <v>0</v>
          </cell>
          <cell r="Z1885">
            <v>0</v>
          </cell>
          <cell r="AA1885">
            <v>0</v>
          </cell>
          <cell r="AB1885">
            <v>5.5960999999999997E-3</v>
          </cell>
        </row>
        <row r="1886">
          <cell r="A1886">
            <v>28143020</v>
          </cell>
          <cell r="B1886" t="str">
            <v>Chicken and vegetable entree with rice, diet frozen meal</v>
          </cell>
          <cell r="I1886">
            <v>195</v>
          </cell>
          <cell r="J1886">
            <v>368.36646999999999</v>
          </cell>
          <cell r="K1886">
            <v>1.8890588205128205</v>
          </cell>
          <cell r="L1886">
            <v>7.3411799999999999E-2</v>
          </cell>
          <cell r="M1886">
            <v>2.1281382</v>
          </cell>
          <cell r="N1886">
            <v>0</v>
          </cell>
          <cell r="O1886">
            <v>8.6763499999999993E-2</v>
          </cell>
          <cell r="P1886">
            <v>3.8724706000000002</v>
          </cell>
          <cell r="Q1886">
            <v>3.7840552999999999</v>
          </cell>
          <cell r="R1886">
            <v>0</v>
          </cell>
          <cell r="S1886">
            <v>0</v>
          </cell>
          <cell r="T1886">
            <v>0</v>
          </cell>
          <cell r="U1886">
            <v>2.9200753000000002</v>
          </cell>
          <cell r="V1886">
            <v>0</v>
          </cell>
          <cell r="W1886">
            <v>0</v>
          </cell>
          <cell r="X1886">
            <v>0.48307240000000001</v>
          </cell>
          <cell r="Y1886">
            <v>0</v>
          </cell>
          <cell r="Z1886">
            <v>0</v>
          </cell>
          <cell r="AA1886">
            <v>0</v>
          </cell>
          <cell r="AB1886">
            <v>6.2105599999999997E-2</v>
          </cell>
        </row>
        <row r="1887">
          <cell r="A1887">
            <v>28143080</v>
          </cell>
          <cell r="B1887" t="str">
            <v>Chicken with noodles and cheese sauce, diet frozen meal</v>
          </cell>
          <cell r="I1887">
            <v>195</v>
          </cell>
          <cell r="J1887">
            <v>232.77643</v>
          </cell>
          <cell r="K1887">
            <v>1.193725282051282</v>
          </cell>
          <cell r="L1887">
            <v>0</v>
          </cell>
          <cell r="M1887">
            <v>1.2107317</v>
          </cell>
          <cell r="N1887">
            <v>0</v>
          </cell>
          <cell r="O1887">
            <v>2.0492400000000001E-2</v>
          </cell>
          <cell r="P1887">
            <v>1.2861195000000001</v>
          </cell>
          <cell r="Q1887">
            <v>1.6983950000000001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0.19560350000000001</v>
          </cell>
          <cell r="Y1887">
            <v>0</v>
          </cell>
          <cell r="Z1887">
            <v>0</v>
          </cell>
          <cell r="AA1887">
            <v>0</v>
          </cell>
          <cell r="AB1887">
            <v>0.179367</v>
          </cell>
        </row>
        <row r="1888">
          <cell r="A1888">
            <v>28143130</v>
          </cell>
          <cell r="B1888" t="str">
            <v>Chicken and vegetable entree with noodles, frozen meal</v>
          </cell>
          <cell r="I1888">
            <v>195</v>
          </cell>
          <cell r="J1888">
            <v>199.81645</v>
          </cell>
          <cell r="K1888">
            <v>1.0246997435897436</v>
          </cell>
          <cell r="L1888">
            <v>0.96453509999999998</v>
          </cell>
          <cell r="M1888">
            <v>0.94850440000000003</v>
          </cell>
          <cell r="N1888">
            <v>0</v>
          </cell>
          <cell r="O1888">
            <v>2.36356E-2</v>
          </cell>
          <cell r="P1888">
            <v>1.0238712999999999</v>
          </cell>
          <cell r="Q1888">
            <v>1.4017647</v>
          </cell>
          <cell r="R1888">
            <v>0</v>
          </cell>
          <cell r="S1888">
            <v>0</v>
          </cell>
          <cell r="T1888">
            <v>0</v>
          </cell>
          <cell r="U1888">
            <v>60.299708000000003</v>
          </cell>
          <cell r="V1888">
            <v>0</v>
          </cell>
          <cell r="W1888">
            <v>0</v>
          </cell>
          <cell r="X1888">
            <v>0.42397410000000002</v>
          </cell>
          <cell r="Y1888">
            <v>0</v>
          </cell>
          <cell r="Z1888">
            <v>0</v>
          </cell>
          <cell r="AA1888">
            <v>0</v>
          </cell>
          <cell r="AB1888">
            <v>5.6227999999999998E-3</v>
          </cell>
        </row>
        <row r="1889">
          <cell r="A1889">
            <v>28143150</v>
          </cell>
          <cell r="B1889" t="str">
            <v>Chicken and vegetable entree with noodles, diet frozen meal</v>
          </cell>
          <cell r="I1889">
            <v>195</v>
          </cell>
          <cell r="J1889">
            <v>164.45536999999999</v>
          </cell>
          <cell r="K1889">
            <v>0.84336087179487174</v>
          </cell>
          <cell r="L1889">
            <v>1.883014</v>
          </cell>
          <cell r="M1889">
            <v>1.0868354</v>
          </cell>
          <cell r="N1889">
            <v>0</v>
          </cell>
          <cell r="O1889">
            <v>3.77107E-2</v>
          </cell>
          <cell r="P1889">
            <v>0.97049129999999995</v>
          </cell>
          <cell r="Q1889">
            <v>0.98923289999999997</v>
          </cell>
          <cell r="R1889">
            <v>0</v>
          </cell>
          <cell r="S1889">
            <v>0</v>
          </cell>
          <cell r="T1889">
            <v>0</v>
          </cell>
          <cell r="U1889">
            <v>112.39472000000001</v>
          </cell>
          <cell r="V1889">
            <v>0</v>
          </cell>
          <cell r="W1889">
            <v>0</v>
          </cell>
          <cell r="X1889">
            <v>0.43717040000000001</v>
          </cell>
          <cell r="Y1889">
            <v>0</v>
          </cell>
          <cell r="Z1889">
            <v>0</v>
          </cell>
          <cell r="AA1889">
            <v>0</v>
          </cell>
          <cell r="AB1889">
            <v>1.4429900000000001E-2</v>
          </cell>
        </row>
        <row r="1890">
          <cell r="A1890">
            <v>28143170</v>
          </cell>
          <cell r="B1890" t="str">
            <v>Chicken in cream sauce with noodles and vegetable, frozen meal</v>
          </cell>
          <cell r="I1890">
            <v>195</v>
          </cell>
          <cell r="J1890">
            <v>250.72985</v>
          </cell>
          <cell r="K1890">
            <v>1.2857941025641026</v>
          </cell>
          <cell r="L1890">
            <v>0.50209720000000002</v>
          </cell>
          <cell r="M1890">
            <v>3.2298773000000001</v>
          </cell>
          <cell r="N1890">
            <v>0</v>
          </cell>
          <cell r="O1890">
            <v>6.4910899999999994E-2</v>
          </cell>
          <cell r="P1890">
            <v>1.4014755999999999</v>
          </cell>
          <cell r="Q1890">
            <v>1.6806279</v>
          </cell>
          <cell r="R1890">
            <v>0</v>
          </cell>
          <cell r="S1890">
            <v>0</v>
          </cell>
          <cell r="T1890">
            <v>0</v>
          </cell>
          <cell r="U1890">
            <v>25.261762000000001</v>
          </cell>
          <cell r="V1890">
            <v>0</v>
          </cell>
          <cell r="W1890">
            <v>0</v>
          </cell>
          <cell r="X1890">
            <v>0.805813</v>
          </cell>
          <cell r="Y1890">
            <v>0</v>
          </cell>
          <cell r="Z1890">
            <v>0</v>
          </cell>
          <cell r="AA1890">
            <v>0</v>
          </cell>
          <cell r="AB1890">
            <v>0.1506113</v>
          </cell>
        </row>
        <row r="1891">
          <cell r="A1891">
            <v>28143180</v>
          </cell>
          <cell r="B1891" t="str">
            <v>Chicken in butter sauce with potatoes and vegetable (diet frozen meal)</v>
          </cell>
          <cell r="I1891">
            <v>195</v>
          </cell>
          <cell r="J1891">
            <v>232.18745000000001</v>
          </cell>
          <cell r="K1891">
            <v>1.1907048717948718</v>
          </cell>
          <cell r="L1891">
            <v>1.1690936999999999</v>
          </cell>
          <cell r="M1891">
            <v>1.5687229</v>
          </cell>
          <cell r="N1891">
            <v>0</v>
          </cell>
          <cell r="O1891">
            <v>3.7299199999999998E-2</v>
          </cell>
          <cell r="P1891">
            <v>0.49845080000000003</v>
          </cell>
          <cell r="Q1891">
            <v>0.94450389999999995</v>
          </cell>
          <cell r="R1891">
            <v>0</v>
          </cell>
          <cell r="S1891">
            <v>0</v>
          </cell>
          <cell r="T1891">
            <v>0</v>
          </cell>
          <cell r="U1891">
            <v>39.271881999999998</v>
          </cell>
          <cell r="V1891">
            <v>0</v>
          </cell>
          <cell r="W1891">
            <v>0</v>
          </cell>
          <cell r="X1891">
            <v>0.1772416</v>
          </cell>
          <cell r="Y1891">
            <v>0</v>
          </cell>
          <cell r="Z1891">
            <v>0</v>
          </cell>
          <cell r="AA1891">
            <v>0</v>
          </cell>
          <cell r="AB1891">
            <v>2.4852699999999998E-2</v>
          </cell>
        </row>
        <row r="1892">
          <cell r="A1892">
            <v>28143220</v>
          </cell>
          <cell r="B1892" t="str">
            <v>Chicken in barbecue sauce, with rice, vegetable and dessert, reduced fat and sodium (diet frozen meal)</v>
          </cell>
          <cell r="I1892">
            <v>195</v>
          </cell>
          <cell r="J1892">
            <v>211.68982</v>
          </cell>
          <cell r="K1892">
            <v>1.0855888205128206</v>
          </cell>
          <cell r="L1892">
            <v>1.0614072000000001</v>
          </cell>
          <cell r="M1892">
            <v>0.92125239999999997</v>
          </cell>
          <cell r="N1892">
            <v>0</v>
          </cell>
          <cell r="O1892">
            <v>2.5859900000000002E-2</v>
          </cell>
          <cell r="P1892">
            <v>1.0267664999999999</v>
          </cell>
          <cell r="Q1892">
            <v>0.64620310000000003</v>
          </cell>
          <cell r="R1892">
            <v>0</v>
          </cell>
          <cell r="S1892">
            <v>0</v>
          </cell>
          <cell r="T1892">
            <v>34.835329000000002</v>
          </cell>
          <cell r="U1892">
            <v>5.6437125999999997</v>
          </cell>
          <cell r="V1892">
            <v>0</v>
          </cell>
          <cell r="W1892">
            <v>0</v>
          </cell>
          <cell r="X1892">
            <v>0.28871289999999999</v>
          </cell>
          <cell r="Y1892">
            <v>0</v>
          </cell>
          <cell r="Z1892">
            <v>0</v>
          </cell>
          <cell r="AA1892">
            <v>0</v>
          </cell>
          <cell r="AB1892">
            <v>4.1856699999999997E-2</v>
          </cell>
        </row>
        <row r="1893">
          <cell r="A1893">
            <v>28145100</v>
          </cell>
          <cell r="B1893" t="str">
            <v>Turkey with gravy, dressing, vegetable and fruit, diet frozen meal</v>
          </cell>
          <cell r="I1893">
            <v>195</v>
          </cell>
          <cell r="J1893">
            <v>212.81103999999999</v>
          </cell>
          <cell r="K1893">
            <v>1.0913386666666667</v>
          </cell>
          <cell r="L1893">
            <v>1.5284709000000001</v>
          </cell>
          <cell r="M1893">
            <v>0.89812400000000003</v>
          </cell>
          <cell r="N1893">
            <v>0</v>
          </cell>
          <cell r="O1893">
            <v>5.7183100000000001E-2</v>
          </cell>
          <cell r="P1893">
            <v>1.1557499</v>
          </cell>
          <cell r="Q1893">
            <v>0.89336879999999996</v>
          </cell>
          <cell r="R1893">
            <v>0</v>
          </cell>
          <cell r="S1893">
            <v>0</v>
          </cell>
          <cell r="T1893">
            <v>16.558441999999999</v>
          </cell>
          <cell r="U1893">
            <v>64.669988000000004</v>
          </cell>
          <cell r="V1893">
            <v>0</v>
          </cell>
          <cell r="W1893">
            <v>0</v>
          </cell>
          <cell r="X1893">
            <v>0.2820916</v>
          </cell>
          <cell r="Y1893">
            <v>0</v>
          </cell>
          <cell r="Z1893">
            <v>0</v>
          </cell>
          <cell r="AA1893">
            <v>0</v>
          </cell>
          <cell r="AB1893">
            <v>3.3564900000000002E-2</v>
          </cell>
        </row>
        <row r="1894">
          <cell r="A1894">
            <v>28145110</v>
          </cell>
          <cell r="B1894" t="str">
            <v>Turkey with vegetable, stuffing (diet frozen meal)</v>
          </cell>
          <cell r="I1894">
            <v>195</v>
          </cell>
          <cell r="J1894">
            <v>186.1977</v>
          </cell>
          <cell r="K1894">
            <v>0.95486000000000004</v>
          </cell>
          <cell r="L1894">
            <v>2.2986599999999999</v>
          </cell>
          <cell r="M1894">
            <v>0.98828539999999998</v>
          </cell>
          <cell r="N1894">
            <v>0</v>
          </cell>
          <cell r="O1894">
            <v>4.5893299999999998E-2</v>
          </cell>
          <cell r="P1894">
            <v>0.49588500000000002</v>
          </cell>
          <cell r="Q1894">
            <v>0.77103980000000005</v>
          </cell>
          <cell r="R1894">
            <v>0</v>
          </cell>
          <cell r="S1894">
            <v>0</v>
          </cell>
          <cell r="T1894">
            <v>6.0449999999999999</v>
          </cell>
          <cell r="U1894">
            <v>69.614999999999995</v>
          </cell>
          <cell r="V1894">
            <v>0</v>
          </cell>
          <cell r="W1894">
            <v>0</v>
          </cell>
          <cell r="X1894">
            <v>0.39440310000000001</v>
          </cell>
          <cell r="Y1894">
            <v>0</v>
          </cell>
          <cell r="Z1894">
            <v>0</v>
          </cell>
          <cell r="AA1894">
            <v>0</v>
          </cell>
          <cell r="AB1894">
            <v>1.7527500000000001E-2</v>
          </cell>
        </row>
        <row r="1895">
          <cell r="A1895">
            <v>28145210</v>
          </cell>
          <cell r="B1895" t="str">
            <v>Turkey with gravy, dressing, potatoes, vegetable, frozen meal</v>
          </cell>
          <cell r="I1895">
            <v>195</v>
          </cell>
          <cell r="J1895">
            <v>249.6</v>
          </cell>
          <cell r="K1895">
            <v>1.28</v>
          </cell>
          <cell r="L1895">
            <v>1.2230023999999999</v>
          </cell>
          <cell r="M1895">
            <v>1.7101500000000001</v>
          </cell>
          <cell r="N1895">
            <v>0</v>
          </cell>
          <cell r="O1895">
            <v>5.2650000000000002E-2</v>
          </cell>
          <cell r="P1895">
            <v>1.3119976</v>
          </cell>
          <cell r="Q1895">
            <v>2.11965</v>
          </cell>
          <cell r="R1895">
            <v>0</v>
          </cell>
          <cell r="S1895">
            <v>0</v>
          </cell>
          <cell r="T1895">
            <v>5.6550000000000002</v>
          </cell>
          <cell r="U1895">
            <v>39.292499999999997</v>
          </cell>
          <cell r="V1895">
            <v>0</v>
          </cell>
          <cell r="W1895">
            <v>0</v>
          </cell>
          <cell r="X1895">
            <v>0.63570000000000004</v>
          </cell>
          <cell r="Y1895">
            <v>0</v>
          </cell>
          <cell r="Z1895">
            <v>0</v>
          </cell>
          <cell r="AA1895">
            <v>0</v>
          </cell>
          <cell r="AB1895">
            <v>0.2588569</v>
          </cell>
        </row>
        <row r="1896">
          <cell r="A1896">
            <v>28145610</v>
          </cell>
          <cell r="B1896" t="str">
            <v>Turkey with gravy, dressing, potatoes, vegetable, dessert (frozen meal, large meat portion)</v>
          </cell>
          <cell r="I1896">
            <v>195</v>
          </cell>
          <cell r="J1896">
            <v>198.36152999999999</v>
          </cell>
          <cell r="K1896">
            <v>1.0172386153846154</v>
          </cell>
          <cell r="L1896">
            <v>0.63251690000000005</v>
          </cell>
          <cell r="M1896">
            <v>1.9212326</v>
          </cell>
          <cell r="N1896">
            <v>0</v>
          </cell>
          <cell r="O1896">
            <v>2.86638E-2</v>
          </cell>
          <cell r="P1896">
            <v>1.9465471999999999</v>
          </cell>
          <cell r="Q1896">
            <v>1.3355116</v>
          </cell>
          <cell r="R1896">
            <v>0</v>
          </cell>
          <cell r="S1896">
            <v>0</v>
          </cell>
          <cell r="T1896">
            <v>20.387858000000001</v>
          </cell>
          <cell r="U1896">
            <v>2.0552277000000001</v>
          </cell>
          <cell r="V1896">
            <v>0</v>
          </cell>
          <cell r="W1896">
            <v>0</v>
          </cell>
          <cell r="X1896">
            <v>0.60478030000000005</v>
          </cell>
          <cell r="Y1896">
            <v>0</v>
          </cell>
          <cell r="Z1896">
            <v>0</v>
          </cell>
          <cell r="AA1896">
            <v>0</v>
          </cell>
          <cell r="AB1896">
            <v>0.68573329999999999</v>
          </cell>
        </row>
        <row r="1897">
          <cell r="A1897">
            <v>28150510</v>
          </cell>
          <cell r="B1897" t="str">
            <v>Fish in lemon-butter sauce with starch item, vegetable, frozen meal</v>
          </cell>
          <cell r="I1897">
            <v>195</v>
          </cell>
          <cell r="J1897">
            <v>198.26675</v>
          </cell>
          <cell r="K1897">
            <v>1.0167525641025641</v>
          </cell>
          <cell r="L1897">
            <v>0.1337777</v>
          </cell>
          <cell r="M1897">
            <v>2.8346399</v>
          </cell>
          <cell r="N1897">
            <v>6.0754900000000001E-2</v>
          </cell>
          <cell r="O1897">
            <v>2.3193200000000001E-2</v>
          </cell>
          <cell r="P1897">
            <v>2.4539154999999999</v>
          </cell>
          <cell r="Q1897">
            <v>2.5001791999999998</v>
          </cell>
          <cell r="R1897">
            <v>0</v>
          </cell>
          <cell r="S1897">
            <v>0</v>
          </cell>
          <cell r="T1897">
            <v>1.9862192999999999</v>
          </cell>
          <cell r="U1897">
            <v>6.3091672000000001</v>
          </cell>
          <cell r="V1897">
            <v>0</v>
          </cell>
          <cell r="W1897">
            <v>0</v>
          </cell>
          <cell r="X1897">
            <v>0.94878660000000004</v>
          </cell>
          <cell r="Y1897">
            <v>0</v>
          </cell>
          <cell r="Z1897">
            <v>0</v>
          </cell>
          <cell r="AA1897">
            <v>0</v>
          </cell>
          <cell r="AB1897">
            <v>0.105744</v>
          </cell>
        </row>
        <row r="1898">
          <cell r="A1898">
            <v>28154010</v>
          </cell>
          <cell r="B1898" t="str">
            <v>Shrimp and vegetables in sauce with noodles, diet frozen meal</v>
          </cell>
          <cell r="I1898">
            <v>195</v>
          </cell>
          <cell r="J1898">
            <v>176.71719999999999</v>
          </cell>
          <cell r="K1898">
            <v>0.90624205128205126</v>
          </cell>
          <cell r="L1898">
            <v>1.6704603</v>
          </cell>
          <cell r="M1898">
            <v>1.0286447000000001</v>
          </cell>
          <cell r="N1898">
            <v>0.147762</v>
          </cell>
          <cell r="O1898">
            <v>6.2627699999999994E-2</v>
          </cell>
          <cell r="P1898">
            <v>1.1625143</v>
          </cell>
          <cell r="Q1898">
            <v>1.0844864999999999</v>
          </cell>
          <cell r="R1898">
            <v>0</v>
          </cell>
          <cell r="S1898">
            <v>0</v>
          </cell>
          <cell r="T1898">
            <v>0</v>
          </cell>
          <cell r="U1898">
            <v>57.514324000000002</v>
          </cell>
          <cell r="V1898">
            <v>0</v>
          </cell>
          <cell r="W1898">
            <v>0</v>
          </cell>
          <cell r="X1898">
            <v>0.89088409999999996</v>
          </cell>
          <cell r="Y1898">
            <v>0</v>
          </cell>
          <cell r="Z1898">
            <v>0</v>
          </cell>
          <cell r="AA1898">
            <v>0</v>
          </cell>
          <cell r="AB1898">
            <v>4.7125E-2</v>
          </cell>
        </row>
        <row r="1899">
          <cell r="A1899">
            <v>28160310</v>
          </cell>
          <cell r="B1899" t="str">
            <v>Meat loaf with potatoes, vegetable, frozen meal</v>
          </cell>
          <cell r="I1899">
            <v>195</v>
          </cell>
          <cell r="J1899">
            <v>256.13663000000003</v>
          </cell>
          <cell r="K1899">
            <v>1.3135211794871797</v>
          </cell>
          <cell r="L1899">
            <v>1.1139242</v>
          </cell>
          <cell r="M1899">
            <v>4.6154181999999997</v>
          </cell>
          <cell r="N1899">
            <v>0</v>
          </cell>
          <cell r="O1899">
            <v>8.8525900000000005E-2</v>
          </cell>
          <cell r="P1899">
            <v>0.78193140000000005</v>
          </cell>
          <cell r="Q1899">
            <v>2.5699394999999998</v>
          </cell>
          <cell r="R1899">
            <v>0</v>
          </cell>
          <cell r="S1899">
            <v>0</v>
          </cell>
          <cell r="T1899">
            <v>0</v>
          </cell>
          <cell r="U1899">
            <v>59.339139000000003</v>
          </cell>
          <cell r="V1899">
            <v>0</v>
          </cell>
          <cell r="W1899">
            <v>0</v>
          </cell>
          <cell r="X1899">
            <v>0.72412200000000004</v>
          </cell>
          <cell r="Y1899">
            <v>0</v>
          </cell>
          <cell r="Z1899">
            <v>33.749136</v>
          </cell>
          <cell r="AA1899">
            <v>0</v>
          </cell>
          <cell r="AB1899">
            <v>1.3376946999999999</v>
          </cell>
        </row>
        <row r="1900">
          <cell r="A1900">
            <v>28160650</v>
          </cell>
          <cell r="B1900" t="str">
            <v>Stuffed green pepper, frozen meal</v>
          </cell>
          <cell r="I1900">
            <v>195</v>
          </cell>
          <cell r="J1900">
            <v>183.33687</v>
          </cell>
          <cell r="K1900">
            <v>0.94018907692307696</v>
          </cell>
          <cell r="L1900">
            <v>0.87221400000000004</v>
          </cell>
          <cell r="M1900">
            <v>2.5282282999999999</v>
          </cell>
          <cell r="N1900">
            <v>0</v>
          </cell>
          <cell r="O1900">
            <v>8.0136100000000002E-2</v>
          </cell>
          <cell r="P1900">
            <v>1.4208438000000001</v>
          </cell>
          <cell r="Q1900">
            <v>1.6122307</v>
          </cell>
          <cell r="R1900">
            <v>0</v>
          </cell>
          <cell r="S1900">
            <v>0</v>
          </cell>
          <cell r="T1900">
            <v>0</v>
          </cell>
          <cell r="U1900">
            <v>85.200964999999997</v>
          </cell>
          <cell r="V1900">
            <v>0</v>
          </cell>
          <cell r="W1900">
            <v>0</v>
          </cell>
          <cell r="X1900">
            <v>0.56538500000000003</v>
          </cell>
          <cell r="Y1900">
            <v>0</v>
          </cell>
          <cell r="Z1900">
            <v>24.130265999999999</v>
          </cell>
          <cell r="AA1900">
            <v>0</v>
          </cell>
          <cell r="AB1900">
            <v>0.65007110000000001</v>
          </cell>
        </row>
        <row r="1901">
          <cell r="A1901">
            <v>28310110</v>
          </cell>
          <cell r="B1901" t="str">
            <v>Beef, broth, bouillon, or consomme</v>
          </cell>
          <cell r="I1901">
            <v>245</v>
          </cell>
          <cell r="J1901">
            <v>17.149999999999999</v>
          </cell>
          <cell r="K1901">
            <v>6.9999999999999993E-2</v>
          </cell>
          <cell r="L1901">
            <v>0</v>
          </cell>
          <cell r="M1901">
            <v>0.26950000000000002</v>
          </cell>
          <cell r="N1901">
            <v>0</v>
          </cell>
          <cell r="O1901">
            <v>1.47E-2</v>
          </cell>
          <cell r="P1901">
            <v>0</v>
          </cell>
          <cell r="Q1901">
            <v>2.4500000000000001E-2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0.91139999999999999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</row>
        <row r="1902">
          <cell r="A1902">
            <v>28310150</v>
          </cell>
          <cell r="B1902" t="str">
            <v>Oxtail soup</v>
          </cell>
          <cell r="I1902">
            <v>245</v>
          </cell>
          <cell r="J1902">
            <v>207.14313000000001</v>
          </cell>
          <cell r="K1902">
            <v>0.84548216326530623</v>
          </cell>
          <cell r="L1902">
            <v>0.53580430000000001</v>
          </cell>
          <cell r="M1902">
            <v>5.4191897999999998</v>
          </cell>
          <cell r="N1902">
            <v>0</v>
          </cell>
          <cell r="O1902">
            <v>2.57322E-2</v>
          </cell>
          <cell r="P1902">
            <v>0.14477680000000001</v>
          </cell>
          <cell r="Q1902">
            <v>0.43922509999999998</v>
          </cell>
          <cell r="R1902">
            <v>0</v>
          </cell>
          <cell r="S1902">
            <v>0</v>
          </cell>
          <cell r="T1902">
            <v>0</v>
          </cell>
          <cell r="U1902">
            <v>33.259273999999998</v>
          </cell>
          <cell r="V1902">
            <v>0</v>
          </cell>
          <cell r="W1902">
            <v>0</v>
          </cell>
          <cell r="X1902">
            <v>0.34037129999999999</v>
          </cell>
          <cell r="Y1902">
            <v>0</v>
          </cell>
          <cell r="Z1902">
            <v>61.648747999999998</v>
          </cell>
          <cell r="AA1902">
            <v>0</v>
          </cell>
          <cell r="AB1902">
            <v>0.13231619999999999</v>
          </cell>
        </row>
        <row r="1903">
          <cell r="A1903">
            <v>28310170</v>
          </cell>
          <cell r="B1903" t="str">
            <v>Beef broth, without tomato, home recipe</v>
          </cell>
          <cell r="I1903">
            <v>245</v>
          </cell>
          <cell r="J1903">
            <v>31.85</v>
          </cell>
          <cell r="K1903">
            <v>0.13</v>
          </cell>
          <cell r="L1903">
            <v>0</v>
          </cell>
          <cell r="M1903">
            <v>8.5750000000000007E-2</v>
          </cell>
          <cell r="N1903">
            <v>0</v>
          </cell>
          <cell r="O1903">
            <v>1.9599999999999999E-2</v>
          </cell>
          <cell r="P1903">
            <v>0</v>
          </cell>
          <cell r="Q1903">
            <v>1.225E-2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0.48509999999999998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</row>
        <row r="1904">
          <cell r="A1904">
            <v>28310230</v>
          </cell>
          <cell r="B1904" t="str">
            <v>Meatball soup, home recipe, Mexican style</v>
          </cell>
          <cell r="I1904">
            <v>245</v>
          </cell>
          <cell r="J1904">
            <v>218.91091</v>
          </cell>
          <cell r="K1904">
            <v>0.89351391836734695</v>
          </cell>
          <cell r="L1904">
            <v>2.0181713999999999</v>
          </cell>
          <cell r="M1904">
            <v>2.9760490000000002</v>
          </cell>
          <cell r="N1904">
            <v>0</v>
          </cell>
          <cell r="O1904">
            <v>3.9702800000000003E-2</v>
          </cell>
          <cell r="P1904">
            <v>1.4577707</v>
          </cell>
          <cell r="Q1904">
            <v>1.5208188</v>
          </cell>
          <cell r="R1904">
            <v>0</v>
          </cell>
          <cell r="S1904">
            <v>23.037879</v>
          </cell>
          <cell r="T1904">
            <v>0</v>
          </cell>
          <cell r="U1904">
            <v>39.931930000000001</v>
          </cell>
          <cell r="V1904">
            <v>0</v>
          </cell>
          <cell r="W1904">
            <v>0</v>
          </cell>
          <cell r="X1904">
            <v>0.52007780000000003</v>
          </cell>
          <cell r="Y1904">
            <v>0</v>
          </cell>
          <cell r="Z1904">
            <v>22.475214999999999</v>
          </cell>
          <cell r="AA1904">
            <v>9.7428402999999992</v>
          </cell>
          <cell r="AB1904">
            <v>0.30906549999999999</v>
          </cell>
        </row>
        <row r="1905">
          <cell r="A1905">
            <v>28310320</v>
          </cell>
          <cell r="B1905" t="str">
            <v>Beef noodle soup, Puerto Rican style (Sopa de carne y fideos)</v>
          </cell>
          <cell r="I1905">
            <v>245</v>
          </cell>
          <cell r="J1905">
            <v>104.63290000000001</v>
          </cell>
          <cell r="K1905">
            <v>0.42707306122448985</v>
          </cell>
          <cell r="L1905">
            <v>0.60157570000000005</v>
          </cell>
          <cell r="M1905">
            <v>0.80197790000000002</v>
          </cell>
          <cell r="N1905">
            <v>0</v>
          </cell>
          <cell r="O1905">
            <v>2.46438E-2</v>
          </cell>
          <cell r="P1905">
            <v>1.0005018999999999</v>
          </cell>
          <cell r="Q1905">
            <v>0.1438527</v>
          </cell>
          <cell r="R1905">
            <v>0</v>
          </cell>
          <cell r="S1905">
            <v>0</v>
          </cell>
          <cell r="T1905">
            <v>0</v>
          </cell>
          <cell r="U1905">
            <v>37.497309999999999</v>
          </cell>
          <cell r="V1905">
            <v>0</v>
          </cell>
          <cell r="W1905">
            <v>0</v>
          </cell>
          <cell r="X1905">
            <v>0.74987020000000004</v>
          </cell>
          <cell r="Y1905">
            <v>0</v>
          </cell>
          <cell r="Z1905">
            <v>30.370837000000002</v>
          </cell>
          <cell r="AA1905">
            <v>0</v>
          </cell>
          <cell r="AB1905">
            <v>2.2018300000000001E-2</v>
          </cell>
        </row>
        <row r="1906">
          <cell r="A1906">
            <v>28310330</v>
          </cell>
          <cell r="B1906" t="str">
            <v>Pho</v>
          </cell>
          <cell r="I1906">
            <v>245</v>
          </cell>
          <cell r="J1906">
            <v>183.81274999999999</v>
          </cell>
          <cell r="K1906">
            <v>0.75025612244897955</v>
          </cell>
          <cell r="L1906">
            <v>0.1933339</v>
          </cell>
          <cell r="M1906">
            <v>1.3961490000000001</v>
          </cell>
          <cell r="N1906">
            <v>0</v>
          </cell>
          <cell r="O1906">
            <v>2.2350200000000001E-2</v>
          </cell>
          <cell r="P1906">
            <v>0.95478419999999997</v>
          </cell>
          <cell r="Q1906">
            <v>0.73113669999999997</v>
          </cell>
          <cell r="R1906">
            <v>0</v>
          </cell>
          <cell r="S1906">
            <v>0</v>
          </cell>
          <cell r="T1906">
            <v>0</v>
          </cell>
          <cell r="U1906">
            <v>8.7325168000000009</v>
          </cell>
          <cell r="V1906">
            <v>0</v>
          </cell>
          <cell r="W1906">
            <v>0</v>
          </cell>
          <cell r="X1906">
            <v>0.83930990000000005</v>
          </cell>
          <cell r="Y1906">
            <v>0</v>
          </cell>
          <cell r="Z1906">
            <v>27.326775000000001</v>
          </cell>
          <cell r="AA1906">
            <v>0</v>
          </cell>
          <cell r="AB1906">
            <v>6.0048999999999998E-2</v>
          </cell>
        </row>
        <row r="1907">
          <cell r="A1907">
            <v>28311010</v>
          </cell>
          <cell r="B1907" t="str">
            <v>Pepperpot soup</v>
          </cell>
          <cell r="I1907">
            <v>245</v>
          </cell>
          <cell r="J1907">
            <v>115.94821</v>
          </cell>
          <cell r="K1907">
            <v>0.47325800000000001</v>
          </cell>
          <cell r="L1907">
            <v>0.33868769999999998</v>
          </cell>
          <cell r="M1907">
            <v>3.0358618000000002</v>
          </cell>
          <cell r="N1907">
            <v>0</v>
          </cell>
          <cell r="O1907">
            <v>4.4762400000000001E-2</v>
          </cell>
          <cell r="P1907">
            <v>0.3014694</v>
          </cell>
          <cell r="Q1907">
            <v>0.38438539999999999</v>
          </cell>
          <cell r="R1907">
            <v>0</v>
          </cell>
          <cell r="S1907">
            <v>0</v>
          </cell>
          <cell r="T1907">
            <v>0</v>
          </cell>
          <cell r="U1907">
            <v>25.065670999999998</v>
          </cell>
          <cell r="V1907">
            <v>0</v>
          </cell>
          <cell r="W1907">
            <v>0</v>
          </cell>
          <cell r="X1907">
            <v>0.42680899999999999</v>
          </cell>
          <cell r="Y1907">
            <v>0</v>
          </cell>
          <cell r="Z1907">
            <v>0</v>
          </cell>
          <cell r="AA1907">
            <v>1.9692478</v>
          </cell>
          <cell r="AB1907">
            <v>0.12804579999999999</v>
          </cell>
        </row>
        <row r="1908">
          <cell r="A1908">
            <v>28311020</v>
          </cell>
          <cell r="B1908" t="str">
            <v>Menudo soup, home recipe</v>
          </cell>
          <cell r="I1908">
            <v>245</v>
          </cell>
          <cell r="J1908">
            <v>99.050728000000007</v>
          </cell>
          <cell r="K1908">
            <v>0.40428868571428572</v>
          </cell>
          <cell r="L1908">
            <v>0.26985520000000002</v>
          </cell>
          <cell r="M1908">
            <v>0.99782009999999999</v>
          </cell>
          <cell r="N1908">
            <v>0</v>
          </cell>
          <cell r="O1908">
            <v>5.2660699999999998E-2</v>
          </cell>
          <cell r="P1908">
            <v>0.64826410000000001</v>
          </cell>
          <cell r="Q1908">
            <v>0.30950270000000002</v>
          </cell>
          <cell r="R1908">
            <v>0</v>
          </cell>
          <cell r="S1908">
            <v>0</v>
          </cell>
          <cell r="T1908">
            <v>2.3698334000000001</v>
          </cell>
          <cell r="U1908">
            <v>18.601918000000001</v>
          </cell>
          <cell r="V1908">
            <v>0</v>
          </cell>
          <cell r="W1908">
            <v>0</v>
          </cell>
          <cell r="X1908">
            <v>0.77327729999999995</v>
          </cell>
          <cell r="Y1908">
            <v>0</v>
          </cell>
          <cell r="Z1908">
            <v>6.6884250999999999</v>
          </cell>
          <cell r="AA1908">
            <v>0</v>
          </cell>
          <cell r="AB1908">
            <v>8.7187500000000001E-2</v>
          </cell>
        </row>
        <row r="1909">
          <cell r="A1909">
            <v>28311030</v>
          </cell>
          <cell r="B1909" t="str">
            <v>Menudo soup, canned, prepared with water or ready-to-serve</v>
          </cell>
          <cell r="I1909">
            <v>245</v>
          </cell>
          <cell r="J1909">
            <v>98.599881999999994</v>
          </cell>
          <cell r="K1909">
            <v>0.40244849795918364</v>
          </cell>
          <cell r="L1909">
            <v>7.1858400000000003E-2</v>
          </cell>
          <cell r="M1909">
            <v>0.93183899999999997</v>
          </cell>
          <cell r="N1909">
            <v>0</v>
          </cell>
          <cell r="O1909">
            <v>8.2544400000000004E-2</v>
          </cell>
          <cell r="P1909">
            <v>3.7426046999999998</v>
          </cell>
          <cell r="Q1909">
            <v>0.83413780000000004</v>
          </cell>
          <cell r="R1909">
            <v>0</v>
          </cell>
          <cell r="S1909">
            <v>0</v>
          </cell>
          <cell r="T1909">
            <v>0</v>
          </cell>
          <cell r="U1909">
            <v>4.6017698999999999</v>
          </cell>
          <cell r="V1909">
            <v>0</v>
          </cell>
          <cell r="W1909">
            <v>0</v>
          </cell>
          <cell r="X1909">
            <v>1.2105246000000001</v>
          </cell>
          <cell r="Y1909">
            <v>0</v>
          </cell>
          <cell r="Z1909">
            <v>0</v>
          </cell>
          <cell r="AA1909">
            <v>0</v>
          </cell>
          <cell r="AB1909">
            <v>8.0283199999999999E-2</v>
          </cell>
        </row>
        <row r="1910">
          <cell r="A1910">
            <v>28315050</v>
          </cell>
          <cell r="B1910" t="str">
            <v>Beef vegetable soup with potato, pasta, or rice, chunky style, canned, or ready-to-serve</v>
          </cell>
          <cell r="I1910">
            <v>245</v>
          </cell>
          <cell r="J1910">
            <v>117.6</v>
          </cell>
          <cell r="K1910">
            <v>0.48</v>
          </cell>
          <cell r="L1910">
            <v>1.764</v>
          </cell>
          <cell r="M1910">
            <v>0.99714999999999998</v>
          </cell>
          <cell r="N1910">
            <v>0</v>
          </cell>
          <cell r="O1910">
            <v>4.41E-2</v>
          </cell>
          <cell r="P1910">
            <v>1.1759999999999999</v>
          </cell>
          <cell r="Q1910">
            <v>0.83789999999999998</v>
          </cell>
          <cell r="R1910">
            <v>0</v>
          </cell>
          <cell r="S1910">
            <v>0</v>
          </cell>
          <cell r="T1910">
            <v>0</v>
          </cell>
          <cell r="U1910">
            <v>90.037499999999994</v>
          </cell>
          <cell r="V1910">
            <v>0</v>
          </cell>
          <cell r="W1910">
            <v>0</v>
          </cell>
          <cell r="X1910">
            <v>0.79869999999999997</v>
          </cell>
          <cell r="Y1910">
            <v>0</v>
          </cell>
          <cell r="Z1910">
            <v>14.586074999999999</v>
          </cell>
          <cell r="AA1910">
            <v>0</v>
          </cell>
          <cell r="AB1910">
            <v>1.1862599999999999E-2</v>
          </cell>
        </row>
        <row r="1911">
          <cell r="A1911">
            <v>28315140</v>
          </cell>
          <cell r="B1911" t="str">
            <v>Beef vegetable soup, home recipe, Mexican style</v>
          </cell>
          <cell r="I1911">
            <v>245</v>
          </cell>
          <cell r="J1911">
            <v>143.14100999999999</v>
          </cell>
          <cell r="K1911">
            <v>0.58424902040816329</v>
          </cell>
          <cell r="L1911">
            <v>1.7871096</v>
          </cell>
          <cell r="M1911">
            <v>1.5047037000000001</v>
          </cell>
          <cell r="N1911">
            <v>0</v>
          </cell>
          <cell r="O1911">
            <v>4.6270699999999998E-2</v>
          </cell>
          <cell r="P1911">
            <v>0.54599140000000002</v>
          </cell>
          <cell r="Q1911">
            <v>0.5457554</v>
          </cell>
          <cell r="R1911">
            <v>0</v>
          </cell>
          <cell r="S1911">
            <v>0</v>
          </cell>
          <cell r="T1911">
            <v>0</v>
          </cell>
          <cell r="U1911">
            <v>85.877339000000006</v>
          </cell>
          <cell r="V1911">
            <v>0</v>
          </cell>
          <cell r="W1911">
            <v>0</v>
          </cell>
          <cell r="X1911">
            <v>0.70776550000000005</v>
          </cell>
          <cell r="Y1911">
            <v>0</v>
          </cell>
          <cell r="Z1911">
            <v>38.566369000000002</v>
          </cell>
          <cell r="AA1911">
            <v>0</v>
          </cell>
          <cell r="AB1911">
            <v>8.9295299999999994E-2</v>
          </cell>
        </row>
        <row r="1912">
          <cell r="A1912">
            <v>28315150</v>
          </cell>
          <cell r="B1912" t="str">
            <v>Meat and corn hominy soup, home recipe, Mexican style</v>
          </cell>
          <cell r="I1912">
            <v>245</v>
          </cell>
          <cell r="J1912">
            <v>186.86483000000001</v>
          </cell>
          <cell r="K1912">
            <v>0.76271359183673471</v>
          </cell>
          <cell r="L1912">
            <v>1.3599999999999999E-16</v>
          </cell>
          <cell r="M1912">
            <v>2.7006766999999998</v>
          </cell>
          <cell r="N1912">
            <v>0</v>
          </cell>
          <cell r="O1912">
            <v>1.7231799999999999E-2</v>
          </cell>
          <cell r="P1912">
            <v>0.84729049999999995</v>
          </cell>
          <cell r="Q1912">
            <v>1.7048158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0.52641150000000003</v>
          </cell>
          <cell r="Y1912">
            <v>0</v>
          </cell>
          <cell r="Z1912">
            <v>41.180802</v>
          </cell>
          <cell r="AA1912">
            <v>0</v>
          </cell>
          <cell r="AB1912">
            <v>0.1242046</v>
          </cell>
        </row>
        <row r="1913">
          <cell r="A1913">
            <v>28315160</v>
          </cell>
          <cell r="B1913" t="str">
            <v>Italian Wedding Soup</v>
          </cell>
          <cell r="I1913">
            <v>245</v>
          </cell>
          <cell r="J1913">
            <v>144.18998999999999</v>
          </cell>
          <cell r="K1913">
            <v>0.58853057142857146</v>
          </cell>
          <cell r="L1913">
            <v>1.0620592</v>
          </cell>
          <cell r="M1913">
            <v>2.1225122000000001</v>
          </cell>
          <cell r="N1913">
            <v>0</v>
          </cell>
          <cell r="O1913">
            <v>8.4343399999999999E-2</v>
          </cell>
          <cell r="P1913">
            <v>0.70453670000000002</v>
          </cell>
          <cell r="Q1913">
            <v>0.37477739999999998</v>
          </cell>
          <cell r="R1913">
            <v>0</v>
          </cell>
          <cell r="S1913">
            <v>0</v>
          </cell>
          <cell r="T1913">
            <v>0</v>
          </cell>
          <cell r="U1913">
            <v>51.087518000000003</v>
          </cell>
          <cell r="V1913">
            <v>0</v>
          </cell>
          <cell r="W1913">
            <v>0</v>
          </cell>
          <cell r="X1913">
            <v>0.79997419999999997</v>
          </cell>
          <cell r="Y1913">
            <v>0</v>
          </cell>
          <cell r="Z1913">
            <v>19.096319000000001</v>
          </cell>
          <cell r="AA1913">
            <v>0</v>
          </cell>
          <cell r="AB1913">
            <v>0.28455000000000003</v>
          </cell>
        </row>
        <row r="1914">
          <cell r="A1914">
            <v>28320140</v>
          </cell>
          <cell r="B1914" t="str">
            <v>Ham, noodle, and vegetable soup, Puerto Rican style</v>
          </cell>
          <cell r="I1914">
            <v>245</v>
          </cell>
          <cell r="J1914">
            <v>105.98408000000001</v>
          </cell>
          <cell r="K1914">
            <v>0.43258808163265311</v>
          </cell>
          <cell r="L1914">
            <v>0.59657839999999995</v>
          </cell>
          <cell r="M1914">
            <v>0.76725270000000001</v>
          </cell>
          <cell r="N1914">
            <v>0</v>
          </cell>
          <cell r="O1914">
            <v>2.1789900000000001E-2</v>
          </cell>
          <cell r="P1914">
            <v>0.92270680000000005</v>
          </cell>
          <cell r="Q1914">
            <v>0.31750719999999999</v>
          </cell>
          <cell r="R1914">
            <v>0</v>
          </cell>
          <cell r="S1914">
            <v>0</v>
          </cell>
          <cell r="T1914">
            <v>0</v>
          </cell>
          <cell r="U1914">
            <v>39.481112000000003</v>
          </cell>
          <cell r="V1914">
            <v>0</v>
          </cell>
          <cell r="W1914">
            <v>0</v>
          </cell>
          <cell r="X1914">
            <v>1.3014494999999999</v>
          </cell>
          <cell r="Y1914">
            <v>0</v>
          </cell>
          <cell r="Z1914">
            <v>0</v>
          </cell>
          <cell r="AA1914">
            <v>44.021701</v>
          </cell>
          <cell r="AB1914">
            <v>6.9830999999999999E-3</v>
          </cell>
        </row>
        <row r="1915">
          <cell r="A1915">
            <v>28320160</v>
          </cell>
          <cell r="B1915" t="str">
            <v>Pork vegetable soup with potato, pasta, or rice, stew type, chunky style</v>
          </cell>
          <cell r="I1915">
            <v>245</v>
          </cell>
          <cell r="J1915">
            <v>114.4101</v>
          </cell>
          <cell r="K1915">
            <v>0.46698000000000001</v>
          </cell>
          <cell r="L1915">
            <v>0.80791420000000003</v>
          </cell>
          <cell r="M1915">
            <v>1.3042562</v>
          </cell>
          <cell r="N1915">
            <v>0</v>
          </cell>
          <cell r="O1915">
            <v>2.8746500000000001E-2</v>
          </cell>
          <cell r="P1915">
            <v>0.79700839999999995</v>
          </cell>
          <cell r="Q1915">
            <v>0.84017900000000001</v>
          </cell>
          <cell r="R1915">
            <v>0</v>
          </cell>
          <cell r="S1915">
            <v>0</v>
          </cell>
          <cell r="T1915">
            <v>0</v>
          </cell>
          <cell r="U1915">
            <v>44.802245999999997</v>
          </cell>
          <cell r="V1915">
            <v>0</v>
          </cell>
          <cell r="W1915">
            <v>0</v>
          </cell>
          <cell r="X1915">
            <v>0.55855220000000005</v>
          </cell>
          <cell r="Y1915">
            <v>0</v>
          </cell>
          <cell r="Z1915">
            <v>27.510151</v>
          </cell>
          <cell r="AA1915">
            <v>0</v>
          </cell>
          <cell r="AB1915">
            <v>5.4048999999999998E-3</v>
          </cell>
        </row>
        <row r="1916">
          <cell r="A1916">
            <v>28320300</v>
          </cell>
          <cell r="B1916" t="str">
            <v>Pork with vegetable excluding carrots, broccoli and/or dark-green leafy; soup, Asian Style</v>
          </cell>
          <cell r="I1916">
            <v>245</v>
          </cell>
          <cell r="J1916">
            <v>112.90223</v>
          </cell>
          <cell r="K1916">
            <v>0.46082542857142861</v>
          </cell>
          <cell r="L1916">
            <v>1.1179189</v>
          </cell>
          <cell r="M1916">
            <v>1.5234932000000001</v>
          </cell>
          <cell r="N1916">
            <v>0</v>
          </cell>
          <cell r="O1916">
            <v>5.7257700000000002E-2</v>
          </cell>
          <cell r="P1916">
            <v>3.1697700000000002E-2</v>
          </cell>
          <cell r="Q1916">
            <v>0.9818538</v>
          </cell>
          <cell r="R1916">
            <v>0</v>
          </cell>
          <cell r="S1916">
            <v>0</v>
          </cell>
          <cell r="T1916">
            <v>0</v>
          </cell>
          <cell r="U1916">
            <v>63.515510999999996</v>
          </cell>
          <cell r="V1916">
            <v>0</v>
          </cell>
          <cell r="W1916">
            <v>0</v>
          </cell>
          <cell r="X1916">
            <v>0.67407360000000005</v>
          </cell>
          <cell r="Y1916">
            <v>0</v>
          </cell>
          <cell r="Z1916">
            <v>32.863266000000003</v>
          </cell>
          <cell r="AA1916">
            <v>0</v>
          </cell>
          <cell r="AB1916">
            <v>8.0931000000000006E-3</v>
          </cell>
        </row>
        <row r="1917">
          <cell r="A1917">
            <v>28321130</v>
          </cell>
          <cell r="B1917" t="str">
            <v>Bacon soup, cream of, prepared with water</v>
          </cell>
          <cell r="I1917">
            <v>245</v>
          </cell>
          <cell r="J1917">
            <v>111.901</v>
          </cell>
          <cell r="K1917">
            <v>0.45673877551020409</v>
          </cell>
          <cell r="L1917">
            <v>0</v>
          </cell>
          <cell r="M1917">
            <v>2.1099554999999999</v>
          </cell>
          <cell r="N1917">
            <v>0</v>
          </cell>
          <cell r="O1917">
            <v>2.1026799999999998E-2</v>
          </cell>
          <cell r="P1917">
            <v>0</v>
          </cell>
          <cell r="Q1917">
            <v>1.3216751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0.87765439999999995</v>
          </cell>
          <cell r="Y1917">
            <v>0</v>
          </cell>
          <cell r="Z1917">
            <v>0</v>
          </cell>
          <cell r="AA1917">
            <v>0</v>
          </cell>
          <cell r="AB1917">
            <v>0.38462570000000001</v>
          </cell>
        </row>
        <row r="1918">
          <cell r="A1918">
            <v>28331110</v>
          </cell>
          <cell r="B1918" t="str">
            <v>Lamb, pasta, and vegetable soup, Puerto Rican style</v>
          </cell>
          <cell r="I1918">
            <v>245</v>
          </cell>
          <cell r="J1918">
            <v>158.40980999999999</v>
          </cell>
          <cell r="K1918">
            <v>0.64657065306122441</v>
          </cell>
          <cell r="L1918">
            <v>0.82941469999999995</v>
          </cell>
          <cell r="M1918">
            <v>3.9495852999999999</v>
          </cell>
          <cell r="N1918">
            <v>0</v>
          </cell>
          <cell r="O1918">
            <v>2.5312100000000001E-2</v>
          </cell>
          <cell r="P1918">
            <v>0.87224740000000001</v>
          </cell>
          <cell r="Q1918">
            <v>0.77417820000000004</v>
          </cell>
          <cell r="R1918">
            <v>0</v>
          </cell>
          <cell r="S1918">
            <v>0</v>
          </cell>
          <cell r="T1918">
            <v>0</v>
          </cell>
          <cell r="U1918">
            <v>50.720168000000001</v>
          </cell>
          <cell r="V1918">
            <v>0</v>
          </cell>
          <cell r="W1918">
            <v>0</v>
          </cell>
          <cell r="X1918">
            <v>0.68220150000000002</v>
          </cell>
          <cell r="Y1918">
            <v>0</v>
          </cell>
          <cell r="Z1918">
            <v>24.783653999999999</v>
          </cell>
          <cell r="AA1918">
            <v>0</v>
          </cell>
          <cell r="AB1918">
            <v>0.28923399999999999</v>
          </cell>
        </row>
        <row r="1919">
          <cell r="A1919">
            <v>28340110</v>
          </cell>
          <cell r="B1919" t="str">
            <v>Chicken or turkey broth, bouillon, or consomme</v>
          </cell>
          <cell r="I1919">
            <v>245</v>
          </cell>
          <cell r="J1919">
            <v>14.7</v>
          </cell>
          <cell r="K1919">
            <v>0.06</v>
          </cell>
          <cell r="L1919">
            <v>0</v>
          </cell>
          <cell r="M1919">
            <v>3.1850000000000003E-2</v>
          </cell>
          <cell r="N1919">
            <v>0</v>
          </cell>
          <cell r="O1919">
            <v>9.7999999999999997E-3</v>
          </cell>
          <cell r="P1919">
            <v>0</v>
          </cell>
          <cell r="Q1919">
            <v>2.205E-2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0.90895000000000004</v>
          </cell>
          <cell r="Y1919">
            <v>0</v>
          </cell>
          <cell r="Z1919">
            <v>0</v>
          </cell>
          <cell r="AA1919">
            <v>0</v>
          </cell>
          <cell r="AB1919">
            <v>0</v>
          </cell>
        </row>
        <row r="1920">
          <cell r="A1920">
            <v>28340120</v>
          </cell>
          <cell r="B1920" t="str">
            <v>Chicken or turkey broth, without tomato, home recipe</v>
          </cell>
          <cell r="I1920">
            <v>245</v>
          </cell>
          <cell r="J1920">
            <v>88.2</v>
          </cell>
          <cell r="K1920">
            <v>0.36</v>
          </cell>
          <cell r="L1920">
            <v>0</v>
          </cell>
          <cell r="M1920">
            <v>0.78644999999999998</v>
          </cell>
          <cell r="N1920">
            <v>0</v>
          </cell>
          <cell r="O1920">
            <v>7.3499999999999998E-3</v>
          </cell>
          <cell r="P1920">
            <v>0</v>
          </cell>
          <cell r="Q1920">
            <v>0.52185000000000004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0.35034999999999999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</row>
        <row r="1921">
          <cell r="A1921">
            <v>28340130</v>
          </cell>
          <cell r="B1921" t="str">
            <v>Chicken or turkey broth, with tomato, home recipe</v>
          </cell>
          <cell r="I1921">
            <v>245</v>
          </cell>
          <cell r="J1921">
            <v>106.69843</v>
          </cell>
          <cell r="K1921">
            <v>0.43550379591836735</v>
          </cell>
          <cell r="L1921">
            <v>1.0561533000000001</v>
          </cell>
          <cell r="M1921">
            <v>1.2416106</v>
          </cell>
          <cell r="N1921">
            <v>0</v>
          </cell>
          <cell r="O1921">
            <v>2.7851000000000001E-2</v>
          </cell>
          <cell r="P1921">
            <v>0.17884510000000001</v>
          </cell>
          <cell r="Q1921">
            <v>3.6672543000000002</v>
          </cell>
          <cell r="R1921">
            <v>0</v>
          </cell>
          <cell r="S1921">
            <v>0</v>
          </cell>
          <cell r="T1921">
            <v>0</v>
          </cell>
          <cell r="U1921">
            <v>82.928631999999993</v>
          </cell>
          <cell r="V1921">
            <v>0</v>
          </cell>
          <cell r="W1921">
            <v>0</v>
          </cell>
          <cell r="X1921">
            <v>0.57197100000000001</v>
          </cell>
          <cell r="Y1921">
            <v>0</v>
          </cell>
          <cell r="Z1921">
            <v>0</v>
          </cell>
          <cell r="AA1921">
            <v>0</v>
          </cell>
          <cell r="AB1921">
            <v>3.0762999999999999E-2</v>
          </cell>
        </row>
        <row r="1922">
          <cell r="A1922">
            <v>28340150</v>
          </cell>
          <cell r="B1922" t="str">
            <v>Mexican style chicken broth soup stock</v>
          </cell>
          <cell r="I1922">
            <v>245</v>
          </cell>
          <cell r="J1922">
            <v>100.12953</v>
          </cell>
          <cell r="K1922">
            <v>0.40869195918367346</v>
          </cell>
          <cell r="L1922">
            <v>2.1209813</v>
          </cell>
          <cell r="M1922">
            <v>0.57332510000000003</v>
          </cell>
          <cell r="N1922">
            <v>0</v>
          </cell>
          <cell r="O1922">
            <v>4.4658900000000001E-2</v>
          </cell>
          <cell r="P1922">
            <v>0.64799459999999998</v>
          </cell>
          <cell r="Q1922">
            <v>0.73616079999999995</v>
          </cell>
          <cell r="R1922">
            <v>0</v>
          </cell>
          <cell r="S1922">
            <v>0</v>
          </cell>
          <cell r="T1922">
            <v>0</v>
          </cell>
          <cell r="U1922">
            <v>101.92113000000001</v>
          </cell>
          <cell r="V1922">
            <v>0</v>
          </cell>
          <cell r="W1922">
            <v>0</v>
          </cell>
          <cell r="X1922">
            <v>0.55555350000000003</v>
          </cell>
          <cell r="Y1922">
            <v>0</v>
          </cell>
          <cell r="Z1922">
            <v>0</v>
          </cell>
          <cell r="AA1922">
            <v>0</v>
          </cell>
          <cell r="AB1922">
            <v>3.2479000000000002E-3</v>
          </cell>
        </row>
        <row r="1923">
          <cell r="A1923">
            <v>28340180</v>
          </cell>
          <cell r="B1923" t="str">
            <v>Chicken or turkey broth, less or reduced sodium, canned or ready-to-serve</v>
          </cell>
          <cell r="I1923">
            <v>245</v>
          </cell>
          <cell r="J1923">
            <v>17.149999999999999</v>
          </cell>
          <cell r="K1923">
            <v>6.9999999999999993E-2</v>
          </cell>
          <cell r="L1923">
            <v>0</v>
          </cell>
          <cell r="M1923">
            <v>0</v>
          </cell>
          <cell r="N1923">
            <v>0</v>
          </cell>
          <cell r="O1923">
            <v>1.9599999999999999E-2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0.56594999999999995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</row>
        <row r="1924">
          <cell r="A1924">
            <v>28340210</v>
          </cell>
          <cell r="B1924" t="str">
            <v>Chicken rice soup, Puerto Rican style</v>
          </cell>
          <cell r="I1924">
            <v>245</v>
          </cell>
          <cell r="J1924">
            <v>129.84229999999999</v>
          </cell>
          <cell r="K1924">
            <v>0.52996857142857146</v>
          </cell>
          <cell r="L1924">
            <v>0.13974400000000001</v>
          </cell>
          <cell r="M1924">
            <v>0.69326080000000001</v>
          </cell>
          <cell r="N1924">
            <v>0</v>
          </cell>
          <cell r="O1924">
            <v>2.0564099999999998E-2</v>
          </cell>
          <cell r="P1924">
            <v>1.3042606000000001</v>
          </cell>
          <cell r="Q1924">
            <v>0.40360610000000002</v>
          </cell>
          <cell r="R1924">
            <v>0</v>
          </cell>
          <cell r="S1924">
            <v>0</v>
          </cell>
          <cell r="T1924">
            <v>0</v>
          </cell>
          <cell r="U1924">
            <v>8.1213922000000007</v>
          </cell>
          <cell r="V1924">
            <v>0</v>
          </cell>
          <cell r="W1924">
            <v>0</v>
          </cell>
          <cell r="X1924">
            <v>0.72665619999999997</v>
          </cell>
          <cell r="Y1924">
            <v>0</v>
          </cell>
          <cell r="Z1924">
            <v>0</v>
          </cell>
          <cell r="AA1924">
            <v>3.9696804999999999</v>
          </cell>
          <cell r="AB1924">
            <v>0</v>
          </cell>
        </row>
        <row r="1925">
          <cell r="A1925">
            <v>28340220</v>
          </cell>
          <cell r="B1925" t="str">
            <v>Chicken soup with noodles and potatoes, Puerto Rican style</v>
          </cell>
          <cell r="I1925">
            <v>245</v>
          </cell>
          <cell r="J1925">
            <v>124.72172999999999</v>
          </cell>
          <cell r="K1925">
            <v>0.50906828571428564</v>
          </cell>
          <cell r="L1925">
            <v>0.14249249999999999</v>
          </cell>
          <cell r="M1925">
            <v>0.63472459999999997</v>
          </cell>
          <cell r="N1925">
            <v>0</v>
          </cell>
          <cell r="O1925">
            <v>1.99913E-2</v>
          </cell>
          <cell r="P1925">
            <v>1.4068206999999999</v>
          </cell>
          <cell r="Q1925">
            <v>0.38205260000000002</v>
          </cell>
          <cell r="R1925">
            <v>0</v>
          </cell>
          <cell r="S1925">
            <v>0</v>
          </cell>
          <cell r="T1925">
            <v>0</v>
          </cell>
          <cell r="U1925">
            <v>8.2811271000000009</v>
          </cell>
          <cell r="V1925">
            <v>0</v>
          </cell>
          <cell r="W1925">
            <v>0</v>
          </cell>
          <cell r="X1925">
            <v>0.72435939999999999</v>
          </cell>
          <cell r="Y1925">
            <v>0</v>
          </cell>
          <cell r="Z1925">
            <v>0</v>
          </cell>
          <cell r="AA1925">
            <v>4.0477578000000003</v>
          </cell>
          <cell r="AB1925">
            <v>0</v>
          </cell>
        </row>
        <row r="1926">
          <cell r="A1926">
            <v>28340310</v>
          </cell>
          <cell r="B1926" t="str">
            <v>Chicken or turkey gumbo soup, home recipe, canned or ready-to-serve</v>
          </cell>
          <cell r="I1926">
            <v>245</v>
          </cell>
          <cell r="J1926">
            <v>56.35</v>
          </cell>
          <cell r="K1926">
            <v>0.23</v>
          </cell>
          <cell r="L1926">
            <v>1.96</v>
          </cell>
          <cell r="M1926">
            <v>0.31850000000000001</v>
          </cell>
          <cell r="N1926">
            <v>0</v>
          </cell>
          <cell r="O1926">
            <v>2.4500000000000001E-2</v>
          </cell>
          <cell r="P1926">
            <v>0</v>
          </cell>
          <cell r="Q1926">
            <v>0.34300000000000003</v>
          </cell>
          <cell r="R1926">
            <v>0</v>
          </cell>
          <cell r="S1926">
            <v>0</v>
          </cell>
          <cell r="T1926">
            <v>0</v>
          </cell>
          <cell r="U1926">
            <v>30.012499999999999</v>
          </cell>
          <cell r="V1926">
            <v>0</v>
          </cell>
          <cell r="W1926">
            <v>0</v>
          </cell>
          <cell r="X1926">
            <v>0.95794999999999997</v>
          </cell>
          <cell r="Y1926">
            <v>0</v>
          </cell>
          <cell r="Z1926">
            <v>0</v>
          </cell>
          <cell r="AA1926">
            <v>0</v>
          </cell>
          <cell r="AB1926">
            <v>8.8832000000000008E-3</v>
          </cell>
        </row>
        <row r="1927">
          <cell r="A1927">
            <v>28340510</v>
          </cell>
          <cell r="B1927" t="str">
            <v>Chicken or turkey noodle soup, chunky style, canned or ready-to-serve</v>
          </cell>
          <cell r="I1927">
            <v>245</v>
          </cell>
          <cell r="J1927">
            <v>100.45</v>
          </cell>
          <cell r="K1927">
            <v>0.41000000000000003</v>
          </cell>
          <cell r="L1927">
            <v>0.90937749999999995</v>
          </cell>
          <cell r="M1927">
            <v>1.5361499999999999</v>
          </cell>
          <cell r="N1927">
            <v>0</v>
          </cell>
          <cell r="O1927">
            <v>2.6950000000000002E-2</v>
          </cell>
          <cell r="P1927">
            <v>1.0506225</v>
          </cell>
          <cell r="Q1927">
            <v>0.4214</v>
          </cell>
          <cell r="R1927">
            <v>0</v>
          </cell>
          <cell r="S1927">
            <v>0</v>
          </cell>
          <cell r="T1927">
            <v>0</v>
          </cell>
          <cell r="U1927">
            <v>36.015000000000001</v>
          </cell>
          <cell r="V1927">
            <v>0</v>
          </cell>
          <cell r="W1927">
            <v>0</v>
          </cell>
          <cell r="X1927">
            <v>0.74970000000000003</v>
          </cell>
          <cell r="Y1927">
            <v>0</v>
          </cell>
          <cell r="Z1927">
            <v>0</v>
          </cell>
          <cell r="AA1927">
            <v>0</v>
          </cell>
          <cell r="AB1927">
            <v>2.4499999999999999E-3</v>
          </cell>
        </row>
        <row r="1928">
          <cell r="A1928">
            <v>28340550</v>
          </cell>
          <cell r="B1928" t="str">
            <v>Sweet and sour soup</v>
          </cell>
          <cell r="I1928">
            <v>245</v>
          </cell>
          <cell r="J1928">
            <v>117.75874</v>
          </cell>
          <cell r="K1928">
            <v>0.48064791836734694</v>
          </cell>
          <cell r="L1928">
            <v>0.76550470000000004</v>
          </cell>
          <cell r="M1928">
            <v>1.2817961</v>
          </cell>
          <cell r="N1928">
            <v>0</v>
          </cell>
          <cell r="O1928">
            <v>4.7290800000000001E-2</v>
          </cell>
          <cell r="P1928">
            <v>0.1055841</v>
          </cell>
          <cell r="Q1928">
            <v>1.4010416000000001</v>
          </cell>
          <cell r="R1928">
            <v>0</v>
          </cell>
          <cell r="S1928">
            <v>0</v>
          </cell>
          <cell r="T1928">
            <v>0</v>
          </cell>
          <cell r="U1928">
            <v>35.154614000000002</v>
          </cell>
          <cell r="V1928">
            <v>0</v>
          </cell>
          <cell r="W1928">
            <v>0</v>
          </cell>
          <cell r="X1928">
            <v>0.84306539999999996</v>
          </cell>
          <cell r="Y1928">
            <v>0</v>
          </cell>
          <cell r="Z1928">
            <v>18.198626000000001</v>
          </cell>
          <cell r="AA1928">
            <v>0</v>
          </cell>
          <cell r="AB1928">
            <v>3.9658100000000002E-2</v>
          </cell>
        </row>
        <row r="1929">
          <cell r="A1929">
            <v>28340580</v>
          </cell>
          <cell r="B1929" t="str">
            <v>Chicken or turkey soup with vegetables, broccoli, carrots, celery, potatoes and onions, Asian style</v>
          </cell>
          <cell r="I1929">
            <v>245</v>
          </cell>
          <cell r="J1929">
            <v>102.34465</v>
          </cell>
          <cell r="K1929">
            <v>0.41773326530612248</v>
          </cell>
          <cell r="L1929">
            <v>1.2647143000000001</v>
          </cell>
          <cell r="M1929">
            <v>0.86591810000000002</v>
          </cell>
          <cell r="N1929">
            <v>0</v>
          </cell>
          <cell r="O1929">
            <v>3.9812100000000003E-2</v>
          </cell>
          <cell r="P1929">
            <v>3.4555500000000003E-2</v>
          </cell>
          <cell r="Q1929">
            <v>1.1748160000000001</v>
          </cell>
          <cell r="R1929">
            <v>0</v>
          </cell>
          <cell r="S1929">
            <v>0</v>
          </cell>
          <cell r="T1929">
            <v>0</v>
          </cell>
          <cell r="U1929">
            <v>47.153480000000002</v>
          </cell>
          <cell r="V1929">
            <v>0</v>
          </cell>
          <cell r="W1929">
            <v>0</v>
          </cell>
          <cell r="X1929">
            <v>0.84226140000000005</v>
          </cell>
          <cell r="Y1929">
            <v>0</v>
          </cell>
          <cell r="Z1929">
            <v>0</v>
          </cell>
          <cell r="AA1929">
            <v>0</v>
          </cell>
          <cell r="AB1929">
            <v>6.3591999999999997E-3</v>
          </cell>
        </row>
        <row r="1930">
          <cell r="A1930">
            <v>28340590</v>
          </cell>
          <cell r="B1930" t="str">
            <v>Chicken or turkey corn soup with noodles, home recipe</v>
          </cell>
          <cell r="I1930">
            <v>245</v>
          </cell>
          <cell r="J1930">
            <v>135.91243</v>
          </cell>
          <cell r="K1930">
            <v>0.55474461224489802</v>
          </cell>
          <cell r="L1930">
            <v>0.46896569999999999</v>
          </cell>
          <cell r="M1930">
            <v>0.76631740000000004</v>
          </cell>
          <cell r="N1930">
            <v>0</v>
          </cell>
          <cell r="O1930">
            <v>2.2014100000000002E-2</v>
          </cell>
          <cell r="P1930">
            <v>0.78975790000000001</v>
          </cell>
          <cell r="Q1930">
            <v>1.0339185</v>
          </cell>
          <cell r="R1930">
            <v>0</v>
          </cell>
          <cell r="S1930">
            <v>0</v>
          </cell>
          <cell r="T1930">
            <v>0</v>
          </cell>
          <cell r="U1930">
            <v>22.488064999999999</v>
          </cell>
          <cell r="V1930">
            <v>0</v>
          </cell>
          <cell r="W1930">
            <v>0</v>
          </cell>
          <cell r="X1930">
            <v>0.74576949999999997</v>
          </cell>
          <cell r="Y1930">
            <v>0</v>
          </cell>
          <cell r="Z1930">
            <v>0</v>
          </cell>
          <cell r="AA1930">
            <v>0</v>
          </cell>
          <cell r="AB1930">
            <v>4.0288699999999997E-2</v>
          </cell>
        </row>
        <row r="1931">
          <cell r="A1931">
            <v>28340600</v>
          </cell>
          <cell r="B1931" t="str">
            <v>Chicken or turkey vegetable soup, canned, prepared with water or ready-to-serve</v>
          </cell>
          <cell r="I1931">
            <v>245</v>
          </cell>
          <cell r="J1931">
            <v>80.849999999999994</v>
          </cell>
          <cell r="K1931">
            <v>0.32999999999999996</v>
          </cell>
          <cell r="L1931">
            <v>1.5339130000000001</v>
          </cell>
          <cell r="M1931">
            <v>0.29644999999999999</v>
          </cell>
          <cell r="N1931">
            <v>0</v>
          </cell>
          <cell r="O1931">
            <v>3.4299999999999997E-2</v>
          </cell>
          <cell r="P1931">
            <v>0.67108699999999999</v>
          </cell>
          <cell r="Q1931">
            <v>0.32829999999999998</v>
          </cell>
          <cell r="R1931">
            <v>0</v>
          </cell>
          <cell r="S1931">
            <v>0</v>
          </cell>
          <cell r="T1931">
            <v>0</v>
          </cell>
          <cell r="U1931">
            <v>96.04</v>
          </cell>
          <cell r="V1931">
            <v>0</v>
          </cell>
          <cell r="W1931">
            <v>0</v>
          </cell>
          <cell r="X1931">
            <v>0.56105000000000005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</row>
        <row r="1932">
          <cell r="A1932">
            <v>28340610</v>
          </cell>
          <cell r="B1932" t="str">
            <v>Chicken or turkey vegetable soup, stew type</v>
          </cell>
          <cell r="I1932">
            <v>245</v>
          </cell>
          <cell r="J1932">
            <v>173.95</v>
          </cell>
          <cell r="K1932">
            <v>0.71</v>
          </cell>
          <cell r="L1932">
            <v>0.49</v>
          </cell>
          <cell r="M1932">
            <v>1.9355</v>
          </cell>
          <cell r="N1932">
            <v>0</v>
          </cell>
          <cell r="O1932">
            <v>2.4500000000000001E-2</v>
          </cell>
          <cell r="P1932">
            <v>0.98</v>
          </cell>
          <cell r="Q1932">
            <v>1.3474999999999999</v>
          </cell>
          <cell r="R1932">
            <v>0</v>
          </cell>
          <cell r="S1932">
            <v>0</v>
          </cell>
          <cell r="T1932">
            <v>0</v>
          </cell>
          <cell r="U1932">
            <v>36.015000000000001</v>
          </cell>
          <cell r="V1932">
            <v>0</v>
          </cell>
          <cell r="W1932">
            <v>0</v>
          </cell>
          <cell r="X1932">
            <v>0.86729999999999996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</row>
        <row r="1933">
          <cell r="A1933">
            <v>28340630</v>
          </cell>
          <cell r="B1933" t="str">
            <v>Chicken or turkey vegetable soup with rice, stew type, chunky style</v>
          </cell>
          <cell r="I1933">
            <v>245</v>
          </cell>
          <cell r="J1933">
            <v>129.85</v>
          </cell>
          <cell r="K1933">
            <v>0.53</v>
          </cell>
          <cell r="L1933">
            <v>0.58347210000000005</v>
          </cell>
          <cell r="M1933">
            <v>0.98</v>
          </cell>
          <cell r="N1933">
            <v>0</v>
          </cell>
          <cell r="O1933">
            <v>3.4299999999999997E-2</v>
          </cell>
          <cell r="P1933">
            <v>0.39652789999999999</v>
          </cell>
          <cell r="Q1933">
            <v>0.68600000000000005</v>
          </cell>
          <cell r="R1933">
            <v>0</v>
          </cell>
          <cell r="S1933">
            <v>0</v>
          </cell>
          <cell r="T1933">
            <v>0</v>
          </cell>
          <cell r="U1933">
            <v>54.022500000000001</v>
          </cell>
          <cell r="V1933">
            <v>0</v>
          </cell>
          <cell r="W1933">
            <v>0</v>
          </cell>
          <cell r="X1933">
            <v>0.90649999999999997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</row>
        <row r="1934">
          <cell r="A1934">
            <v>28340640</v>
          </cell>
          <cell r="B1934" t="str">
            <v>Chicken or turkey vegetable soup with noodles, stew type, chunky style, canned or ready-to-serve</v>
          </cell>
          <cell r="I1934">
            <v>245</v>
          </cell>
          <cell r="J1934">
            <v>173.95</v>
          </cell>
          <cell r="K1934">
            <v>0.71</v>
          </cell>
          <cell r="L1934">
            <v>0.49</v>
          </cell>
          <cell r="M1934">
            <v>1.9355</v>
          </cell>
          <cell r="N1934">
            <v>0</v>
          </cell>
          <cell r="O1934">
            <v>2.4500000000000001E-2</v>
          </cell>
          <cell r="P1934">
            <v>0.98</v>
          </cell>
          <cell r="Q1934">
            <v>1.3474999999999999</v>
          </cell>
          <cell r="R1934">
            <v>0</v>
          </cell>
          <cell r="S1934">
            <v>0</v>
          </cell>
          <cell r="T1934">
            <v>0</v>
          </cell>
          <cell r="U1934">
            <v>36.015000000000001</v>
          </cell>
          <cell r="V1934">
            <v>0</v>
          </cell>
          <cell r="W1934">
            <v>0</v>
          </cell>
          <cell r="X1934">
            <v>0.86729999999999996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</row>
        <row r="1935">
          <cell r="A1935">
            <v>28340660</v>
          </cell>
          <cell r="B1935" t="str">
            <v>Chicken or turkey vegetable soup, home recipe</v>
          </cell>
          <cell r="I1935">
            <v>245</v>
          </cell>
          <cell r="J1935">
            <v>100.86399</v>
          </cell>
          <cell r="K1935">
            <v>0.41168975510204081</v>
          </cell>
          <cell r="L1935">
            <v>0.81116710000000003</v>
          </cell>
          <cell r="M1935">
            <v>0.65874310000000003</v>
          </cell>
          <cell r="N1935">
            <v>0</v>
          </cell>
          <cell r="O1935">
            <v>2.4884900000000001E-2</v>
          </cell>
          <cell r="P1935">
            <v>0.80021739999999997</v>
          </cell>
          <cell r="Q1935">
            <v>0.89838640000000003</v>
          </cell>
          <cell r="R1935">
            <v>0</v>
          </cell>
          <cell r="S1935">
            <v>0</v>
          </cell>
          <cell r="T1935">
            <v>0</v>
          </cell>
          <cell r="U1935">
            <v>44.982635999999999</v>
          </cell>
          <cell r="V1935">
            <v>0</v>
          </cell>
          <cell r="W1935">
            <v>0</v>
          </cell>
          <cell r="X1935">
            <v>0.63748559999999999</v>
          </cell>
          <cell r="Y1935">
            <v>0</v>
          </cell>
          <cell r="Z1935">
            <v>0</v>
          </cell>
          <cell r="AA1935">
            <v>0</v>
          </cell>
          <cell r="AB1935">
            <v>4.7626999999999999E-3</v>
          </cell>
        </row>
        <row r="1936">
          <cell r="A1936">
            <v>28340670</v>
          </cell>
          <cell r="B1936" t="str">
            <v>Chicken or turkey vegetable soup with rice, home recipe, Mexican style</v>
          </cell>
          <cell r="I1936">
            <v>245</v>
          </cell>
          <cell r="J1936">
            <v>156.60897</v>
          </cell>
          <cell r="K1936">
            <v>0.63922028571428569</v>
          </cell>
          <cell r="L1936">
            <v>1.6942140999999999</v>
          </cell>
          <cell r="M1936">
            <v>1.045153</v>
          </cell>
          <cell r="N1936">
            <v>0</v>
          </cell>
          <cell r="O1936">
            <v>4.2211400000000003E-2</v>
          </cell>
          <cell r="P1936">
            <v>0.56855149999999999</v>
          </cell>
          <cell r="Q1936">
            <v>0.94033440000000001</v>
          </cell>
          <cell r="R1936">
            <v>0</v>
          </cell>
          <cell r="S1936">
            <v>0</v>
          </cell>
          <cell r="T1936">
            <v>0</v>
          </cell>
          <cell r="U1936">
            <v>81.413357000000005</v>
          </cell>
          <cell r="V1936">
            <v>0</v>
          </cell>
          <cell r="W1936">
            <v>0</v>
          </cell>
          <cell r="X1936">
            <v>0.57007099999999999</v>
          </cell>
          <cell r="Y1936">
            <v>0</v>
          </cell>
          <cell r="Z1936">
            <v>0</v>
          </cell>
          <cell r="AA1936">
            <v>0</v>
          </cell>
          <cell r="AB1936">
            <v>2.5944000000000002E-3</v>
          </cell>
        </row>
        <row r="1937">
          <cell r="A1937">
            <v>28340680</v>
          </cell>
          <cell r="B1937" t="str">
            <v>Chicken or turkey and corn hominy soup,  home recipe, Mexican style</v>
          </cell>
          <cell r="I1937">
            <v>245</v>
          </cell>
          <cell r="J1937">
            <v>156.02464000000001</v>
          </cell>
          <cell r="K1937">
            <v>0.63683526530612244</v>
          </cell>
          <cell r="L1937">
            <v>1.3599999999999999E-16</v>
          </cell>
          <cell r="M1937">
            <v>1.27217</v>
          </cell>
          <cell r="N1937">
            <v>0</v>
          </cell>
          <cell r="O1937">
            <v>1.6533900000000001E-2</v>
          </cell>
          <cell r="P1937">
            <v>0.84729049999999995</v>
          </cell>
          <cell r="Q1937">
            <v>0.89961219999999997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0.63507190000000002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</row>
        <row r="1938">
          <cell r="A1938">
            <v>28340690</v>
          </cell>
          <cell r="B1938" t="str">
            <v>Chicken or turkey vegetable soup with potato and cheese, chunky style, canned or ready-to-serve</v>
          </cell>
          <cell r="I1938">
            <v>245</v>
          </cell>
          <cell r="J1938">
            <v>159.25</v>
          </cell>
          <cell r="K1938">
            <v>0.65</v>
          </cell>
          <cell r="L1938">
            <v>0.55758620000000003</v>
          </cell>
          <cell r="M1938">
            <v>4.0082000000000004</v>
          </cell>
          <cell r="N1938">
            <v>0</v>
          </cell>
          <cell r="O1938">
            <v>3.6749999999999998E-2</v>
          </cell>
          <cell r="P1938">
            <v>0.17741380000000001</v>
          </cell>
          <cell r="Q1938">
            <v>2.3862999999999999</v>
          </cell>
          <cell r="R1938">
            <v>0</v>
          </cell>
          <cell r="S1938">
            <v>8.5749999999999993</v>
          </cell>
          <cell r="T1938">
            <v>0</v>
          </cell>
          <cell r="U1938">
            <v>48.02</v>
          </cell>
          <cell r="V1938">
            <v>0</v>
          </cell>
          <cell r="W1938">
            <v>0</v>
          </cell>
          <cell r="X1938">
            <v>1.0192000000000001</v>
          </cell>
          <cell r="Y1938">
            <v>0</v>
          </cell>
          <cell r="Z1938">
            <v>0</v>
          </cell>
          <cell r="AA1938">
            <v>0</v>
          </cell>
          <cell r="AB1938">
            <v>0.35713470000000003</v>
          </cell>
        </row>
        <row r="1939">
          <cell r="A1939">
            <v>28340700</v>
          </cell>
          <cell r="B1939" t="str">
            <v>Bird's nest soup</v>
          </cell>
          <cell r="I1939">
            <v>245</v>
          </cell>
          <cell r="J1939">
            <v>112.40009999999999</v>
          </cell>
          <cell r="K1939">
            <v>0.45877591836734694</v>
          </cell>
          <cell r="L1939">
            <v>3.8872700000000003E-2</v>
          </cell>
          <cell r="M1939">
            <v>0.8252718</v>
          </cell>
          <cell r="N1939">
            <v>0</v>
          </cell>
          <cell r="O1939">
            <v>1.47055E-2</v>
          </cell>
          <cell r="P1939">
            <v>0</v>
          </cell>
          <cell r="Q1939">
            <v>0.38219540000000002</v>
          </cell>
          <cell r="R1939">
            <v>0</v>
          </cell>
          <cell r="S1939">
            <v>7.7745303000000003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1.7981297000000001</v>
          </cell>
          <cell r="Y1939">
            <v>0</v>
          </cell>
          <cell r="Z1939">
            <v>0</v>
          </cell>
          <cell r="AA1939">
            <v>23.869171999999999</v>
          </cell>
          <cell r="AB1939">
            <v>0</v>
          </cell>
        </row>
        <row r="1940">
          <cell r="A1940">
            <v>28340750</v>
          </cell>
          <cell r="B1940" t="str">
            <v>Hot and sour soup</v>
          </cell>
          <cell r="I1940">
            <v>245</v>
          </cell>
          <cell r="J1940">
            <v>95.55</v>
          </cell>
          <cell r="K1940">
            <v>0.39</v>
          </cell>
          <cell r="L1940">
            <v>1.2250000000000001</v>
          </cell>
          <cell r="M1940">
            <v>0.56105000000000005</v>
          </cell>
          <cell r="N1940">
            <v>0</v>
          </cell>
          <cell r="O1940">
            <v>4.6550000000000001E-2</v>
          </cell>
          <cell r="P1940">
            <v>0</v>
          </cell>
          <cell r="Q1940">
            <v>0.76195000000000002</v>
          </cell>
          <cell r="R1940">
            <v>0</v>
          </cell>
          <cell r="S1940">
            <v>0</v>
          </cell>
          <cell r="T1940">
            <v>0</v>
          </cell>
          <cell r="U1940">
            <v>36.015000000000001</v>
          </cell>
          <cell r="V1940">
            <v>0</v>
          </cell>
          <cell r="W1940">
            <v>0</v>
          </cell>
          <cell r="X1940">
            <v>0.92120000000000002</v>
          </cell>
          <cell r="Y1940">
            <v>0</v>
          </cell>
          <cell r="Z1940">
            <v>4.862025</v>
          </cell>
          <cell r="AA1940">
            <v>0</v>
          </cell>
          <cell r="AB1940">
            <v>0</v>
          </cell>
        </row>
        <row r="1941">
          <cell r="A1941">
            <v>28340800</v>
          </cell>
          <cell r="B1941" t="str">
            <v>Chicken or turkey soup with vegetables and fruit, Asian Style</v>
          </cell>
          <cell r="I1941">
            <v>245</v>
          </cell>
          <cell r="J1941">
            <v>85.047013000000007</v>
          </cell>
          <cell r="K1941">
            <v>0.34713066530612247</v>
          </cell>
          <cell r="L1941">
            <v>0.37396459999999998</v>
          </cell>
          <cell r="M1941">
            <v>0.57032000000000005</v>
          </cell>
          <cell r="N1941">
            <v>7.5944000000000003E-3</v>
          </cell>
          <cell r="O1941">
            <v>3.5448800000000003E-2</v>
          </cell>
          <cell r="P1941">
            <v>1.89275E-2</v>
          </cell>
          <cell r="Q1941">
            <v>0.52430920000000003</v>
          </cell>
          <cell r="R1941">
            <v>0</v>
          </cell>
          <cell r="S1941">
            <v>0</v>
          </cell>
          <cell r="T1941">
            <v>7.6418850000000003</v>
          </cell>
          <cell r="U1941">
            <v>22.096012000000002</v>
          </cell>
          <cell r="V1941">
            <v>0</v>
          </cell>
          <cell r="W1941">
            <v>0</v>
          </cell>
          <cell r="X1941">
            <v>1.2776844999999999</v>
          </cell>
          <cell r="Y1941">
            <v>0</v>
          </cell>
          <cell r="Z1941">
            <v>0</v>
          </cell>
          <cell r="AA1941">
            <v>0</v>
          </cell>
          <cell r="AB1941">
            <v>1.18037E-2</v>
          </cell>
        </row>
        <row r="1942">
          <cell r="A1942">
            <v>28345110</v>
          </cell>
          <cell r="B1942" t="str">
            <v>Chicken or turkey soup, cream of, NS as to prepared with milk or water</v>
          </cell>
          <cell r="I1942">
            <v>245</v>
          </cell>
          <cell r="J1942">
            <v>111.901</v>
          </cell>
          <cell r="K1942">
            <v>0.45673877551020409</v>
          </cell>
          <cell r="L1942">
            <v>0</v>
          </cell>
          <cell r="M1942">
            <v>2.1099554999999999</v>
          </cell>
          <cell r="N1942">
            <v>0</v>
          </cell>
          <cell r="O1942">
            <v>2.1026799999999998E-2</v>
          </cell>
          <cell r="P1942">
            <v>0</v>
          </cell>
          <cell r="Q1942">
            <v>1.3216751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0.87765439999999995</v>
          </cell>
          <cell r="Y1942">
            <v>0</v>
          </cell>
          <cell r="Z1942">
            <v>0</v>
          </cell>
          <cell r="AA1942">
            <v>0</v>
          </cell>
          <cell r="AB1942">
            <v>0.13282559999999999</v>
          </cell>
        </row>
        <row r="1943">
          <cell r="A1943">
            <v>28345120</v>
          </cell>
          <cell r="B1943" t="str">
            <v>Chicken or turkey soup, cream of, prepared with milk</v>
          </cell>
          <cell r="I1943">
            <v>245</v>
          </cell>
          <cell r="J1943">
            <v>172.39425</v>
          </cell>
          <cell r="K1943">
            <v>0.70365</v>
          </cell>
          <cell r="L1943">
            <v>0</v>
          </cell>
          <cell r="M1943">
            <v>3.5875473000000002</v>
          </cell>
          <cell r="N1943">
            <v>0</v>
          </cell>
          <cell r="O1943">
            <v>0.16245950000000001</v>
          </cell>
          <cell r="P1943">
            <v>0</v>
          </cell>
          <cell r="Q1943">
            <v>1.4265615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0.91451150000000003</v>
          </cell>
          <cell r="Y1943">
            <v>0</v>
          </cell>
          <cell r="Z1943">
            <v>0</v>
          </cell>
          <cell r="AA1943">
            <v>0</v>
          </cell>
          <cell r="AB1943">
            <v>0.20066249999999999</v>
          </cell>
        </row>
        <row r="1944">
          <cell r="A1944">
            <v>28345130</v>
          </cell>
          <cell r="B1944" t="str">
            <v>Chicken or turkey soup, cream of, prepared with water</v>
          </cell>
          <cell r="I1944">
            <v>245</v>
          </cell>
          <cell r="J1944">
            <v>111.85447000000001</v>
          </cell>
          <cell r="K1944">
            <v>0.45654885714285715</v>
          </cell>
          <cell r="L1944">
            <v>0</v>
          </cell>
          <cell r="M1944">
            <v>2.1090781999999999</v>
          </cell>
          <cell r="N1944">
            <v>0</v>
          </cell>
          <cell r="O1944">
            <v>2.1021100000000001E-2</v>
          </cell>
          <cell r="P1944">
            <v>0</v>
          </cell>
          <cell r="Q1944">
            <v>1.3211256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0.87729360000000001</v>
          </cell>
          <cell r="Y1944">
            <v>0</v>
          </cell>
          <cell r="Z1944">
            <v>0</v>
          </cell>
          <cell r="AA1944">
            <v>0</v>
          </cell>
          <cell r="AB1944">
            <v>0.1201816</v>
          </cell>
        </row>
        <row r="1945">
          <cell r="A1945">
            <v>28345160</v>
          </cell>
          <cell r="B1945" t="str">
            <v>Chicken or turkey mushroom soup, cream of, prepared with milk</v>
          </cell>
          <cell r="I1945">
            <v>245</v>
          </cell>
          <cell r="J1945">
            <v>184.64425</v>
          </cell>
          <cell r="K1945">
            <v>0.75365000000000004</v>
          </cell>
          <cell r="L1945">
            <v>0.68901970000000001</v>
          </cell>
          <cell r="M1945">
            <v>3.0350722999999999</v>
          </cell>
          <cell r="N1945">
            <v>0</v>
          </cell>
          <cell r="O1945">
            <v>0.17348450000000001</v>
          </cell>
          <cell r="P1945">
            <v>3.2309803000000001</v>
          </cell>
          <cell r="Q1945">
            <v>1.6262365000000001</v>
          </cell>
          <cell r="R1945">
            <v>0</v>
          </cell>
          <cell r="S1945">
            <v>0</v>
          </cell>
          <cell r="T1945">
            <v>0</v>
          </cell>
          <cell r="U1945">
            <v>6.0025000000000004</v>
          </cell>
          <cell r="V1945">
            <v>0</v>
          </cell>
          <cell r="W1945">
            <v>0</v>
          </cell>
          <cell r="X1945">
            <v>0.87408649999999999</v>
          </cell>
          <cell r="Y1945">
            <v>0</v>
          </cell>
          <cell r="Z1945">
            <v>0</v>
          </cell>
          <cell r="AA1945">
            <v>0</v>
          </cell>
          <cell r="AB1945">
            <v>8.3156400000000005E-2</v>
          </cell>
        </row>
        <row r="1946">
          <cell r="A1946">
            <v>28345170</v>
          </cell>
          <cell r="B1946" t="str">
            <v>Duck soup</v>
          </cell>
          <cell r="I1946">
            <v>245</v>
          </cell>
          <cell r="J1946">
            <v>165.03881000000001</v>
          </cell>
          <cell r="K1946">
            <v>0.67362779591836741</v>
          </cell>
          <cell r="L1946">
            <v>0.26804990000000001</v>
          </cell>
          <cell r="M1946">
            <v>2.7475732000000002</v>
          </cell>
          <cell r="N1946">
            <v>0</v>
          </cell>
          <cell r="O1946">
            <v>1.7503999999999999E-2</v>
          </cell>
          <cell r="P1946">
            <v>0</v>
          </cell>
          <cell r="Q1946">
            <v>0.89488080000000003</v>
          </cell>
          <cell r="R1946">
            <v>0</v>
          </cell>
          <cell r="S1946">
            <v>0</v>
          </cell>
          <cell r="T1946">
            <v>0</v>
          </cell>
          <cell r="U1946">
            <v>6.4273714000000002</v>
          </cell>
          <cell r="V1946">
            <v>0</v>
          </cell>
          <cell r="W1946">
            <v>0</v>
          </cell>
          <cell r="X1946">
            <v>0.23988280000000001</v>
          </cell>
          <cell r="Y1946">
            <v>0</v>
          </cell>
          <cell r="Z1946">
            <v>0</v>
          </cell>
          <cell r="AA1946">
            <v>0</v>
          </cell>
          <cell r="AB1946">
            <v>0.21853729999999999</v>
          </cell>
        </row>
        <row r="1947">
          <cell r="A1947">
            <v>28350040</v>
          </cell>
          <cell r="B1947" t="str">
            <v>Fish stock, home recipe</v>
          </cell>
          <cell r="I1947">
            <v>245</v>
          </cell>
          <cell r="J1947">
            <v>39.200000000000003</v>
          </cell>
          <cell r="K1947">
            <v>0.16</v>
          </cell>
          <cell r="L1947">
            <v>0</v>
          </cell>
          <cell r="M1947">
            <v>0.49735000000000001</v>
          </cell>
          <cell r="N1947">
            <v>0</v>
          </cell>
          <cell r="O1947">
            <v>7.3499999999999998E-3</v>
          </cell>
          <cell r="P1947">
            <v>0</v>
          </cell>
          <cell r="Q1947">
            <v>0.33810000000000001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0.38219999999999998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</row>
        <row r="1948">
          <cell r="A1948">
            <v>28350050</v>
          </cell>
          <cell r="B1948" t="str">
            <v>Fish chowder</v>
          </cell>
          <cell r="I1948">
            <v>245</v>
          </cell>
          <cell r="J1948">
            <v>248.11081999999999</v>
          </cell>
          <cell r="K1948">
            <v>1.0126972244897958</v>
          </cell>
          <cell r="L1948">
            <v>0.30216860000000001</v>
          </cell>
          <cell r="M1948">
            <v>8.2465308000000004</v>
          </cell>
          <cell r="N1948">
            <v>0.1187824</v>
          </cell>
          <cell r="O1948">
            <v>4.0817399999999997E-2</v>
          </cell>
          <cell r="P1948">
            <v>1.3629173999999999</v>
          </cell>
          <cell r="Q1948">
            <v>0.86880009999999996</v>
          </cell>
          <cell r="R1948">
            <v>0</v>
          </cell>
          <cell r="S1948">
            <v>0</v>
          </cell>
          <cell r="T1948">
            <v>0</v>
          </cell>
          <cell r="U1948">
            <v>17.375754000000001</v>
          </cell>
          <cell r="V1948">
            <v>0</v>
          </cell>
          <cell r="W1948">
            <v>0</v>
          </cell>
          <cell r="X1948">
            <v>0.50298620000000005</v>
          </cell>
          <cell r="Y1948">
            <v>0</v>
          </cell>
          <cell r="Z1948">
            <v>0</v>
          </cell>
          <cell r="AA1948">
            <v>1.2918204</v>
          </cell>
          <cell r="AB1948">
            <v>0.44473760000000001</v>
          </cell>
        </row>
        <row r="1949">
          <cell r="A1949">
            <v>28350110</v>
          </cell>
          <cell r="B1949" t="str">
            <v>Crab soup, NS as to tomato-base or cream style</v>
          </cell>
          <cell r="I1949">
            <v>245</v>
          </cell>
          <cell r="J1949">
            <v>111.72911999999999</v>
          </cell>
          <cell r="K1949">
            <v>0.45603722448979589</v>
          </cell>
          <cell r="L1949">
            <v>0.50428499999999998</v>
          </cell>
          <cell r="M1949">
            <v>3.0691470999999999</v>
          </cell>
          <cell r="N1949">
            <v>6.6285399999999994E-2</v>
          </cell>
          <cell r="O1949">
            <v>0.1135916</v>
          </cell>
          <cell r="P1949">
            <v>1.4482699999999999E-2</v>
          </cell>
          <cell r="Q1949">
            <v>0.65777229999999998</v>
          </cell>
          <cell r="R1949">
            <v>0</v>
          </cell>
          <cell r="S1949">
            <v>0</v>
          </cell>
          <cell r="T1949">
            <v>0</v>
          </cell>
          <cell r="U1949">
            <v>30.777557999999999</v>
          </cell>
          <cell r="V1949">
            <v>0</v>
          </cell>
          <cell r="W1949">
            <v>0</v>
          </cell>
          <cell r="X1949">
            <v>0.6743673</v>
          </cell>
          <cell r="Y1949">
            <v>0</v>
          </cell>
          <cell r="Z1949">
            <v>0</v>
          </cell>
          <cell r="AA1949">
            <v>0</v>
          </cell>
          <cell r="AB1949">
            <v>0.32944289999999998</v>
          </cell>
        </row>
        <row r="1950">
          <cell r="A1950">
            <v>28350120</v>
          </cell>
          <cell r="B1950" t="str">
            <v>Crab soup, tomato-base</v>
          </cell>
          <cell r="I1950">
            <v>245</v>
          </cell>
          <cell r="J1950">
            <v>85.854121000000006</v>
          </cell>
          <cell r="K1950">
            <v>0.35042498367346941</v>
          </cell>
          <cell r="L1950">
            <v>0.97649319999999995</v>
          </cell>
          <cell r="M1950">
            <v>0.1789963</v>
          </cell>
          <cell r="N1950">
            <v>6.3633899999999993E-2</v>
          </cell>
          <cell r="O1950">
            <v>7.41787E-2</v>
          </cell>
          <cell r="P1950">
            <v>1.3228616</v>
          </cell>
          <cell r="Q1950">
            <v>0.26031260000000001</v>
          </cell>
          <cell r="R1950">
            <v>0</v>
          </cell>
          <cell r="S1950">
            <v>0</v>
          </cell>
          <cell r="T1950">
            <v>0</v>
          </cell>
          <cell r="U1950">
            <v>78.142835000000005</v>
          </cell>
          <cell r="V1950">
            <v>0</v>
          </cell>
          <cell r="W1950">
            <v>0</v>
          </cell>
          <cell r="X1950">
            <v>0.55699980000000004</v>
          </cell>
          <cell r="Y1950">
            <v>0</v>
          </cell>
          <cell r="Z1950">
            <v>0</v>
          </cell>
          <cell r="AA1950">
            <v>0</v>
          </cell>
          <cell r="AB1950">
            <v>5.3027999999999999E-3</v>
          </cell>
        </row>
        <row r="1951">
          <cell r="A1951">
            <v>28350210</v>
          </cell>
          <cell r="B1951" t="str">
            <v>Clam chowder, NS as to Manhattan or New England style</v>
          </cell>
          <cell r="I1951">
            <v>245</v>
          </cell>
          <cell r="J1951">
            <v>148.60427999999999</v>
          </cell>
          <cell r="K1951">
            <v>0.60654808163265306</v>
          </cell>
          <cell r="L1951">
            <v>8.9342599999999994E-2</v>
          </cell>
          <cell r="M1951">
            <v>2.5911360000000001</v>
          </cell>
          <cell r="N1951">
            <v>2.5426399999999998E-2</v>
          </cell>
          <cell r="O1951">
            <v>0.16667860000000001</v>
          </cell>
          <cell r="P1951">
            <v>0.75820299999999996</v>
          </cell>
          <cell r="Q1951">
            <v>1.2771285000000001</v>
          </cell>
          <cell r="R1951">
            <v>0</v>
          </cell>
          <cell r="S1951">
            <v>0</v>
          </cell>
          <cell r="T1951">
            <v>0</v>
          </cell>
          <cell r="U1951">
            <v>8.8992289000000007</v>
          </cell>
          <cell r="V1951">
            <v>0</v>
          </cell>
          <cell r="W1951">
            <v>0</v>
          </cell>
          <cell r="X1951">
            <v>0.67989509999999997</v>
          </cell>
          <cell r="Y1951">
            <v>0</v>
          </cell>
          <cell r="Z1951">
            <v>0</v>
          </cell>
          <cell r="AA1951">
            <v>0</v>
          </cell>
          <cell r="AB1951">
            <v>5.4713600000000001E-2</v>
          </cell>
        </row>
        <row r="1952">
          <cell r="A1952">
            <v>28350220</v>
          </cell>
          <cell r="B1952" t="str">
            <v>Clam chowder, Manhattan</v>
          </cell>
          <cell r="I1952">
            <v>245</v>
          </cell>
          <cell r="J1952">
            <v>137.19999999999999</v>
          </cell>
          <cell r="K1952">
            <v>0.55999999999999994</v>
          </cell>
          <cell r="L1952">
            <v>1.8709091</v>
          </cell>
          <cell r="M1952">
            <v>2.1560000000000001</v>
          </cell>
          <cell r="N1952">
            <v>0</v>
          </cell>
          <cell r="O1952">
            <v>6.8599999999999994E-2</v>
          </cell>
          <cell r="P1952">
            <v>1.0690909</v>
          </cell>
          <cell r="Q1952">
            <v>0.1225</v>
          </cell>
          <cell r="R1952">
            <v>0</v>
          </cell>
          <cell r="S1952">
            <v>0</v>
          </cell>
          <cell r="T1952">
            <v>0</v>
          </cell>
          <cell r="U1952">
            <v>84.034999999999997</v>
          </cell>
          <cell r="V1952">
            <v>0</v>
          </cell>
          <cell r="W1952">
            <v>0</v>
          </cell>
          <cell r="X1952">
            <v>1.0216499999999999</v>
          </cell>
          <cell r="Y1952">
            <v>0</v>
          </cell>
          <cell r="Z1952">
            <v>0</v>
          </cell>
          <cell r="AA1952">
            <v>0</v>
          </cell>
          <cell r="AB1952">
            <v>6.1254099999999999E-2</v>
          </cell>
        </row>
        <row r="1953">
          <cell r="A1953">
            <v>28351110</v>
          </cell>
          <cell r="B1953" t="str">
            <v>Fish and vegetable soup, no potatoes, Mexican style</v>
          </cell>
          <cell r="I1953">
            <v>245</v>
          </cell>
          <cell r="J1953">
            <v>80.842433</v>
          </cell>
          <cell r="K1953">
            <v>0.32996911428571429</v>
          </cell>
          <cell r="L1953">
            <v>0.62799430000000001</v>
          </cell>
          <cell r="M1953">
            <v>0.45359650000000001</v>
          </cell>
          <cell r="N1953">
            <v>6.1760500000000003E-2</v>
          </cell>
          <cell r="O1953">
            <v>5.69601E-2</v>
          </cell>
          <cell r="P1953">
            <v>0</v>
          </cell>
          <cell r="Q1953">
            <v>1.0701011</v>
          </cell>
          <cell r="R1953">
            <v>0</v>
          </cell>
          <cell r="S1953">
            <v>0</v>
          </cell>
          <cell r="T1953">
            <v>0</v>
          </cell>
          <cell r="U1953">
            <v>42.574998000000001</v>
          </cell>
          <cell r="V1953">
            <v>0</v>
          </cell>
          <cell r="W1953">
            <v>0</v>
          </cell>
          <cell r="X1953">
            <v>0.69807399999999997</v>
          </cell>
          <cell r="Y1953">
            <v>0</v>
          </cell>
          <cell r="Z1953">
            <v>0</v>
          </cell>
          <cell r="AA1953">
            <v>0</v>
          </cell>
          <cell r="AB1953">
            <v>7.4320999999999996E-3</v>
          </cell>
        </row>
        <row r="1954">
          <cell r="A1954">
            <v>28355110</v>
          </cell>
          <cell r="B1954" t="str">
            <v>Clam chowder, New England, NS as to prepared with water or milk</v>
          </cell>
          <cell r="I1954">
            <v>245</v>
          </cell>
          <cell r="J1954">
            <v>149.44999999999999</v>
          </cell>
          <cell r="K1954">
            <v>0.61</v>
          </cell>
          <cell r="L1954">
            <v>5.1535299999999999E-2</v>
          </cell>
          <cell r="M1954">
            <v>2.6802999999999999</v>
          </cell>
          <cell r="N1954">
            <v>2.4500000000000001E-2</v>
          </cell>
          <cell r="O1954">
            <v>0.17150000000000001</v>
          </cell>
          <cell r="P1954">
            <v>0.68346470000000004</v>
          </cell>
          <cell r="Q1954">
            <v>1.25685</v>
          </cell>
          <cell r="R1954">
            <v>0</v>
          </cell>
          <cell r="S1954">
            <v>0</v>
          </cell>
          <cell r="T1954">
            <v>0</v>
          </cell>
          <cell r="U1954">
            <v>6.0025000000000004</v>
          </cell>
          <cell r="V1954">
            <v>0</v>
          </cell>
          <cell r="W1954">
            <v>0</v>
          </cell>
          <cell r="X1954">
            <v>0.66884999999999994</v>
          </cell>
          <cell r="Y1954">
            <v>0</v>
          </cell>
          <cell r="Z1954">
            <v>0</v>
          </cell>
          <cell r="AA1954">
            <v>0</v>
          </cell>
          <cell r="AB1954">
            <v>7.3499999999999998E-3</v>
          </cell>
        </row>
        <row r="1955">
          <cell r="A1955">
            <v>28355120</v>
          </cell>
          <cell r="B1955" t="str">
            <v>Clam chowder, New England, prepared with milk</v>
          </cell>
          <cell r="I1955">
            <v>245</v>
          </cell>
          <cell r="J1955">
            <v>150.04177999999999</v>
          </cell>
          <cell r="K1955">
            <v>0.6124154285714285</v>
          </cell>
          <cell r="L1955">
            <v>8.9139800000000005E-2</v>
          </cell>
          <cell r="M1955">
            <v>2.6873738999999999</v>
          </cell>
          <cell r="N1955">
            <v>2.5426399999999998E-2</v>
          </cell>
          <cell r="O1955">
            <v>0.16636880000000001</v>
          </cell>
          <cell r="P1955">
            <v>0.75840589999999997</v>
          </cell>
          <cell r="Q1955">
            <v>1.2869679000000001</v>
          </cell>
          <cell r="R1955">
            <v>0</v>
          </cell>
          <cell r="S1955">
            <v>0</v>
          </cell>
          <cell r="T1955">
            <v>0</v>
          </cell>
          <cell r="U1955">
            <v>8.8992289000000007</v>
          </cell>
          <cell r="V1955">
            <v>0</v>
          </cell>
          <cell r="W1955">
            <v>0</v>
          </cell>
          <cell r="X1955">
            <v>0.67995709999999998</v>
          </cell>
          <cell r="Y1955">
            <v>0</v>
          </cell>
          <cell r="Z1955">
            <v>0</v>
          </cell>
          <cell r="AA1955">
            <v>0</v>
          </cell>
          <cell r="AB1955">
            <v>5.4713600000000001E-2</v>
          </cell>
        </row>
        <row r="1956">
          <cell r="A1956">
            <v>28355130</v>
          </cell>
          <cell r="B1956" t="str">
            <v>Clam chowder, New England, prepared with water</v>
          </cell>
          <cell r="I1956">
            <v>245</v>
          </cell>
          <cell r="J1956">
            <v>85.75</v>
          </cell>
          <cell r="K1956">
            <v>0.35</v>
          </cell>
          <cell r="L1956">
            <v>5.1652499999999997E-2</v>
          </cell>
          <cell r="M1956">
            <v>1.1466000000000001</v>
          </cell>
          <cell r="N1956">
            <v>2.4500000000000001E-2</v>
          </cell>
          <cell r="O1956">
            <v>2.205E-2</v>
          </cell>
          <cell r="P1956">
            <v>0.6833475</v>
          </cell>
          <cell r="Q1956">
            <v>1.1490499999999999</v>
          </cell>
          <cell r="R1956">
            <v>0</v>
          </cell>
          <cell r="S1956">
            <v>0</v>
          </cell>
          <cell r="T1956">
            <v>0</v>
          </cell>
          <cell r="U1956">
            <v>6.0025000000000004</v>
          </cell>
          <cell r="V1956">
            <v>0</v>
          </cell>
          <cell r="W1956">
            <v>0</v>
          </cell>
          <cell r="X1956">
            <v>0.62229999999999996</v>
          </cell>
          <cell r="Y1956">
            <v>0</v>
          </cell>
          <cell r="Z1956">
            <v>0</v>
          </cell>
          <cell r="AA1956">
            <v>0</v>
          </cell>
          <cell r="AB1956">
            <v>1.47E-2</v>
          </cell>
        </row>
        <row r="1957">
          <cell r="A1957">
            <v>28355210</v>
          </cell>
          <cell r="B1957" t="str">
            <v>Crab soup, cream of, prepared with milk</v>
          </cell>
          <cell r="I1957">
            <v>245</v>
          </cell>
          <cell r="J1957">
            <v>111.97532</v>
          </cell>
          <cell r="K1957">
            <v>0.45704212244897957</v>
          </cell>
          <cell r="L1957">
            <v>0.50428499999999998</v>
          </cell>
          <cell r="M1957">
            <v>3.0856295999999999</v>
          </cell>
          <cell r="N1957">
            <v>6.6285399999999994E-2</v>
          </cell>
          <cell r="O1957">
            <v>0.1135385</v>
          </cell>
          <cell r="P1957">
            <v>1.4482699999999999E-2</v>
          </cell>
          <cell r="Q1957">
            <v>0.65945750000000003</v>
          </cell>
          <cell r="R1957">
            <v>0</v>
          </cell>
          <cell r="S1957">
            <v>0</v>
          </cell>
          <cell r="T1957">
            <v>0</v>
          </cell>
          <cell r="U1957">
            <v>30.777557999999999</v>
          </cell>
          <cell r="V1957">
            <v>0</v>
          </cell>
          <cell r="W1957">
            <v>0</v>
          </cell>
          <cell r="X1957">
            <v>0.67437789999999997</v>
          </cell>
          <cell r="Y1957">
            <v>0</v>
          </cell>
          <cell r="Z1957">
            <v>0</v>
          </cell>
          <cell r="AA1957">
            <v>0</v>
          </cell>
          <cell r="AB1957">
            <v>0.17401069999999999</v>
          </cell>
        </row>
        <row r="1958">
          <cell r="A1958">
            <v>28355250</v>
          </cell>
          <cell r="B1958" t="str">
            <v>Lobster bisque</v>
          </cell>
          <cell r="I1958">
            <v>245</v>
          </cell>
          <cell r="J1958">
            <v>114.34265000000001</v>
          </cell>
          <cell r="K1958">
            <v>0.46670469387755104</v>
          </cell>
          <cell r="L1958">
            <v>0.50428499999999998</v>
          </cell>
          <cell r="M1958">
            <v>3.0883915000000002</v>
          </cell>
          <cell r="N1958">
            <v>7.6938500000000007E-2</v>
          </cell>
          <cell r="O1958">
            <v>0.1155113</v>
          </cell>
          <cell r="P1958">
            <v>1.4482699999999999E-2</v>
          </cell>
          <cell r="Q1958">
            <v>0.69181110000000001</v>
          </cell>
          <cell r="R1958">
            <v>0</v>
          </cell>
          <cell r="S1958">
            <v>0</v>
          </cell>
          <cell r="T1958">
            <v>0</v>
          </cell>
          <cell r="U1958">
            <v>30.777557999999999</v>
          </cell>
          <cell r="V1958">
            <v>0</v>
          </cell>
          <cell r="W1958">
            <v>0</v>
          </cell>
          <cell r="X1958">
            <v>0.71028250000000004</v>
          </cell>
          <cell r="Y1958">
            <v>0</v>
          </cell>
          <cell r="Z1958">
            <v>0</v>
          </cell>
          <cell r="AA1958">
            <v>0</v>
          </cell>
          <cell r="AB1958">
            <v>0.2169671</v>
          </cell>
        </row>
        <row r="1959">
          <cell r="A1959">
            <v>28355260</v>
          </cell>
          <cell r="B1959" t="str">
            <v>Lobster gumbo</v>
          </cell>
          <cell r="I1959">
            <v>245</v>
          </cell>
          <cell r="J1959">
            <v>119.2153</v>
          </cell>
          <cell r="K1959">
            <v>0.48659306122448981</v>
          </cell>
          <cell r="L1959">
            <v>1.7670096</v>
          </cell>
          <cell r="M1959">
            <v>1.7874348</v>
          </cell>
          <cell r="N1959">
            <v>9.1712000000000002E-2</v>
          </cell>
          <cell r="O1959">
            <v>0.1137676</v>
          </cell>
          <cell r="P1959">
            <v>6.5614900000000004E-2</v>
          </cell>
          <cell r="Q1959">
            <v>0.56797920000000002</v>
          </cell>
          <cell r="R1959">
            <v>0</v>
          </cell>
          <cell r="S1959">
            <v>0</v>
          </cell>
          <cell r="T1959">
            <v>0</v>
          </cell>
          <cell r="U1959">
            <v>91.087779999999995</v>
          </cell>
          <cell r="V1959">
            <v>0</v>
          </cell>
          <cell r="W1959">
            <v>0</v>
          </cell>
          <cell r="X1959">
            <v>0.70731619999999995</v>
          </cell>
          <cell r="Y1959">
            <v>0</v>
          </cell>
          <cell r="Z1959">
            <v>0</v>
          </cell>
          <cell r="AA1959">
            <v>0</v>
          </cell>
          <cell r="AB1959">
            <v>0.10255549999999999</v>
          </cell>
        </row>
        <row r="1960">
          <cell r="A1960">
            <v>28355410</v>
          </cell>
          <cell r="B1960" t="str">
            <v>Shrimp soup, cream of, NS as to prepared with milk or water</v>
          </cell>
          <cell r="I1960">
            <v>245</v>
          </cell>
          <cell r="J1960">
            <v>149.44999999999999</v>
          </cell>
          <cell r="K1960">
            <v>0.61</v>
          </cell>
          <cell r="L1960">
            <v>4.8251099999999998E-2</v>
          </cell>
          <cell r="M1960">
            <v>4.7285000000000004</v>
          </cell>
          <cell r="N1960">
            <v>0</v>
          </cell>
          <cell r="O1960">
            <v>0.16905000000000001</v>
          </cell>
          <cell r="P1960">
            <v>0.1967489</v>
          </cell>
          <cell r="Q1960">
            <v>0.37974999999999998</v>
          </cell>
          <cell r="R1960">
            <v>0</v>
          </cell>
          <cell r="S1960">
            <v>0</v>
          </cell>
          <cell r="T1960">
            <v>0</v>
          </cell>
          <cell r="U1960">
            <v>6.0025000000000004</v>
          </cell>
          <cell r="V1960">
            <v>0</v>
          </cell>
          <cell r="W1960">
            <v>0</v>
          </cell>
          <cell r="X1960">
            <v>0.86729999999999996</v>
          </cell>
          <cell r="Y1960">
            <v>0</v>
          </cell>
          <cell r="Z1960">
            <v>0</v>
          </cell>
          <cell r="AA1960">
            <v>0</v>
          </cell>
          <cell r="AB1960">
            <v>0.10780000000000001</v>
          </cell>
        </row>
        <row r="1961">
          <cell r="A1961">
            <v>28355430</v>
          </cell>
          <cell r="B1961" t="str">
            <v>Shrimp soup, cream of, prepared with water</v>
          </cell>
          <cell r="I1961">
            <v>245</v>
          </cell>
          <cell r="J1961">
            <v>88.2</v>
          </cell>
          <cell r="K1961">
            <v>0.36</v>
          </cell>
          <cell r="L1961">
            <v>4.8251099999999998E-2</v>
          </cell>
          <cell r="M1961">
            <v>3.1604999999999999</v>
          </cell>
          <cell r="N1961">
            <v>0</v>
          </cell>
          <cell r="O1961">
            <v>2.205E-2</v>
          </cell>
          <cell r="P1961">
            <v>0.1967489</v>
          </cell>
          <cell r="Q1961">
            <v>0.18375</v>
          </cell>
          <cell r="R1961">
            <v>0</v>
          </cell>
          <cell r="S1961">
            <v>0</v>
          </cell>
          <cell r="T1961">
            <v>0</v>
          </cell>
          <cell r="U1961">
            <v>6.0025000000000004</v>
          </cell>
          <cell r="V1961">
            <v>0</v>
          </cell>
          <cell r="W1961">
            <v>0</v>
          </cell>
          <cell r="X1961">
            <v>0.95794999999999997</v>
          </cell>
          <cell r="Y1961">
            <v>0</v>
          </cell>
          <cell r="Z1961">
            <v>0</v>
          </cell>
          <cell r="AA1961">
            <v>0</v>
          </cell>
          <cell r="AB1961">
            <v>5.1044000000000003E-3</v>
          </cell>
        </row>
        <row r="1962">
          <cell r="A1962">
            <v>28355440</v>
          </cell>
          <cell r="B1962" t="str">
            <v>Shrimp gumbo</v>
          </cell>
          <cell r="I1962">
            <v>245</v>
          </cell>
          <cell r="J1962">
            <v>124.3888</v>
          </cell>
          <cell r="K1962">
            <v>0.5077093877551021</v>
          </cell>
          <cell r="L1962">
            <v>1.7670096</v>
          </cell>
          <cell r="M1962">
            <v>1.7780285</v>
          </cell>
          <cell r="N1962">
            <v>0.25632319999999997</v>
          </cell>
          <cell r="O1962">
            <v>0.1368132</v>
          </cell>
          <cell r="P1962">
            <v>6.5614900000000004E-2</v>
          </cell>
          <cell r="Q1962">
            <v>0.72976859999999999</v>
          </cell>
          <cell r="R1962">
            <v>0</v>
          </cell>
          <cell r="S1962">
            <v>0</v>
          </cell>
          <cell r="T1962">
            <v>0</v>
          </cell>
          <cell r="U1962">
            <v>91.087779999999995</v>
          </cell>
          <cell r="V1962">
            <v>0</v>
          </cell>
          <cell r="W1962">
            <v>0</v>
          </cell>
          <cell r="X1962">
            <v>0.88791819999999999</v>
          </cell>
          <cell r="Y1962">
            <v>0</v>
          </cell>
          <cell r="Z1962">
            <v>0</v>
          </cell>
          <cell r="AA1962">
            <v>0</v>
          </cell>
          <cell r="AB1962">
            <v>9.6441299999999994E-2</v>
          </cell>
        </row>
        <row r="1963">
          <cell r="A1963">
            <v>28355450</v>
          </cell>
          <cell r="B1963" t="str">
            <v>Seafood soup with potatoes and vegetables including carrots, broccoli, and/or dark-green leafy</v>
          </cell>
          <cell r="I1963">
            <v>245</v>
          </cell>
          <cell r="J1963">
            <v>93.494757000000007</v>
          </cell>
          <cell r="K1963">
            <v>0.38161125306122451</v>
          </cell>
          <cell r="L1963">
            <v>0.80277140000000002</v>
          </cell>
          <cell r="M1963">
            <v>0.43502740000000001</v>
          </cell>
          <cell r="N1963">
            <v>4.2486500000000003E-2</v>
          </cell>
          <cell r="O1963">
            <v>6.0740799999999998E-2</v>
          </cell>
          <cell r="P1963">
            <v>0.79193500000000006</v>
          </cell>
          <cell r="Q1963">
            <v>1.0319577</v>
          </cell>
          <cell r="R1963">
            <v>0</v>
          </cell>
          <cell r="S1963">
            <v>0</v>
          </cell>
          <cell r="T1963">
            <v>0</v>
          </cell>
          <cell r="U1963">
            <v>44.517054999999999</v>
          </cell>
          <cell r="V1963">
            <v>0</v>
          </cell>
          <cell r="W1963">
            <v>0</v>
          </cell>
          <cell r="X1963">
            <v>0.57164760000000003</v>
          </cell>
          <cell r="Y1963">
            <v>0</v>
          </cell>
          <cell r="Z1963">
            <v>0</v>
          </cell>
          <cell r="AA1963">
            <v>0</v>
          </cell>
          <cell r="AB1963">
            <v>6.2979000000000004E-3</v>
          </cell>
        </row>
        <row r="1964">
          <cell r="A1964">
            <v>28355460</v>
          </cell>
          <cell r="B1964" t="str">
            <v>Seafood soup with potatoes, and vegetables excluding carrots, broccoli, and dark-green leafy</v>
          </cell>
          <cell r="I1964">
            <v>245</v>
          </cell>
          <cell r="J1964">
            <v>93.342686</v>
          </cell>
          <cell r="K1964">
            <v>0.38099055510204083</v>
          </cell>
          <cell r="L1964">
            <v>0.65186580000000005</v>
          </cell>
          <cell r="M1964">
            <v>0.44394410000000001</v>
          </cell>
          <cell r="N1964">
            <v>4.3544399999999997E-2</v>
          </cell>
          <cell r="O1964">
            <v>6.02392E-2</v>
          </cell>
          <cell r="P1964">
            <v>0.81165549999999997</v>
          </cell>
          <cell r="Q1964">
            <v>1.0515445000000001</v>
          </cell>
          <cell r="R1964">
            <v>0</v>
          </cell>
          <cell r="S1964">
            <v>0</v>
          </cell>
          <cell r="T1964">
            <v>0</v>
          </cell>
          <cell r="U1964">
            <v>39.522181000000003</v>
          </cell>
          <cell r="V1964">
            <v>0</v>
          </cell>
          <cell r="W1964">
            <v>0</v>
          </cell>
          <cell r="X1964">
            <v>0.5816713</v>
          </cell>
          <cell r="Y1964">
            <v>0</v>
          </cell>
          <cell r="Z1964">
            <v>0</v>
          </cell>
          <cell r="AA1964">
            <v>0</v>
          </cell>
          <cell r="AB1964">
            <v>6.4635999999999999E-3</v>
          </cell>
        </row>
        <row r="1965">
          <cell r="A1965">
            <v>28355470</v>
          </cell>
          <cell r="B1965" t="str">
            <v>Seafood soup with vegetables including carrots, broccoli, and/or dark-green leafy; no potatoes</v>
          </cell>
          <cell r="I1965">
            <v>245</v>
          </cell>
          <cell r="J1965">
            <v>87.467789999999994</v>
          </cell>
          <cell r="K1965">
            <v>0.35701138775510199</v>
          </cell>
          <cell r="L1965">
            <v>0.85379459999999996</v>
          </cell>
          <cell r="M1965">
            <v>0.45913860000000001</v>
          </cell>
          <cell r="N1965">
            <v>4.5186799999999999E-2</v>
          </cell>
          <cell r="O1965">
            <v>6.2732499999999997E-2</v>
          </cell>
          <cell r="P1965">
            <v>0.51520469999999996</v>
          </cell>
          <cell r="Q1965">
            <v>1.0920756</v>
          </cell>
          <cell r="R1965">
            <v>0</v>
          </cell>
          <cell r="S1965">
            <v>0</v>
          </cell>
          <cell r="T1965">
            <v>0</v>
          </cell>
          <cell r="U1965">
            <v>47.346505999999998</v>
          </cell>
          <cell r="V1965">
            <v>0</v>
          </cell>
          <cell r="W1965">
            <v>0</v>
          </cell>
          <cell r="X1965">
            <v>0.60704639999999999</v>
          </cell>
          <cell r="Y1965">
            <v>0</v>
          </cell>
          <cell r="Z1965">
            <v>0</v>
          </cell>
          <cell r="AA1965">
            <v>0</v>
          </cell>
          <cell r="AB1965">
            <v>6.7073999999999996E-3</v>
          </cell>
        </row>
        <row r="1966">
          <cell r="A1966">
            <v>28355480</v>
          </cell>
          <cell r="B1966" t="str">
            <v>Seafood soup with vegetables excluding carrots, broccoli, and dark-green leafy; no potatoes</v>
          </cell>
          <cell r="I1966">
            <v>245</v>
          </cell>
          <cell r="J1966">
            <v>87.123273999999995</v>
          </cell>
          <cell r="K1966">
            <v>0.35560519999999995</v>
          </cell>
          <cell r="L1966">
            <v>0.69440429999999997</v>
          </cell>
          <cell r="M1966">
            <v>0.46891739999999998</v>
          </cell>
          <cell r="N1966">
            <v>4.6385999999999997E-2</v>
          </cell>
          <cell r="O1966">
            <v>6.22517E-2</v>
          </cell>
          <cell r="P1966">
            <v>0.52887700000000004</v>
          </cell>
          <cell r="Q1966">
            <v>1.1134496</v>
          </cell>
          <cell r="R1966">
            <v>0</v>
          </cell>
          <cell r="S1966">
            <v>0</v>
          </cell>
          <cell r="T1966">
            <v>0</v>
          </cell>
          <cell r="U1966">
            <v>42.101255999999999</v>
          </cell>
          <cell r="V1966">
            <v>0</v>
          </cell>
          <cell r="W1966">
            <v>0</v>
          </cell>
          <cell r="X1966">
            <v>0.61866980000000005</v>
          </cell>
          <cell r="Y1966">
            <v>0</v>
          </cell>
          <cell r="Z1966">
            <v>0</v>
          </cell>
          <cell r="AA1966">
            <v>0</v>
          </cell>
          <cell r="AB1966">
            <v>6.8853999999999999E-3</v>
          </cell>
        </row>
        <row r="1967">
          <cell r="A1967">
            <v>28360100</v>
          </cell>
          <cell r="B1967" t="str">
            <v>Meat broth, Puerto Rican style</v>
          </cell>
          <cell r="I1967">
            <v>245</v>
          </cell>
          <cell r="J1967">
            <v>17.149999999999999</v>
          </cell>
          <cell r="K1967">
            <v>6.9999999999999993E-2</v>
          </cell>
          <cell r="L1967">
            <v>0</v>
          </cell>
          <cell r="M1967">
            <v>0.26950000000000002</v>
          </cell>
          <cell r="N1967">
            <v>0</v>
          </cell>
          <cell r="O1967">
            <v>1.47E-2</v>
          </cell>
          <cell r="P1967">
            <v>0</v>
          </cell>
          <cell r="Q1967">
            <v>2.4500000000000001E-2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0.91139999999999999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</row>
        <row r="1968">
          <cell r="A1968">
            <v>28500000</v>
          </cell>
          <cell r="B1968" t="str">
            <v>Gravy, poultry</v>
          </cell>
          <cell r="I1968">
            <v>59.5</v>
          </cell>
          <cell r="J1968">
            <v>28.56</v>
          </cell>
          <cell r="K1968">
            <v>0.48</v>
          </cell>
          <cell r="L1968">
            <v>0</v>
          </cell>
          <cell r="M1968">
            <v>0.38020500000000002</v>
          </cell>
          <cell r="N1968">
            <v>0</v>
          </cell>
          <cell r="O1968">
            <v>5.9500000000000004E-3</v>
          </cell>
          <cell r="P1968">
            <v>5.9499999999999997E-2</v>
          </cell>
          <cell r="Q1968">
            <v>0.24216499999999999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0.23145499999999999</v>
          </cell>
          <cell r="Y1968">
            <v>0</v>
          </cell>
          <cell r="Z1968">
            <v>0</v>
          </cell>
          <cell r="AA1968">
            <v>0</v>
          </cell>
          <cell r="AB1968">
            <v>6.5449999999999996E-3</v>
          </cell>
        </row>
        <row r="1969">
          <cell r="A1969">
            <v>28500010</v>
          </cell>
          <cell r="B1969" t="str">
            <v>Gravy, meat or poultry, with wine</v>
          </cell>
          <cell r="I1969">
            <v>59</v>
          </cell>
          <cell r="J1969">
            <v>21.958376000000001</v>
          </cell>
          <cell r="K1969">
            <v>0.37217586440677969</v>
          </cell>
          <cell r="L1969">
            <v>0</v>
          </cell>
          <cell r="M1969">
            <v>0.3699423</v>
          </cell>
          <cell r="N1969">
            <v>0</v>
          </cell>
          <cell r="O1969">
            <v>4.9046000000000003E-3</v>
          </cell>
          <cell r="P1969">
            <v>0.1028763</v>
          </cell>
          <cell r="Q1969">
            <v>0.10156270000000001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0.19736600000000001</v>
          </cell>
          <cell r="Y1969">
            <v>0</v>
          </cell>
          <cell r="Z1969">
            <v>0</v>
          </cell>
          <cell r="AA1969">
            <v>0</v>
          </cell>
          <cell r="AB1969">
            <v>3.24563E-2</v>
          </cell>
        </row>
        <row r="1970">
          <cell r="A1970">
            <v>28500030</v>
          </cell>
          <cell r="B1970" t="str">
            <v>Gravy, poultry, low sodium</v>
          </cell>
          <cell r="I1970">
            <v>59</v>
          </cell>
          <cell r="J1970">
            <v>31.27</v>
          </cell>
          <cell r="K1970">
            <v>0.53</v>
          </cell>
          <cell r="L1970">
            <v>0</v>
          </cell>
          <cell r="M1970">
            <v>0.59177000000000002</v>
          </cell>
          <cell r="N1970">
            <v>0</v>
          </cell>
          <cell r="O1970">
            <v>3.5400000000000002E-3</v>
          </cell>
          <cell r="P1970">
            <v>0.17699999999999999</v>
          </cell>
          <cell r="Q1970">
            <v>5.6050000000000003E-2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1.0619999999999999E-2</v>
          </cell>
          <cell r="Y1970">
            <v>0</v>
          </cell>
          <cell r="Z1970">
            <v>0</v>
          </cell>
          <cell r="AA1970">
            <v>0</v>
          </cell>
          <cell r="AB1970">
            <v>4.4258699999999998E-2</v>
          </cell>
        </row>
        <row r="1971">
          <cell r="A1971">
            <v>28500040</v>
          </cell>
          <cell r="B1971" t="str">
            <v>Gravy, beef or meat</v>
          </cell>
          <cell r="I1971">
            <v>58.25</v>
          </cell>
          <cell r="J1971">
            <v>30.872499999999999</v>
          </cell>
          <cell r="K1971">
            <v>0.53</v>
          </cell>
          <cell r="L1971">
            <v>0</v>
          </cell>
          <cell r="M1971">
            <v>0.67162250000000001</v>
          </cell>
          <cell r="N1971">
            <v>0</v>
          </cell>
          <cell r="O1971">
            <v>3.4949999999999998E-3</v>
          </cell>
          <cell r="P1971">
            <v>0.23300000000000001</v>
          </cell>
          <cell r="Q1971">
            <v>4.6600000000000003E-2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0.32619999999999999</v>
          </cell>
          <cell r="Y1971">
            <v>0</v>
          </cell>
          <cell r="Z1971">
            <v>0</v>
          </cell>
          <cell r="AA1971">
            <v>0</v>
          </cell>
          <cell r="AB1971">
            <v>1.94101E-2</v>
          </cell>
        </row>
        <row r="1972">
          <cell r="A1972">
            <v>28500050</v>
          </cell>
          <cell r="B1972" t="str">
            <v>Gravy, giblet</v>
          </cell>
          <cell r="I1972">
            <v>59.5</v>
          </cell>
          <cell r="J1972">
            <v>36.324750000000002</v>
          </cell>
          <cell r="K1972">
            <v>0.61050000000000004</v>
          </cell>
          <cell r="L1972">
            <v>0</v>
          </cell>
          <cell r="M1972">
            <v>0.4277455</v>
          </cell>
          <cell r="N1972">
            <v>0</v>
          </cell>
          <cell r="O1972">
            <v>4.7004999999999998E-3</v>
          </cell>
          <cell r="P1972">
            <v>0.13387499999999999</v>
          </cell>
          <cell r="Q1972">
            <v>0.31005450000000001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0.26412049999999998</v>
          </cell>
          <cell r="Y1972">
            <v>0</v>
          </cell>
          <cell r="Z1972">
            <v>0</v>
          </cell>
          <cell r="AA1972">
            <v>0</v>
          </cell>
          <cell r="AB1972">
            <v>3.4389400000000001E-2</v>
          </cell>
        </row>
        <row r="1973">
          <cell r="A1973">
            <v>28500070</v>
          </cell>
          <cell r="B1973" t="str">
            <v>Gravy, beef or meat, home recipe</v>
          </cell>
          <cell r="I1973">
            <v>58.25</v>
          </cell>
          <cell r="J1973">
            <v>55.385323999999997</v>
          </cell>
          <cell r="K1973">
            <v>0.95082101287553644</v>
          </cell>
          <cell r="L1973">
            <v>0</v>
          </cell>
          <cell r="M1973">
            <v>1.9956186</v>
          </cell>
          <cell r="N1973">
            <v>0</v>
          </cell>
          <cell r="O1973">
            <v>3.581E-3</v>
          </cell>
          <cell r="P1973">
            <v>4.4815599999999997E-2</v>
          </cell>
          <cell r="Q1973">
            <v>0.55917570000000005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0.28439609999999999</v>
          </cell>
          <cell r="Y1973">
            <v>0</v>
          </cell>
          <cell r="Z1973">
            <v>0</v>
          </cell>
          <cell r="AA1973">
            <v>0</v>
          </cell>
          <cell r="AB1973">
            <v>0.13024189999999999</v>
          </cell>
        </row>
        <row r="1974">
          <cell r="A1974">
            <v>28500080</v>
          </cell>
          <cell r="B1974" t="str">
            <v>Gravy, poultry, home recipe</v>
          </cell>
          <cell r="I1974">
            <v>59.5</v>
          </cell>
          <cell r="J1974">
            <v>56.053040000000003</v>
          </cell>
          <cell r="K1974">
            <v>0.94206789915966394</v>
          </cell>
          <cell r="L1974">
            <v>0</v>
          </cell>
          <cell r="M1974">
            <v>1.9879244</v>
          </cell>
          <cell r="N1974">
            <v>0</v>
          </cell>
          <cell r="O1974">
            <v>2.6161999999999999E-3</v>
          </cell>
          <cell r="P1974">
            <v>4.57773E-2</v>
          </cell>
          <cell r="Q1974">
            <v>0.57065440000000001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0.28997820000000002</v>
          </cell>
          <cell r="Y1974">
            <v>0</v>
          </cell>
          <cell r="Z1974">
            <v>0</v>
          </cell>
          <cell r="AA1974">
            <v>0</v>
          </cell>
          <cell r="AB1974">
            <v>0.1215046</v>
          </cell>
        </row>
        <row r="1975">
          <cell r="A1975">
            <v>28500100</v>
          </cell>
          <cell r="B1975" t="str">
            <v>Gravy, mushroom</v>
          </cell>
          <cell r="I1975">
            <v>59.5</v>
          </cell>
          <cell r="J1975">
            <v>16.1007</v>
          </cell>
          <cell r="K1975">
            <v>0.27060000000000001</v>
          </cell>
          <cell r="L1975">
            <v>-3.3E-17</v>
          </cell>
          <cell r="M1975">
            <v>0.11584650000000001</v>
          </cell>
          <cell r="N1975">
            <v>0</v>
          </cell>
          <cell r="O1975">
            <v>1.2927900000000001E-2</v>
          </cell>
          <cell r="P1975">
            <v>0.23562</v>
          </cell>
          <cell r="Q1975">
            <v>6.8722999999999996E-3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0.32463350000000002</v>
          </cell>
          <cell r="Y1975">
            <v>0</v>
          </cell>
          <cell r="Z1975">
            <v>0</v>
          </cell>
          <cell r="AA1975">
            <v>0</v>
          </cell>
          <cell r="AB1975">
            <v>2.8942E-3</v>
          </cell>
        </row>
        <row r="1976">
          <cell r="A1976">
            <v>28501010</v>
          </cell>
          <cell r="B1976" t="str">
            <v>Gravy, beef or meat, fat free</v>
          </cell>
          <cell r="I1976">
            <v>56.75</v>
          </cell>
          <cell r="J1976">
            <v>22.706575999999998</v>
          </cell>
          <cell r="K1976">
            <v>0.40011587665198234</v>
          </cell>
          <cell r="L1976">
            <v>0</v>
          </cell>
          <cell r="M1976">
            <v>0.32577420000000001</v>
          </cell>
          <cell r="N1976">
            <v>0</v>
          </cell>
          <cell r="O1976">
            <v>9.3118000000000003E-3</v>
          </cell>
          <cell r="P1976">
            <v>0.22736890000000001</v>
          </cell>
          <cell r="Q1976">
            <v>4.3563900000000003E-2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0.31244</v>
          </cell>
          <cell r="Y1976">
            <v>0</v>
          </cell>
          <cell r="Z1976">
            <v>0</v>
          </cell>
          <cell r="AA1976">
            <v>0</v>
          </cell>
          <cell r="AB1976">
            <v>1.7841999999999999E-3</v>
          </cell>
        </row>
        <row r="1977">
          <cell r="A1977">
            <v>28501110</v>
          </cell>
          <cell r="B1977" t="str">
            <v>Gravy, poultry, fat free</v>
          </cell>
          <cell r="I1977">
            <v>56.75</v>
          </cell>
          <cell r="J1977">
            <v>24.798370999999999</v>
          </cell>
          <cell r="K1977">
            <v>0.43697570044052864</v>
          </cell>
          <cell r="L1977">
            <v>0</v>
          </cell>
          <cell r="M1977">
            <v>0.29897499999999999</v>
          </cell>
          <cell r="N1977">
            <v>0</v>
          </cell>
          <cell r="O1977">
            <v>8.4933000000000005E-3</v>
          </cell>
          <cell r="P1977">
            <v>0.23040050000000001</v>
          </cell>
          <cell r="Q1977">
            <v>0.27150879999999999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0.24950430000000001</v>
          </cell>
          <cell r="Y1977">
            <v>0</v>
          </cell>
          <cell r="Z1977">
            <v>0</v>
          </cell>
          <cell r="AA1977">
            <v>0</v>
          </cell>
          <cell r="AB1977">
            <v>7.6150000000000002E-3</v>
          </cell>
        </row>
        <row r="1978">
          <cell r="A1978">
            <v>28510010</v>
          </cell>
          <cell r="B1978" t="str">
            <v>Gravy or sauce, poultry-based from Puerto Rican-style chicken fricasse</v>
          </cell>
          <cell r="I1978">
            <v>60</v>
          </cell>
          <cell r="J1978">
            <v>126.9455</v>
          </cell>
          <cell r="K1978">
            <v>2.1157583333333334</v>
          </cell>
          <cell r="L1978">
            <v>0.80015480000000005</v>
          </cell>
          <cell r="M1978">
            <v>2.3135306</v>
          </cell>
          <cell r="N1978">
            <v>0</v>
          </cell>
          <cell r="O1978">
            <v>9.6638000000000002E-3</v>
          </cell>
          <cell r="P1978">
            <v>0</v>
          </cell>
          <cell r="Q1978">
            <v>1.7161040000000001</v>
          </cell>
          <cell r="R1978">
            <v>0</v>
          </cell>
          <cell r="S1978">
            <v>0</v>
          </cell>
          <cell r="T1978">
            <v>0</v>
          </cell>
          <cell r="U1978">
            <v>48.254837000000002</v>
          </cell>
          <cell r="V1978">
            <v>0</v>
          </cell>
          <cell r="W1978">
            <v>0</v>
          </cell>
          <cell r="X1978">
            <v>0.2176961</v>
          </cell>
          <cell r="Y1978">
            <v>0</v>
          </cell>
          <cell r="Z1978">
            <v>0</v>
          </cell>
          <cell r="AA1978">
            <v>0</v>
          </cell>
          <cell r="AB1978">
            <v>6.6283999999999996E-2</v>
          </cell>
        </row>
        <row r="1979">
          <cell r="A1979">
            <v>28520000</v>
          </cell>
          <cell r="B1979" t="str">
            <v>Gravy or sauce, made with soy sauce, stock or bouillon, cornstarch</v>
          </cell>
          <cell r="I1979">
            <v>58.25</v>
          </cell>
          <cell r="J1979">
            <v>23.824411999999999</v>
          </cell>
          <cell r="K1979">
            <v>0.40900278111587979</v>
          </cell>
          <cell r="L1979">
            <v>0</v>
          </cell>
          <cell r="M1979">
            <v>6.6823499999999994E-2</v>
          </cell>
          <cell r="N1979">
            <v>0</v>
          </cell>
          <cell r="O1979">
            <v>3.1993999999999998E-3</v>
          </cell>
          <cell r="P1979">
            <v>4.7746200000000003E-2</v>
          </cell>
          <cell r="Q1979">
            <v>1.16407E-2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0.51445350000000001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</row>
        <row r="1980">
          <cell r="A1980">
            <v>28520100</v>
          </cell>
          <cell r="B1980" t="str">
            <v>Oyster-flavored sauce</v>
          </cell>
          <cell r="I1980">
            <v>58.25</v>
          </cell>
          <cell r="J1980">
            <v>29.7075</v>
          </cell>
          <cell r="K1980">
            <v>0.51</v>
          </cell>
          <cell r="L1980">
            <v>0</v>
          </cell>
          <cell r="M1980">
            <v>2.50475E-2</v>
          </cell>
          <cell r="N1980">
            <v>0</v>
          </cell>
          <cell r="O1980">
            <v>1.864E-2</v>
          </cell>
          <cell r="P1980">
            <v>0.17474999999999999</v>
          </cell>
          <cell r="Q1980">
            <v>3.8445E-2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1.5919725</v>
          </cell>
          <cell r="Y1980">
            <v>0</v>
          </cell>
          <cell r="Z1980">
            <v>0</v>
          </cell>
          <cell r="AA1980">
            <v>0</v>
          </cell>
          <cell r="AB1980">
            <v>3.0178000000000002E-3</v>
          </cell>
        </row>
        <row r="1981">
          <cell r="A1981">
            <v>28522000</v>
          </cell>
          <cell r="B1981" t="str">
            <v>Mole poblano sauce</v>
          </cell>
          <cell r="I1981">
            <v>66.25</v>
          </cell>
          <cell r="J1981">
            <v>84.944229000000007</v>
          </cell>
          <cell r="K1981">
            <v>1.282177041509434</v>
          </cell>
          <cell r="L1981">
            <v>0.67302629999999997</v>
          </cell>
          <cell r="M1981">
            <v>1.3064640999999999</v>
          </cell>
          <cell r="N1981">
            <v>0</v>
          </cell>
          <cell r="O1981">
            <v>2.06257E-2</v>
          </cell>
          <cell r="P1981">
            <v>0.97582559999999996</v>
          </cell>
          <cell r="Q1981">
            <v>2.0431504999999999</v>
          </cell>
          <cell r="R1981">
            <v>0</v>
          </cell>
          <cell r="S1981">
            <v>0</v>
          </cell>
          <cell r="T1981">
            <v>2.8817699000000001</v>
          </cell>
          <cell r="U1981">
            <v>27.979924</v>
          </cell>
          <cell r="V1981">
            <v>0</v>
          </cell>
          <cell r="W1981">
            <v>0</v>
          </cell>
          <cell r="X1981">
            <v>0.20419709999999999</v>
          </cell>
          <cell r="Y1981">
            <v>3.2624795999999998</v>
          </cell>
          <cell r="Z1981">
            <v>0</v>
          </cell>
          <cell r="AA1981">
            <v>0</v>
          </cell>
          <cell r="AB1981">
            <v>0.13418630000000001</v>
          </cell>
        </row>
        <row r="1982">
          <cell r="A1982">
            <v>28522050</v>
          </cell>
          <cell r="B1982" t="str">
            <v>Mole verde sauce</v>
          </cell>
          <cell r="I1982">
            <v>66.25</v>
          </cell>
          <cell r="J1982">
            <v>49.267811000000002</v>
          </cell>
          <cell r="K1982">
            <v>0.74366507169811324</v>
          </cell>
          <cell r="L1982">
            <v>0.58829770000000003</v>
          </cell>
          <cell r="M1982">
            <v>0.58875809999999995</v>
          </cell>
          <cell r="N1982">
            <v>0</v>
          </cell>
          <cell r="O1982">
            <v>1.0463E-2</v>
          </cell>
          <cell r="P1982">
            <v>0.44376759999999998</v>
          </cell>
          <cell r="Q1982">
            <v>1.4377422</v>
          </cell>
          <cell r="R1982">
            <v>0</v>
          </cell>
          <cell r="S1982">
            <v>0</v>
          </cell>
          <cell r="T1982">
            <v>0</v>
          </cell>
          <cell r="U1982">
            <v>32.483271000000002</v>
          </cell>
          <cell r="V1982">
            <v>0</v>
          </cell>
          <cell r="W1982">
            <v>0</v>
          </cell>
          <cell r="X1982">
            <v>0.16776730000000001</v>
          </cell>
          <cell r="Y1982">
            <v>6.3924609999999999</v>
          </cell>
          <cell r="Z1982">
            <v>0</v>
          </cell>
          <cell r="AA1982">
            <v>0</v>
          </cell>
          <cell r="AB1982">
            <v>4.0939000000000001E-3</v>
          </cell>
        </row>
        <row r="1983">
          <cell r="A1983">
            <v>31101010</v>
          </cell>
          <cell r="B1983" t="str">
            <v>Egg, whole, raw</v>
          </cell>
          <cell r="I1983">
            <v>50</v>
          </cell>
          <cell r="J1983">
            <v>71.5</v>
          </cell>
          <cell r="K1983">
            <v>1.43</v>
          </cell>
          <cell r="L1983">
            <v>0</v>
          </cell>
          <cell r="M1983">
            <v>1.5629999999999999</v>
          </cell>
          <cell r="N1983">
            <v>0</v>
          </cell>
          <cell r="O1983">
            <v>2.8000000000000001E-2</v>
          </cell>
          <cell r="P1983">
            <v>0</v>
          </cell>
          <cell r="Q1983">
            <v>0.95550000000000002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7.0999999999999994E-2</v>
          </cell>
          <cell r="Y1983">
            <v>0</v>
          </cell>
          <cell r="Z1983">
            <v>0</v>
          </cell>
          <cell r="AA1983">
            <v>0</v>
          </cell>
          <cell r="AB1983">
            <v>1.9E-2</v>
          </cell>
        </row>
        <row r="1984">
          <cell r="A1984">
            <v>31102000</v>
          </cell>
          <cell r="B1984" t="str">
            <v>Egg, whole, cooked, NS as to cooking method</v>
          </cell>
          <cell r="I1984">
            <v>50</v>
          </cell>
          <cell r="J1984">
            <v>81.576498000000001</v>
          </cell>
          <cell r="K1984">
            <v>1.6315299599999999</v>
          </cell>
          <cell r="L1984">
            <v>0</v>
          </cell>
          <cell r="M1984">
            <v>1.6810601999999999</v>
          </cell>
          <cell r="N1984">
            <v>0</v>
          </cell>
          <cell r="O1984">
            <v>2.91527E-2</v>
          </cell>
          <cell r="P1984">
            <v>0</v>
          </cell>
          <cell r="Q1984">
            <v>1.6202542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0.19250310000000001</v>
          </cell>
          <cell r="Y1984">
            <v>0</v>
          </cell>
          <cell r="Z1984">
            <v>0</v>
          </cell>
          <cell r="AA1984">
            <v>0</v>
          </cell>
          <cell r="AB1984">
            <v>0.13686390000000001</v>
          </cell>
        </row>
        <row r="1985">
          <cell r="A1985">
            <v>31103010</v>
          </cell>
          <cell r="B1985" t="str">
            <v>Egg, whole, boiled or poached</v>
          </cell>
          <cell r="I1985">
            <v>50</v>
          </cell>
          <cell r="J1985">
            <v>70.967742000000001</v>
          </cell>
          <cell r="K1985">
            <v>1.41935484</v>
          </cell>
          <cell r="L1985">
            <v>0</v>
          </cell>
          <cell r="M1985">
            <v>1.5513648</v>
          </cell>
          <cell r="N1985">
            <v>0</v>
          </cell>
          <cell r="O1985">
            <v>2.78809E-2</v>
          </cell>
          <cell r="P1985">
            <v>0</v>
          </cell>
          <cell r="Q1985">
            <v>0.94838710000000004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0.21473200000000001</v>
          </cell>
          <cell r="Y1985">
            <v>0</v>
          </cell>
          <cell r="Z1985">
            <v>0</v>
          </cell>
          <cell r="AA1985">
            <v>0</v>
          </cell>
          <cell r="AB1985">
            <v>1.88586E-2</v>
          </cell>
        </row>
        <row r="1986">
          <cell r="A1986">
            <v>31105005</v>
          </cell>
          <cell r="B1986" t="str">
            <v>Egg, whole, fried, NS as to fat added in cooking</v>
          </cell>
          <cell r="I1986">
            <v>46</v>
          </cell>
          <cell r="J1986">
            <v>83.895034999999993</v>
          </cell>
          <cell r="K1986">
            <v>1.8238051086956519</v>
          </cell>
          <cell r="L1986">
            <v>0</v>
          </cell>
          <cell r="M1986">
            <v>2.0716483999999999</v>
          </cell>
          <cell r="N1986">
            <v>0</v>
          </cell>
          <cell r="O1986">
            <v>2.4328499999999999E-2</v>
          </cell>
          <cell r="P1986">
            <v>0</v>
          </cell>
          <cell r="Q1986">
            <v>1.6168187999999999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0.1945482</v>
          </cell>
          <cell r="Y1986">
            <v>0</v>
          </cell>
          <cell r="Z1986">
            <v>0</v>
          </cell>
          <cell r="AA1986">
            <v>0</v>
          </cell>
          <cell r="AB1986">
            <v>0.1021435</v>
          </cell>
        </row>
        <row r="1987">
          <cell r="A1987">
            <v>31105010</v>
          </cell>
          <cell r="B1987" t="str">
            <v>Egg, whole, fried without fat</v>
          </cell>
          <cell r="I1987">
            <v>44</v>
          </cell>
          <cell r="J1987">
            <v>62.451613000000002</v>
          </cell>
          <cell r="K1987">
            <v>1.419354840909091</v>
          </cell>
          <cell r="L1987">
            <v>0</v>
          </cell>
          <cell r="M1987">
            <v>1.3652010000000001</v>
          </cell>
          <cell r="N1987">
            <v>0</v>
          </cell>
          <cell r="O1987">
            <v>2.45352E-2</v>
          </cell>
          <cell r="P1987">
            <v>0</v>
          </cell>
          <cell r="Q1987">
            <v>0.83458060000000001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0.1889642</v>
          </cell>
          <cell r="Y1987">
            <v>0</v>
          </cell>
          <cell r="Z1987">
            <v>0</v>
          </cell>
          <cell r="AA1987">
            <v>0</v>
          </cell>
          <cell r="AB1987">
            <v>1.6595499999999999E-2</v>
          </cell>
        </row>
        <row r="1988">
          <cell r="A1988">
            <v>31105020</v>
          </cell>
          <cell r="B1988" t="str">
            <v>Egg, whole, fried with margarine</v>
          </cell>
          <cell r="I1988">
            <v>46</v>
          </cell>
          <cell r="J1988">
            <v>82.691137999999995</v>
          </cell>
          <cell r="K1988">
            <v>1.7976334347826086</v>
          </cell>
          <cell r="L1988">
            <v>0</v>
          </cell>
          <cell r="M1988">
            <v>1.7929727</v>
          </cell>
          <cell r="N1988">
            <v>0</v>
          </cell>
          <cell r="O1988">
            <v>2.40539E-2</v>
          </cell>
          <cell r="P1988">
            <v>0</v>
          </cell>
          <cell r="Q1988">
            <v>1.5504734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0.20728279999999999</v>
          </cell>
          <cell r="Y1988">
            <v>0</v>
          </cell>
          <cell r="Z1988">
            <v>0</v>
          </cell>
          <cell r="AA1988">
            <v>0</v>
          </cell>
          <cell r="AB1988">
            <v>0.4667635</v>
          </cell>
        </row>
        <row r="1989">
          <cell r="A1989">
            <v>31105030</v>
          </cell>
          <cell r="B1989" t="str">
            <v>Egg, whole, fried with oil</v>
          </cell>
          <cell r="I1989">
            <v>46</v>
          </cell>
          <cell r="J1989">
            <v>86.957901000000007</v>
          </cell>
          <cell r="K1989">
            <v>1.8903891521739131</v>
          </cell>
          <cell r="L1989">
            <v>0</v>
          </cell>
          <cell r="M1989">
            <v>1.7353368</v>
          </cell>
          <cell r="N1989">
            <v>0</v>
          </cell>
          <cell r="O1989">
            <v>2.4032999999999999E-2</v>
          </cell>
          <cell r="P1989">
            <v>0</v>
          </cell>
          <cell r="Q1989">
            <v>2.0173652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0.1850551</v>
          </cell>
          <cell r="Y1989">
            <v>0</v>
          </cell>
          <cell r="Z1989">
            <v>0</v>
          </cell>
          <cell r="AA1989">
            <v>0</v>
          </cell>
          <cell r="AB1989">
            <v>9.3830399999999994E-2</v>
          </cell>
        </row>
        <row r="1990">
          <cell r="A1990">
            <v>31105040</v>
          </cell>
          <cell r="B1990" t="str">
            <v>Egg, whole, fried with butter</v>
          </cell>
          <cell r="I1990">
            <v>46</v>
          </cell>
          <cell r="J1990">
            <v>82.691137999999995</v>
          </cell>
          <cell r="K1990">
            <v>1.7976334347826086</v>
          </cell>
          <cell r="L1990">
            <v>0</v>
          </cell>
          <cell r="M1990">
            <v>2.8877092000000002</v>
          </cell>
          <cell r="N1990">
            <v>0</v>
          </cell>
          <cell r="O1990">
            <v>2.4689300000000001E-2</v>
          </cell>
          <cell r="P1990">
            <v>0</v>
          </cell>
          <cell r="Q1990">
            <v>0.90719970000000005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0.2040148</v>
          </cell>
          <cell r="Y1990">
            <v>0</v>
          </cell>
          <cell r="Z1990">
            <v>0</v>
          </cell>
          <cell r="AA1990">
            <v>0</v>
          </cell>
          <cell r="AB1990">
            <v>0.11539720000000001</v>
          </cell>
        </row>
        <row r="1991">
          <cell r="A1991">
            <v>31105060</v>
          </cell>
          <cell r="B1991" t="str">
            <v>Egg, whole, fried with animal fat or meat drippings</v>
          </cell>
          <cell r="I1991">
            <v>46</v>
          </cell>
          <cell r="J1991">
            <v>84.509908999999993</v>
          </cell>
          <cell r="K1991">
            <v>1.8371719347826085</v>
          </cell>
          <cell r="L1991">
            <v>0</v>
          </cell>
          <cell r="M1991">
            <v>2.3203790999999998</v>
          </cell>
          <cell r="N1991">
            <v>0</v>
          </cell>
          <cell r="O1991">
            <v>2.42355E-2</v>
          </cell>
          <cell r="P1991">
            <v>0</v>
          </cell>
          <cell r="Q1991">
            <v>1.0967823000000001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0.20238120000000001</v>
          </cell>
          <cell r="Y1991">
            <v>0</v>
          </cell>
          <cell r="Z1991">
            <v>0</v>
          </cell>
          <cell r="AA1991">
            <v>0</v>
          </cell>
          <cell r="AB1991">
            <v>0.1431808</v>
          </cell>
        </row>
        <row r="1992">
          <cell r="A1992">
            <v>31105080</v>
          </cell>
          <cell r="B1992" t="str">
            <v>Egg, whole, fried with cooking spray</v>
          </cell>
          <cell r="I1992">
            <v>46</v>
          </cell>
          <cell r="J1992">
            <v>67.060602000000003</v>
          </cell>
          <cell r="K1992">
            <v>1.4578391739130436</v>
          </cell>
          <cell r="L1992">
            <v>0</v>
          </cell>
          <cell r="M1992">
            <v>1.4324904000000001</v>
          </cell>
          <cell r="N1992">
            <v>0</v>
          </cell>
          <cell r="O1992">
            <v>2.54986E-2</v>
          </cell>
          <cell r="P1992">
            <v>0</v>
          </cell>
          <cell r="Q1992">
            <v>0.92765679999999995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0.19654460000000001</v>
          </cell>
          <cell r="Y1992">
            <v>0</v>
          </cell>
          <cell r="Z1992">
            <v>0</v>
          </cell>
          <cell r="AA1992">
            <v>0</v>
          </cell>
          <cell r="AB1992">
            <v>1.7247200000000001E-2</v>
          </cell>
        </row>
        <row r="1993">
          <cell r="A1993">
            <v>31105085</v>
          </cell>
          <cell r="B1993" t="str">
            <v>Egg, whole, fried, NS as to type of fat</v>
          </cell>
          <cell r="I1993">
            <v>46</v>
          </cell>
          <cell r="J1993">
            <v>83.895034999999993</v>
          </cell>
          <cell r="K1993">
            <v>1.8238051086956519</v>
          </cell>
          <cell r="L1993">
            <v>0</v>
          </cell>
          <cell r="M1993">
            <v>2.0716483999999999</v>
          </cell>
          <cell r="N1993">
            <v>0</v>
          </cell>
          <cell r="O1993">
            <v>2.4328499999999999E-2</v>
          </cell>
          <cell r="P1993">
            <v>0</v>
          </cell>
          <cell r="Q1993">
            <v>1.6168187999999999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0.1945482</v>
          </cell>
          <cell r="Y1993">
            <v>0</v>
          </cell>
          <cell r="Z1993">
            <v>0</v>
          </cell>
          <cell r="AA1993">
            <v>0</v>
          </cell>
          <cell r="AB1993">
            <v>0.1025401</v>
          </cell>
        </row>
        <row r="1994">
          <cell r="A1994">
            <v>31105090</v>
          </cell>
          <cell r="B1994" t="str">
            <v>Egg, whole, fried, from fast food / restaurant</v>
          </cell>
          <cell r="I1994">
            <v>46</v>
          </cell>
          <cell r="J1994">
            <v>90.16</v>
          </cell>
          <cell r="K1994">
            <v>1.96</v>
          </cell>
          <cell r="L1994">
            <v>0</v>
          </cell>
          <cell r="M1994">
            <v>1.98858</v>
          </cell>
          <cell r="N1994">
            <v>0</v>
          </cell>
          <cell r="O1994">
            <v>2.852E-2</v>
          </cell>
          <cell r="P1994">
            <v>0</v>
          </cell>
          <cell r="Q1994">
            <v>1.49546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9.5219999999999999E-2</v>
          </cell>
          <cell r="Y1994">
            <v>0</v>
          </cell>
          <cell r="Z1994">
            <v>0</v>
          </cell>
          <cell r="AA1994">
            <v>0</v>
          </cell>
          <cell r="AB1994">
            <v>1.8859999999999998E-2</v>
          </cell>
        </row>
        <row r="1995">
          <cell r="A1995">
            <v>31106000</v>
          </cell>
          <cell r="B1995" t="str">
            <v>Egg, whole, baked, NS as to fat added in cooking</v>
          </cell>
          <cell r="I1995">
            <v>59</v>
          </cell>
          <cell r="J1995">
            <v>89.276449999999997</v>
          </cell>
          <cell r="K1995">
            <v>1.5131601694915253</v>
          </cell>
          <cell r="L1995">
            <v>0</v>
          </cell>
          <cell r="M1995">
            <v>1.9528839</v>
          </cell>
          <cell r="N1995">
            <v>0</v>
          </cell>
          <cell r="O1995">
            <v>3.9479399999999998E-2</v>
          </cell>
          <cell r="P1995">
            <v>0</v>
          </cell>
          <cell r="Q1995">
            <v>1.5634307000000001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0.2130428</v>
          </cell>
          <cell r="Y1995">
            <v>0</v>
          </cell>
          <cell r="Z1995">
            <v>0</v>
          </cell>
          <cell r="AA1995">
            <v>0</v>
          </cell>
          <cell r="AB1995">
            <v>0.4707789</v>
          </cell>
        </row>
        <row r="1996">
          <cell r="A1996">
            <v>31106010</v>
          </cell>
          <cell r="B1996" t="str">
            <v>Egg, whole, baked, fat not added in cooking</v>
          </cell>
          <cell r="I1996">
            <v>45</v>
          </cell>
          <cell r="J1996">
            <v>54.333480000000002</v>
          </cell>
          <cell r="K1996">
            <v>1.2074106666666666</v>
          </cell>
          <cell r="L1996">
            <v>0</v>
          </cell>
          <cell r="M1996">
            <v>1.2005626</v>
          </cell>
          <cell r="N1996">
            <v>0</v>
          </cell>
          <cell r="O1996">
            <v>3.1666E-2</v>
          </cell>
          <cell r="P1996">
            <v>0</v>
          </cell>
          <cell r="Q1996">
            <v>0.66581820000000003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0.1530068</v>
          </cell>
          <cell r="Y1996">
            <v>0</v>
          </cell>
          <cell r="Z1996">
            <v>0</v>
          </cell>
          <cell r="AA1996">
            <v>0</v>
          </cell>
          <cell r="AB1996">
            <v>6.8790199999999996E-2</v>
          </cell>
        </row>
        <row r="1997">
          <cell r="A1997">
            <v>31106020</v>
          </cell>
          <cell r="B1997" t="str">
            <v>Egg, whole, baked, fat added in cooking</v>
          </cell>
          <cell r="I1997">
            <v>59</v>
          </cell>
          <cell r="J1997">
            <v>89.276449999999997</v>
          </cell>
          <cell r="K1997">
            <v>1.5131601694915253</v>
          </cell>
          <cell r="L1997">
            <v>0</v>
          </cell>
          <cell r="M1997">
            <v>1.9528839</v>
          </cell>
          <cell r="N1997">
            <v>0</v>
          </cell>
          <cell r="O1997">
            <v>3.9479399999999998E-2</v>
          </cell>
          <cell r="P1997">
            <v>0</v>
          </cell>
          <cell r="Q1997">
            <v>1.5634307000000001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0.2130428</v>
          </cell>
          <cell r="Y1997">
            <v>0</v>
          </cell>
          <cell r="Z1997">
            <v>0</v>
          </cell>
          <cell r="AA1997">
            <v>0</v>
          </cell>
          <cell r="AB1997">
            <v>0.4707789</v>
          </cell>
        </row>
        <row r="1998">
          <cell r="A1998">
            <v>31107000</v>
          </cell>
          <cell r="B1998" t="str">
            <v>Egg, whole, pickled</v>
          </cell>
          <cell r="I1998">
            <v>47</v>
          </cell>
          <cell r="J1998">
            <v>72.307692000000003</v>
          </cell>
          <cell r="K1998">
            <v>1.5384615319148938</v>
          </cell>
          <cell r="L1998">
            <v>0</v>
          </cell>
          <cell r="M1998">
            <v>1.5240596</v>
          </cell>
          <cell r="N1998">
            <v>0</v>
          </cell>
          <cell r="O1998">
            <v>2.3408999999999999E-2</v>
          </cell>
          <cell r="P1998">
            <v>0</v>
          </cell>
          <cell r="Q1998">
            <v>0.65963280000000002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0.19345109999999999</v>
          </cell>
          <cell r="Y1998">
            <v>0</v>
          </cell>
          <cell r="Z1998">
            <v>0</v>
          </cell>
          <cell r="AA1998">
            <v>0</v>
          </cell>
          <cell r="AB1998">
            <v>0.1123982</v>
          </cell>
        </row>
        <row r="1999">
          <cell r="A1999">
            <v>31108010</v>
          </cell>
          <cell r="B1999" t="str">
            <v>Egg, white only, raw</v>
          </cell>
          <cell r="I1999">
            <v>33</v>
          </cell>
          <cell r="J1999">
            <v>17.16</v>
          </cell>
          <cell r="K1999">
            <v>0.52</v>
          </cell>
          <cell r="L1999">
            <v>0</v>
          </cell>
          <cell r="M1999">
            <v>0</v>
          </cell>
          <cell r="N1999">
            <v>0</v>
          </cell>
          <cell r="O1999">
            <v>2.31E-3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5.4780000000000002E-2</v>
          </cell>
          <cell r="Y1999">
            <v>0</v>
          </cell>
          <cell r="Z1999">
            <v>0</v>
          </cell>
          <cell r="AA1999">
            <v>0</v>
          </cell>
          <cell r="AB1999">
            <v>6.6043999999999999E-3</v>
          </cell>
        </row>
        <row r="2000">
          <cell r="A2000">
            <v>31108100</v>
          </cell>
          <cell r="B2000" t="str">
            <v>Egg, white, cooked, NS as to fat added in cooking</v>
          </cell>
          <cell r="I2000">
            <v>33</v>
          </cell>
          <cell r="J2000">
            <v>32.315499000000003</v>
          </cell>
          <cell r="K2000">
            <v>0.97925754545454557</v>
          </cell>
          <cell r="L2000">
            <v>0</v>
          </cell>
          <cell r="M2000">
            <v>0.52879969999999998</v>
          </cell>
          <cell r="N2000">
            <v>0</v>
          </cell>
          <cell r="O2000">
            <v>2.4461000000000001E-3</v>
          </cell>
          <cell r="P2000">
            <v>0</v>
          </cell>
          <cell r="Q2000">
            <v>0.57462029999999997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0.14691750000000001</v>
          </cell>
          <cell r="Y2000">
            <v>0</v>
          </cell>
          <cell r="Z2000">
            <v>0</v>
          </cell>
          <cell r="AA2000">
            <v>0</v>
          </cell>
          <cell r="AB2000">
            <v>4.4827100000000002E-2</v>
          </cell>
        </row>
        <row r="2001">
          <cell r="A2001">
            <v>31108110</v>
          </cell>
          <cell r="B2001" t="str">
            <v>Egg, white, cooked, fat not added in cooking</v>
          </cell>
          <cell r="I2001">
            <v>33</v>
          </cell>
          <cell r="J2001">
            <v>17.032257999999999</v>
          </cell>
          <cell r="K2001">
            <v>0.51612903030303026</v>
          </cell>
          <cell r="L2001">
            <v>0</v>
          </cell>
          <cell r="M2001">
            <v>0</v>
          </cell>
          <cell r="N2001">
            <v>0</v>
          </cell>
          <cell r="O2001">
            <v>2.3517999999999998E-3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0.1495842</v>
          </cell>
          <cell r="Y2001">
            <v>0</v>
          </cell>
          <cell r="Z2001">
            <v>0</v>
          </cell>
          <cell r="AA2001">
            <v>0</v>
          </cell>
          <cell r="AB2001">
            <v>7.5583999999999998E-3</v>
          </cell>
        </row>
        <row r="2002">
          <cell r="A2002">
            <v>31110010</v>
          </cell>
          <cell r="B2002" t="str">
            <v>Egg, yolk only, raw</v>
          </cell>
          <cell r="I2002">
            <v>17</v>
          </cell>
          <cell r="J2002">
            <v>54.74</v>
          </cell>
          <cell r="K2002">
            <v>3.22</v>
          </cell>
          <cell r="L2002">
            <v>0</v>
          </cell>
          <cell r="M2002">
            <v>1.6236699999999999</v>
          </cell>
          <cell r="N2002">
            <v>0</v>
          </cell>
          <cell r="O2002">
            <v>2.1930000000000002E-2</v>
          </cell>
          <cell r="P2002">
            <v>0</v>
          </cell>
          <cell r="Q2002">
            <v>0.71467999999999998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8.1600000000000006E-3</v>
          </cell>
          <cell r="Y2002">
            <v>0</v>
          </cell>
          <cell r="Z2002">
            <v>0</v>
          </cell>
          <cell r="AA2002">
            <v>0</v>
          </cell>
          <cell r="AB2002">
            <v>4.1450300000000002E-2</v>
          </cell>
        </row>
        <row r="2003">
          <cell r="A2003">
            <v>31111000</v>
          </cell>
          <cell r="B2003" t="str">
            <v>Egg, yolk only, cooked, NS as to fat added in cooking</v>
          </cell>
          <cell r="I2003">
            <v>17</v>
          </cell>
          <cell r="J2003">
            <v>60.427013000000002</v>
          </cell>
          <cell r="K2003">
            <v>3.5545301764705886</v>
          </cell>
          <cell r="L2003">
            <v>0</v>
          </cell>
          <cell r="M2003">
            <v>1.6567715000000001</v>
          </cell>
          <cell r="N2003">
            <v>0</v>
          </cell>
          <cell r="O2003">
            <v>2.0419199999999998E-2</v>
          </cell>
          <cell r="P2003">
            <v>0</v>
          </cell>
          <cell r="Q2003">
            <v>1.1079496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5.3533499999999998E-2</v>
          </cell>
          <cell r="Y2003">
            <v>0</v>
          </cell>
          <cell r="Z2003">
            <v>0</v>
          </cell>
          <cell r="AA2003">
            <v>0</v>
          </cell>
          <cell r="AB2003">
            <v>6.5991099999999997E-2</v>
          </cell>
        </row>
        <row r="2004">
          <cell r="A2004">
            <v>31111010</v>
          </cell>
          <cell r="B2004" t="str">
            <v>Egg, yolk only, cooked, fat not added in cooking</v>
          </cell>
          <cell r="I2004">
            <v>17</v>
          </cell>
          <cell r="J2004">
            <v>54.332506000000002</v>
          </cell>
          <cell r="K2004">
            <v>3.1960297647058824</v>
          </cell>
          <cell r="L2004">
            <v>0</v>
          </cell>
          <cell r="M2004">
            <v>1.6115831</v>
          </cell>
          <cell r="N2004">
            <v>0</v>
          </cell>
          <cell r="O2004">
            <v>2.17971E-2</v>
          </cell>
          <cell r="P2004">
            <v>0</v>
          </cell>
          <cell r="Q2004">
            <v>0.70935979999999998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5.7147799999999999E-2</v>
          </cell>
          <cell r="Y2004">
            <v>0</v>
          </cell>
          <cell r="Z2004">
            <v>0</v>
          </cell>
          <cell r="AA2004">
            <v>0</v>
          </cell>
          <cell r="AB2004">
            <v>4.4471999999999998E-2</v>
          </cell>
        </row>
        <row r="2005">
          <cell r="A2005">
            <v>31111020</v>
          </cell>
          <cell r="B2005" t="str">
            <v>Egg, yolk only, cooked, fat added in cooking</v>
          </cell>
          <cell r="I2005">
            <v>17</v>
          </cell>
          <cell r="J2005">
            <v>60.427013000000002</v>
          </cell>
          <cell r="K2005">
            <v>3.5545301764705886</v>
          </cell>
          <cell r="L2005">
            <v>0</v>
          </cell>
          <cell r="M2005">
            <v>1.6567715000000001</v>
          </cell>
          <cell r="N2005">
            <v>0</v>
          </cell>
          <cell r="O2005">
            <v>2.0419199999999998E-2</v>
          </cell>
          <cell r="P2005">
            <v>0</v>
          </cell>
          <cell r="Q2005">
            <v>1.1079496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5.3533499999999998E-2</v>
          </cell>
          <cell r="Y2005">
            <v>0</v>
          </cell>
          <cell r="Z2005">
            <v>0</v>
          </cell>
          <cell r="AA2005">
            <v>0</v>
          </cell>
          <cell r="AB2005">
            <v>6.3820299999999996E-2</v>
          </cell>
        </row>
        <row r="2006">
          <cell r="A2006">
            <v>31203000</v>
          </cell>
          <cell r="B2006" t="str">
            <v>Quail egg, canned</v>
          </cell>
          <cell r="I2006">
            <v>18</v>
          </cell>
          <cell r="J2006">
            <v>28.228287999999999</v>
          </cell>
          <cell r="K2006">
            <v>1.5682382222222222</v>
          </cell>
          <cell r="L2006">
            <v>0</v>
          </cell>
          <cell r="M2006">
            <v>0.6354938</v>
          </cell>
          <cell r="N2006">
            <v>0</v>
          </cell>
          <cell r="O2006">
            <v>1.14664E-2</v>
          </cell>
          <cell r="P2006">
            <v>0</v>
          </cell>
          <cell r="Q2006">
            <v>0.2365459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7.7124899999999996E-2</v>
          </cell>
          <cell r="Y2006">
            <v>0</v>
          </cell>
          <cell r="Z2006">
            <v>0</v>
          </cell>
          <cell r="AA2006">
            <v>0</v>
          </cell>
          <cell r="AB2006">
            <v>1.77754E-2</v>
          </cell>
        </row>
        <row r="2007">
          <cell r="A2007">
            <v>32101500</v>
          </cell>
          <cell r="B2007" t="str">
            <v>Egg, Benedict</v>
          </cell>
          <cell r="I2007">
            <v>155</v>
          </cell>
          <cell r="J2007">
            <v>435.68777</v>
          </cell>
          <cell r="K2007">
            <v>2.8108888387096775</v>
          </cell>
          <cell r="L2007">
            <v>1.0319500000000001E-2</v>
          </cell>
          <cell r="M2007">
            <v>17.239961999999998</v>
          </cell>
          <cell r="N2007">
            <v>0</v>
          </cell>
          <cell r="O2007">
            <v>9.0518000000000001E-2</v>
          </cell>
          <cell r="P2007">
            <v>0.89495800000000003</v>
          </cell>
          <cell r="Q2007">
            <v>3.489296</v>
          </cell>
          <cell r="R2007">
            <v>0</v>
          </cell>
          <cell r="S2007">
            <v>0</v>
          </cell>
          <cell r="T2007">
            <v>3.4398374</v>
          </cell>
          <cell r="U2007">
            <v>0</v>
          </cell>
          <cell r="V2007">
            <v>0</v>
          </cell>
          <cell r="W2007">
            <v>0</v>
          </cell>
          <cell r="X2007">
            <v>0.74241120000000005</v>
          </cell>
          <cell r="Y2007">
            <v>0</v>
          </cell>
          <cell r="Z2007">
            <v>0</v>
          </cell>
          <cell r="AA2007">
            <v>37.857784000000002</v>
          </cell>
          <cell r="AB2007">
            <v>1.3417619000000001</v>
          </cell>
        </row>
        <row r="2008">
          <cell r="A2008">
            <v>32101530</v>
          </cell>
          <cell r="B2008" t="str">
            <v>Egg curry</v>
          </cell>
          <cell r="I2008">
            <v>155</v>
          </cell>
          <cell r="J2008">
            <v>115.04543</v>
          </cell>
          <cell r="K2008">
            <v>0.74222858064516128</v>
          </cell>
          <cell r="L2008">
            <v>1.7105881000000001</v>
          </cell>
          <cell r="M2008">
            <v>1.2983102</v>
          </cell>
          <cell r="N2008">
            <v>0</v>
          </cell>
          <cell r="O2008">
            <v>5.7694299999999997E-2</v>
          </cell>
          <cell r="P2008">
            <v>0.83123950000000002</v>
          </cell>
          <cell r="Q2008">
            <v>2.1417343</v>
          </cell>
          <cell r="R2008">
            <v>0</v>
          </cell>
          <cell r="S2008">
            <v>3.5469932000000002</v>
          </cell>
          <cell r="T2008">
            <v>0</v>
          </cell>
          <cell r="U2008">
            <v>60.629224999999998</v>
          </cell>
          <cell r="V2008">
            <v>0</v>
          </cell>
          <cell r="W2008">
            <v>0</v>
          </cell>
          <cell r="X2008">
            <v>0.18062539999999999</v>
          </cell>
          <cell r="Y2008">
            <v>0</v>
          </cell>
          <cell r="Z2008">
            <v>0</v>
          </cell>
          <cell r="AA2008">
            <v>0</v>
          </cell>
          <cell r="AB2008">
            <v>3.41365E-2</v>
          </cell>
        </row>
        <row r="2009">
          <cell r="A2009">
            <v>32102000</v>
          </cell>
          <cell r="B2009" t="str">
            <v>Egg, deviled</v>
          </cell>
          <cell r="I2009">
            <v>31</v>
          </cell>
          <cell r="J2009">
            <v>61.295374000000002</v>
          </cell>
          <cell r="K2009">
            <v>1.9772701290322581</v>
          </cell>
          <cell r="L2009">
            <v>0</v>
          </cell>
          <cell r="M2009">
            <v>1.223962</v>
          </cell>
          <cell r="N2009">
            <v>0</v>
          </cell>
          <cell r="O2009">
            <v>1.43591E-2</v>
          </cell>
          <cell r="P2009">
            <v>0</v>
          </cell>
          <cell r="Q2009">
            <v>1.5541973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0.1333712</v>
          </cell>
          <cell r="Y2009">
            <v>0</v>
          </cell>
          <cell r="Z2009">
            <v>0</v>
          </cell>
          <cell r="AA2009">
            <v>0</v>
          </cell>
          <cell r="AB2009">
            <v>7.6671699999999995E-2</v>
          </cell>
        </row>
        <row r="2010">
          <cell r="A2010">
            <v>32103000</v>
          </cell>
          <cell r="B2010" t="str">
            <v>Egg salad, made with mayonnaise</v>
          </cell>
          <cell r="I2010">
            <v>100</v>
          </cell>
          <cell r="J2010">
            <v>257.08377000000002</v>
          </cell>
          <cell r="K2010">
            <v>2.5708377000000002</v>
          </cell>
          <cell r="L2010">
            <v>0</v>
          </cell>
          <cell r="M2010">
            <v>4.9042333999999999</v>
          </cell>
          <cell r="N2010">
            <v>0</v>
          </cell>
          <cell r="O2010">
            <v>4.1679599999999997E-2</v>
          </cell>
          <cell r="P2010">
            <v>0</v>
          </cell>
          <cell r="Q2010">
            <v>9.8742854999999992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0.37857299999999999</v>
          </cell>
          <cell r="Y2010">
            <v>0</v>
          </cell>
          <cell r="Z2010">
            <v>0</v>
          </cell>
          <cell r="AA2010">
            <v>0</v>
          </cell>
          <cell r="AB2010">
            <v>0.24760650000000001</v>
          </cell>
        </row>
        <row r="2011">
          <cell r="A2011">
            <v>32103015</v>
          </cell>
          <cell r="B2011" t="str">
            <v>Egg salad, made with light mayonnaise</v>
          </cell>
          <cell r="I2011">
            <v>100</v>
          </cell>
          <cell r="J2011">
            <v>171.79416000000001</v>
          </cell>
          <cell r="K2011">
            <v>1.7179416000000001</v>
          </cell>
          <cell r="L2011">
            <v>0</v>
          </cell>
          <cell r="M2011">
            <v>3.2916875000000001</v>
          </cell>
          <cell r="N2011">
            <v>0</v>
          </cell>
          <cell r="O2011">
            <v>4.0671800000000001E-2</v>
          </cell>
          <cell r="P2011">
            <v>0</v>
          </cell>
          <cell r="Q2011">
            <v>3.8363480000000001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0.42331259999999998</v>
          </cell>
          <cell r="Y2011">
            <v>0</v>
          </cell>
          <cell r="Z2011">
            <v>0</v>
          </cell>
          <cell r="AA2011">
            <v>0</v>
          </cell>
          <cell r="AB2011">
            <v>0.18594640000000001</v>
          </cell>
        </row>
        <row r="2012">
          <cell r="A2012">
            <v>32103020</v>
          </cell>
          <cell r="B2012" t="str">
            <v>Egg salad, made with mayonnaise-type salad dressing</v>
          </cell>
          <cell r="I2012">
            <v>100</v>
          </cell>
          <cell r="J2012">
            <v>173.97835000000001</v>
          </cell>
          <cell r="K2012">
            <v>1.7397835000000001</v>
          </cell>
          <cell r="L2012">
            <v>0</v>
          </cell>
          <cell r="M2012">
            <v>3.2806997999999998</v>
          </cell>
          <cell r="N2012">
            <v>0</v>
          </cell>
          <cell r="O2012">
            <v>4.0617599999999997E-2</v>
          </cell>
          <cell r="P2012">
            <v>0</v>
          </cell>
          <cell r="Q2012">
            <v>3.6299752000000001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0.38566050000000002</v>
          </cell>
          <cell r="Y2012">
            <v>0</v>
          </cell>
          <cell r="Z2012">
            <v>0</v>
          </cell>
          <cell r="AA2012">
            <v>0</v>
          </cell>
          <cell r="AB2012">
            <v>0.1521035</v>
          </cell>
        </row>
        <row r="2013">
          <cell r="A2013">
            <v>32103025</v>
          </cell>
          <cell r="B2013" t="str">
            <v>Egg salad, made with light mayonnaise-type salad dressing</v>
          </cell>
          <cell r="I2013">
            <v>100</v>
          </cell>
          <cell r="J2013">
            <v>171.79416000000001</v>
          </cell>
          <cell r="K2013">
            <v>1.7179416000000001</v>
          </cell>
          <cell r="L2013">
            <v>0</v>
          </cell>
          <cell r="M2013">
            <v>3.2916875000000001</v>
          </cell>
          <cell r="N2013">
            <v>0</v>
          </cell>
          <cell r="O2013">
            <v>4.0671800000000001E-2</v>
          </cell>
          <cell r="P2013">
            <v>0</v>
          </cell>
          <cell r="Q2013">
            <v>3.8363480000000001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0.42331259999999998</v>
          </cell>
          <cell r="Y2013">
            <v>0</v>
          </cell>
          <cell r="Z2013">
            <v>0</v>
          </cell>
          <cell r="AA2013">
            <v>0</v>
          </cell>
          <cell r="AB2013">
            <v>0.18645929999999999</v>
          </cell>
        </row>
        <row r="2014">
          <cell r="A2014">
            <v>32103050</v>
          </cell>
          <cell r="B2014" t="str">
            <v>Egg Salad, made with any type of fat free dressing</v>
          </cell>
          <cell r="I2014">
            <v>100</v>
          </cell>
          <cell r="J2014">
            <v>138.73793000000001</v>
          </cell>
          <cell r="K2014">
            <v>1.3873793000000001</v>
          </cell>
          <cell r="L2014">
            <v>5.5510000000000001E-17</v>
          </cell>
          <cell r="M2014">
            <v>2.6660504999999999</v>
          </cell>
          <cell r="N2014">
            <v>0</v>
          </cell>
          <cell r="O2014">
            <v>4.0193800000000002E-2</v>
          </cell>
          <cell r="P2014">
            <v>0.41909780000000002</v>
          </cell>
          <cell r="Q2014">
            <v>1.1105163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0.42027560000000003</v>
          </cell>
          <cell r="Y2014">
            <v>0</v>
          </cell>
          <cell r="Z2014">
            <v>0</v>
          </cell>
          <cell r="AA2014">
            <v>0</v>
          </cell>
          <cell r="AB2014">
            <v>0.2209874</v>
          </cell>
        </row>
        <row r="2015">
          <cell r="A2015">
            <v>32105180</v>
          </cell>
          <cell r="B2015" t="str">
            <v>Huevos rancheros</v>
          </cell>
          <cell r="I2015">
            <v>110</v>
          </cell>
          <cell r="J2015">
            <v>118.56774</v>
          </cell>
          <cell r="K2015">
            <v>1.0778885454545455</v>
          </cell>
          <cell r="L2015">
            <v>1.0242598000000001</v>
          </cell>
          <cell r="M2015">
            <v>1.6828879999999999</v>
          </cell>
          <cell r="N2015">
            <v>0</v>
          </cell>
          <cell r="O2015">
            <v>4.9193599999999997E-2</v>
          </cell>
          <cell r="P2015">
            <v>0.68197379999999996</v>
          </cell>
          <cell r="Q2015">
            <v>1.8331883</v>
          </cell>
          <cell r="R2015">
            <v>0</v>
          </cell>
          <cell r="S2015">
            <v>0</v>
          </cell>
          <cell r="T2015">
            <v>0</v>
          </cell>
          <cell r="U2015">
            <v>53.908408999999999</v>
          </cell>
          <cell r="V2015">
            <v>0</v>
          </cell>
          <cell r="W2015">
            <v>0</v>
          </cell>
          <cell r="X2015">
            <v>0.44965579999999999</v>
          </cell>
          <cell r="Y2015">
            <v>0</v>
          </cell>
          <cell r="Z2015">
            <v>0</v>
          </cell>
          <cell r="AA2015">
            <v>0</v>
          </cell>
          <cell r="AB2015">
            <v>6.3885800000000006E-2</v>
          </cell>
        </row>
        <row r="2016">
          <cell r="A2016">
            <v>32105190</v>
          </cell>
          <cell r="B2016" t="str">
            <v>Egg casserole with bread, cheese, milk and meat</v>
          </cell>
          <cell r="I2016">
            <v>110</v>
          </cell>
          <cell r="J2016">
            <v>211.54095000000001</v>
          </cell>
          <cell r="K2016">
            <v>1.9230995454545456</v>
          </cell>
          <cell r="L2016">
            <v>3.053E-17</v>
          </cell>
          <cell r="M2016">
            <v>5.9450922000000004</v>
          </cell>
          <cell r="N2016">
            <v>0</v>
          </cell>
          <cell r="O2016">
            <v>0.14388039999999999</v>
          </cell>
          <cell r="P2016">
            <v>0.15917700000000001</v>
          </cell>
          <cell r="Q2016">
            <v>2.3349505000000002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0.45725549999999998</v>
          </cell>
          <cell r="Y2016">
            <v>0</v>
          </cell>
          <cell r="Z2016">
            <v>0</v>
          </cell>
          <cell r="AA2016">
            <v>22.446176000000001</v>
          </cell>
          <cell r="AB2016">
            <v>0.4161337</v>
          </cell>
        </row>
        <row r="2017">
          <cell r="A2017">
            <v>32105200</v>
          </cell>
          <cell r="B2017" t="str">
            <v>Egg foo yung, NFS</v>
          </cell>
          <cell r="I2017">
            <v>110</v>
          </cell>
          <cell r="J2017">
            <v>119.26045999999999</v>
          </cell>
          <cell r="K2017">
            <v>1.0841859999999999</v>
          </cell>
          <cell r="L2017">
            <v>0.1947178</v>
          </cell>
          <cell r="M2017">
            <v>1.6312321000000001</v>
          </cell>
          <cell r="N2017">
            <v>7.0150900000000002E-2</v>
          </cell>
          <cell r="O2017">
            <v>5.3566099999999998E-2</v>
          </cell>
          <cell r="P2017">
            <v>1.8630799999999999E-2</v>
          </cell>
          <cell r="Q2017">
            <v>1.4886074</v>
          </cell>
          <cell r="R2017">
            <v>0</v>
          </cell>
          <cell r="S2017">
            <v>0</v>
          </cell>
          <cell r="T2017">
            <v>0</v>
          </cell>
          <cell r="U2017">
            <v>10.716481999999999</v>
          </cell>
          <cell r="V2017">
            <v>0</v>
          </cell>
          <cell r="W2017">
            <v>0</v>
          </cell>
          <cell r="X2017">
            <v>0.54755430000000005</v>
          </cell>
          <cell r="Y2017">
            <v>0</v>
          </cell>
          <cell r="Z2017">
            <v>0</v>
          </cell>
          <cell r="AA2017">
            <v>0</v>
          </cell>
          <cell r="AB2017">
            <v>0.29610730000000002</v>
          </cell>
        </row>
        <row r="2018">
          <cell r="A2018">
            <v>32105210</v>
          </cell>
          <cell r="B2018" t="str">
            <v>Chicken egg foo yung (young)</v>
          </cell>
          <cell r="I2018">
            <v>110</v>
          </cell>
          <cell r="J2018">
            <v>127.66451000000001</v>
          </cell>
          <cell r="K2018">
            <v>1.1605864545454545</v>
          </cell>
          <cell r="L2018">
            <v>0.19767470000000001</v>
          </cell>
          <cell r="M2018">
            <v>1.7098384</v>
          </cell>
          <cell r="N2018">
            <v>0</v>
          </cell>
          <cell r="O2018">
            <v>3.19218E-2</v>
          </cell>
          <cell r="P2018">
            <v>1.8540299999999999E-2</v>
          </cell>
          <cell r="Q2018">
            <v>1.5584874</v>
          </cell>
          <cell r="R2018">
            <v>0</v>
          </cell>
          <cell r="S2018">
            <v>0</v>
          </cell>
          <cell r="T2018">
            <v>0</v>
          </cell>
          <cell r="U2018">
            <v>10.803803</v>
          </cell>
          <cell r="V2018">
            <v>0</v>
          </cell>
          <cell r="W2018">
            <v>0</v>
          </cell>
          <cell r="X2018">
            <v>0.32648969999999999</v>
          </cell>
          <cell r="Y2018">
            <v>0</v>
          </cell>
          <cell r="Z2018">
            <v>0</v>
          </cell>
          <cell r="AA2018">
            <v>0</v>
          </cell>
          <cell r="AB2018">
            <v>8.3847000000000005E-2</v>
          </cell>
        </row>
        <row r="2019">
          <cell r="A2019">
            <v>32105220</v>
          </cell>
          <cell r="B2019" t="str">
            <v>Pork egg foo yung</v>
          </cell>
          <cell r="I2019">
            <v>110</v>
          </cell>
          <cell r="J2019">
            <v>142.45146</v>
          </cell>
          <cell r="K2019">
            <v>1.2950132727272727</v>
          </cell>
          <cell r="L2019">
            <v>0.1940173</v>
          </cell>
          <cell r="M2019">
            <v>2.3962338000000001</v>
          </cell>
          <cell r="N2019">
            <v>0</v>
          </cell>
          <cell r="O2019">
            <v>3.4957000000000002E-2</v>
          </cell>
          <cell r="P2019">
            <v>1.8563799999999998E-2</v>
          </cell>
          <cell r="Q2019">
            <v>1.5293131</v>
          </cell>
          <cell r="R2019">
            <v>0</v>
          </cell>
          <cell r="S2019">
            <v>0</v>
          </cell>
          <cell r="T2019">
            <v>0</v>
          </cell>
          <cell r="U2019">
            <v>10.677930999999999</v>
          </cell>
          <cell r="V2019">
            <v>0</v>
          </cell>
          <cell r="W2019">
            <v>0</v>
          </cell>
          <cell r="X2019">
            <v>0.32067000000000001</v>
          </cell>
          <cell r="Y2019">
            <v>0</v>
          </cell>
          <cell r="Z2019">
            <v>25.594832</v>
          </cell>
          <cell r="AA2019">
            <v>0</v>
          </cell>
          <cell r="AB2019">
            <v>8.4375199999999997E-2</v>
          </cell>
        </row>
        <row r="2020">
          <cell r="A2020">
            <v>32105230</v>
          </cell>
          <cell r="B2020" t="str">
            <v>Shrimp egg foo yung</v>
          </cell>
          <cell r="I2020">
            <v>110</v>
          </cell>
          <cell r="J2020">
            <v>119.26045999999999</v>
          </cell>
          <cell r="K2020">
            <v>1.0841859999999999</v>
          </cell>
          <cell r="L2020">
            <v>0.1947178</v>
          </cell>
          <cell r="M2020">
            <v>1.6312321000000001</v>
          </cell>
          <cell r="N2020">
            <v>7.0150900000000002E-2</v>
          </cell>
          <cell r="O2020">
            <v>5.3566099999999998E-2</v>
          </cell>
          <cell r="P2020">
            <v>1.8630799999999999E-2</v>
          </cell>
          <cell r="Q2020">
            <v>1.4886074</v>
          </cell>
          <cell r="R2020">
            <v>0</v>
          </cell>
          <cell r="S2020">
            <v>0</v>
          </cell>
          <cell r="T2020">
            <v>0</v>
          </cell>
          <cell r="U2020">
            <v>10.716481999999999</v>
          </cell>
          <cell r="V2020">
            <v>0</v>
          </cell>
          <cell r="W2020">
            <v>0</v>
          </cell>
          <cell r="X2020">
            <v>0.54755430000000005</v>
          </cell>
          <cell r="Y2020">
            <v>0</v>
          </cell>
          <cell r="Z2020">
            <v>0</v>
          </cell>
          <cell r="AA2020">
            <v>0</v>
          </cell>
          <cell r="AB2020">
            <v>6.5960500000000005E-2</v>
          </cell>
        </row>
        <row r="2021">
          <cell r="A2021">
            <v>32105240</v>
          </cell>
          <cell r="B2021" t="str">
            <v>Beef egg foo yung</v>
          </cell>
          <cell r="I2021">
            <v>110</v>
          </cell>
          <cell r="J2021">
            <v>141.01856000000001</v>
          </cell>
          <cell r="K2021">
            <v>1.2819869090909091</v>
          </cell>
          <cell r="L2021">
            <v>0.19767470000000001</v>
          </cell>
          <cell r="M2021">
            <v>2.3688123000000001</v>
          </cell>
          <cell r="N2021">
            <v>0</v>
          </cell>
          <cell r="O2021">
            <v>3.2180399999999998E-2</v>
          </cell>
          <cell r="P2021">
            <v>1.8540299999999999E-2</v>
          </cell>
          <cell r="Q2021">
            <v>1.4264744</v>
          </cell>
          <cell r="R2021">
            <v>0</v>
          </cell>
          <cell r="S2021">
            <v>0</v>
          </cell>
          <cell r="T2021">
            <v>0</v>
          </cell>
          <cell r="U2021">
            <v>10.803803</v>
          </cell>
          <cell r="V2021">
            <v>0</v>
          </cell>
          <cell r="W2021">
            <v>0</v>
          </cell>
          <cell r="X2021">
            <v>0.31596059999999998</v>
          </cell>
          <cell r="Y2021">
            <v>0</v>
          </cell>
          <cell r="Z2021">
            <v>25.688655000000001</v>
          </cell>
          <cell r="AA2021">
            <v>0</v>
          </cell>
          <cell r="AB2021">
            <v>0.1001479</v>
          </cell>
        </row>
        <row r="2022">
          <cell r="A2022">
            <v>32105310</v>
          </cell>
          <cell r="B2022" t="str">
            <v>Ripe plantain omelet, Puerto Rican style (Tortilla de amarillo)</v>
          </cell>
          <cell r="I2022">
            <v>110</v>
          </cell>
          <cell r="J2022">
            <v>217.63041000000001</v>
          </cell>
          <cell r="K2022">
            <v>1.9784582727272728</v>
          </cell>
          <cell r="L2022">
            <v>0</v>
          </cell>
          <cell r="M2022">
            <v>2.7771233999999998</v>
          </cell>
          <cell r="N2022">
            <v>0</v>
          </cell>
          <cell r="O2022">
            <v>2.71957E-2</v>
          </cell>
          <cell r="P2022">
            <v>1.2422713000000001</v>
          </cell>
          <cell r="Q2022">
            <v>5.1527769000000001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0.41730240000000002</v>
          </cell>
          <cell r="Y2022">
            <v>0</v>
          </cell>
          <cell r="Z2022">
            <v>0</v>
          </cell>
          <cell r="AA2022">
            <v>0</v>
          </cell>
          <cell r="AB2022">
            <v>9.11796E-2</v>
          </cell>
        </row>
        <row r="2023">
          <cell r="A2023">
            <v>32105330</v>
          </cell>
          <cell r="B2023" t="str">
            <v>Scrambled eggs with jerked beef, Puerto Rican style (Revoltillo de tasajo)</v>
          </cell>
          <cell r="I2023">
            <v>110</v>
          </cell>
          <cell r="J2023">
            <v>218.53619</v>
          </cell>
          <cell r="K2023">
            <v>1.9866926363636364</v>
          </cell>
          <cell r="L2023">
            <v>0.20373540000000001</v>
          </cell>
          <cell r="M2023">
            <v>3.1684383</v>
          </cell>
          <cell r="N2023">
            <v>0</v>
          </cell>
          <cell r="O2023">
            <v>3.4587100000000003E-2</v>
          </cell>
          <cell r="P2023">
            <v>0</v>
          </cell>
          <cell r="Q2023">
            <v>6.1110974999999996</v>
          </cell>
          <cell r="R2023">
            <v>0</v>
          </cell>
          <cell r="S2023">
            <v>0</v>
          </cell>
          <cell r="T2023">
            <v>0</v>
          </cell>
          <cell r="U2023">
            <v>11.984436000000001</v>
          </cell>
          <cell r="V2023">
            <v>0</v>
          </cell>
          <cell r="W2023">
            <v>0</v>
          </cell>
          <cell r="X2023">
            <v>1.2994621</v>
          </cell>
          <cell r="Y2023">
            <v>0</v>
          </cell>
          <cell r="Z2023">
            <v>0</v>
          </cell>
          <cell r="AA2023">
            <v>35.793585</v>
          </cell>
          <cell r="AB2023">
            <v>9.5501000000000003E-2</v>
          </cell>
        </row>
        <row r="2024">
          <cell r="A2024">
            <v>32110150</v>
          </cell>
          <cell r="B2024" t="str">
            <v>Shrimp-egg patty (Torta de Cameron seco)</v>
          </cell>
          <cell r="I2024">
            <v>110</v>
          </cell>
          <cell r="J2024">
            <v>168.90817999999999</v>
          </cell>
          <cell r="K2024">
            <v>1.535528909090909</v>
          </cell>
          <cell r="L2024">
            <v>0</v>
          </cell>
          <cell r="M2024">
            <v>2.2226468000000001</v>
          </cell>
          <cell r="N2024">
            <v>0.1080744</v>
          </cell>
          <cell r="O2024">
            <v>8.6229700000000006E-2</v>
          </cell>
          <cell r="P2024">
            <v>0.39666689999999999</v>
          </cell>
          <cell r="Q2024">
            <v>1.5818296000000001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0.84947159999999999</v>
          </cell>
          <cell r="Y2024">
            <v>0</v>
          </cell>
          <cell r="Z2024">
            <v>0</v>
          </cell>
          <cell r="AA2024">
            <v>0</v>
          </cell>
          <cell r="AB2024">
            <v>0.16817489999999999</v>
          </cell>
        </row>
        <row r="2025">
          <cell r="A2025">
            <v>32129990</v>
          </cell>
          <cell r="B2025" t="str">
            <v>Egg omelet or scrambled egg, NS as to fat added in cooking</v>
          </cell>
          <cell r="I2025">
            <v>110</v>
          </cell>
          <cell r="J2025">
            <v>168.67009999999999</v>
          </cell>
          <cell r="K2025">
            <v>1.5333645454545455</v>
          </cell>
          <cell r="L2025">
            <v>0</v>
          </cell>
          <cell r="M2025">
            <v>4.1599114000000004</v>
          </cell>
          <cell r="N2025">
            <v>0</v>
          </cell>
          <cell r="O2025">
            <v>7.4128299999999994E-2</v>
          </cell>
          <cell r="P2025">
            <v>0</v>
          </cell>
          <cell r="Q2025">
            <v>3.0379827000000001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0.37339739999999999</v>
          </cell>
          <cell r="Y2025">
            <v>0</v>
          </cell>
          <cell r="Z2025">
            <v>0</v>
          </cell>
          <cell r="AA2025">
            <v>0</v>
          </cell>
          <cell r="AB2025">
            <v>0.21186859999999999</v>
          </cell>
        </row>
        <row r="2026">
          <cell r="A2026">
            <v>32130000</v>
          </cell>
          <cell r="B2026" t="str">
            <v>Egg omelet or scrambled egg, made with margarine</v>
          </cell>
          <cell r="I2026">
            <v>110</v>
          </cell>
          <cell r="J2026">
            <v>166.44762</v>
          </cell>
          <cell r="K2026">
            <v>1.5131601818181819</v>
          </cell>
          <cell r="L2026">
            <v>0</v>
          </cell>
          <cell r="M2026">
            <v>3.6409699999999998</v>
          </cell>
          <cell r="N2026">
            <v>0</v>
          </cell>
          <cell r="O2026">
            <v>7.3605699999999996E-2</v>
          </cell>
          <cell r="P2026">
            <v>0</v>
          </cell>
          <cell r="Q2026">
            <v>2.9148708999999999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0.39719840000000001</v>
          </cell>
          <cell r="Y2026">
            <v>0</v>
          </cell>
          <cell r="Z2026">
            <v>0</v>
          </cell>
          <cell r="AA2026">
            <v>0</v>
          </cell>
          <cell r="AB2026">
            <v>0.87772349999999999</v>
          </cell>
        </row>
        <row r="2027">
          <cell r="A2027">
            <v>32130010</v>
          </cell>
          <cell r="B2027" t="str">
            <v>Egg omelet or scrambled egg, made with oil</v>
          </cell>
          <cell r="I2027">
            <v>110</v>
          </cell>
          <cell r="J2027">
            <v>174.33304999999999</v>
          </cell>
          <cell r="K2027">
            <v>1.5848459090909091</v>
          </cell>
          <cell r="L2027">
            <v>0</v>
          </cell>
          <cell r="M2027">
            <v>3.5322765</v>
          </cell>
          <cell r="N2027">
            <v>0</v>
          </cell>
          <cell r="O2027">
            <v>7.3599499999999998E-2</v>
          </cell>
          <cell r="P2027">
            <v>0</v>
          </cell>
          <cell r="Q2027">
            <v>3.7830919000000001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0.35558699999999999</v>
          </cell>
          <cell r="Y2027">
            <v>0</v>
          </cell>
          <cell r="Z2027">
            <v>0</v>
          </cell>
          <cell r="AA2027">
            <v>0</v>
          </cell>
          <cell r="AB2027">
            <v>0.1372583</v>
          </cell>
        </row>
        <row r="2028">
          <cell r="A2028">
            <v>32130020</v>
          </cell>
          <cell r="B2028" t="str">
            <v>Egg omelet or scrambled egg, made with butter</v>
          </cell>
          <cell r="I2028">
            <v>110</v>
          </cell>
          <cell r="J2028">
            <v>166.44762</v>
          </cell>
          <cell r="K2028">
            <v>1.5131601818181819</v>
          </cell>
          <cell r="L2028">
            <v>0</v>
          </cell>
          <cell r="M2028">
            <v>5.6816744000000003</v>
          </cell>
          <cell r="N2028">
            <v>0</v>
          </cell>
          <cell r="O2028">
            <v>7.4790300000000004E-2</v>
          </cell>
          <cell r="P2028">
            <v>0</v>
          </cell>
          <cell r="Q2028">
            <v>1.7157405999999999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0.39110660000000003</v>
          </cell>
          <cell r="Y2028">
            <v>0</v>
          </cell>
          <cell r="Z2028">
            <v>0</v>
          </cell>
          <cell r="AA2028">
            <v>0</v>
          </cell>
          <cell r="AB2028">
            <v>0.31431629999999999</v>
          </cell>
        </row>
        <row r="2029">
          <cell r="A2029">
            <v>32130040</v>
          </cell>
          <cell r="B2029" t="str">
            <v>Egg omelet or scrambled egg, made with animal fat or meat drippings</v>
          </cell>
          <cell r="I2029">
            <v>110</v>
          </cell>
          <cell r="J2029">
            <v>169.67680999999999</v>
          </cell>
          <cell r="K2029">
            <v>1.5425164545454544</v>
          </cell>
          <cell r="L2029">
            <v>0</v>
          </cell>
          <cell r="M2029">
            <v>4.6194899999999999</v>
          </cell>
          <cell r="N2029">
            <v>0</v>
          </cell>
          <cell r="O2029">
            <v>7.4024099999999995E-2</v>
          </cell>
          <cell r="P2029">
            <v>0</v>
          </cell>
          <cell r="Q2029">
            <v>2.0663759000000002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0.38758219999999999</v>
          </cell>
          <cell r="Y2029">
            <v>0</v>
          </cell>
          <cell r="Z2029">
            <v>0</v>
          </cell>
          <cell r="AA2029">
            <v>0</v>
          </cell>
          <cell r="AB2029">
            <v>0.27222980000000002</v>
          </cell>
        </row>
        <row r="2030">
          <cell r="A2030">
            <v>32130060</v>
          </cell>
          <cell r="B2030" t="str">
            <v>Egg omelet or scrambled egg, made with cooking spray</v>
          </cell>
          <cell r="I2030">
            <v>110</v>
          </cell>
          <cell r="J2030">
            <v>136.17528999999999</v>
          </cell>
          <cell r="K2030">
            <v>1.2379571818181818</v>
          </cell>
          <cell r="L2030">
            <v>0</v>
          </cell>
          <cell r="M2030">
            <v>2.9465075000000001</v>
          </cell>
          <cell r="N2030">
            <v>0</v>
          </cell>
          <cell r="O2030">
            <v>7.7053499999999997E-2</v>
          </cell>
          <cell r="P2030">
            <v>0</v>
          </cell>
          <cell r="Q2030">
            <v>1.7310000999999999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0.37260979999999999</v>
          </cell>
          <cell r="Y2030">
            <v>0</v>
          </cell>
          <cell r="Z2030">
            <v>0</v>
          </cell>
          <cell r="AA2030">
            <v>0</v>
          </cell>
          <cell r="AB2030">
            <v>0.12107569999999999</v>
          </cell>
        </row>
        <row r="2031">
          <cell r="A2031">
            <v>32130065</v>
          </cell>
          <cell r="B2031" t="str">
            <v>Egg omelet or scrambled egg, NS as to type of fat</v>
          </cell>
          <cell r="I2031">
            <v>110</v>
          </cell>
          <cell r="J2031">
            <v>168.67009999999999</v>
          </cell>
          <cell r="K2031">
            <v>1.5333645454545455</v>
          </cell>
          <cell r="L2031">
            <v>0</v>
          </cell>
          <cell r="M2031">
            <v>4.1599114000000004</v>
          </cell>
          <cell r="N2031">
            <v>0</v>
          </cell>
          <cell r="O2031">
            <v>7.4128299999999994E-2</v>
          </cell>
          <cell r="P2031">
            <v>0</v>
          </cell>
          <cell r="Q2031">
            <v>3.0379827000000001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0.37339739999999999</v>
          </cell>
          <cell r="Y2031">
            <v>0</v>
          </cell>
          <cell r="Z2031">
            <v>0</v>
          </cell>
          <cell r="AA2031">
            <v>0</v>
          </cell>
          <cell r="AB2031">
            <v>0.21181059999999999</v>
          </cell>
        </row>
        <row r="2032">
          <cell r="A2032">
            <v>32130070</v>
          </cell>
          <cell r="B2032" t="str">
            <v>Egg omelet or scrambled egg, made without fat</v>
          </cell>
          <cell r="I2032">
            <v>110</v>
          </cell>
          <cell r="J2032">
            <v>132.81516999999999</v>
          </cell>
          <cell r="K2032">
            <v>1.2074106363636363</v>
          </cell>
          <cell r="L2032">
            <v>0</v>
          </cell>
          <cell r="M2032">
            <v>2.9347086999999998</v>
          </cell>
          <cell r="N2032">
            <v>0</v>
          </cell>
          <cell r="O2032">
            <v>7.7405699999999994E-2</v>
          </cell>
          <cell r="P2032">
            <v>0</v>
          </cell>
          <cell r="Q2032">
            <v>1.6275556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0.37401649999999997</v>
          </cell>
          <cell r="Y2032">
            <v>0</v>
          </cell>
          <cell r="Z2032">
            <v>0</v>
          </cell>
          <cell r="AA2032">
            <v>0</v>
          </cell>
          <cell r="AB2032">
            <v>0.11837</v>
          </cell>
        </row>
        <row r="2033">
          <cell r="A2033">
            <v>32130080</v>
          </cell>
          <cell r="B2033" t="str">
            <v>Egg omelet or scrambled egg, from fast food / restaurant</v>
          </cell>
          <cell r="I2033">
            <v>110</v>
          </cell>
          <cell r="J2033">
            <v>233.2</v>
          </cell>
          <cell r="K2033">
            <v>2.12</v>
          </cell>
          <cell r="L2033">
            <v>0</v>
          </cell>
          <cell r="M2033">
            <v>6.7683</v>
          </cell>
          <cell r="N2033">
            <v>0</v>
          </cell>
          <cell r="O2033">
            <v>6.2700000000000006E-2</v>
          </cell>
          <cell r="P2033">
            <v>0</v>
          </cell>
          <cell r="Q2033">
            <v>2.1659000000000002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0.20569999999999999</v>
          </cell>
          <cell r="Y2033">
            <v>0</v>
          </cell>
          <cell r="Z2033">
            <v>0</v>
          </cell>
          <cell r="AA2033">
            <v>0</v>
          </cell>
          <cell r="AB2033">
            <v>0.13681289999999999</v>
          </cell>
        </row>
        <row r="2034">
          <cell r="A2034">
            <v>32130100</v>
          </cell>
          <cell r="B2034" t="str">
            <v>Egg omelet or scrambled egg, with cheese, made with margarine</v>
          </cell>
          <cell r="I2034">
            <v>110</v>
          </cell>
          <cell r="J2034">
            <v>197.90612999999999</v>
          </cell>
          <cell r="K2034">
            <v>1.7991466363636364</v>
          </cell>
          <cell r="L2034">
            <v>0</v>
          </cell>
          <cell r="M2034">
            <v>5.5777799999999997</v>
          </cell>
          <cell r="N2034">
            <v>0</v>
          </cell>
          <cell r="O2034">
            <v>0.15366830000000001</v>
          </cell>
          <cell r="P2034">
            <v>0</v>
          </cell>
          <cell r="Q2034">
            <v>2.7618781000000001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0.4335405</v>
          </cell>
          <cell r="Y2034">
            <v>0</v>
          </cell>
          <cell r="Z2034">
            <v>0</v>
          </cell>
          <cell r="AA2034">
            <v>0</v>
          </cell>
          <cell r="AB2034">
            <v>0.89254730000000004</v>
          </cell>
        </row>
        <row r="2035">
          <cell r="A2035">
            <v>32130110</v>
          </cell>
          <cell r="B2035" t="str">
            <v>Egg omelet or scrambled egg, with cheese, made with oil</v>
          </cell>
          <cell r="I2035">
            <v>110</v>
          </cell>
          <cell r="J2035">
            <v>204.95424</v>
          </cell>
          <cell r="K2035">
            <v>1.8632203636363636</v>
          </cell>
          <cell r="L2035">
            <v>0</v>
          </cell>
          <cell r="M2035">
            <v>5.4849056000000003</v>
          </cell>
          <cell r="N2035">
            <v>0</v>
          </cell>
          <cell r="O2035">
            <v>0.15380720000000001</v>
          </cell>
          <cell r="P2035">
            <v>0</v>
          </cell>
          <cell r="Q2035">
            <v>3.5313808999999998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0.39671279999999998</v>
          </cell>
          <cell r="Y2035">
            <v>0</v>
          </cell>
          <cell r="Z2035">
            <v>0</v>
          </cell>
          <cell r="AA2035">
            <v>0</v>
          </cell>
          <cell r="AB2035">
            <v>0.28791250000000002</v>
          </cell>
        </row>
        <row r="2036">
          <cell r="A2036">
            <v>32130120</v>
          </cell>
          <cell r="B2036" t="str">
            <v>Egg omelet or scrambled egg, with cheese, made with butter</v>
          </cell>
          <cell r="I2036">
            <v>110</v>
          </cell>
          <cell r="J2036">
            <v>197.90612999999999</v>
          </cell>
          <cell r="K2036">
            <v>1.7991466363636364</v>
          </cell>
          <cell r="L2036">
            <v>0</v>
          </cell>
          <cell r="M2036">
            <v>7.3875185999999999</v>
          </cell>
          <cell r="N2036">
            <v>0</v>
          </cell>
          <cell r="O2036">
            <v>0.15471869999999999</v>
          </cell>
          <cell r="P2036">
            <v>0</v>
          </cell>
          <cell r="Q2036">
            <v>1.6984648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0.42813820000000002</v>
          </cell>
          <cell r="Y2036">
            <v>0</v>
          </cell>
          <cell r="Z2036">
            <v>0</v>
          </cell>
          <cell r="AA2036">
            <v>0</v>
          </cell>
          <cell r="AB2036">
            <v>0.44612030000000003</v>
          </cell>
        </row>
        <row r="2037">
          <cell r="A2037">
            <v>32130140</v>
          </cell>
          <cell r="B2037" t="str">
            <v>Egg omelet or scrambled egg, with cheese, made with animal fat or meat drippings</v>
          </cell>
          <cell r="I2037">
            <v>110</v>
          </cell>
          <cell r="J2037">
            <v>200.90758</v>
          </cell>
          <cell r="K2037">
            <v>1.8264325454545454</v>
          </cell>
          <cell r="L2037">
            <v>0</v>
          </cell>
          <cell r="M2037">
            <v>6.4536405999999999</v>
          </cell>
          <cell r="N2037">
            <v>0</v>
          </cell>
          <cell r="O2037">
            <v>0.15439369999999999</v>
          </cell>
          <cell r="P2037">
            <v>0</v>
          </cell>
          <cell r="Q2037">
            <v>2.009163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0.42517850000000001</v>
          </cell>
          <cell r="Y2037">
            <v>0</v>
          </cell>
          <cell r="Z2037">
            <v>0</v>
          </cell>
          <cell r="AA2037">
            <v>0</v>
          </cell>
          <cell r="AB2037">
            <v>0.4011808</v>
          </cell>
        </row>
        <row r="2038">
          <cell r="A2038">
            <v>32130160</v>
          </cell>
          <cell r="B2038" t="str">
            <v>Egg omelet or scrambled egg, with cheese, made with cooking spray</v>
          </cell>
          <cell r="I2038">
            <v>110</v>
          </cell>
          <cell r="J2038">
            <v>172.57526999999999</v>
          </cell>
          <cell r="K2038">
            <v>1.5688660909090908</v>
          </cell>
          <cell r="L2038">
            <v>0</v>
          </cell>
          <cell r="M2038">
            <v>5.0494585000000001</v>
          </cell>
          <cell r="N2038">
            <v>0</v>
          </cell>
          <cell r="O2038">
            <v>0.16018650000000001</v>
          </cell>
          <cell r="P2038">
            <v>0</v>
          </cell>
          <cell r="Q2038">
            <v>1.7111719000000001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0.41343429999999998</v>
          </cell>
          <cell r="Y2038">
            <v>0</v>
          </cell>
          <cell r="Z2038">
            <v>0</v>
          </cell>
          <cell r="AA2038">
            <v>0</v>
          </cell>
          <cell r="AB2038">
            <v>0.2738776</v>
          </cell>
        </row>
        <row r="2039">
          <cell r="A2039">
            <v>32130170</v>
          </cell>
          <cell r="B2039" t="str">
            <v>Egg omelet or scrambled egg, with cheese, made without fat</v>
          </cell>
          <cell r="I2039">
            <v>110</v>
          </cell>
          <cell r="J2039">
            <v>169.76024000000001</v>
          </cell>
          <cell r="K2039">
            <v>1.5432749090909093</v>
          </cell>
          <cell r="L2039">
            <v>0</v>
          </cell>
          <cell r="M2039">
            <v>5.0475323000000003</v>
          </cell>
          <cell r="N2039">
            <v>0</v>
          </cell>
          <cell r="O2039">
            <v>0.1608319</v>
          </cell>
          <cell r="P2039">
            <v>0</v>
          </cell>
          <cell r="Q2039">
            <v>1.6199129999999999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0.4148387</v>
          </cell>
          <cell r="Y2039">
            <v>0</v>
          </cell>
          <cell r="Z2039">
            <v>0</v>
          </cell>
          <cell r="AA2039">
            <v>0</v>
          </cell>
          <cell r="AB2039">
            <v>0.28370030000000002</v>
          </cell>
        </row>
        <row r="2040">
          <cell r="A2040">
            <v>32130190</v>
          </cell>
          <cell r="B2040" t="str">
            <v>Egg omelet or scrambled egg, with meat, NS as to fat added in cooking</v>
          </cell>
          <cell r="I2040">
            <v>110</v>
          </cell>
          <cell r="J2040">
            <v>214.1104</v>
          </cell>
          <cell r="K2040">
            <v>1.9464581818181819</v>
          </cell>
          <cell r="L2040">
            <v>0</v>
          </cell>
          <cell r="M2040">
            <v>5.2681426</v>
          </cell>
          <cell r="N2040">
            <v>0</v>
          </cell>
          <cell r="O2040">
            <v>5.3863500000000002E-2</v>
          </cell>
          <cell r="P2040">
            <v>0</v>
          </cell>
          <cell r="Q2040">
            <v>3.3324588999999998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0.61739200000000005</v>
          </cell>
          <cell r="Y2040">
            <v>0</v>
          </cell>
          <cell r="Z2040">
            <v>0</v>
          </cell>
          <cell r="AA2040">
            <v>29.711417000000001</v>
          </cell>
          <cell r="AB2040">
            <v>0.32609139999999998</v>
          </cell>
        </row>
        <row r="2041">
          <cell r="A2041">
            <v>32130200</v>
          </cell>
          <cell r="B2041" t="str">
            <v>Egg omelet or scrambled egg, with meat, made with margarine</v>
          </cell>
          <cell r="I2041">
            <v>110</v>
          </cell>
          <cell r="J2041">
            <v>212.56115</v>
          </cell>
          <cell r="K2041">
            <v>1.932374090909091</v>
          </cell>
          <cell r="L2041">
            <v>0</v>
          </cell>
          <cell r="M2041">
            <v>4.9108374000000001</v>
          </cell>
          <cell r="N2041">
            <v>0</v>
          </cell>
          <cell r="O2041">
            <v>5.3513699999999997E-2</v>
          </cell>
          <cell r="P2041">
            <v>0</v>
          </cell>
          <cell r="Q2041">
            <v>3.2476783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0.63364189999999998</v>
          </cell>
          <cell r="Y2041">
            <v>0</v>
          </cell>
          <cell r="Z2041">
            <v>0</v>
          </cell>
          <cell r="AA2041">
            <v>29.697537000000001</v>
          </cell>
          <cell r="AB2041">
            <v>0.62830680000000005</v>
          </cell>
        </row>
        <row r="2042">
          <cell r="A2042">
            <v>32130210</v>
          </cell>
          <cell r="B2042" t="str">
            <v>Egg omelet or scrambled egg, with meat, made with oil</v>
          </cell>
          <cell r="I2042">
            <v>110</v>
          </cell>
          <cell r="J2042">
            <v>218.04365999999999</v>
          </cell>
          <cell r="K2042">
            <v>1.9822150909090908</v>
          </cell>
          <cell r="L2042">
            <v>0</v>
          </cell>
          <cell r="M2042">
            <v>4.8379307000000003</v>
          </cell>
          <cell r="N2042">
            <v>0</v>
          </cell>
          <cell r="O2042">
            <v>5.3481399999999998E-2</v>
          </cell>
          <cell r="P2042">
            <v>0</v>
          </cell>
          <cell r="Q2042">
            <v>3.8446918999999999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0.60538170000000002</v>
          </cell>
          <cell r="Y2042">
            <v>0</v>
          </cell>
          <cell r="Z2042">
            <v>0</v>
          </cell>
          <cell r="AA2042">
            <v>29.739066999999999</v>
          </cell>
          <cell r="AB2042">
            <v>0.27518150000000002</v>
          </cell>
        </row>
        <row r="2043">
          <cell r="A2043">
            <v>32130220</v>
          </cell>
          <cell r="B2043" t="str">
            <v>Egg omelet or scrambled egg, with meat, made with butter</v>
          </cell>
          <cell r="I2043">
            <v>110</v>
          </cell>
          <cell r="J2043">
            <v>212.56115</v>
          </cell>
          <cell r="K2043">
            <v>1.932374090909091</v>
          </cell>
          <cell r="L2043">
            <v>0</v>
          </cell>
          <cell r="M2043">
            <v>6.3138817999999999</v>
          </cell>
          <cell r="N2043">
            <v>0</v>
          </cell>
          <cell r="O2043">
            <v>5.4328099999999997E-2</v>
          </cell>
          <cell r="P2043">
            <v>0</v>
          </cell>
          <cell r="Q2043">
            <v>2.4232409000000001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0.62945359999999995</v>
          </cell>
          <cell r="Y2043">
            <v>0</v>
          </cell>
          <cell r="Z2043">
            <v>0</v>
          </cell>
          <cell r="AA2043">
            <v>29.697537000000001</v>
          </cell>
          <cell r="AB2043">
            <v>0.39618999999999999</v>
          </cell>
        </row>
        <row r="2044">
          <cell r="A2044">
            <v>32130240</v>
          </cell>
          <cell r="B2044" t="str">
            <v>Egg omelet or scrambled egg, with meat, made with animal fat or meat drippings</v>
          </cell>
          <cell r="I2044">
            <v>110</v>
          </cell>
          <cell r="J2044">
            <v>214.93606</v>
          </cell>
          <cell r="K2044">
            <v>1.9539641818181819</v>
          </cell>
          <cell r="L2044">
            <v>0</v>
          </cell>
          <cell r="M2044">
            <v>5.5869064000000002</v>
          </cell>
          <cell r="N2044">
            <v>0</v>
          </cell>
          <cell r="O2044">
            <v>5.3732000000000002E-2</v>
          </cell>
          <cell r="P2044">
            <v>0</v>
          </cell>
          <cell r="Q2044">
            <v>2.6663644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0.62785199999999997</v>
          </cell>
          <cell r="Y2044">
            <v>0</v>
          </cell>
          <cell r="Z2044">
            <v>0</v>
          </cell>
          <cell r="AA2044">
            <v>29.799426</v>
          </cell>
          <cell r="AB2044">
            <v>0.36884109999999998</v>
          </cell>
        </row>
        <row r="2045">
          <cell r="A2045">
            <v>32130260</v>
          </cell>
          <cell r="B2045" t="str">
            <v>Egg omelet or scrambled egg, with meat, made with cooking spray</v>
          </cell>
          <cell r="I2045">
            <v>110</v>
          </cell>
          <cell r="J2045">
            <v>193.60136</v>
          </cell>
          <cell r="K2045">
            <v>1.7600123636363636</v>
          </cell>
          <cell r="L2045">
            <v>0</v>
          </cell>
          <cell r="M2045">
            <v>4.4829603000000002</v>
          </cell>
          <cell r="N2045">
            <v>0</v>
          </cell>
          <cell r="O2045">
            <v>5.5178100000000001E-2</v>
          </cell>
          <cell r="P2045">
            <v>0</v>
          </cell>
          <cell r="Q2045">
            <v>2.4571681000000001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0.62487809999999999</v>
          </cell>
          <cell r="Y2045">
            <v>0</v>
          </cell>
          <cell r="Z2045">
            <v>0</v>
          </cell>
          <cell r="AA2045">
            <v>30.687937999999999</v>
          </cell>
          <cell r="AB2045">
            <v>0.26866299999999999</v>
          </cell>
        </row>
        <row r="2046">
          <cell r="A2046">
            <v>32130265</v>
          </cell>
          <cell r="B2046" t="str">
            <v>Egg omelet or scrambled egg, with meat, NS as to type of fat</v>
          </cell>
          <cell r="I2046">
            <v>110</v>
          </cell>
          <cell r="J2046">
            <v>214.1104</v>
          </cell>
          <cell r="K2046">
            <v>1.9464581818181819</v>
          </cell>
          <cell r="L2046">
            <v>0</v>
          </cell>
          <cell r="M2046">
            <v>5.2681426</v>
          </cell>
          <cell r="N2046">
            <v>0</v>
          </cell>
          <cell r="O2046">
            <v>5.3863500000000002E-2</v>
          </cell>
          <cell r="P2046">
            <v>0</v>
          </cell>
          <cell r="Q2046">
            <v>3.3324588999999998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0.61739200000000005</v>
          </cell>
          <cell r="Y2046">
            <v>0</v>
          </cell>
          <cell r="Z2046">
            <v>0</v>
          </cell>
          <cell r="AA2046">
            <v>29.711417000000001</v>
          </cell>
          <cell r="AB2046">
            <v>0.32667040000000003</v>
          </cell>
        </row>
        <row r="2047">
          <cell r="A2047">
            <v>32130270</v>
          </cell>
          <cell r="B2047" t="str">
            <v>Egg omelet or scrambled egg, with meat, made without fat</v>
          </cell>
          <cell r="I2047">
            <v>110</v>
          </cell>
          <cell r="J2047">
            <v>191.50703999999999</v>
          </cell>
          <cell r="K2047">
            <v>1.7409730909090908</v>
          </cell>
          <cell r="L2047">
            <v>0</v>
          </cell>
          <cell r="M2047">
            <v>4.4797317999999997</v>
          </cell>
          <cell r="N2047">
            <v>0</v>
          </cell>
          <cell r="O2047">
            <v>5.5348700000000001E-2</v>
          </cell>
          <cell r="P2047">
            <v>0</v>
          </cell>
          <cell r="Q2047">
            <v>2.3894725000000001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0.62660879999999997</v>
          </cell>
          <cell r="Y2047">
            <v>0</v>
          </cell>
          <cell r="Z2047">
            <v>0</v>
          </cell>
          <cell r="AA2047">
            <v>30.782788</v>
          </cell>
          <cell r="AB2047">
            <v>0.26700449999999998</v>
          </cell>
        </row>
        <row r="2048">
          <cell r="A2048">
            <v>32130290</v>
          </cell>
          <cell r="B2048" t="str">
            <v>Egg omelet or scrambled egg, with cheese and meat, NS as to fat added in cooking</v>
          </cell>
          <cell r="I2048">
            <v>110</v>
          </cell>
          <cell r="J2048">
            <v>232.69515999999999</v>
          </cell>
          <cell r="K2048">
            <v>2.1154105454545453</v>
          </cell>
          <cell r="L2048">
            <v>0</v>
          </cell>
          <cell r="M2048">
            <v>6.5178535000000002</v>
          </cell>
          <cell r="N2048">
            <v>0</v>
          </cell>
          <cell r="O2048">
            <v>0.1125447</v>
          </cell>
          <cell r="P2048">
            <v>0</v>
          </cell>
          <cell r="Q2048">
            <v>3.1896686000000001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0.62553550000000002</v>
          </cell>
          <cell r="Y2048">
            <v>0</v>
          </cell>
          <cell r="Z2048">
            <v>0</v>
          </cell>
          <cell r="AA2048">
            <v>27.313655000000001</v>
          </cell>
          <cell r="AB2048">
            <v>0.43577149999999998</v>
          </cell>
        </row>
        <row r="2049">
          <cell r="A2049">
            <v>32130300</v>
          </cell>
          <cell r="B2049" t="str">
            <v>Egg omelet or scrambled egg, with cheese and meat, made with margarine</v>
          </cell>
          <cell r="I2049">
            <v>110</v>
          </cell>
          <cell r="J2049">
            <v>231.2629</v>
          </cell>
          <cell r="K2049">
            <v>2.1023900000000002</v>
          </cell>
          <cell r="L2049">
            <v>0</v>
          </cell>
          <cell r="M2049">
            <v>6.1888342999999999</v>
          </cell>
          <cell r="N2049">
            <v>0</v>
          </cell>
          <cell r="O2049">
            <v>0.1121979</v>
          </cell>
          <cell r="P2049">
            <v>0</v>
          </cell>
          <cell r="Q2049">
            <v>3.1117883000000002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0.64047100000000001</v>
          </cell>
          <cell r="Y2049">
            <v>0</v>
          </cell>
          <cell r="Z2049">
            <v>0</v>
          </cell>
          <cell r="AA2049">
            <v>27.301924</v>
          </cell>
          <cell r="AB2049">
            <v>0.65899200000000002</v>
          </cell>
        </row>
        <row r="2050">
          <cell r="A2050">
            <v>32130310</v>
          </cell>
          <cell r="B2050" t="str">
            <v>Egg omelet or scrambled egg, with cheese and meat, made with oil</v>
          </cell>
          <cell r="I2050">
            <v>110</v>
          </cell>
          <cell r="J2050">
            <v>236.32662999999999</v>
          </cell>
          <cell r="K2050">
            <v>2.148423909090909</v>
          </cell>
          <cell r="L2050">
            <v>0</v>
          </cell>
          <cell r="M2050">
            <v>6.1234592000000001</v>
          </cell>
          <cell r="N2050">
            <v>0</v>
          </cell>
          <cell r="O2050">
            <v>0.1122436</v>
          </cell>
          <cell r="P2050">
            <v>0</v>
          </cell>
          <cell r="Q2050">
            <v>3.660406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0.6145022</v>
          </cell>
          <cell r="Y2050">
            <v>0</v>
          </cell>
          <cell r="Z2050">
            <v>0</v>
          </cell>
          <cell r="AA2050">
            <v>27.337021</v>
          </cell>
          <cell r="AB2050">
            <v>0.36985010000000001</v>
          </cell>
        </row>
        <row r="2051">
          <cell r="A2051">
            <v>32130320</v>
          </cell>
          <cell r="B2051" t="str">
            <v>Egg omelet or scrambled egg, with cheese and meat, made with butter</v>
          </cell>
          <cell r="I2051">
            <v>110</v>
          </cell>
          <cell r="J2051">
            <v>231.2629</v>
          </cell>
          <cell r="K2051">
            <v>2.1023900000000002</v>
          </cell>
          <cell r="L2051">
            <v>0</v>
          </cell>
          <cell r="M2051">
            <v>7.4786992999999997</v>
          </cell>
          <cell r="N2051">
            <v>0</v>
          </cell>
          <cell r="O2051">
            <v>0.11294659999999999</v>
          </cell>
          <cell r="P2051">
            <v>0</v>
          </cell>
          <cell r="Q2051">
            <v>2.3538557999999998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0.63662059999999998</v>
          </cell>
          <cell r="Y2051">
            <v>0</v>
          </cell>
          <cell r="Z2051">
            <v>0</v>
          </cell>
          <cell r="AA2051">
            <v>27.301924</v>
          </cell>
          <cell r="AB2051">
            <v>0.48908499999999999</v>
          </cell>
        </row>
        <row r="2052">
          <cell r="A2052">
            <v>32130360</v>
          </cell>
          <cell r="B2052" t="str">
            <v>Egg omelet or scrambled egg, with cheese and meat, made with cooking spray</v>
          </cell>
          <cell r="I2052">
            <v>110</v>
          </cell>
          <cell r="J2052">
            <v>214.45115000000001</v>
          </cell>
          <cell r="K2052">
            <v>1.9495559090909091</v>
          </cell>
          <cell r="L2052">
            <v>0</v>
          </cell>
          <cell r="M2052">
            <v>5.8356057000000003</v>
          </cell>
          <cell r="N2052">
            <v>0</v>
          </cell>
          <cell r="O2052">
            <v>0.1155183</v>
          </cell>
          <cell r="P2052">
            <v>0</v>
          </cell>
          <cell r="Q2052">
            <v>2.382841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0.6326446</v>
          </cell>
          <cell r="Y2052">
            <v>0</v>
          </cell>
          <cell r="Z2052">
            <v>0</v>
          </cell>
          <cell r="AA2052">
            <v>28.136738999999999</v>
          </cell>
          <cell r="AB2052">
            <v>0.37155559999999999</v>
          </cell>
        </row>
        <row r="2053">
          <cell r="A2053">
            <v>32130370</v>
          </cell>
          <cell r="B2053" t="str">
            <v>Egg omelet or scrambled egg, with cheese and meat, made without fat</v>
          </cell>
          <cell r="I2053">
            <v>110</v>
          </cell>
          <cell r="J2053">
            <v>212.59050999999999</v>
          </cell>
          <cell r="K2053">
            <v>1.9326410000000001</v>
          </cell>
          <cell r="L2053">
            <v>0</v>
          </cell>
          <cell r="M2053">
            <v>5.8364786000000004</v>
          </cell>
          <cell r="N2053">
            <v>0</v>
          </cell>
          <cell r="O2053">
            <v>0.11584560000000001</v>
          </cell>
          <cell r="P2053">
            <v>0</v>
          </cell>
          <cell r="Q2053">
            <v>2.3205786000000002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0.63425310000000001</v>
          </cell>
          <cell r="Y2053">
            <v>0</v>
          </cell>
          <cell r="Z2053">
            <v>0</v>
          </cell>
          <cell r="AA2053">
            <v>28.216453000000001</v>
          </cell>
          <cell r="AB2053">
            <v>0.36187930000000001</v>
          </cell>
        </row>
        <row r="2054">
          <cell r="A2054">
            <v>32130400</v>
          </cell>
          <cell r="B2054" t="str">
            <v>Egg omelet or scrambled egg, with tomatoes, fat added in cooking</v>
          </cell>
          <cell r="I2054">
            <v>110</v>
          </cell>
          <cell r="J2054">
            <v>113.35001</v>
          </cell>
          <cell r="K2054">
            <v>1.0304546363636364</v>
          </cell>
          <cell r="L2054">
            <v>0.5209087</v>
          </cell>
          <cell r="M2054">
            <v>2.1504965</v>
          </cell>
          <cell r="N2054">
            <v>0</v>
          </cell>
          <cell r="O2054">
            <v>4.8896000000000002E-2</v>
          </cell>
          <cell r="P2054">
            <v>0</v>
          </cell>
          <cell r="Q2054">
            <v>2.3262081999999999</v>
          </cell>
          <cell r="R2054">
            <v>0</v>
          </cell>
          <cell r="S2054">
            <v>0</v>
          </cell>
          <cell r="T2054">
            <v>0</v>
          </cell>
          <cell r="U2054">
            <v>43.409058000000002</v>
          </cell>
          <cell r="V2054">
            <v>0</v>
          </cell>
          <cell r="W2054">
            <v>0</v>
          </cell>
          <cell r="X2054">
            <v>0.21743299999999999</v>
          </cell>
          <cell r="Y2054">
            <v>0</v>
          </cell>
          <cell r="Z2054">
            <v>0</v>
          </cell>
          <cell r="AA2054">
            <v>0</v>
          </cell>
          <cell r="AB2054">
            <v>8.2751099999999994E-2</v>
          </cell>
        </row>
        <row r="2055">
          <cell r="A2055">
            <v>32130410</v>
          </cell>
          <cell r="B2055" t="str">
            <v>Egg omelet or scrambled egg, with tomatoes, fat not added in cooking</v>
          </cell>
          <cell r="I2055">
            <v>110</v>
          </cell>
          <cell r="J2055">
            <v>86.842899000000003</v>
          </cell>
          <cell r="K2055">
            <v>0.78948090000000004</v>
          </cell>
          <cell r="L2055">
            <v>0.53694920000000002</v>
          </cell>
          <cell r="M2055">
            <v>1.7534577</v>
          </cell>
          <cell r="N2055">
            <v>0</v>
          </cell>
          <cell r="O2055">
            <v>5.0393199999999999E-2</v>
          </cell>
          <cell r="P2055">
            <v>0</v>
          </cell>
          <cell r="Q2055">
            <v>1.0026379999999999</v>
          </cell>
          <cell r="R2055">
            <v>0</v>
          </cell>
          <cell r="S2055">
            <v>0</v>
          </cell>
          <cell r="T2055">
            <v>0</v>
          </cell>
          <cell r="U2055">
            <v>44.745762999999997</v>
          </cell>
          <cell r="V2055">
            <v>0</v>
          </cell>
          <cell r="W2055">
            <v>0</v>
          </cell>
          <cell r="X2055">
            <v>0.22411149999999999</v>
          </cell>
          <cell r="Y2055">
            <v>0</v>
          </cell>
          <cell r="Z2055">
            <v>0</v>
          </cell>
          <cell r="AA2055">
            <v>0</v>
          </cell>
          <cell r="AB2055">
            <v>6.95857E-2</v>
          </cell>
        </row>
        <row r="2056">
          <cell r="A2056">
            <v>32130420</v>
          </cell>
          <cell r="B2056" t="str">
            <v>Egg omelet or scrambled egg, with tomatoes, NS as to fat added in cooking</v>
          </cell>
          <cell r="I2056">
            <v>110</v>
          </cell>
          <cell r="J2056">
            <v>113.35001</v>
          </cell>
          <cell r="K2056">
            <v>1.0304546363636364</v>
          </cell>
          <cell r="L2056">
            <v>0.5209087</v>
          </cell>
          <cell r="M2056">
            <v>2.1504965</v>
          </cell>
          <cell r="N2056">
            <v>0</v>
          </cell>
          <cell r="O2056">
            <v>4.8896000000000002E-2</v>
          </cell>
          <cell r="P2056">
            <v>0</v>
          </cell>
          <cell r="Q2056">
            <v>2.3262081999999999</v>
          </cell>
          <cell r="R2056">
            <v>0</v>
          </cell>
          <cell r="S2056">
            <v>0</v>
          </cell>
          <cell r="T2056">
            <v>0</v>
          </cell>
          <cell r="U2056">
            <v>43.409058000000002</v>
          </cell>
          <cell r="V2056">
            <v>0</v>
          </cell>
          <cell r="W2056">
            <v>0</v>
          </cell>
          <cell r="X2056">
            <v>0.21743299999999999</v>
          </cell>
          <cell r="Y2056">
            <v>0</v>
          </cell>
          <cell r="Z2056">
            <v>0</v>
          </cell>
          <cell r="AA2056">
            <v>0</v>
          </cell>
          <cell r="AB2056">
            <v>8.29516E-2</v>
          </cell>
        </row>
        <row r="2057">
          <cell r="A2057">
            <v>32130430</v>
          </cell>
          <cell r="B2057" t="str">
            <v>Egg omelet or scrambled egg, with dark-green vegetables, fat added in cooking</v>
          </cell>
          <cell r="I2057">
            <v>110</v>
          </cell>
          <cell r="J2057">
            <v>150.61882</v>
          </cell>
          <cell r="K2057">
            <v>1.369262</v>
          </cell>
          <cell r="L2057">
            <v>0.46926580000000001</v>
          </cell>
          <cell r="M2057">
            <v>2.9405614999999998</v>
          </cell>
          <cell r="N2057">
            <v>0</v>
          </cell>
          <cell r="O2057">
            <v>7.2029200000000002E-2</v>
          </cell>
          <cell r="P2057">
            <v>0</v>
          </cell>
          <cell r="Q2057">
            <v>3.1528442000000001</v>
          </cell>
          <cell r="R2057">
            <v>0</v>
          </cell>
          <cell r="S2057">
            <v>0</v>
          </cell>
          <cell r="T2057">
            <v>0</v>
          </cell>
          <cell r="U2057">
            <v>18.684649</v>
          </cell>
          <cell r="V2057">
            <v>0</v>
          </cell>
          <cell r="W2057">
            <v>0</v>
          </cell>
          <cell r="X2057">
            <v>0.30325429999999998</v>
          </cell>
          <cell r="Y2057">
            <v>0</v>
          </cell>
          <cell r="Z2057">
            <v>0</v>
          </cell>
          <cell r="AA2057">
            <v>0</v>
          </cell>
          <cell r="AB2057">
            <v>0.1142449</v>
          </cell>
        </row>
        <row r="2058">
          <cell r="A2058">
            <v>32130440</v>
          </cell>
          <cell r="B2058" t="str">
            <v>Egg omelet or scrambled egg, with dark-green vegetables, fat not added in cooking</v>
          </cell>
          <cell r="I2058">
            <v>110</v>
          </cell>
          <cell r="J2058">
            <v>115.44148</v>
          </cell>
          <cell r="K2058">
            <v>1.0494680000000001</v>
          </cell>
          <cell r="L2058">
            <v>0.48931029999999998</v>
          </cell>
          <cell r="M2058">
            <v>2.4235576000000001</v>
          </cell>
          <cell r="N2058">
            <v>0</v>
          </cell>
          <cell r="O2058">
            <v>7.50942E-2</v>
          </cell>
          <cell r="P2058">
            <v>0</v>
          </cell>
          <cell r="Q2058">
            <v>1.3521669999999999</v>
          </cell>
          <cell r="R2058">
            <v>0</v>
          </cell>
          <cell r="S2058">
            <v>0</v>
          </cell>
          <cell r="T2058">
            <v>0</v>
          </cell>
          <cell r="U2058">
            <v>19.482759000000001</v>
          </cell>
          <cell r="V2058">
            <v>0</v>
          </cell>
          <cell r="W2058">
            <v>0</v>
          </cell>
          <cell r="X2058">
            <v>0.31618429999999997</v>
          </cell>
          <cell r="Y2058">
            <v>0</v>
          </cell>
          <cell r="Z2058">
            <v>0</v>
          </cell>
          <cell r="AA2058">
            <v>0</v>
          </cell>
          <cell r="AB2058">
            <v>9.9917900000000004E-2</v>
          </cell>
        </row>
        <row r="2059">
          <cell r="A2059">
            <v>32130450</v>
          </cell>
          <cell r="B2059" t="str">
            <v>Egg omelet or scrambled egg, with dark-green vegetables, NS as to fat added in cooking</v>
          </cell>
          <cell r="I2059">
            <v>110</v>
          </cell>
          <cell r="J2059">
            <v>150.61882</v>
          </cell>
          <cell r="K2059">
            <v>1.369262</v>
          </cell>
          <cell r="L2059">
            <v>0.46926580000000001</v>
          </cell>
          <cell r="M2059">
            <v>2.9405614999999998</v>
          </cell>
          <cell r="N2059">
            <v>0</v>
          </cell>
          <cell r="O2059">
            <v>7.2029200000000002E-2</v>
          </cell>
          <cell r="P2059">
            <v>0</v>
          </cell>
          <cell r="Q2059">
            <v>3.1528442000000001</v>
          </cell>
          <cell r="R2059">
            <v>0</v>
          </cell>
          <cell r="S2059">
            <v>0</v>
          </cell>
          <cell r="T2059">
            <v>0</v>
          </cell>
          <cell r="U2059">
            <v>18.684649</v>
          </cell>
          <cell r="V2059">
            <v>0</v>
          </cell>
          <cell r="W2059">
            <v>0</v>
          </cell>
          <cell r="X2059">
            <v>0.30325429999999998</v>
          </cell>
          <cell r="Y2059">
            <v>0</v>
          </cell>
          <cell r="Z2059">
            <v>0</v>
          </cell>
          <cell r="AA2059">
            <v>0</v>
          </cell>
          <cell r="AB2059">
            <v>0.1137577</v>
          </cell>
        </row>
        <row r="2060">
          <cell r="A2060">
            <v>32130460</v>
          </cell>
          <cell r="B2060" t="str">
            <v>Egg omelet or scrambled egg, with tomatoes and dark-green vegetables, fat added in cooking</v>
          </cell>
          <cell r="I2060">
            <v>110</v>
          </cell>
          <cell r="J2060">
            <v>135.45330000000001</v>
          </cell>
          <cell r="K2060">
            <v>1.2313936363636364</v>
          </cell>
          <cell r="L2060">
            <v>0.49035450000000003</v>
          </cell>
          <cell r="M2060">
            <v>2.6190514999999999</v>
          </cell>
          <cell r="N2060">
            <v>0</v>
          </cell>
          <cell r="O2060">
            <v>6.2618199999999999E-2</v>
          </cell>
          <cell r="P2060">
            <v>0</v>
          </cell>
          <cell r="Q2060">
            <v>2.8164501999999998</v>
          </cell>
          <cell r="R2060">
            <v>0</v>
          </cell>
          <cell r="S2060">
            <v>0</v>
          </cell>
          <cell r="T2060">
            <v>0</v>
          </cell>
          <cell r="U2060">
            <v>28.746061000000001</v>
          </cell>
          <cell r="V2060">
            <v>0</v>
          </cell>
          <cell r="W2060">
            <v>0</v>
          </cell>
          <cell r="X2060">
            <v>0.26833220000000002</v>
          </cell>
          <cell r="Y2060">
            <v>0</v>
          </cell>
          <cell r="Z2060">
            <v>0</v>
          </cell>
          <cell r="AA2060">
            <v>0</v>
          </cell>
          <cell r="AB2060">
            <v>0.101552</v>
          </cell>
        </row>
        <row r="2061">
          <cell r="A2061">
            <v>32130480</v>
          </cell>
          <cell r="B2061" t="str">
            <v>Egg omelet or scrambled egg, with tomatoes and dark-green vegetables, NS as to fat added in cooking</v>
          </cell>
          <cell r="I2061">
            <v>110</v>
          </cell>
          <cell r="J2061">
            <v>134.77002999999999</v>
          </cell>
          <cell r="K2061">
            <v>1.2251820909090909</v>
          </cell>
          <cell r="L2061">
            <v>0.49891629999999998</v>
          </cell>
          <cell r="M2061">
            <v>2.5701852000000001</v>
          </cell>
          <cell r="N2061">
            <v>0</v>
          </cell>
          <cell r="O2061">
            <v>6.2863000000000002E-2</v>
          </cell>
          <cell r="P2061">
            <v>0</v>
          </cell>
          <cell r="Q2061">
            <v>2.8866719000000001</v>
          </cell>
          <cell r="R2061">
            <v>0</v>
          </cell>
          <cell r="S2061">
            <v>0</v>
          </cell>
          <cell r="T2061">
            <v>0</v>
          </cell>
          <cell r="U2061">
            <v>29.106584000000002</v>
          </cell>
          <cell r="V2061">
            <v>0</v>
          </cell>
          <cell r="W2061">
            <v>0</v>
          </cell>
          <cell r="X2061">
            <v>0.26750790000000002</v>
          </cell>
          <cell r="Y2061">
            <v>0</v>
          </cell>
          <cell r="Z2061">
            <v>0</v>
          </cell>
          <cell r="AA2061">
            <v>0</v>
          </cell>
          <cell r="AB2061">
            <v>0.10042470000000001</v>
          </cell>
        </row>
        <row r="2062">
          <cell r="A2062">
            <v>32130490</v>
          </cell>
          <cell r="B2062" t="str">
            <v>Egg omelet or scrambled egg, with vegetables other than dark green and/or tomatoes, fat added in cooking</v>
          </cell>
          <cell r="I2062">
            <v>110</v>
          </cell>
          <cell r="J2062">
            <v>150.47584000000001</v>
          </cell>
          <cell r="K2062">
            <v>1.367962181818182</v>
          </cell>
          <cell r="L2062">
            <v>0.50696540000000001</v>
          </cell>
          <cell r="M2062">
            <v>2.7709147999999999</v>
          </cell>
          <cell r="N2062">
            <v>0</v>
          </cell>
          <cell r="O2062">
            <v>5.49358E-2</v>
          </cell>
          <cell r="P2062">
            <v>0</v>
          </cell>
          <cell r="Q2062">
            <v>3.6271003999999998</v>
          </cell>
          <cell r="R2062">
            <v>0</v>
          </cell>
          <cell r="S2062">
            <v>0</v>
          </cell>
          <cell r="T2062">
            <v>0</v>
          </cell>
          <cell r="U2062">
            <v>32.276251999999999</v>
          </cell>
          <cell r="V2062">
            <v>0</v>
          </cell>
          <cell r="W2062">
            <v>0</v>
          </cell>
          <cell r="X2062">
            <v>0.24448600000000001</v>
          </cell>
          <cell r="Y2062">
            <v>0</v>
          </cell>
          <cell r="Z2062">
            <v>0</v>
          </cell>
          <cell r="AA2062">
            <v>0</v>
          </cell>
          <cell r="AB2062">
            <v>0.1053767</v>
          </cell>
        </row>
        <row r="2063">
          <cell r="A2063">
            <v>32130500</v>
          </cell>
          <cell r="B2063" t="str">
            <v>Egg omelet or scrambled egg, with vegetables other than dark green and/or tomatoes, fat not added in cooking</v>
          </cell>
          <cell r="I2063">
            <v>110</v>
          </cell>
          <cell r="J2063">
            <v>101.37541</v>
          </cell>
          <cell r="K2063">
            <v>0.92159463636363637</v>
          </cell>
          <cell r="L2063">
            <v>0.53718589999999999</v>
          </cell>
          <cell r="M2063">
            <v>2.0392948</v>
          </cell>
          <cell r="N2063">
            <v>0</v>
          </cell>
          <cell r="O2063">
            <v>5.8194200000000001E-2</v>
          </cell>
          <cell r="P2063">
            <v>0</v>
          </cell>
          <cell r="Q2063">
            <v>1.1424274999999999</v>
          </cell>
          <cell r="R2063">
            <v>0</v>
          </cell>
          <cell r="S2063">
            <v>0</v>
          </cell>
          <cell r="T2063">
            <v>0</v>
          </cell>
          <cell r="U2063">
            <v>34.200263999999997</v>
          </cell>
          <cell r="V2063">
            <v>0</v>
          </cell>
          <cell r="W2063">
            <v>0</v>
          </cell>
          <cell r="X2063">
            <v>0.25902720000000001</v>
          </cell>
          <cell r="Y2063">
            <v>0</v>
          </cell>
          <cell r="Z2063">
            <v>0</v>
          </cell>
          <cell r="AA2063">
            <v>0</v>
          </cell>
          <cell r="AB2063">
            <v>8.2430799999999999E-2</v>
          </cell>
        </row>
        <row r="2064">
          <cell r="A2064">
            <v>32130510</v>
          </cell>
          <cell r="B2064" t="str">
            <v>Egg omelet or scrambled egg, with vegetables other than dark green and/or tomatoes, NS as to fat added in cooking</v>
          </cell>
          <cell r="I2064">
            <v>110</v>
          </cell>
          <cell r="J2064">
            <v>150.47584000000001</v>
          </cell>
          <cell r="K2064">
            <v>1.367962181818182</v>
          </cell>
          <cell r="L2064">
            <v>0.50696540000000001</v>
          </cell>
          <cell r="M2064">
            <v>2.7709147999999999</v>
          </cell>
          <cell r="N2064">
            <v>0</v>
          </cell>
          <cell r="O2064">
            <v>5.49358E-2</v>
          </cell>
          <cell r="P2064">
            <v>0</v>
          </cell>
          <cell r="Q2064">
            <v>3.6271003999999998</v>
          </cell>
          <cell r="R2064">
            <v>0</v>
          </cell>
          <cell r="S2064">
            <v>0</v>
          </cell>
          <cell r="T2064">
            <v>0</v>
          </cell>
          <cell r="U2064">
            <v>32.276251999999999</v>
          </cell>
          <cell r="V2064">
            <v>0</v>
          </cell>
          <cell r="W2064">
            <v>0</v>
          </cell>
          <cell r="X2064">
            <v>0.24448600000000001</v>
          </cell>
          <cell r="Y2064">
            <v>0</v>
          </cell>
          <cell r="Z2064">
            <v>0</v>
          </cell>
          <cell r="AA2064">
            <v>0</v>
          </cell>
          <cell r="AB2064">
            <v>0.1055137</v>
          </cell>
        </row>
        <row r="2065">
          <cell r="A2065">
            <v>32130600</v>
          </cell>
          <cell r="B2065" t="str">
            <v>Egg omelet or scrambled egg, with cheese and tomatoes, fat added in cooking</v>
          </cell>
          <cell r="I2065">
            <v>110</v>
          </cell>
          <cell r="J2065">
            <v>137.13741999999999</v>
          </cell>
          <cell r="K2065">
            <v>1.2467038181818182</v>
          </cell>
          <cell r="L2065">
            <v>0.48347909999999999</v>
          </cell>
          <cell r="M2065">
            <v>3.4872192000000002</v>
          </cell>
          <cell r="N2065">
            <v>0</v>
          </cell>
          <cell r="O2065">
            <v>0.10150090000000001</v>
          </cell>
          <cell r="P2065">
            <v>0</v>
          </cell>
          <cell r="Q2065">
            <v>2.2713754000000002</v>
          </cell>
          <cell r="R2065">
            <v>0</v>
          </cell>
          <cell r="S2065">
            <v>0</v>
          </cell>
          <cell r="T2065">
            <v>0</v>
          </cell>
          <cell r="U2065">
            <v>40.289924999999997</v>
          </cell>
          <cell r="V2065">
            <v>0</v>
          </cell>
          <cell r="W2065">
            <v>0</v>
          </cell>
          <cell r="X2065">
            <v>0.25342249999999999</v>
          </cell>
          <cell r="Y2065">
            <v>0</v>
          </cell>
          <cell r="Z2065">
            <v>0</v>
          </cell>
          <cell r="AA2065">
            <v>0</v>
          </cell>
          <cell r="AB2065">
            <v>0.1834433</v>
          </cell>
        </row>
        <row r="2066">
          <cell r="A2066">
            <v>32130610</v>
          </cell>
          <cell r="B2066" t="str">
            <v>Egg omelet or scrambled egg, with cheese and tomatoes, fat not added in cooking</v>
          </cell>
          <cell r="I2066">
            <v>110</v>
          </cell>
          <cell r="J2066">
            <v>113.26764</v>
          </cell>
          <cell r="K2066">
            <v>1.0297058181818182</v>
          </cell>
          <cell r="L2066">
            <v>0.49726670000000001</v>
          </cell>
          <cell r="M2066">
            <v>3.1576428999999999</v>
          </cell>
          <cell r="N2066">
            <v>0</v>
          </cell>
          <cell r="O2066">
            <v>0.1043877</v>
          </cell>
          <cell r="P2066">
            <v>0</v>
          </cell>
          <cell r="Q2066">
            <v>1.0440582</v>
          </cell>
          <cell r="R2066">
            <v>0</v>
          </cell>
          <cell r="S2066">
            <v>0</v>
          </cell>
          <cell r="T2066">
            <v>0</v>
          </cell>
          <cell r="U2066">
            <v>41.438892000000003</v>
          </cell>
          <cell r="V2066">
            <v>0</v>
          </cell>
          <cell r="W2066">
            <v>0</v>
          </cell>
          <cell r="X2066">
            <v>0.26063380000000003</v>
          </cell>
          <cell r="Y2066">
            <v>0</v>
          </cell>
          <cell r="Z2066">
            <v>0</v>
          </cell>
          <cell r="AA2066">
            <v>0</v>
          </cell>
          <cell r="AB2066">
            <v>0.16576879999999999</v>
          </cell>
        </row>
        <row r="2067">
          <cell r="A2067">
            <v>32130620</v>
          </cell>
          <cell r="B2067" t="str">
            <v>Egg omelet or scrambled egg, with cheese and tomatoes, NS as to fat added in cooking</v>
          </cell>
          <cell r="I2067">
            <v>110</v>
          </cell>
          <cell r="J2067">
            <v>137.13741999999999</v>
          </cell>
          <cell r="K2067">
            <v>1.2467038181818182</v>
          </cell>
          <cell r="L2067">
            <v>0.48347909999999999</v>
          </cell>
          <cell r="M2067">
            <v>3.4872192000000002</v>
          </cell>
          <cell r="N2067">
            <v>0</v>
          </cell>
          <cell r="O2067">
            <v>0.10150090000000001</v>
          </cell>
          <cell r="P2067">
            <v>0</v>
          </cell>
          <cell r="Q2067">
            <v>2.2713754000000002</v>
          </cell>
          <cell r="R2067">
            <v>0</v>
          </cell>
          <cell r="S2067">
            <v>0</v>
          </cell>
          <cell r="T2067">
            <v>0</v>
          </cell>
          <cell r="U2067">
            <v>40.289924999999997</v>
          </cell>
          <cell r="V2067">
            <v>0</v>
          </cell>
          <cell r="W2067">
            <v>0</v>
          </cell>
          <cell r="X2067">
            <v>0.25342249999999999</v>
          </cell>
          <cell r="Y2067">
            <v>0</v>
          </cell>
          <cell r="Z2067">
            <v>0</v>
          </cell>
          <cell r="AA2067">
            <v>0</v>
          </cell>
          <cell r="AB2067">
            <v>0.18125630000000001</v>
          </cell>
        </row>
        <row r="2068">
          <cell r="A2068">
            <v>32130630</v>
          </cell>
          <cell r="B2068" t="str">
            <v>Egg omelet or scrambled egg, with cheese and dark-green vegetables, fat added in cooking</v>
          </cell>
          <cell r="I2068">
            <v>110</v>
          </cell>
          <cell r="J2068">
            <v>178.81379000000001</v>
          </cell>
          <cell r="K2068">
            <v>1.6255799090909091</v>
          </cell>
          <cell r="L2068">
            <v>0.42422910000000003</v>
          </cell>
          <cell r="M2068">
            <v>4.6501364000000001</v>
          </cell>
          <cell r="N2068">
            <v>0</v>
          </cell>
          <cell r="O2068">
            <v>0.1400711</v>
          </cell>
          <cell r="P2068">
            <v>0</v>
          </cell>
          <cell r="Q2068">
            <v>3.0002721999999999</v>
          </cell>
          <cell r="R2068">
            <v>0</v>
          </cell>
          <cell r="S2068">
            <v>0</v>
          </cell>
          <cell r="T2068">
            <v>0</v>
          </cell>
          <cell r="U2068">
            <v>16.891432999999999</v>
          </cell>
          <cell r="V2068">
            <v>0</v>
          </cell>
          <cell r="W2068">
            <v>0</v>
          </cell>
          <cell r="X2068">
            <v>0.34308739999999999</v>
          </cell>
          <cell r="Y2068">
            <v>0</v>
          </cell>
          <cell r="Z2068">
            <v>0</v>
          </cell>
          <cell r="AA2068">
            <v>0</v>
          </cell>
          <cell r="AB2068">
            <v>0.25469510000000001</v>
          </cell>
        </row>
        <row r="2069">
          <cell r="A2069">
            <v>32130650</v>
          </cell>
          <cell r="B2069" t="str">
            <v>Egg omelet or scrambled egg, with cheese and dark-green vegetables, NS as to fat added in cooking</v>
          </cell>
          <cell r="I2069">
            <v>110</v>
          </cell>
          <cell r="J2069">
            <v>178.81379000000001</v>
          </cell>
          <cell r="K2069">
            <v>1.6255799090909091</v>
          </cell>
          <cell r="L2069">
            <v>0.42422910000000003</v>
          </cell>
          <cell r="M2069">
            <v>4.6501364000000001</v>
          </cell>
          <cell r="N2069">
            <v>0</v>
          </cell>
          <cell r="O2069">
            <v>0.1400711</v>
          </cell>
          <cell r="P2069">
            <v>0</v>
          </cell>
          <cell r="Q2069">
            <v>3.0002721999999999</v>
          </cell>
          <cell r="R2069">
            <v>0</v>
          </cell>
          <cell r="S2069">
            <v>0</v>
          </cell>
          <cell r="T2069">
            <v>0</v>
          </cell>
          <cell r="U2069">
            <v>16.891432999999999</v>
          </cell>
          <cell r="V2069">
            <v>0</v>
          </cell>
          <cell r="W2069">
            <v>0</v>
          </cell>
          <cell r="X2069">
            <v>0.34308739999999999</v>
          </cell>
          <cell r="Y2069">
            <v>0</v>
          </cell>
          <cell r="Z2069">
            <v>0</v>
          </cell>
          <cell r="AA2069">
            <v>0</v>
          </cell>
          <cell r="AB2069">
            <v>0.24263889999999999</v>
          </cell>
        </row>
        <row r="2070">
          <cell r="A2070">
            <v>32130660</v>
          </cell>
          <cell r="B2070" t="str">
            <v>Egg omelet or scrambled egg, with cheese, tomatoes, and dark-green vegetables, fat added in cooking</v>
          </cell>
          <cell r="I2070">
            <v>110</v>
          </cell>
          <cell r="J2070">
            <v>162.06066999999999</v>
          </cell>
          <cell r="K2070">
            <v>1.4732788181818182</v>
          </cell>
          <cell r="L2070">
            <v>0.44863550000000002</v>
          </cell>
          <cell r="M2070">
            <v>4.1825049999999999</v>
          </cell>
          <cell r="N2070">
            <v>0</v>
          </cell>
          <cell r="O2070">
            <v>0.1245825</v>
          </cell>
          <cell r="P2070">
            <v>0</v>
          </cell>
          <cell r="Q2070">
            <v>2.7071567999999999</v>
          </cell>
          <cell r="R2070">
            <v>0</v>
          </cell>
          <cell r="S2070">
            <v>0</v>
          </cell>
          <cell r="T2070">
            <v>0</v>
          </cell>
          <cell r="U2070">
            <v>26.300561999999999</v>
          </cell>
          <cell r="V2070">
            <v>0</v>
          </cell>
          <cell r="W2070">
            <v>0</v>
          </cell>
          <cell r="X2070">
            <v>0.30704769999999998</v>
          </cell>
          <cell r="Y2070">
            <v>0</v>
          </cell>
          <cell r="Z2070">
            <v>0</v>
          </cell>
          <cell r="AA2070">
            <v>0</v>
          </cell>
          <cell r="AB2070">
            <v>0.21837229999999999</v>
          </cell>
        </row>
        <row r="2071">
          <cell r="A2071">
            <v>32130690</v>
          </cell>
          <cell r="B2071" t="str">
            <v>Egg omelet or scrambled egg, with cheese and vegetables other than dark green and/or tomatoes, fat added in cooking</v>
          </cell>
          <cell r="I2071">
            <v>110</v>
          </cell>
          <cell r="J2071">
            <v>174.12058999999999</v>
          </cell>
          <cell r="K2071">
            <v>1.5829144545454545</v>
          </cell>
          <cell r="L2071">
            <v>0.4661825</v>
          </cell>
          <cell r="M2071">
            <v>4.2175409000000004</v>
          </cell>
          <cell r="N2071">
            <v>0</v>
          </cell>
          <cell r="O2071">
            <v>0.1133441</v>
          </cell>
          <cell r="P2071">
            <v>0</v>
          </cell>
          <cell r="Q2071">
            <v>3.4610618</v>
          </cell>
          <cell r="R2071">
            <v>0</v>
          </cell>
          <cell r="S2071">
            <v>0</v>
          </cell>
          <cell r="T2071">
            <v>0</v>
          </cell>
          <cell r="U2071">
            <v>29.679787000000001</v>
          </cell>
          <cell r="V2071">
            <v>0</v>
          </cell>
          <cell r="W2071">
            <v>0</v>
          </cell>
          <cell r="X2071">
            <v>0.28260200000000002</v>
          </cell>
          <cell r="Y2071">
            <v>0</v>
          </cell>
          <cell r="Z2071">
            <v>0</v>
          </cell>
          <cell r="AA2071">
            <v>0</v>
          </cell>
          <cell r="AB2071">
            <v>0.2178525</v>
          </cell>
        </row>
        <row r="2072">
          <cell r="A2072">
            <v>32130700</v>
          </cell>
          <cell r="B2072" t="str">
            <v>Egg omelet or scrambled egg, with cheese and vegetables other than dark green and/or tomatoes, fat not added in cooking</v>
          </cell>
          <cell r="I2072">
            <v>110</v>
          </cell>
          <cell r="J2072">
            <v>130.47542999999999</v>
          </cell>
          <cell r="K2072">
            <v>1.1861402727272725</v>
          </cell>
          <cell r="L2072">
            <v>0.49161450000000001</v>
          </cell>
          <cell r="M2072">
            <v>3.6269057999999998</v>
          </cell>
          <cell r="N2072">
            <v>0</v>
          </cell>
          <cell r="O2072">
            <v>0.1195124</v>
          </cell>
          <cell r="P2072">
            <v>0</v>
          </cell>
          <cell r="Q2072">
            <v>1.1781147000000001</v>
          </cell>
          <cell r="R2072">
            <v>0</v>
          </cell>
          <cell r="S2072">
            <v>0</v>
          </cell>
          <cell r="T2072">
            <v>0</v>
          </cell>
          <cell r="U2072">
            <v>31.298931</v>
          </cell>
          <cell r="V2072">
            <v>0</v>
          </cell>
          <cell r="W2072">
            <v>0</v>
          </cell>
          <cell r="X2072">
            <v>0.297989</v>
          </cell>
          <cell r="Y2072">
            <v>0</v>
          </cell>
          <cell r="Z2072">
            <v>0</v>
          </cell>
          <cell r="AA2072">
            <v>0</v>
          </cell>
          <cell r="AB2072">
            <v>0.18339420000000001</v>
          </cell>
        </row>
        <row r="2073">
          <cell r="A2073">
            <v>32130710</v>
          </cell>
          <cell r="B2073" t="str">
            <v>Egg omelet or scrambled egg, with cheese and vegetables other than dark green and/or tomatoes, NS as to fat added in cooking</v>
          </cell>
          <cell r="I2073">
            <v>110</v>
          </cell>
          <cell r="J2073">
            <v>174.12058999999999</v>
          </cell>
          <cell r="K2073">
            <v>1.5829144545454545</v>
          </cell>
          <cell r="L2073">
            <v>0.4661825</v>
          </cell>
          <cell r="M2073">
            <v>4.2175409000000004</v>
          </cell>
          <cell r="N2073">
            <v>0</v>
          </cell>
          <cell r="O2073">
            <v>0.1133441</v>
          </cell>
          <cell r="P2073">
            <v>0</v>
          </cell>
          <cell r="Q2073">
            <v>3.4610618</v>
          </cell>
          <cell r="R2073">
            <v>0</v>
          </cell>
          <cell r="S2073">
            <v>0</v>
          </cell>
          <cell r="T2073">
            <v>0</v>
          </cell>
          <cell r="U2073">
            <v>29.679787000000001</v>
          </cell>
          <cell r="V2073">
            <v>0</v>
          </cell>
          <cell r="W2073">
            <v>0</v>
          </cell>
          <cell r="X2073">
            <v>0.28260200000000002</v>
          </cell>
          <cell r="Y2073">
            <v>0</v>
          </cell>
          <cell r="Z2073">
            <v>0</v>
          </cell>
          <cell r="AA2073">
            <v>0</v>
          </cell>
          <cell r="AB2073">
            <v>0.22354740000000001</v>
          </cell>
        </row>
        <row r="2074">
          <cell r="A2074">
            <v>32130800</v>
          </cell>
          <cell r="B2074" t="str">
            <v>Egg omelet or scrambled egg, with meat and tomatoes, fat added in cooking</v>
          </cell>
          <cell r="I2074">
            <v>110</v>
          </cell>
          <cell r="J2074">
            <v>157.61895000000001</v>
          </cell>
          <cell r="K2074">
            <v>1.4328995454545457</v>
          </cell>
          <cell r="L2074">
            <v>0.33231119999999997</v>
          </cell>
          <cell r="M2074">
            <v>3.3173824000000001</v>
          </cell>
          <cell r="N2074">
            <v>0</v>
          </cell>
          <cell r="O2074">
            <v>4.6961200000000002E-2</v>
          </cell>
          <cell r="P2074">
            <v>0</v>
          </cell>
          <cell r="Q2074">
            <v>2.8677445000000001</v>
          </cell>
          <cell r="R2074">
            <v>0</v>
          </cell>
          <cell r="S2074">
            <v>0</v>
          </cell>
          <cell r="T2074">
            <v>0</v>
          </cell>
          <cell r="U2074">
            <v>27.692598</v>
          </cell>
          <cell r="V2074">
            <v>0</v>
          </cell>
          <cell r="W2074">
            <v>0</v>
          </cell>
          <cell r="X2074">
            <v>0.39740009999999998</v>
          </cell>
          <cell r="Y2074">
            <v>0</v>
          </cell>
          <cell r="Z2074">
            <v>0</v>
          </cell>
          <cell r="AA2074">
            <v>16.167501999999999</v>
          </cell>
          <cell r="AB2074">
            <v>0.17173759999999999</v>
          </cell>
        </row>
        <row r="2075">
          <cell r="A2075">
            <v>32130810</v>
          </cell>
          <cell r="B2075" t="str">
            <v>Egg omelet or scrambled egg, with meat and tomatoes, fat not added in cooking</v>
          </cell>
          <cell r="I2075">
            <v>110</v>
          </cell>
          <cell r="J2075">
            <v>133.58769000000001</v>
          </cell>
          <cell r="K2075">
            <v>1.2144335454545456</v>
          </cell>
          <cell r="L2075">
            <v>0.34209129999999999</v>
          </cell>
          <cell r="M2075">
            <v>2.9722553999999999</v>
          </cell>
          <cell r="N2075">
            <v>0</v>
          </cell>
          <cell r="O2075">
            <v>4.8335200000000002E-2</v>
          </cell>
          <cell r="P2075">
            <v>0</v>
          </cell>
          <cell r="Q2075">
            <v>1.6186822999999999</v>
          </cell>
          <cell r="R2075">
            <v>0</v>
          </cell>
          <cell r="S2075">
            <v>0</v>
          </cell>
          <cell r="T2075">
            <v>0</v>
          </cell>
          <cell r="U2075">
            <v>28.507607</v>
          </cell>
          <cell r="V2075">
            <v>0</v>
          </cell>
          <cell r="W2075">
            <v>0</v>
          </cell>
          <cell r="X2075">
            <v>0.40907959999999999</v>
          </cell>
          <cell r="Y2075">
            <v>0</v>
          </cell>
          <cell r="Z2075">
            <v>0</v>
          </cell>
          <cell r="AA2075">
            <v>16.643319999999999</v>
          </cell>
          <cell r="AB2075">
            <v>0.1623878</v>
          </cell>
        </row>
        <row r="2076">
          <cell r="A2076">
            <v>32130820</v>
          </cell>
          <cell r="B2076" t="str">
            <v>Egg omelet or scrambled egg, with meat and tomatoes, NS as to fat added in cooking</v>
          </cell>
          <cell r="I2076">
            <v>110</v>
          </cell>
          <cell r="J2076">
            <v>157.61895000000001</v>
          </cell>
          <cell r="K2076">
            <v>1.4328995454545457</v>
          </cell>
          <cell r="L2076">
            <v>0.33231119999999997</v>
          </cell>
          <cell r="M2076">
            <v>3.3173824000000001</v>
          </cell>
          <cell r="N2076">
            <v>0</v>
          </cell>
          <cell r="O2076">
            <v>4.6961200000000002E-2</v>
          </cell>
          <cell r="P2076">
            <v>0</v>
          </cell>
          <cell r="Q2076">
            <v>2.8677445000000001</v>
          </cell>
          <cell r="R2076">
            <v>0</v>
          </cell>
          <cell r="S2076">
            <v>0</v>
          </cell>
          <cell r="T2076">
            <v>0</v>
          </cell>
          <cell r="U2076">
            <v>27.692598</v>
          </cell>
          <cell r="V2076">
            <v>0</v>
          </cell>
          <cell r="W2076">
            <v>0</v>
          </cell>
          <cell r="X2076">
            <v>0.39740009999999998</v>
          </cell>
          <cell r="Y2076">
            <v>0</v>
          </cell>
          <cell r="Z2076">
            <v>0</v>
          </cell>
          <cell r="AA2076">
            <v>16.167501999999999</v>
          </cell>
          <cell r="AB2076">
            <v>0.1718509</v>
          </cell>
        </row>
        <row r="2077">
          <cell r="A2077">
            <v>32130830</v>
          </cell>
          <cell r="B2077" t="str">
            <v>Egg omelet or scrambled egg, with meat and dark-green vegetables, fat added in cooking</v>
          </cell>
          <cell r="I2077">
            <v>110</v>
          </cell>
          <cell r="J2077">
            <v>180.05203</v>
          </cell>
          <cell r="K2077">
            <v>1.6368366363636364</v>
          </cell>
          <cell r="L2077">
            <v>0.27605079999999999</v>
          </cell>
          <cell r="M2077">
            <v>3.7442535000000001</v>
          </cell>
          <cell r="N2077">
            <v>0</v>
          </cell>
          <cell r="O2077">
            <v>6.1838700000000003E-2</v>
          </cell>
          <cell r="P2077">
            <v>0</v>
          </cell>
          <cell r="Q2077">
            <v>3.3457840000000001</v>
          </cell>
          <cell r="R2077">
            <v>0</v>
          </cell>
          <cell r="S2077">
            <v>0</v>
          </cell>
          <cell r="T2077">
            <v>0</v>
          </cell>
          <cell r="U2077">
            <v>10.991481</v>
          </cell>
          <cell r="V2077">
            <v>0</v>
          </cell>
          <cell r="W2077">
            <v>0</v>
          </cell>
          <cell r="X2077">
            <v>0.46436650000000002</v>
          </cell>
          <cell r="Y2077">
            <v>0</v>
          </cell>
          <cell r="Z2077">
            <v>0</v>
          </cell>
          <cell r="AA2077">
            <v>16.45609</v>
          </cell>
          <cell r="AB2077">
            <v>0.18130450000000001</v>
          </cell>
        </row>
        <row r="2078">
          <cell r="A2078">
            <v>32130840</v>
          </cell>
          <cell r="B2078" t="str">
            <v>Egg omelet or scrambled egg, with meat and dark-green vegetables, fat not added in cooking</v>
          </cell>
          <cell r="I2078">
            <v>110</v>
          </cell>
          <cell r="J2078">
            <v>150.27839</v>
          </cell>
          <cell r="K2078">
            <v>1.3661671818181818</v>
          </cell>
          <cell r="L2078">
            <v>0.28640090000000001</v>
          </cell>
          <cell r="M2078">
            <v>3.3205822999999999</v>
          </cell>
          <cell r="N2078">
            <v>0</v>
          </cell>
          <cell r="O2078">
            <v>6.4146900000000007E-2</v>
          </cell>
          <cell r="P2078">
            <v>0</v>
          </cell>
          <cell r="Q2078">
            <v>1.7724595000000001</v>
          </cell>
          <cell r="R2078">
            <v>0</v>
          </cell>
          <cell r="S2078">
            <v>0</v>
          </cell>
          <cell r="T2078">
            <v>0</v>
          </cell>
          <cell r="U2078">
            <v>11.403587</v>
          </cell>
          <cell r="V2078">
            <v>0</v>
          </cell>
          <cell r="W2078">
            <v>0</v>
          </cell>
          <cell r="X2078">
            <v>0.48175649999999998</v>
          </cell>
          <cell r="Y2078">
            <v>0</v>
          </cell>
          <cell r="Z2078">
            <v>0</v>
          </cell>
          <cell r="AA2078">
            <v>17.073080999999998</v>
          </cell>
          <cell r="AB2078">
            <v>0.16991700000000001</v>
          </cell>
        </row>
        <row r="2079">
          <cell r="A2079">
            <v>32130850</v>
          </cell>
          <cell r="B2079" t="str">
            <v>Egg omelet or scrambled egg, with meat and dark-green vegetables, NS as to fat added in cooking</v>
          </cell>
          <cell r="I2079">
            <v>110</v>
          </cell>
          <cell r="J2079">
            <v>180.05203</v>
          </cell>
          <cell r="K2079">
            <v>1.6368366363636364</v>
          </cell>
          <cell r="L2079">
            <v>0.27605079999999999</v>
          </cell>
          <cell r="M2079">
            <v>3.7442535000000001</v>
          </cell>
          <cell r="N2079">
            <v>0</v>
          </cell>
          <cell r="O2079">
            <v>6.1838700000000003E-2</v>
          </cell>
          <cell r="P2079">
            <v>0</v>
          </cell>
          <cell r="Q2079">
            <v>3.3457840000000001</v>
          </cell>
          <cell r="R2079">
            <v>0</v>
          </cell>
          <cell r="S2079">
            <v>0</v>
          </cell>
          <cell r="T2079">
            <v>0</v>
          </cell>
          <cell r="U2079">
            <v>10.991481</v>
          </cell>
          <cell r="V2079">
            <v>0</v>
          </cell>
          <cell r="W2079">
            <v>0</v>
          </cell>
          <cell r="X2079">
            <v>0.46436650000000002</v>
          </cell>
          <cell r="Y2079">
            <v>0</v>
          </cell>
          <cell r="Z2079">
            <v>0</v>
          </cell>
          <cell r="AA2079">
            <v>16.45609</v>
          </cell>
          <cell r="AB2079">
            <v>0.18372579999999999</v>
          </cell>
        </row>
        <row r="2080">
          <cell r="A2080">
            <v>32130890</v>
          </cell>
          <cell r="B2080" t="str">
            <v>Egg omelet or scrambled egg, with meat and vegetables other than dark-green and/or tomatoes, fat added in cooking</v>
          </cell>
          <cell r="I2080">
            <v>110</v>
          </cell>
          <cell r="J2080">
            <v>201.16121999999999</v>
          </cell>
          <cell r="K2080">
            <v>1.8287383636363634</v>
          </cell>
          <cell r="L2080">
            <v>0.19815730000000001</v>
          </cell>
          <cell r="M2080">
            <v>4.1556689000000002</v>
          </cell>
          <cell r="N2080">
            <v>0</v>
          </cell>
          <cell r="O2080">
            <v>5.27853E-2</v>
          </cell>
          <cell r="P2080">
            <v>0</v>
          </cell>
          <cell r="Q2080">
            <v>4.2861267999999999</v>
          </cell>
          <cell r="R2080">
            <v>0</v>
          </cell>
          <cell r="S2080">
            <v>0</v>
          </cell>
          <cell r="T2080">
            <v>0</v>
          </cell>
          <cell r="U2080">
            <v>12.615739</v>
          </cell>
          <cell r="V2080">
            <v>0</v>
          </cell>
          <cell r="W2080">
            <v>0</v>
          </cell>
          <cell r="X2080">
            <v>0.45741090000000001</v>
          </cell>
          <cell r="Y2080">
            <v>0</v>
          </cell>
          <cell r="Z2080">
            <v>0</v>
          </cell>
          <cell r="AA2080">
            <v>18.653972</v>
          </cell>
          <cell r="AB2080">
            <v>0.2096693</v>
          </cell>
        </row>
        <row r="2081">
          <cell r="A2081">
            <v>32130900</v>
          </cell>
          <cell r="B2081" t="str">
            <v>Egg omelet or scrambled egg, with meat and vegetables other than dark-green and/or tomatoes, fat not added in cooking</v>
          </cell>
          <cell r="I2081">
            <v>110</v>
          </cell>
          <cell r="J2081">
            <v>156.19622000000001</v>
          </cell>
          <cell r="K2081">
            <v>1.4199656363636364</v>
          </cell>
          <cell r="L2081">
            <v>0.20968400000000001</v>
          </cell>
          <cell r="M2081">
            <v>3.5222875</v>
          </cell>
          <cell r="N2081">
            <v>0</v>
          </cell>
          <cell r="O2081">
            <v>5.5839800000000002E-2</v>
          </cell>
          <cell r="P2081">
            <v>0</v>
          </cell>
          <cell r="Q2081">
            <v>1.8998603000000001</v>
          </cell>
          <cell r="R2081">
            <v>0</v>
          </cell>
          <cell r="S2081">
            <v>0</v>
          </cell>
          <cell r="T2081">
            <v>0</v>
          </cell>
          <cell r="U2081">
            <v>13.349591</v>
          </cell>
          <cell r="V2081">
            <v>0</v>
          </cell>
          <cell r="W2081">
            <v>0</v>
          </cell>
          <cell r="X2081">
            <v>0.48398629999999998</v>
          </cell>
          <cell r="Y2081">
            <v>0</v>
          </cell>
          <cell r="Z2081">
            <v>0</v>
          </cell>
          <cell r="AA2081">
            <v>19.739066000000001</v>
          </cell>
          <cell r="AB2081">
            <v>0.19209709999999999</v>
          </cell>
        </row>
        <row r="2082">
          <cell r="A2082">
            <v>32131000</v>
          </cell>
          <cell r="B2082" t="str">
            <v>Egg omelet or scrambled egg, with cheese, meat, and tomatoes, fat added in cooking</v>
          </cell>
          <cell r="I2082">
            <v>110</v>
          </cell>
          <cell r="J2082">
            <v>177.40074000000001</v>
          </cell>
          <cell r="K2082">
            <v>1.6127340000000001</v>
          </cell>
          <cell r="L2082">
            <v>0.30938880000000002</v>
          </cell>
          <cell r="M2082">
            <v>4.5201172999999999</v>
          </cell>
          <cell r="N2082">
            <v>0</v>
          </cell>
          <cell r="O2082">
            <v>9.7594299999999995E-2</v>
          </cell>
          <cell r="P2082">
            <v>0</v>
          </cell>
          <cell r="Q2082">
            <v>2.7777517999999999</v>
          </cell>
          <cell r="R2082">
            <v>0</v>
          </cell>
          <cell r="S2082">
            <v>0</v>
          </cell>
          <cell r="T2082">
            <v>0</v>
          </cell>
          <cell r="U2082">
            <v>25.782398000000001</v>
          </cell>
          <cell r="V2082">
            <v>0</v>
          </cell>
          <cell r="W2082">
            <v>0</v>
          </cell>
          <cell r="X2082">
            <v>0.4195354</v>
          </cell>
          <cell r="Y2082">
            <v>0</v>
          </cell>
          <cell r="Z2082">
            <v>0</v>
          </cell>
          <cell r="AA2082">
            <v>15.052288000000001</v>
          </cell>
          <cell r="AB2082">
            <v>0.25318439999999998</v>
          </cell>
        </row>
        <row r="2083">
          <cell r="A2083">
            <v>32131020</v>
          </cell>
          <cell r="B2083" t="str">
            <v>Egg omelet or scrambled egg, with cheese, meat, and tomatoes, NS as to fat added in cooking</v>
          </cell>
          <cell r="I2083">
            <v>110</v>
          </cell>
          <cell r="J2083">
            <v>177.40074000000001</v>
          </cell>
          <cell r="K2083">
            <v>1.6127340000000001</v>
          </cell>
          <cell r="L2083">
            <v>0.30938880000000002</v>
          </cell>
          <cell r="M2083">
            <v>4.5201172999999999</v>
          </cell>
          <cell r="N2083">
            <v>0</v>
          </cell>
          <cell r="O2083">
            <v>9.7594299999999995E-2</v>
          </cell>
          <cell r="P2083">
            <v>0</v>
          </cell>
          <cell r="Q2083">
            <v>2.7777517999999999</v>
          </cell>
          <cell r="R2083">
            <v>0</v>
          </cell>
          <cell r="S2083">
            <v>0</v>
          </cell>
          <cell r="T2083">
            <v>0</v>
          </cell>
          <cell r="U2083">
            <v>25.782398000000001</v>
          </cell>
          <cell r="V2083">
            <v>0</v>
          </cell>
          <cell r="W2083">
            <v>0</v>
          </cell>
          <cell r="X2083">
            <v>0.4195354</v>
          </cell>
          <cell r="Y2083">
            <v>0</v>
          </cell>
          <cell r="Z2083">
            <v>0</v>
          </cell>
          <cell r="AA2083">
            <v>15.052288000000001</v>
          </cell>
          <cell r="AB2083">
            <v>0.26677060000000002</v>
          </cell>
        </row>
        <row r="2084">
          <cell r="A2084">
            <v>32131030</v>
          </cell>
          <cell r="B2084" t="str">
            <v>Egg omelet or scrambled egg, with cheese, meat, and dark-green vegetables, fat added in cooking</v>
          </cell>
          <cell r="I2084">
            <v>110</v>
          </cell>
          <cell r="J2084">
            <v>219.0068</v>
          </cell>
          <cell r="K2084">
            <v>1.9909709090909091</v>
          </cell>
          <cell r="L2084">
            <v>9.6105300000000005E-2</v>
          </cell>
          <cell r="M2084">
            <v>5.6911187999999999</v>
          </cell>
          <cell r="N2084">
            <v>0</v>
          </cell>
          <cell r="O2084">
            <v>0.1220258</v>
          </cell>
          <cell r="P2084">
            <v>0</v>
          </cell>
          <cell r="Q2084">
            <v>3.4774706000000002</v>
          </cell>
          <cell r="R2084">
            <v>0</v>
          </cell>
          <cell r="S2084">
            <v>0</v>
          </cell>
          <cell r="T2084">
            <v>0</v>
          </cell>
          <cell r="U2084">
            <v>3.8266382000000001</v>
          </cell>
          <cell r="V2084">
            <v>0</v>
          </cell>
          <cell r="W2084">
            <v>0</v>
          </cell>
          <cell r="X2084">
            <v>0.52893650000000003</v>
          </cell>
          <cell r="Y2084">
            <v>0</v>
          </cell>
          <cell r="Z2084">
            <v>0</v>
          </cell>
          <cell r="AA2084">
            <v>18.976461</v>
          </cell>
          <cell r="AB2084">
            <v>0.3411556</v>
          </cell>
        </row>
        <row r="2085">
          <cell r="A2085">
            <v>32131040</v>
          </cell>
          <cell r="B2085" t="str">
            <v>Egg omelet or scrambled egg, with cheese, meat, and dark-green vegetables, fat not added in cooking</v>
          </cell>
          <cell r="I2085">
            <v>110</v>
          </cell>
          <cell r="J2085">
            <v>192.58848</v>
          </cell>
          <cell r="K2085">
            <v>1.7508043636363637</v>
          </cell>
          <cell r="L2085">
            <v>9.9442299999999997E-2</v>
          </cell>
          <cell r="M2085">
            <v>5.3530879999999996</v>
          </cell>
          <cell r="N2085">
            <v>0</v>
          </cell>
          <cell r="O2085">
            <v>0.12629589999999999</v>
          </cell>
          <cell r="P2085">
            <v>0</v>
          </cell>
          <cell r="Q2085">
            <v>2.0236730000000001</v>
          </cell>
          <cell r="R2085">
            <v>0</v>
          </cell>
          <cell r="S2085">
            <v>0</v>
          </cell>
          <cell r="T2085">
            <v>0</v>
          </cell>
          <cell r="U2085">
            <v>3.9595044000000001</v>
          </cell>
          <cell r="V2085">
            <v>0</v>
          </cell>
          <cell r="W2085">
            <v>0</v>
          </cell>
          <cell r="X2085">
            <v>0.54727429999999999</v>
          </cell>
          <cell r="Y2085">
            <v>0</v>
          </cell>
          <cell r="Z2085">
            <v>0</v>
          </cell>
          <cell r="AA2085">
            <v>19.635349999999999</v>
          </cell>
          <cell r="AB2085">
            <v>0.33982299999999999</v>
          </cell>
        </row>
        <row r="2086">
          <cell r="A2086">
            <v>32131050</v>
          </cell>
          <cell r="B2086" t="str">
            <v>Egg omelet or scrambled egg, with cheese, meat, and dark-green vegetables, NS as to fat added in cooking</v>
          </cell>
          <cell r="I2086">
            <v>110</v>
          </cell>
          <cell r="J2086">
            <v>219.0068</v>
          </cell>
          <cell r="K2086">
            <v>1.9909709090909091</v>
          </cell>
          <cell r="L2086">
            <v>9.6105300000000005E-2</v>
          </cell>
          <cell r="M2086">
            <v>5.6911187999999999</v>
          </cell>
          <cell r="N2086">
            <v>0</v>
          </cell>
          <cell r="O2086">
            <v>0.1220258</v>
          </cell>
          <cell r="P2086">
            <v>0</v>
          </cell>
          <cell r="Q2086">
            <v>3.4774706000000002</v>
          </cell>
          <cell r="R2086">
            <v>0</v>
          </cell>
          <cell r="S2086">
            <v>0</v>
          </cell>
          <cell r="T2086">
            <v>0</v>
          </cell>
          <cell r="U2086">
            <v>3.8266382000000001</v>
          </cell>
          <cell r="V2086">
            <v>0</v>
          </cell>
          <cell r="W2086">
            <v>0</v>
          </cell>
          <cell r="X2086">
            <v>0.52893650000000003</v>
          </cell>
          <cell r="Y2086">
            <v>0</v>
          </cell>
          <cell r="Z2086">
            <v>0</v>
          </cell>
          <cell r="AA2086">
            <v>18.976461</v>
          </cell>
          <cell r="AB2086">
            <v>0.32223459999999998</v>
          </cell>
        </row>
        <row r="2087">
          <cell r="A2087">
            <v>32131060</v>
          </cell>
          <cell r="B2087" t="str">
            <v>Egg omelet or scrambled egg, with cheese, meat, tomatoes, and dark-green vegetables, fat added in cooking</v>
          </cell>
          <cell r="I2087">
            <v>110</v>
          </cell>
          <cell r="J2087">
            <v>208.54826</v>
          </cell>
          <cell r="K2087">
            <v>1.8958932727272728</v>
          </cell>
          <cell r="L2087">
            <v>0.1603609</v>
          </cell>
          <cell r="M2087">
            <v>5.3939469000000004</v>
          </cell>
          <cell r="N2087">
            <v>0</v>
          </cell>
          <cell r="O2087">
            <v>0.11619690000000001</v>
          </cell>
          <cell r="P2087">
            <v>0</v>
          </cell>
          <cell r="Q2087">
            <v>3.2996935999999999</v>
          </cell>
          <cell r="R2087">
            <v>0</v>
          </cell>
          <cell r="S2087">
            <v>0</v>
          </cell>
          <cell r="T2087">
            <v>0</v>
          </cell>
          <cell r="U2087">
            <v>9.4008362999999999</v>
          </cell>
          <cell r="V2087">
            <v>0</v>
          </cell>
          <cell r="W2087">
            <v>0</v>
          </cell>
          <cell r="X2087">
            <v>0.5014556</v>
          </cell>
          <cell r="Y2087">
            <v>0</v>
          </cell>
          <cell r="Z2087">
            <v>0</v>
          </cell>
          <cell r="AA2087">
            <v>17.980179</v>
          </cell>
          <cell r="AB2087">
            <v>0.31606129999999999</v>
          </cell>
        </row>
        <row r="2088">
          <cell r="A2088">
            <v>32131080</v>
          </cell>
          <cell r="B2088" t="str">
            <v>Egg omelet or scrambled egg, with cheese, meat, tomatoes, and dark-green vegetables, NS as to fat added in cooking</v>
          </cell>
          <cell r="I2088">
            <v>110</v>
          </cell>
          <cell r="J2088">
            <v>208.54826</v>
          </cell>
          <cell r="K2088">
            <v>1.8958932727272728</v>
          </cell>
          <cell r="L2088">
            <v>0.1603609</v>
          </cell>
          <cell r="M2088">
            <v>5.3939469000000004</v>
          </cell>
          <cell r="N2088">
            <v>0</v>
          </cell>
          <cell r="O2088">
            <v>0.11619690000000001</v>
          </cell>
          <cell r="P2088">
            <v>0</v>
          </cell>
          <cell r="Q2088">
            <v>3.2996935999999999</v>
          </cell>
          <cell r="R2088">
            <v>0</v>
          </cell>
          <cell r="S2088">
            <v>0</v>
          </cell>
          <cell r="T2088">
            <v>0</v>
          </cell>
          <cell r="U2088">
            <v>9.4008362999999999</v>
          </cell>
          <cell r="V2088">
            <v>0</v>
          </cell>
          <cell r="W2088">
            <v>0</v>
          </cell>
          <cell r="X2088">
            <v>0.5014556</v>
          </cell>
          <cell r="Y2088">
            <v>0</v>
          </cell>
          <cell r="Z2088">
            <v>0</v>
          </cell>
          <cell r="AA2088">
            <v>17.980179</v>
          </cell>
          <cell r="AB2088">
            <v>0.30548730000000002</v>
          </cell>
        </row>
        <row r="2089">
          <cell r="A2089">
            <v>32131090</v>
          </cell>
          <cell r="B2089" t="str">
            <v>Egg omelet or scrambled egg, with cheese, meat, and vegetables other than dark-green and/or tomatoes, fat added in cooking</v>
          </cell>
          <cell r="I2089">
            <v>110</v>
          </cell>
          <cell r="J2089">
            <v>220.31671</v>
          </cell>
          <cell r="K2089">
            <v>2.0028791818181819</v>
          </cell>
          <cell r="L2089">
            <v>0.18255209999999999</v>
          </cell>
          <cell r="M2089">
            <v>5.4627939999999997</v>
          </cell>
          <cell r="N2089">
            <v>0</v>
          </cell>
          <cell r="O2089">
            <v>0.1101335</v>
          </cell>
          <cell r="P2089">
            <v>0</v>
          </cell>
          <cell r="Q2089">
            <v>4.0716834999999998</v>
          </cell>
          <cell r="R2089">
            <v>0</v>
          </cell>
          <cell r="S2089">
            <v>0</v>
          </cell>
          <cell r="T2089">
            <v>0</v>
          </cell>
          <cell r="U2089">
            <v>11.622227000000001</v>
          </cell>
          <cell r="V2089">
            <v>0</v>
          </cell>
          <cell r="W2089">
            <v>0</v>
          </cell>
          <cell r="X2089">
            <v>0.4779564</v>
          </cell>
          <cell r="Y2089">
            <v>0</v>
          </cell>
          <cell r="Z2089">
            <v>0</v>
          </cell>
          <cell r="AA2089">
            <v>17.184937999999999</v>
          </cell>
          <cell r="AB2089">
            <v>0.31001709999999999</v>
          </cell>
        </row>
        <row r="2090">
          <cell r="A2090">
            <v>32131100</v>
          </cell>
          <cell r="B2090" t="str">
            <v>Egg omelet or scrambled egg, with cheese, meat, and vegetables other than dark-green and/or tomatoes, fat not added in cooking</v>
          </cell>
          <cell r="I2090">
            <v>110</v>
          </cell>
          <cell r="J2090">
            <v>180.10352</v>
          </cell>
          <cell r="K2090">
            <v>1.6373047272727272</v>
          </cell>
          <cell r="L2090">
            <v>0.19229019999999999</v>
          </cell>
          <cell r="M2090">
            <v>4.9516809999999998</v>
          </cell>
          <cell r="N2090">
            <v>0</v>
          </cell>
          <cell r="O2090">
            <v>0.11599379999999999</v>
          </cell>
          <cell r="P2090">
            <v>0</v>
          </cell>
          <cell r="Q2090">
            <v>1.8719250999999999</v>
          </cell>
          <cell r="R2090">
            <v>0</v>
          </cell>
          <cell r="S2090">
            <v>0</v>
          </cell>
          <cell r="T2090">
            <v>0</v>
          </cell>
          <cell r="U2090">
            <v>12.242205999999999</v>
          </cell>
          <cell r="V2090">
            <v>0</v>
          </cell>
          <cell r="W2090">
            <v>0</v>
          </cell>
          <cell r="X2090">
            <v>0.50342319999999996</v>
          </cell>
          <cell r="Y2090">
            <v>0</v>
          </cell>
          <cell r="Z2090">
            <v>0</v>
          </cell>
          <cell r="AA2090">
            <v>18.101655999999998</v>
          </cell>
          <cell r="AB2090">
            <v>0.30259819999999998</v>
          </cell>
        </row>
        <row r="2091">
          <cell r="A2091">
            <v>32131110</v>
          </cell>
          <cell r="B2091" t="str">
            <v>Egg omelet or scrambled egg, with cheese, meat, and vegetables other than dark-green and/or tomatoes, NS as to fat added in cooking</v>
          </cell>
          <cell r="I2091">
            <v>110</v>
          </cell>
          <cell r="J2091">
            <v>220.31671</v>
          </cell>
          <cell r="K2091">
            <v>2.0028791818181819</v>
          </cell>
          <cell r="L2091">
            <v>0.18255209999999999</v>
          </cell>
          <cell r="M2091">
            <v>5.4627939999999997</v>
          </cell>
          <cell r="N2091">
            <v>0</v>
          </cell>
          <cell r="O2091">
            <v>0.1101335</v>
          </cell>
          <cell r="P2091">
            <v>0</v>
          </cell>
          <cell r="Q2091">
            <v>4.0716834999999998</v>
          </cell>
          <cell r="R2091">
            <v>0</v>
          </cell>
          <cell r="S2091">
            <v>0</v>
          </cell>
          <cell r="T2091">
            <v>0</v>
          </cell>
          <cell r="U2091">
            <v>11.622227000000001</v>
          </cell>
          <cell r="V2091">
            <v>0</v>
          </cell>
          <cell r="W2091">
            <v>0</v>
          </cell>
          <cell r="X2091">
            <v>0.4779564</v>
          </cell>
          <cell r="Y2091">
            <v>0</v>
          </cell>
          <cell r="Z2091">
            <v>0</v>
          </cell>
          <cell r="AA2091">
            <v>17.184937999999999</v>
          </cell>
          <cell r="AB2091">
            <v>0.30990289999999998</v>
          </cell>
        </row>
        <row r="2092">
          <cell r="A2092">
            <v>32131200</v>
          </cell>
          <cell r="B2092" t="str">
            <v>Egg omelet or scrambled egg, with potatoes and/or onions, fat added in cooking</v>
          </cell>
          <cell r="I2092">
            <v>110</v>
          </cell>
          <cell r="J2092">
            <v>157.87459000000001</v>
          </cell>
          <cell r="K2092">
            <v>1.4352235454545457</v>
          </cell>
          <cell r="L2092">
            <v>0.1691512</v>
          </cell>
          <cell r="M2092">
            <v>2.5263654999999998</v>
          </cell>
          <cell r="N2092">
            <v>0</v>
          </cell>
          <cell r="O2092">
            <v>5.0579899999999997E-2</v>
          </cell>
          <cell r="P2092">
            <v>0.52387110000000003</v>
          </cell>
          <cell r="Q2092">
            <v>3.3070092999999998</v>
          </cell>
          <cell r="R2092">
            <v>0</v>
          </cell>
          <cell r="S2092">
            <v>0</v>
          </cell>
          <cell r="T2092">
            <v>0</v>
          </cell>
          <cell r="U2092">
            <v>9.9500686999999992</v>
          </cell>
          <cell r="V2092">
            <v>0</v>
          </cell>
          <cell r="W2092">
            <v>0</v>
          </cell>
          <cell r="X2092">
            <v>0.2239022</v>
          </cell>
          <cell r="Y2092">
            <v>0</v>
          </cell>
          <cell r="Z2092">
            <v>0</v>
          </cell>
          <cell r="AA2092">
            <v>0</v>
          </cell>
          <cell r="AB2092">
            <v>9.2631400000000003E-2</v>
          </cell>
        </row>
        <row r="2093">
          <cell r="A2093">
            <v>32131210</v>
          </cell>
          <cell r="B2093" t="str">
            <v>Egg omelet or scrambled egg, with potatoes and/or onions, fat not added in cooking</v>
          </cell>
          <cell r="I2093">
            <v>110</v>
          </cell>
          <cell r="J2093">
            <v>113.68816</v>
          </cell>
          <cell r="K2093">
            <v>1.0335287272727272</v>
          </cell>
          <cell r="L2093">
            <v>0.17830750000000001</v>
          </cell>
          <cell r="M2093">
            <v>1.8487610000000001</v>
          </cell>
          <cell r="N2093">
            <v>0</v>
          </cell>
          <cell r="O2093">
            <v>5.3303000000000003E-2</v>
          </cell>
          <cell r="P2093">
            <v>0.55222879999999996</v>
          </cell>
          <cell r="Q2093">
            <v>1.0334099000000001</v>
          </cell>
          <cell r="R2093">
            <v>0</v>
          </cell>
          <cell r="S2093">
            <v>0</v>
          </cell>
          <cell r="T2093">
            <v>0</v>
          </cell>
          <cell r="U2093">
            <v>10.488676999999999</v>
          </cell>
          <cell r="V2093">
            <v>0</v>
          </cell>
          <cell r="W2093">
            <v>0</v>
          </cell>
          <cell r="X2093">
            <v>0.23599249999999999</v>
          </cell>
          <cell r="Y2093">
            <v>0</v>
          </cell>
          <cell r="Z2093">
            <v>0</v>
          </cell>
          <cell r="AA2093">
            <v>0</v>
          </cell>
          <cell r="AB2093">
            <v>7.1450200000000005E-2</v>
          </cell>
        </row>
        <row r="2094">
          <cell r="A2094">
            <v>32131220</v>
          </cell>
          <cell r="B2094" t="str">
            <v>Egg omelet or scrambled egg, with potatoes and/or onions, NS as to fat added in cooking</v>
          </cell>
          <cell r="I2094">
            <v>110</v>
          </cell>
          <cell r="J2094">
            <v>157.87459000000001</v>
          </cell>
          <cell r="K2094">
            <v>1.4352235454545457</v>
          </cell>
          <cell r="L2094">
            <v>0.1691512</v>
          </cell>
          <cell r="M2094">
            <v>2.5263654999999998</v>
          </cell>
          <cell r="N2094">
            <v>0</v>
          </cell>
          <cell r="O2094">
            <v>5.0579899999999997E-2</v>
          </cell>
          <cell r="P2094">
            <v>0.52387110000000003</v>
          </cell>
          <cell r="Q2094">
            <v>3.3070092999999998</v>
          </cell>
          <cell r="R2094">
            <v>0</v>
          </cell>
          <cell r="S2094">
            <v>0</v>
          </cell>
          <cell r="T2094">
            <v>0</v>
          </cell>
          <cell r="U2094">
            <v>9.9500686999999992</v>
          </cell>
          <cell r="V2094">
            <v>0</v>
          </cell>
          <cell r="W2094">
            <v>0</v>
          </cell>
          <cell r="X2094">
            <v>0.2239022</v>
          </cell>
          <cell r="Y2094">
            <v>0</v>
          </cell>
          <cell r="Z2094">
            <v>0</v>
          </cell>
          <cell r="AA2094">
            <v>0</v>
          </cell>
          <cell r="AB2094">
            <v>9.2963500000000004E-2</v>
          </cell>
        </row>
        <row r="2095">
          <cell r="A2095">
            <v>32201000</v>
          </cell>
          <cell r="B2095" t="str">
            <v>Fried egg sandwich</v>
          </cell>
          <cell r="I2095">
            <v>140</v>
          </cell>
          <cell r="J2095">
            <v>328.20391999999998</v>
          </cell>
          <cell r="K2095">
            <v>2.3443137142857142</v>
          </cell>
          <cell r="L2095">
            <v>3.1089999999999998E-16</v>
          </cell>
          <cell r="M2095">
            <v>3.2659254999999998</v>
          </cell>
          <cell r="N2095">
            <v>0</v>
          </cell>
          <cell r="O2095">
            <v>0.1498275</v>
          </cell>
          <cell r="P2095">
            <v>2.0752940999999998</v>
          </cell>
          <cell r="Q2095">
            <v>3.2839333000000002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0.50732160000000004</v>
          </cell>
          <cell r="Y2095">
            <v>0</v>
          </cell>
          <cell r="Z2095">
            <v>0</v>
          </cell>
          <cell r="AA2095">
            <v>0</v>
          </cell>
          <cell r="AB2095">
            <v>4.6639199999999999E-2</v>
          </cell>
        </row>
        <row r="2096">
          <cell r="A2096">
            <v>32202000</v>
          </cell>
          <cell r="B2096" t="str">
            <v>Egg, cheese, ham, and bacon on bun</v>
          </cell>
          <cell r="I2096">
            <v>140</v>
          </cell>
          <cell r="J2096">
            <v>365.36478</v>
          </cell>
          <cell r="K2096">
            <v>2.6097484285714287</v>
          </cell>
          <cell r="L2096">
            <v>0</v>
          </cell>
          <cell r="M2096">
            <v>7.4632766999999998</v>
          </cell>
          <cell r="N2096">
            <v>0</v>
          </cell>
          <cell r="O2096">
            <v>0.29134969999999999</v>
          </cell>
          <cell r="P2096">
            <v>1.1446540999999999</v>
          </cell>
          <cell r="Q2096">
            <v>3.2098566000000002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1.0787308</v>
          </cell>
          <cell r="Y2096">
            <v>0</v>
          </cell>
          <cell r="Z2096">
            <v>0</v>
          </cell>
          <cell r="AA2096">
            <v>32.202677000000001</v>
          </cell>
          <cell r="AB2096">
            <v>0.40758499999999998</v>
          </cell>
        </row>
        <row r="2097">
          <cell r="A2097">
            <v>32202010</v>
          </cell>
          <cell r="B2097" t="str">
            <v>Egg, cheese, and ham on English muffin</v>
          </cell>
          <cell r="I2097">
            <v>140</v>
          </cell>
          <cell r="J2097">
            <v>319.2</v>
          </cell>
          <cell r="K2097">
            <v>2.2799999999999998</v>
          </cell>
          <cell r="L2097">
            <v>0</v>
          </cell>
          <cell r="M2097">
            <v>5.0288000000000004</v>
          </cell>
          <cell r="N2097">
            <v>0</v>
          </cell>
          <cell r="O2097">
            <v>0.26879999999999998</v>
          </cell>
          <cell r="P2097">
            <v>0.56000000000000005</v>
          </cell>
          <cell r="Q2097">
            <v>2.4289999999999998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0.86380000000000001</v>
          </cell>
          <cell r="Y2097">
            <v>0</v>
          </cell>
          <cell r="Z2097">
            <v>0</v>
          </cell>
          <cell r="AA2097">
            <v>7.9379999999999997</v>
          </cell>
          <cell r="AB2097">
            <v>0.15260000000000001</v>
          </cell>
        </row>
        <row r="2098">
          <cell r="A2098">
            <v>32202025</v>
          </cell>
          <cell r="B2098" t="str">
            <v>Egg, cheese and ham on bagel</v>
          </cell>
          <cell r="I2098">
            <v>140</v>
          </cell>
          <cell r="J2098">
            <v>365.21598999999998</v>
          </cell>
          <cell r="K2098">
            <v>2.6086856428571426</v>
          </cell>
          <cell r="L2098">
            <v>0</v>
          </cell>
          <cell r="M2098">
            <v>5.6861522000000004</v>
          </cell>
          <cell r="N2098">
            <v>0</v>
          </cell>
          <cell r="O2098">
            <v>0.22711970000000001</v>
          </cell>
          <cell r="P2098">
            <v>1.4110138000000001</v>
          </cell>
          <cell r="Q2098">
            <v>6.9398800999999999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1.0555878999999999</v>
          </cell>
          <cell r="Y2098">
            <v>0</v>
          </cell>
          <cell r="Z2098">
            <v>0</v>
          </cell>
          <cell r="AA2098">
            <v>50.681164000000003</v>
          </cell>
          <cell r="AB2098">
            <v>0.2232007</v>
          </cell>
        </row>
        <row r="2099">
          <cell r="A2099">
            <v>32202030</v>
          </cell>
          <cell r="B2099" t="str">
            <v>Egg, cheese, and sausage on English muffin</v>
          </cell>
          <cell r="I2099">
            <v>140</v>
          </cell>
          <cell r="J2099">
            <v>400.4</v>
          </cell>
          <cell r="K2099">
            <v>2.86</v>
          </cell>
          <cell r="L2099">
            <v>0</v>
          </cell>
          <cell r="M2099">
            <v>9.6991999999999994</v>
          </cell>
          <cell r="N2099">
            <v>0</v>
          </cell>
          <cell r="O2099">
            <v>0.23519999999999999</v>
          </cell>
          <cell r="P2099">
            <v>0.28000000000000003</v>
          </cell>
          <cell r="Q2099">
            <v>3.8807999999999998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0.76719999999999999</v>
          </cell>
          <cell r="Y2099">
            <v>0</v>
          </cell>
          <cell r="Z2099">
            <v>0</v>
          </cell>
          <cell r="AA2099">
            <v>13.0977</v>
          </cell>
          <cell r="AB2099">
            <v>0.46702450000000001</v>
          </cell>
        </row>
        <row r="2100">
          <cell r="A2100">
            <v>32202035</v>
          </cell>
          <cell r="B2100" t="str">
            <v>Egg, extra cheese, and extra sausage, on bun</v>
          </cell>
          <cell r="I2100">
            <v>140</v>
          </cell>
          <cell r="J2100">
            <v>384.10556000000003</v>
          </cell>
          <cell r="K2100">
            <v>2.743611142857143</v>
          </cell>
          <cell r="L2100">
            <v>0</v>
          </cell>
          <cell r="M2100">
            <v>8.6923343000000006</v>
          </cell>
          <cell r="N2100">
            <v>0</v>
          </cell>
          <cell r="O2100">
            <v>0.29643700000000001</v>
          </cell>
          <cell r="P2100">
            <v>0.6066667</v>
          </cell>
          <cell r="Q2100">
            <v>4.5677528000000001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0.9076343</v>
          </cell>
          <cell r="Y2100">
            <v>0</v>
          </cell>
          <cell r="Z2100">
            <v>0</v>
          </cell>
          <cell r="AA2100">
            <v>47.677613000000001</v>
          </cell>
          <cell r="AB2100">
            <v>0.399862</v>
          </cell>
        </row>
        <row r="2101">
          <cell r="A2101">
            <v>32202040</v>
          </cell>
          <cell r="B2101" t="str">
            <v>Egg, cheese, and beef on English Muffin</v>
          </cell>
          <cell r="I2101">
            <v>140</v>
          </cell>
          <cell r="J2101">
            <v>407.43132000000003</v>
          </cell>
          <cell r="K2101">
            <v>2.9102237142857144</v>
          </cell>
          <cell r="L2101">
            <v>0</v>
          </cell>
          <cell r="M2101">
            <v>8.2204715999999998</v>
          </cell>
          <cell r="N2101">
            <v>0</v>
          </cell>
          <cell r="O2101">
            <v>0.34004909999999999</v>
          </cell>
          <cell r="P2101">
            <v>1.5148474999999999</v>
          </cell>
          <cell r="Q2101">
            <v>3.5427754999999999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0.87253789999999998</v>
          </cell>
          <cell r="Y2101">
            <v>0</v>
          </cell>
          <cell r="Z2101">
            <v>27.295957000000001</v>
          </cell>
          <cell r="AA2101">
            <v>0</v>
          </cell>
          <cell r="AB2101">
            <v>1.5175117</v>
          </cell>
        </row>
        <row r="2102">
          <cell r="A2102">
            <v>32202045</v>
          </cell>
          <cell r="B2102" t="str">
            <v>Egg, cheese, and steak on bagel</v>
          </cell>
          <cell r="I2102">
            <v>140</v>
          </cell>
          <cell r="J2102">
            <v>394.8</v>
          </cell>
          <cell r="K2102">
            <v>2.8200000000000003</v>
          </cell>
          <cell r="L2102">
            <v>0</v>
          </cell>
          <cell r="M2102">
            <v>7.5865999999999998</v>
          </cell>
          <cell r="N2102">
            <v>0</v>
          </cell>
          <cell r="O2102">
            <v>0.13020000000000001</v>
          </cell>
          <cell r="P2102">
            <v>0.28000000000000003</v>
          </cell>
          <cell r="Q2102">
            <v>2.5886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0.89880000000000004</v>
          </cell>
          <cell r="Y2102">
            <v>0</v>
          </cell>
          <cell r="Z2102">
            <v>29.3706</v>
          </cell>
          <cell r="AA2102">
            <v>0</v>
          </cell>
          <cell r="AB2102">
            <v>0.40624120000000002</v>
          </cell>
        </row>
        <row r="2103">
          <cell r="A2103">
            <v>32202050</v>
          </cell>
          <cell r="B2103" t="str">
            <v>Egg, cheese, and sausage on biscuit</v>
          </cell>
          <cell r="I2103">
            <v>140</v>
          </cell>
          <cell r="J2103">
            <v>453.6</v>
          </cell>
          <cell r="K2103">
            <v>3.24</v>
          </cell>
          <cell r="L2103">
            <v>0</v>
          </cell>
          <cell r="M2103">
            <v>12.032999999999999</v>
          </cell>
          <cell r="N2103">
            <v>0</v>
          </cell>
          <cell r="O2103">
            <v>0.19040000000000001</v>
          </cell>
          <cell r="P2103">
            <v>2.8</v>
          </cell>
          <cell r="Q2103">
            <v>5.4333999999999998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0.82740000000000002</v>
          </cell>
          <cell r="Y2103">
            <v>0</v>
          </cell>
          <cell r="Z2103">
            <v>0</v>
          </cell>
          <cell r="AA2103">
            <v>16.669799999999999</v>
          </cell>
          <cell r="AB2103">
            <v>0.24779999999999999</v>
          </cell>
        </row>
        <row r="2104">
          <cell r="A2104">
            <v>32202055</v>
          </cell>
          <cell r="B2104" t="str">
            <v>Egg, cheese, and sausage griddle cake sandwich</v>
          </cell>
          <cell r="I2104">
            <v>140</v>
          </cell>
          <cell r="J2104">
            <v>407.4</v>
          </cell>
          <cell r="K2104">
            <v>2.9099999999999997</v>
          </cell>
          <cell r="L2104">
            <v>0</v>
          </cell>
          <cell r="M2104">
            <v>7.9085999999999999</v>
          </cell>
          <cell r="N2104">
            <v>0</v>
          </cell>
          <cell r="O2104">
            <v>0.13439999999999999</v>
          </cell>
          <cell r="P2104">
            <v>0.84</v>
          </cell>
          <cell r="Q2104">
            <v>3.1640000000000001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0.91279999999999994</v>
          </cell>
          <cell r="Y2104">
            <v>0</v>
          </cell>
          <cell r="Z2104">
            <v>0</v>
          </cell>
          <cell r="AA2104">
            <v>22.226400000000002</v>
          </cell>
          <cell r="AB2104">
            <v>1.1508</v>
          </cell>
        </row>
        <row r="2105">
          <cell r="A2105">
            <v>32202060</v>
          </cell>
          <cell r="B2105" t="str">
            <v>Egg and sausage on biscuit</v>
          </cell>
          <cell r="I2105">
            <v>140</v>
          </cell>
          <cell r="J2105">
            <v>436.8</v>
          </cell>
          <cell r="K2105">
            <v>3.12</v>
          </cell>
          <cell r="L2105">
            <v>0</v>
          </cell>
          <cell r="M2105">
            <v>9.0286000000000008</v>
          </cell>
          <cell r="N2105">
            <v>0</v>
          </cell>
          <cell r="O2105">
            <v>7.1400000000000005E-2</v>
          </cell>
          <cell r="P2105">
            <v>0.28000000000000003</v>
          </cell>
          <cell r="Q2105">
            <v>4.1538000000000004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0.94079999999999997</v>
          </cell>
          <cell r="Y2105">
            <v>0</v>
          </cell>
          <cell r="Z2105">
            <v>0</v>
          </cell>
          <cell r="AA2105">
            <v>15.479100000000001</v>
          </cell>
          <cell r="AB2105">
            <v>1.073118</v>
          </cell>
        </row>
        <row r="2106">
          <cell r="A2106">
            <v>32202070</v>
          </cell>
          <cell r="B2106" t="str">
            <v>Egg, cheese, and bacon on biscuit</v>
          </cell>
          <cell r="I2106">
            <v>140</v>
          </cell>
          <cell r="J2106">
            <v>421.4</v>
          </cell>
          <cell r="K2106">
            <v>3.01</v>
          </cell>
          <cell r="L2106">
            <v>0</v>
          </cell>
          <cell r="M2106">
            <v>8.2501999999999995</v>
          </cell>
          <cell r="N2106">
            <v>0</v>
          </cell>
          <cell r="O2106">
            <v>0.14419999999999999</v>
          </cell>
          <cell r="P2106">
            <v>0.28000000000000003</v>
          </cell>
          <cell r="Q2106">
            <v>2.6907999999999999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1.1424000000000001</v>
          </cell>
          <cell r="Y2106">
            <v>0</v>
          </cell>
          <cell r="Z2106">
            <v>0</v>
          </cell>
          <cell r="AA2106">
            <v>9.9224999999999994</v>
          </cell>
          <cell r="AB2106">
            <v>1.1802018999999999</v>
          </cell>
        </row>
        <row r="2107">
          <cell r="A2107">
            <v>32202075</v>
          </cell>
          <cell r="B2107" t="str">
            <v>Egg, cheese, and bacon griddle cake sandwich</v>
          </cell>
          <cell r="I2107">
            <v>140</v>
          </cell>
          <cell r="J2107">
            <v>380.8</v>
          </cell>
          <cell r="K2107">
            <v>2.72</v>
          </cell>
          <cell r="L2107">
            <v>0</v>
          </cell>
          <cell r="M2107">
            <v>5.7694000000000001</v>
          </cell>
          <cell r="N2107">
            <v>0</v>
          </cell>
          <cell r="O2107">
            <v>0.15260000000000001</v>
          </cell>
          <cell r="P2107">
            <v>1.1200000000000001</v>
          </cell>
          <cell r="Q2107">
            <v>1.8633999999999999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1.0052000000000001</v>
          </cell>
          <cell r="Y2107">
            <v>0</v>
          </cell>
          <cell r="Z2107">
            <v>0</v>
          </cell>
          <cell r="AA2107">
            <v>9.9224999999999994</v>
          </cell>
          <cell r="AB2107">
            <v>1.2642</v>
          </cell>
        </row>
        <row r="2108">
          <cell r="A2108">
            <v>32202080</v>
          </cell>
          <cell r="B2108" t="str">
            <v>Egg, cheese, and bacon on English muffin</v>
          </cell>
          <cell r="I2108">
            <v>140</v>
          </cell>
          <cell r="J2108">
            <v>319.2</v>
          </cell>
          <cell r="K2108">
            <v>2.2799999999999998</v>
          </cell>
          <cell r="L2108">
            <v>0</v>
          </cell>
          <cell r="M2108">
            <v>5.0288000000000004</v>
          </cell>
          <cell r="N2108">
            <v>0</v>
          </cell>
          <cell r="O2108">
            <v>0.26879999999999998</v>
          </cell>
          <cell r="P2108">
            <v>0.56000000000000005</v>
          </cell>
          <cell r="Q2108">
            <v>2.4289999999999998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0.86380000000000001</v>
          </cell>
          <cell r="Y2108">
            <v>0</v>
          </cell>
          <cell r="Z2108">
            <v>0</v>
          </cell>
          <cell r="AA2108">
            <v>7.9379999999999997</v>
          </cell>
          <cell r="AB2108">
            <v>0.15260000000000001</v>
          </cell>
        </row>
        <row r="2109">
          <cell r="A2109">
            <v>32202085</v>
          </cell>
          <cell r="B2109" t="str">
            <v>Egg, cheese and bacon on bagel</v>
          </cell>
          <cell r="I2109">
            <v>140</v>
          </cell>
          <cell r="J2109">
            <v>335.62914000000001</v>
          </cell>
          <cell r="K2109">
            <v>2.397351</v>
          </cell>
          <cell r="L2109">
            <v>0</v>
          </cell>
          <cell r="M2109">
            <v>5.9229272000000002</v>
          </cell>
          <cell r="N2109">
            <v>0</v>
          </cell>
          <cell r="O2109">
            <v>0.42200260000000001</v>
          </cell>
          <cell r="P2109">
            <v>0.84556290000000001</v>
          </cell>
          <cell r="Q2109">
            <v>2.5244966999999998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0.74140660000000003</v>
          </cell>
          <cell r="Y2109">
            <v>0</v>
          </cell>
          <cell r="Z2109">
            <v>0</v>
          </cell>
          <cell r="AA2109">
            <v>7.9485139</v>
          </cell>
          <cell r="AB2109">
            <v>0.53910199999999997</v>
          </cell>
        </row>
        <row r="2110">
          <cell r="A2110">
            <v>32202090</v>
          </cell>
          <cell r="B2110" t="str">
            <v>Egg and bacon on biscuit</v>
          </cell>
          <cell r="I2110">
            <v>140</v>
          </cell>
          <cell r="J2110">
            <v>427</v>
          </cell>
          <cell r="K2110">
            <v>3.05</v>
          </cell>
          <cell r="L2110">
            <v>0</v>
          </cell>
          <cell r="M2110">
            <v>7.42</v>
          </cell>
          <cell r="N2110">
            <v>0</v>
          </cell>
          <cell r="O2110">
            <v>0.1764</v>
          </cell>
          <cell r="P2110">
            <v>0.7</v>
          </cell>
          <cell r="Q2110">
            <v>6.9720000000000004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1.1816</v>
          </cell>
          <cell r="Y2110">
            <v>0</v>
          </cell>
          <cell r="Z2110">
            <v>0</v>
          </cell>
          <cell r="AA2110">
            <v>12.700799999999999</v>
          </cell>
          <cell r="AB2110">
            <v>1.3423594000000001</v>
          </cell>
        </row>
        <row r="2111">
          <cell r="A2111">
            <v>32202130</v>
          </cell>
          <cell r="B2111" t="str">
            <v>Egg and steak on biscuit</v>
          </cell>
          <cell r="I2111">
            <v>140</v>
          </cell>
          <cell r="J2111">
            <v>397.5412</v>
          </cell>
          <cell r="K2111">
            <v>2.8395800000000002</v>
          </cell>
          <cell r="L2111">
            <v>0</v>
          </cell>
          <cell r="M2111">
            <v>3.7153396000000001</v>
          </cell>
          <cell r="N2111">
            <v>0</v>
          </cell>
          <cell r="O2111">
            <v>6.3490000000000005E-2</v>
          </cell>
          <cell r="P2111">
            <v>1.0374000000000001</v>
          </cell>
          <cell r="Q2111">
            <v>5.4650147999999996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1.0684772</v>
          </cell>
          <cell r="Y2111">
            <v>0</v>
          </cell>
          <cell r="Z2111">
            <v>24.64</v>
          </cell>
          <cell r="AA2111">
            <v>0</v>
          </cell>
          <cell r="AB2111">
            <v>1.017296</v>
          </cell>
        </row>
        <row r="2112">
          <cell r="A2112">
            <v>32202200</v>
          </cell>
          <cell r="B2112" t="str">
            <v>Egg and cheese on biscuit</v>
          </cell>
          <cell r="I2112">
            <v>140</v>
          </cell>
          <cell r="J2112">
            <v>377.93</v>
          </cell>
          <cell r="K2112">
            <v>2.6995</v>
          </cell>
          <cell r="L2112">
            <v>-7.7699999999999998E-17</v>
          </cell>
          <cell r="M2112">
            <v>6.6654099999999996</v>
          </cell>
          <cell r="N2112">
            <v>0</v>
          </cell>
          <cell r="O2112">
            <v>0.35421000000000002</v>
          </cell>
          <cell r="P2112">
            <v>0.66300000000000003</v>
          </cell>
          <cell r="Q2112">
            <v>5.5215100000000001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0.89002999999999999</v>
          </cell>
          <cell r="Y2112">
            <v>0</v>
          </cell>
          <cell r="Z2112">
            <v>0</v>
          </cell>
          <cell r="AA2112">
            <v>0</v>
          </cell>
          <cell r="AB2112">
            <v>1.5945100000000001</v>
          </cell>
        </row>
        <row r="2113">
          <cell r="A2113">
            <v>32300100</v>
          </cell>
          <cell r="B2113" t="str">
            <v>Egg drop soup</v>
          </cell>
          <cell r="I2113">
            <v>245</v>
          </cell>
          <cell r="J2113">
            <v>66.150000000000006</v>
          </cell>
          <cell r="K2113">
            <v>0.27</v>
          </cell>
          <cell r="L2113">
            <v>0.98</v>
          </cell>
          <cell r="M2113">
            <v>0.40670000000000001</v>
          </cell>
          <cell r="N2113">
            <v>0</v>
          </cell>
          <cell r="O2113">
            <v>1.7149999999999999E-2</v>
          </cell>
          <cell r="P2113">
            <v>0</v>
          </cell>
          <cell r="Q2113">
            <v>0.31605</v>
          </cell>
          <cell r="R2113">
            <v>0</v>
          </cell>
          <cell r="S2113">
            <v>0</v>
          </cell>
          <cell r="T2113">
            <v>0</v>
          </cell>
          <cell r="U2113">
            <v>6.0025000000000004</v>
          </cell>
          <cell r="V2113">
            <v>0</v>
          </cell>
          <cell r="W2113">
            <v>0</v>
          </cell>
          <cell r="X2113">
            <v>0.90649999999999997</v>
          </cell>
          <cell r="Y2113">
            <v>0</v>
          </cell>
          <cell r="Z2113">
            <v>0</v>
          </cell>
          <cell r="AA2113">
            <v>0</v>
          </cell>
          <cell r="AB2113">
            <v>2.4499999999999999E-3</v>
          </cell>
        </row>
        <row r="2114">
          <cell r="A2114">
            <v>32400060</v>
          </cell>
          <cell r="B2114" t="str">
            <v>Egg white omelet, scrambled, or fried, made with margarine</v>
          </cell>
          <cell r="I2114">
            <v>110</v>
          </cell>
          <cell r="J2114">
            <v>104.92041999999999</v>
          </cell>
          <cell r="K2114">
            <v>0.95382199999999995</v>
          </cell>
          <cell r="L2114">
            <v>0</v>
          </cell>
          <cell r="M2114">
            <v>1.0990489999999999</v>
          </cell>
          <cell r="N2114">
            <v>0</v>
          </cell>
          <cell r="O2114">
            <v>7.5405999999999997E-3</v>
          </cell>
          <cell r="P2114">
            <v>0</v>
          </cell>
          <cell r="Q2114">
            <v>1.7584495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0.52015599999999995</v>
          </cell>
          <cell r="Y2114">
            <v>0</v>
          </cell>
          <cell r="Z2114">
            <v>0</v>
          </cell>
          <cell r="AA2114">
            <v>0</v>
          </cell>
          <cell r="AB2114">
            <v>1.0774139</v>
          </cell>
        </row>
        <row r="2115">
          <cell r="A2115">
            <v>32400065</v>
          </cell>
          <cell r="B2115" t="str">
            <v>Egg white omelet, scrambled, or fried, made with oil</v>
          </cell>
          <cell r="I2115">
            <v>110</v>
          </cell>
          <cell r="J2115">
            <v>114.88106999999999</v>
          </cell>
          <cell r="K2115">
            <v>1.0443733636363637</v>
          </cell>
          <cell r="L2115">
            <v>0</v>
          </cell>
          <cell r="M2115">
            <v>0.95289429999999997</v>
          </cell>
          <cell r="N2115">
            <v>0</v>
          </cell>
          <cell r="O2115">
            <v>7.3600999999999996E-3</v>
          </cell>
          <cell r="P2115">
            <v>0</v>
          </cell>
          <cell r="Q2115">
            <v>2.8698375999999999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0.4670667</v>
          </cell>
          <cell r="Y2115">
            <v>0</v>
          </cell>
          <cell r="Z2115">
            <v>0</v>
          </cell>
          <cell r="AA2115">
            <v>0</v>
          </cell>
          <cell r="AB2115">
            <v>4.9965099999999998E-2</v>
          </cell>
        </row>
        <row r="2116">
          <cell r="A2116">
            <v>32400070</v>
          </cell>
          <cell r="B2116" t="str">
            <v>Egg white omelet, scrambled, or fried, made with butter</v>
          </cell>
          <cell r="I2116">
            <v>110</v>
          </cell>
          <cell r="J2116">
            <v>104.92041999999999</v>
          </cell>
          <cell r="K2116">
            <v>0.95382199999999995</v>
          </cell>
          <cell r="L2116">
            <v>0</v>
          </cell>
          <cell r="M2116">
            <v>3.7168971000000002</v>
          </cell>
          <cell r="N2116">
            <v>0</v>
          </cell>
          <cell r="O2116">
            <v>9.0600999999999998E-3</v>
          </cell>
          <cell r="P2116">
            <v>0</v>
          </cell>
          <cell r="Q2116">
            <v>0.2201861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0.5123413</v>
          </cell>
          <cell r="Y2116">
            <v>0</v>
          </cell>
          <cell r="Z2116">
            <v>0</v>
          </cell>
          <cell r="AA2116">
            <v>0</v>
          </cell>
          <cell r="AB2116">
            <v>0.29008699999999998</v>
          </cell>
        </row>
        <row r="2117">
          <cell r="A2117">
            <v>32400075</v>
          </cell>
          <cell r="B2117" t="str">
            <v>Egg white omelet, scrambled, or fried, made with cooking spray</v>
          </cell>
          <cell r="I2117">
            <v>110</v>
          </cell>
          <cell r="J2117">
            <v>61.595658999999998</v>
          </cell>
          <cell r="K2117">
            <v>0.5599605363636363</v>
          </cell>
          <cell r="L2117">
            <v>0</v>
          </cell>
          <cell r="M2117">
            <v>3.2723200000000001E-2</v>
          </cell>
          <cell r="N2117">
            <v>0</v>
          </cell>
          <cell r="O2117">
            <v>7.7927999999999999E-3</v>
          </cell>
          <cell r="P2117">
            <v>0</v>
          </cell>
          <cell r="Q2117">
            <v>0.14421020000000001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0.4960463</v>
          </cell>
          <cell r="Y2117">
            <v>0</v>
          </cell>
          <cell r="Z2117">
            <v>0</v>
          </cell>
          <cell r="AA2117">
            <v>0</v>
          </cell>
          <cell r="AB2117">
            <v>4.0011900000000003E-2</v>
          </cell>
        </row>
        <row r="2118">
          <cell r="A2118">
            <v>32400080</v>
          </cell>
          <cell r="B2118" t="str">
            <v>Egg white omelet, scrambled, or fried, made without fat</v>
          </cell>
          <cell r="I2118">
            <v>110</v>
          </cell>
          <cell r="J2118">
            <v>56.774194000000001</v>
          </cell>
          <cell r="K2118">
            <v>0.51612903636363638</v>
          </cell>
          <cell r="L2118">
            <v>0</v>
          </cell>
          <cell r="M2118">
            <v>0</v>
          </cell>
          <cell r="N2118">
            <v>0</v>
          </cell>
          <cell r="O2118">
            <v>7.8391999999999993E-3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0.4986139</v>
          </cell>
          <cell r="Y2118">
            <v>0</v>
          </cell>
          <cell r="Z2118">
            <v>0</v>
          </cell>
          <cell r="AA2118">
            <v>0</v>
          </cell>
          <cell r="AB2118">
            <v>2.54868E-2</v>
          </cell>
        </row>
        <row r="2119">
          <cell r="A2119">
            <v>32400100</v>
          </cell>
          <cell r="B2119" t="str">
            <v>Egg white, omelet, scrambled, or fried, with cheese, fat added in cooking</v>
          </cell>
          <cell r="I2119">
            <v>110</v>
          </cell>
          <cell r="J2119">
            <v>161.34354999999999</v>
          </cell>
          <cell r="K2119">
            <v>1.4667595454545455</v>
          </cell>
          <cell r="L2119">
            <v>0</v>
          </cell>
          <cell r="M2119">
            <v>3.7448269999999999</v>
          </cell>
          <cell r="N2119">
            <v>0</v>
          </cell>
          <cell r="O2119">
            <v>0.11644409999999999</v>
          </cell>
          <cell r="P2119">
            <v>0</v>
          </cell>
          <cell r="Q2119">
            <v>2.6855863000000002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0.50249089999999996</v>
          </cell>
          <cell r="Y2119">
            <v>0</v>
          </cell>
          <cell r="Z2119">
            <v>0</v>
          </cell>
          <cell r="AA2119">
            <v>0</v>
          </cell>
          <cell r="AB2119">
            <v>0.28236499999999998</v>
          </cell>
        </row>
        <row r="2120">
          <cell r="A2120">
            <v>32400110</v>
          </cell>
          <cell r="B2120" t="str">
            <v>Egg white, omelet, scrambled, or fried, with cheese, fat not added in cooking</v>
          </cell>
          <cell r="I2120">
            <v>110</v>
          </cell>
          <cell r="J2120">
            <v>114.57465000000001</v>
          </cell>
          <cell r="K2120">
            <v>1.0415877272727274</v>
          </cell>
          <cell r="L2120">
            <v>0</v>
          </cell>
          <cell r="M2120">
            <v>3.0946685999999999</v>
          </cell>
          <cell r="N2120">
            <v>0</v>
          </cell>
          <cell r="O2120">
            <v>0.1231284</v>
          </cell>
          <cell r="P2120">
            <v>0</v>
          </cell>
          <cell r="Q2120">
            <v>0.23308019999999999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0.53137219999999996</v>
          </cell>
          <cell r="Y2120">
            <v>0</v>
          </cell>
          <cell r="Z2120">
            <v>0</v>
          </cell>
          <cell r="AA2120">
            <v>0</v>
          </cell>
          <cell r="AB2120">
            <v>0.26003549999999997</v>
          </cell>
        </row>
        <row r="2121">
          <cell r="A2121">
            <v>32400120</v>
          </cell>
          <cell r="B2121" t="str">
            <v>Egg white, omelet, scrambled, or fried, with cheese, NS as to fat added in cooking</v>
          </cell>
          <cell r="I2121">
            <v>110</v>
          </cell>
          <cell r="J2121">
            <v>161.34354999999999</v>
          </cell>
          <cell r="K2121">
            <v>1.4667595454545455</v>
          </cell>
          <cell r="L2121">
            <v>0</v>
          </cell>
          <cell r="M2121">
            <v>3.7448269999999999</v>
          </cell>
          <cell r="N2121">
            <v>0</v>
          </cell>
          <cell r="O2121">
            <v>0.11644409999999999</v>
          </cell>
          <cell r="P2121">
            <v>0</v>
          </cell>
          <cell r="Q2121">
            <v>2.6855863000000002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0.50249089999999996</v>
          </cell>
          <cell r="Y2121">
            <v>0</v>
          </cell>
          <cell r="Z2121">
            <v>0</v>
          </cell>
          <cell r="AA2121">
            <v>0</v>
          </cell>
          <cell r="AB2121">
            <v>0.25175389999999997</v>
          </cell>
        </row>
        <row r="2122">
          <cell r="A2122">
            <v>32400200</v>
          </cell>
          <cell r="B2122" t="str">
            <v>Egg white, omelet, scrambled, or fried, with meat, fat added in cooking</v>
          </cell>
          <cell r="I2122">
            <v>110</v>
          </cell>
          <cell r="J2122">
            <v>188.34569999999999</v>
          </cell>
          <cell r="K2122">
            <v>1.7122336363636363</v>
          </cell>
          <cell r="L2122">
            <v>0</v>
          </cell>
          <cell r="M2122">
            <v>3.4437367000000001</v>
          </cell>
          <cell r="N2122">
            <v>0</v>
          </cell>
          <cell r="O2122">
            <v>8.0776000000000008E-3</v>
          </cell>
          <cell r="P2122">
            <v>0</v>
          </cell>
          <cell r="Q2122">
            <v>3.2793627999999999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0.7204372</v>
          </cell>
          <cell r="Y2122">
            <v>0</v>
          </cell>
          <cell r="Z2122">
            <v>0</v>
          </cell>
          <cell r="AA2122">
            <v>35.060893999999998</v>
          </cell>
          <cell r="AB2122">
            <v>0.2482249</v>
          </cell>
        </row>
        <row r="2123">
          <cell r="A2123">
            <v>32400220</v>
          </cell>
          <cell r="B2123" t="str">
            <v>Egg white, omelet, scrambled, or fried, with meat, NS as to fat added in cooking</v>
          </cell>
          <cell r="I2123">
            <v>110</v>
          </cell>
          <cell r="J2123">
            <v>188.34569999999999</v>
          </cell>
          <cell r="K2123">
            <v>1.7122336363636363</v>
          </cell>
          <cell r="L2123">
            <v>0</v>
          </cell>
          <cell r="M2123">
            <v>3.4437367000000001</v>
          </cell>
          <cell r="N2123">
            <v>0</v>
          </cell>
          <cell r="O2123">
            <v>8.0776000000000008E-3</v>
          </cell>
          <cell r="P2123">
            <v>0</v>
          </cell>
          <cell r="Q2123">
            <v>3.2793627999999999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0.7204372</v>
          </cell>
          <cell r="Y2123">
            <v>0</v>
          </cell>
          <cell r="Z2123">
            <v>0</v>
          </cell>
          <cell r="AA2123">
            <v>35.060893999999998</v>
          </cell>
          <cell r="AB2123">
            <v>0.24910599999999999</v>
          </cell>
        </row>
        <row r="2124">
          <cell r="A2124">
            <v>32400300</v>
          </cell>
          <cell r="B2124" t="str">
            <v>Egg white, omelet, scrambled, or fried, with vegetables, fat added in cooking</v>
          </cell>
          <cell r="I2124">
            <v>110</v>
          </cell>
          <cell r="J2124">
            <v>108.90245</v>
          </cell>
          <cell r="K2124">
            <v>0.99002227272727272</v>
          </cell>
          <cell r="L2124">
            <v>0.59721849999999999</v>
          </cell>
          <cell r="M2124">
            <v>1.0159396000000001</v>
          </cell>
          <cell r="N2124">
            <v>0</v>
          </cell>
          <cell r="O2124">
            <v>1.0025600000000001E-2</v>
          </cell>
          <cell r="P2124">
            <v>0</v>
          </cell>
          <cell r="Q2124">
            <v>3.0259545999999999</v>
          </cell>
          <cell r="R2124">
            <v>0</v>
          </cell>
          <cell r="S2124">
            <v>0</v>
          </cell>
          <cell r="T2124">
            <v>0</v>
          </cell>
          <cell r="U2124">
            <v>38.022274000000003</v>
          </cell>
          <cell r="V2124">
            <v>0</v>
          </cell>
          <cell r="W2124">
            <v>0</v>
          </cell>
          <cell r="X2124">
            <v>0.29469820000000002</v>
          </cell>
          <cell r="Y2124">
            <v>0</v>
          </cell>
          <cell r="Z2124">
            <v>0</v>
          </cell>
          <cell r="AA2124">
            <v>0</v>
          </cell>
          <cell r="AB2124">
            <v>4.7292599999999997E-2</v>
          </cell>
        </row>
        <row r="2125">
          <cell r="A2125">
            <v>32400310</v>
          </cell>
          <cell r="B2125" t="str">
            <v>Egg white, omelet, scrambled, or fried, with vegetables, fat not added in cooking</v>
          </cell>
          <cell r="I2125">
            <v>110</v>
          </cell>
          <cell r="J2125">
            <v>47.489711</v>
          </cell>
          <cell r="K2125">
            <v>0.43172464545454547</v>
          </cell>
          <cell r="L2125">
            <v>0.63960689999999998</v>
          </cell>
          <cell r="M2125">
            <v>2.02659E-2</v>
          </cell>
          <cell r="N2125">
            <v>0</v>
          </cell>
          <cell r="O2125">
            <v>1.0717600000000001E-2</v>
          </cell>
          <cell r="P2125">
            <v>0</v>
          </cell>
          <cell r="Q2125">
            <v>2.4882000000000001E-2</v>
          </cell>
          <cell r="R2125">
            <v>0</v>
          </cell>
          <cell r="S2125">
            <v>0</v>
          </cell>
          <cell r="T2125">
            <v>0</v>
          </cell>
          <cell r="U2125">
            <v>40.720951999999997</v>
          </cell>
          <cell r="V2125">
            <v>0</v>
          </cell>
          <cell r="W2125">
            <v>0</v>
          </cell>
          <cell r="X2125">
            <v>0.31557570000000001</v>
          </cell>
          <cell r="Y2125">
            <v>0</v>
          </cell>
          <cell r="Z2125">
            <v>0</v>
          </cell>
          <cell r="AA2125">
            <v>0</v>
          </cell>
          <cell r="AB2125">
            <v>1.55958E-2</v>
          </cell>
        </row>
        <row r="2126">
          <cell r="A2126">
            <v>32400320</v>
          </cell>
          <cell r="B2126" t="str">
            <v>Egg white, omelet, scrambled, or fried, with vegetables, NS as to fat added in cooking</v>
          </cell>
          <cell r="I2126">
            <v>110</v>
          </cell>
          <cell r="J2126">
            <v>108.90245</v>
          </cell>
          <cell r="K2126">
            <v>0.99002227272727272</v>
          </cell>
          <cell r="L2126">
            <v>0.59721849999999999</v>
          </cell>
          <cell r="M2126">
            <v>1.0159396000000001</v>
          </cell>
          <cell r="N2126">
            <v>0</v>
          </cell>
          <cell r="O2126">
            <v>1.0025600000000001E-2</v>
          </cell>
          <cell r="P2126">
            <v>0</v>
          </cell>
          <cell r="Q2126">
            <v>3.0259545999999999</v>
          </cell>
          <cell r="R2126">
            <v>0</v>
          </cell>
          <cell r="S2126">
            <v>0</v>
          </cell>
          <cell r="T2126">
            <v>0</v>
          </cell>
          <cell r="U2126">
            <v>38.022274000000003</v>
          </cell>
          <cell r="V2126">
            <v>0</v>
          </cell>
          <cell r="W2126">
            <v>0</v>
          </cell>
          <cell r="X2126">
            <v>0.29469820000000002</v>
          </cell>
          <cell r="Y2126">
            <v>0</v>
          </cell>
          <cell r="Z2126">
            <v>0</v>
          </cell>
          <cell r="AA2126">
            <v>0</v>
          </cell>
          <cell r="AB2126">
            <v>4.8225400000000002E-2</v>
          </cell>
        </row>
        <row r="2127">
          <cell r="A2127">
            <v>32400400</v>
          </cell>
          <cell r="B2127" t="str">
            <v>Egg white, omelet, scrambled, or fried, with cheese and meat, fat added in cooking</v>
          </cell>
          <cell r="I2127">
            <v>110</v>
          </cell>
          <cell r="J2127">
            <v>212.381</v>
          </cell>
          <cell r="K2127">
            <v>1.9307363636363637</v>
          </cell>
          <cell r="L2127">
            <v>0</v>
          </cell>
          <cell r="M2127">
            <v>5.0685875999999999</v>
          </cell>
          <cell r="N2127">
            <v>0</v>
          </cell>
          <cell r="O2127">
            <v>8.0630300000000002E-2</v>
          </cell>
          <cell r="P2127">
            <v>0</v>
          </cell>
          <cell r="Q2127">
            <v>3.1182607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0.7202366</v>
          </cell>
          <cell r="Y2127">
            <v>0</v>
          </cell>
          <cell r="Z2127">
            <v>0</v>
          </cell>
          <cell r="AA2127">
            <v>31.7698</v>
          </cell>
          <cell r="AB2127">
            <v>0.38141429999999998</v>
          </cell>
        </row>
        <row r="2128">
          <cell r="A2128">
            <v>32400420</v>
          </cell>
          <cell r="B2128" t="str">
            <v>Egg white, omelet, scrambled, or fried, with cheese and meat, NS as to fat added in cooking</v>
          </cell>
          <cell r="I2128">
            <v>110</v>
          </cell>
          <cell r="J2128">
            <v>212.381</v>
          </cell>
          <cell r="K2128">
            <v>1.9307363636363637</v>
          </cell>
          <cell r="L2128">
            <v>0</v>
          </cell>
          <cell r="M2128">
            <v>5.0685875999999999</v>
          </cell>
          <cell r="N2128">
            <v>0</v>
          </cell>
          <cell r="O2128">
            <v>8.0630300000000002E-2</v>
          </cell>
          <cell r="P2128">
            <v>0</v>
          </cell>
          <cell r="Q2128">
            <v>3.1182607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0.7202366</v>
          </cell>
          <cell r="Y2128">
            <v>0</v>
          </cell>
          <cell r="Z2128">
            <v>0</v>
          </cell>
          <cell r="AA2128">
            <v>31.7698</v>
          </cell>
          <cell r="AB2128">
            <v>0.3520856</v>
          </cell>
        </row>
        <row r="2129">
          <cell r="A2129">
            <v>32400500</v>
          </cell>
          <cell r="B2129" t="str">
            <v>Egg white, omelet, scrambled, or fried, with cheese and vegetables, fat added in cooking</v>
          </cell>
          <cell r="I2129">
            <v>110</v>
          </cell>
          <cell r="J2129">
            <v>140.24744000000001</v>
          </cell>
          <cell r="K2129">
            <v>1.2749767272727275</v>
          </cell>
          <cell r="L2129">
            <v>0.54142140000000005</v>
          </cell>
          <cell r="M2129">
            <v>2.8600064000000001</v>
          </cell>
          <cell r="N2129">
            <v>0</v>
          </cell>
          <cell r="O2129">
            <v>8.2056400000000002E-2</v>
          </cell>
          <cell r="P2129">
            <v>0</v>
          </cell>
          <cell r="Q2129">
            <v>2.8892825000000002</v>
          </cell>
          <cell r="R2129">
            <v>0</v>
          </cell>
          <cell r="S2129">
            <v>0</v>
          </cell>
          <cell r="T2129">
            <v>0</v>
          </cell>
          <cell r="U2129">
            <v>34.469915</v>
          </cell>
          <cell r="V2129">
            <v>0</v>
          </cell>
          <cell r="W2129">
            <v>0</v>
          </cell>
          <cell r="X2129">
            <v>0.33427459999999998</v>
          </cell>
          <cell r="Y2129">
            <v>0</v>
          </cell>
          <cell r="Z2129">
            <v>0</v>
          </cell>
          <cell r="AA2129">
            <v>0</v>
          </cell>
          <cell r="AB2129">
            <v>0.16866059999999999</v>
          </cell>
        </row>
        <row r="2130">
          <cell r="A2130">
            <v>32400510</v>
          </cell>
          <cell r="B2130" t="str">
            <v>Egg white, omelet, scrambled, or fried, with cheese and vegetables, fat not added in cooking</v>
          </cell>
          <cell r="I2130">
            <v>110</v>
          </cell>
          <cell r="J2130">
            <v>86.942761000000004</v>
          </cell>
          <cell r="K2130">
            <v>0.79038873636363638</v>
          </cell>
          <cell r="L2130">
            <v>0.57602969999999998</v>
          </cell>
          <cell r="M2130">
            <v>2.081178</v>
          </cell>
          <cell r="N2130">
            <v>0</v>
          </cell>
          <cell r="O2130">
            <v>8.7284E-2</v>
          </cell>
          <cell r="P2130">
            <v>0</v>
          </cell>
          <cell r="Q2130">
            <v>0.17778150000000001</v>
          </cell>
          <cell r="R2130">
            <v>0</v>
          </cell>
          <cell r="S2130">
            <v>0</v>
          </cell>
          <cell r="T2130">
            <v>0</v>
          </cell>
          <cell r="U2130">
            <v>36.673271999999997</v>
          </cell>
          <cell r="V2130">
            <v>0</v>
          </cell>
          <cell r="W2130">
            <v>0</v>
          </cell>
          <cell r="X2130">
            <v>0.3556067</v>
          </cell>
          <cell r="Y2130">
            <v>0</v>
          </cell>
          <cell r="Z2130">
            <v>0</v>
          </cell>
          <cell r="AA2130">
            <v>0</v>
          </cell>
          <cell r="AB2130">
            <v>0.148952</v>
          </cell>
        </row>
        <row r="2131">
          <cell r="A2131">
            <v>32400600</v>
          </cell>
          <cell r="B2131" t="str">
            <v>Egg white, omelet, scrambled, or fried, with meat and vegetables, fat added in cooking</v>
          </cell>
          <cell r="I2131">
            <v>110</v>
          </cell>
          <cell r="J2131">
            <v>169.4837</v>
          </cell>
          <cell r="K2131">
            <v>1.5407609090909091</v>
          </cell>
          <cell r="L2131">
            <v>0.2324889</v>
          </cell>
          <cell r="M2131">
            <v>2.6876521000000002</v>
          </cell>
          <cell r="N2131">
            <v>0</v>
          </cell>
          <cell r="O2131">
            <v>8.7063000000000001E-3</v>
          </cell>
          <cell r="P2131">
            <v>0</v>
          </cell>
          <cell r="Q2131">
            <v>3.8152743999999998</v>
          </cell>
          <cell r="R2131">
            <v>0</v>
          </cell>
          <cell r="S2131">
            <v>0</v>
          </cell>
          <cell r="T2131">
            <v>0</v>
          </cell>
          <cell r="U2131">
            <v>14.801468</v>
          </cell>
          <cell r="V2131">
            <v>0</v>
          </cell>
          <cell r="W2131">
            <v>0</v>
          </cell>
          <cell r="X2131">
            <v>0.54316719999999996</v>
          </cell>
          <cell r="Y2131">
            <v>0</v>
          </cell>
          <cell r="Z2131">
            <v>0</v>
          </cell>
          <cell r="AA2131">
            <v>21.885850000000001</v>
          </cell>
          <cell r="AB2131">
            <v>0.17178470000000001</v>
          </cell>
        </row>
        <row r="2132">
          <cell r="A2132">
            <v>32400610</v>
          </cell>
          <cell r="B2132" t="str">
            <v>Egg white, omelet, scrambled, or fried, with meat and vegetables, fat not added in cooking</v>
          </cell>
          <cell r="I2132">
            <v>110</v>
          </cell>
          <cell r="J2132">
            <v>114.00731</v>
          </cell>
          <cell r="K2132">
            <v>1.0364300909090909</v>
          </cell>
          <cell r="L2132">
            <v>0.2485173</v>
          </cell>
          <cell r="M2132">
            <v>1.8357606</v>
          </cell>
          <cell r="N2132">
            <v>0</v>
          </cell>
          <cell r="O2132">
            <v>9.2876E-3</v>
          </cell>
          <cell r="P2132">
            <v>0</v>
          </cell>
          <cell r="Q2132">
            <v>0.95461280000000004</v>
          </cell>
          <cell r="R2132">
            <v>0</v>
          </cell>
          <cell r="S2132">
            <v>0</v>
          </cell>
          <cell r="T2132">
            <v>0</v>
          </cell>
          <cell r="U2132">
            <v>15.821918</v>
          </cell>
          <cell r="V2132">
            <v>0</v>
          </cell>
          <cell r="W2132">
            <v>0</v>
          </cell>
          <cell r="X2132">
            <v>0.5805766</v>
          </cell>
          <cell r="Y2132">
            <v>0</v>
          </cell>
          <cell r="Z2132">
            <v>0</v>
          </cell>
          <cell r="AA2132">
            <v>23.394715000000001</v>
          </cell>
          <cell r="AB2132">
            <v>0.14871789999999999</v>
          </cell>
        </row>
        <row r="2133">
          <cell r="A2133">
            <v>32400620</v>
          </cell>
          <cell r="B2133" t="str">
            <v>Egg white, omelet, scrambled, or fried, with meat and vegetables, NS as to fat added in cooking</v>
          </cell>
          <cell r="I2133">
            <v>110</v>
          </cell>
          <cell r="J2133">
            <v>169.4837</v>
          </cell>
          <cell r="K2133">
            <v>1.5407609090909091</v>
          </cell>
          <cell r="L2133">
            <v>0.2324889</v>
          </cell>
          <cell r="M2133">
            <v>2.6876521000000002</v>
          </cell>
          <cell r="N2133">
            <v>0</v>
          </cell>
          <cell r="O2133">
            <v>8.7063000000000001E-3</v>
          </cell>
          <cell r="P2133">
            <v>0</v>
          </cell>
          <cell r="Q2133">
            <v>3.8152743999999998</v>
          </cell>
          <cell r="R2133">
            <v>0</v>
          </cell>
          <cell r="S2133">
            <v>0</v>
          </cell>
          <cell r="T2133">
            <v>0</v>
          </cell>
          <cell r="U2133">
            <v>14.801468</v>
          </cell>
          <cell r="V2133">
            <v>0</v>
          </cell>
          <cell r="W2133">
            <v>0</v>
          </cell>
          <cell r="X2133">
            <v>0.54316719999999996</v>
          </cell>
          <cell r="Y2133">
            <v>0</v>
          </cell>
          <cell r="Z2133">
            <v>0</v>
          </cell>
          <cell r="AA2133">
            <v>21.885850000000001</v>
          </cell>
          <cell r="AB2133">
            <v>0.17181879999999999</v>
          </cell>
        </row>
        <row r="2134">
          <cell r="A2134">
            <v>32400700</v>
          </cell>
          <cell r="B2134" t="str">
            <v>Egg white, omelet, scrambled, or fried, with cheese, meat, and vegetables, fat added in cooking</v>
          </cell>
          <cell r="I2134">
            <v>110</v>
          </cell>
          <cell r="J2134">
            <v>194.54292000000001</v>
          </cell>
          <cell r="K2134">
            <v>1.768572</v>
          </cell>
          <cell r="L2134">
            <v>0.21129700000000001</v>
          </cell>
          <cell r="M2134">
            <v>4.3344122</v>
          </cell>
          <cell r="N2134">
            <v>0</v>
          </cell>
          <cell r="O2134">
            <v>7.9102599999999995E-2</v>
          </cell>
          <cell r="P2134">
            <v>0</v>
          </cell>
          <cell r="Q2134">
            <v>3.6099836999999999</v>
          </cell>
          <cell r="R2134">
            <v>0</v>
          </cell>
          <cell r="S2134">
            <v>0</v>
          </cell>
          <cell r="T2134">
            <v>0</v>
          </cell>
          <cell r="U2134">
            <v>13.452280999999999</v>
          </cell>
          <cell r="V2134">
            <v>0</v>
          </cell>
          <cell r="W2134">
            <v>0</v>
          </cell>
          <cell r="X2134">
            <v>0.55913089999999999</v>
          </cell>
          <cell r="Y2134">
            <v>0</v>
          </cell>
          <cell r="Z2134">
            <v>0</v>
          </cell>
          <cell r="AA2134">
            <v>19.890906000000001</v>
          </cell>
          <cell r="AB2134">
            <v>0.29604320000000001</v>
          </cell>
        </row>
        <row r="2135">
          <cell r="A2135">
            <v>32400710</v>
          </cell>
          <cell r="B2135" t="str">
            <v>Egg white, omelet, scrambled, or fried, with cheese, meat, and vegetables, fat not added in cooking</v>
          </cell>
          <cell r="I2135">
            <v>110</v>
          </cell>
          <cell r="J2135">
            <v>145.99857</v>
          </cell>
          <cell r="K2135">
            <v>1.3272597272727273</v>
          </cell>
          <cell r="L2135">
            <v>0.22445380000000001</v>
          </cell>
          <cell r="M2135">
            <v>3.6675463000000001</v>
          </cell>
          <cell r="N2135">
            <v>0</v>
          </cell>
          <cell r="O2135">
            <v>8.4010899999999999E-2</v>
          </cell>
          <cell r="P2135">
            <v>0</v>
          </cell>
          <cell r="Q2135">
            <v>1.0135314</v>
          </cell>
          <cell r="R2135">
            <v>0</v>
          </cell>
          <cell r="S2135">
            <v>0</v>
          </cell>
          <cell r="T2135">
            <v>0</v>
          </cell>
          <cell r="U2135">
            <v>14.289914</v>
          </cell>
          <cell r="V2135">
            <v>0</v>
          </cell>
          <cell r="W2135">
            <v>0</v>
          </cell>
          <cell r="X2135">
            <v>0.59391210000000005</v>
          </cell>
          <cell r="Y2135">
            <v>0</v>
          </cell>
          <cell r="Z2135">
            <v>0</v>
          </cell>
          <cell r="AA2135">
            <v>21.129452000000001</v>
          </cell>
          <cell r="AB2135">
            <v>0.29586180000000001</v>
          </cell>
        </row>
        <row r="2136">
          <cell r="A2136">
            <v>32400720</v>
          </cell>
          <cell r="B2136" t="str">
            <v>Egg white, omelet, scrambled, or fried, with cheese, meat, and vegetables, NS as to fat added in cooking</v>
          </cell>
          <cell r="I2136">
            <v>110</v>
          </cell>
          <cell r="J2136">
            <v>194.46329</v>
          </cell>
          <cell r="K2136">
            <v>1.767848090909091</v>
          </cell>
          <cell r="L2136">
            <v>0.21129700000000001</v>
          </cell>
          <cell r="M2136">
            <v>4.5192661999999997</v>
          </cell>
          <cell r="N2136">
            <v>0</v>
          </cell>
          <cell r="O2136">
            <v>8.0197199999999996E-2</v>
          </cell>
          <cell r="P2136">
            <v>0</v>
          </cell>
          <cell r="Q2136">
            <v>3.6965582000000001</v>
          </cell>
          <cell r="R2136">
            <v>0</v>
          </cell>
          <cell r="S2136">
            <v>0</v>
          </cell>
          <cell r="T2136">
            <v>0</v>
          </cell>
          <cell r="U2136">
            <v>13.452280999999999</v>
          </cell>
          <cell r="V2136">
            <v>0</v>
          </cell>
          <cell r="W2136">
            <v>0</v>
          </cell>
          <cell r="X2136">
            <v>0.5559056</v>
          </cell>
          <cell r="Y2136">
            <v>0</v>
          </cell>
          <cell r="Z2136">
            <v>0</v>
          </cell>
          <cell r="AA2136">
            <v>19.890906000000001</v>
          </cell>
          <cell r="AB2136">
            <v>0.26028099999999998</v>
          </cell>
        </row>
        <row r="2137">
          <cell r="A2137">
            <v>32401000</v>
          </cell>
          <cell r="B2137" t="str">
            <v>Meringues</v>
          </cell>
          <cell r="I2137">
            <v>22</v>
          </cell>
          <cell r="J2137">
            <v>49.626466000000001</v>
          </cell>
          <cell r="K2137">
            <v>2.2557484545454547</v>
          </cell>
          <cell r="L2137">
            <v>0</v>
          </cell>
          <cell r="M2137">
            <v>0</v>
          </cell>
          <cell r="N2137">
            <v>0</v>
          </cell>
          <cell r="O2137">
            <v>8.4610000000000002E-4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1.73524E-2</v>
          </cell>
          <cell r="Y2137">
            <v>0</v>
          </cell>
          <cell r="Z2137">
            <v>0</v>
          </cell>
          <cell r="AA2137">
            <v>0</v>
          </cell>
          <cell r="AB2137">
            <v>3.3251999999999999E-3</v>
          </cell>
        </row>
        <row r="2138">
          <cell r="A2138">
            <v>33000990</v>
          </cell>
          <cell r="B2138" t="str">
            <v>Egg substitute, omelet, scrambled, or fried, NS as to fat added in cooking</v>
          </cell>
          <cell r="I2138">
            <v>110</v>
          </cell>
          <cell r="J2138">
            <v>103.6348</v>
          </cell>
          <cell r="K2138">
            <v>0.94213454545454545</v>
          </cell>
          <cell r="L2138">
            <v>0</v>
          </cell>
          <cell r="M2138">
            <v>1.7626657999999999</v>
          </cell>
          <cell r="N2138">
            <v>0</v>
          </cell>
          <cell r="O2138">
            <v>7.5531699999999993E-2</v>
          </cell>
          <cell r="P2138">
            <v>0</v>
          </cell>
          <cell r="Q2138">
            <v>1.9154009000000001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0.52341420000000005</v>
          </cell>
          <cell r="Y2138">
            <v>0</v>
          </cell>
          <cell r="Z2138">
            <v>0</v>
          </cell>
          <cell r="AA2138">
            <v>0</v>
          </cell>
          <cell r="AB2138">
            <v>0.1353038</v>
          </cell>
        </row>
        <row r="2139">
          <cell r="A2139">
            <v>33001000</v>
          </cell>
          <cell r="B2139" t="str">
            <v>Egg substitute, omelet, scrambled, or fried, made with margarine</v>
          </cell>
          <cell r="I2139">
            <v>110</v>
          </cell>
          <cell r="J2139">
            <v>100.84045</v>
          </cell>
          <cell r="K2139">
            <v>0.91673136363636365</v>
          </cell>
          <cell r="L2139">
            <v>0</v>
          </cell>
          <cell r="M2139">
            <v>1.0990489999999999</v>
          </cell>
          <cell r="N2139">
            <v>0</v>
          </cell>
          <cell r="O2139">
            <v>7.4860099999999999E-2</v>
          </cell>
          <cell r="P2139">
            <v>0</v>
          </cell>
          <cell r="Q2139">
            <v>1.7584495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0.55381570000000002</v>
          </cell>
          <cell r="Y2139">
            <v>0</v>
          </cell>
          <cell r="Z2139">
            <v>0</v>
          </cell>
          <cell r="AA2139">
            <v>0</v>
          </cell>
          <cell r="AB2139">
            <v>1.0774139</v>
          </cell>
        </row>
        <row r="2140">
          <cell r="A2140">
            <v>33001010</v>
          </cell>
          <cell r="B2140" t="str">
            <v>Egg substitute, omelet, scrambled, or fried, made with oil</v>
          </cell>
          <cell r="I2140">
            <v>110</v>
          </cell>
          <cell r="J2140">
            <v>110.79044</v>
          </cell>
          <cell r="K2140">
            <v>1.0071858181818183</v>
          </cell>
          <cell r="L2140">
            <v>0</v>
          </cell>
          <cell r="M2140">
            <v>0.95289429999999997</v>
          </cell>
          <cell r="N2140">
            <v>0</v>
          </cell>
          <cell r="O2140">
            <v>7.4855400000000002E-2</v>
          </cell>
          <cell r="P2140">
            <v>0</v>
          </cell>
          <cell r="Q2140">
            <v>2.8698375999999999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0.50081439999999999</v>
          </cell>
          <cell r="Y2140">
            <v>0</v>
          </cell>
          <cell r="Z2140">
            <v>0</v>
          </cell>
          <cell r="AA2140">
            <v>0</v>
          </cell>
          <cell r="AB2140">
            <v>2.46888E-2</v>
          </cell>
        </row>
        <row r="2141">
          <cell r="A2141">
            <v>33001020</v>
          </cell>
          <cell r="B2141" t="str">
            <v>Egg substitute, omelet, scrambled, or fried, made with butter</v>
          </cell>
          <cell r="I2141">
            <v>110</v>
          </cell>
          <cell r="J2141">
            <v>100.84045</v>
          </cell>
          <cell r="K2141">
            <v>0.91673136363636365</v>
          </cell>
          <cell r="L2141">
            <v>0</v>
          </cell>
          <cell r="M2141">
            <v>3.7168971000000002</v>
          </cell>
          <cell r="N2141">
            <v>0</v>
          </cell>
          <cell r="O2141">
            <v>7.6379600000000006E-2</v>
          </cell>
          <cell r="P2141">
            <v>0</v>
          </cell>
          <cell r="Q2141">
            <v>0.2201861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0.54600099999999996</v>
          </cell>
          <cell r="Y2141">
            <v>0</v>
          </cell>
          <cell r="Z2141">
            <v>0</v>
          </cell>
          <cell r="AA2141">
            <v>0</v>
          </cell>
          <cell r="AB2141">
            <v>0.23719029999999999</v>
          </cell>
        </row>
        <row r="2142">
          <cell r="A2142">
            <v>33001040</v>
          </cell>
          <cell r="B2142" t="str">
            <v>Egg substitute, omelet, scrambled, or fried, made with cooking spray</v>
          </cell>
          <cell r="I2142">
            <v>110</v>
          </cell>
          <cell r="J2142">
            <v>57.254266999999999</v>
          </cell>
          <cell r="K2142">
            <v>0.52049333636363637</v>
          </cell>
          <cell r="L2142">
            <v>0</v>
          </cell>
          <cell r="M2142">
            <v>3.2723200000000001E-2</v>
          </cell>
          <cell r="N2142">
            <v>0</v>
          </cell>
          <cell r="O2142">
            <v>7.9425800000000005E-2</v>
          </cell>
          <cell r="P2142">
            <v>0</v>
          </cell>
          <cell r="Q2142">
            <v>0.14421020000000001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0.53186279999999997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</row>
        <row r="2143">
          <cell r="A2143">
            <v>33001050</v>
          </cell>
          <cell r="B2143" t="str">
            <v>Egg substitute, omelet, scrambled, or fried, made without fat</v>
          </cell>
          <cell r="I2143">
            <v>110</v>
          </cell>
          <cell r="J2143">
            <v>52.406948</v>
          </cell>
          <cell r="K2143">
            <v>0.47642679999999998</v>
          </cell>
          <cell r="L2143">
            <v>0</v>
          </cell>
          <cell r="M2143">
            <v>0</v>
          </cell>
          <cell r="N2143">
            <v>0</v>
          </cell>
          <cell r="O2143">
            <v>7.9898800000000006E-2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0.53464370000000006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</row>
        <row r="2144">
          <cell r="A2144">
            <v>33001200</v>
          </cell>
          <cell r="B2144" t="str">
            <v>Egg substitute, vegetable flavored, omelet, scrambled, or fried, fat added in cooking</v>
          </cell>
          <cell r="I2144">
            <v>110</v>
          </cell>
          <cell r="J2144">
            <v>110.79044</v>
          </cell>
          <cell r="K2144">
            <v>1.0071858181818183</v>
          </cell>
          <cell r="L2144">
            <v>0</v>
          </cell>
          <cell r="M2144">
            <v>0.95289429999999997</v>
          </cell>
          <cell r="N2144">
            <v>0</v>
          </cell>
          <cell r="O2144">
            <v>7.4855400000000002E-2</v>
          </cell>
          <cell r="P2144">
            <v>0</v>
          </cell>
          <cell r="Q2144">
            <v>2.8698375999999999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0.50081439999999999</v>
          </cell>
          <cell r="Y2144">
            <v>0</v>
          </cell>
          <cell r="Z2144">
            <v>0</v>
          </cell>
          <cell r="AA2144">
            <v>0</v>
          </cell>
          <cell r="AB2144">
            <v>2.46888E-2</v>
          </cell>
        </row>
        <row r="2145">
          <cell r="A2145">
            <v>33401000</v>
          </cell>
          <cell r="B2145" t="str">
            <v>Egg substitute, omelet, scrambled, or fried, with cheese, fat added in cooking</v>
          </cell>
          <cell r="I2145">
            <v>110</v>
          </cell>
          <cell r="J2145">
            <v>157.82971000000001</v>
          </cell>
          <cell r="K2145">
            <v>1.4348155454545455</v>
          </cell>
          <cell r="L2145">
            <v>0</v>
          </cell>
          <cell r="M2145">
            <v>3.7448269999999999</v>
          </cell>
          <cell r="N2145">
            <v>0</v>
          </cell>
          <cell r="O2145">
            <v>0.17442250000000001</v>
          </cell>
          <cell r="P2145">
            <v>0</v>
          </cell>
          <cell r="Q2145">
            <v>2.6855863000000002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0.53148010000000001</v>
          </cell>
          <cell r="Y2145">
            <v>0</v>
          </cell>
          <cell r="Z2145">
            <v>0</v>
          </cell>
          <cell r="AA2145">
            <v>0</v>
          </cell>
          <cell r="AB2145">
            <v>0.22217780000000001</v>
          </cell>
        </row>
        <row r="2146">
          <cell r="A2146">
            <v>33401100</v>
          </cell>
          <cell r="B2146" t="str">
            <v>Egg substitute, omelet, scrambled, or fried, with meat, fat added in cooking</v>
          </cell>
          <cell r="I2146">
            <v>110</v>
          </cell>
          <cell r="J2146">
            <v>185.76411999999999</v>
          </cell>
          <cell r="K2146">
            <v>1.6887647272727271</v>
          </cell>
          <cell r="L2146">
            <v>0</v>
          </cell>
          <cell r="M2146">
            <v>3.4437367000000001</v>
          </cell>
          <cell r="N2146">
            <v>0</v>
          </cell>
          <cell r="O2146">
            <v>5.0673799999999998E-2</v>
          </cell>
          <cell r="P2146">
            <v>0</v>
          </cell>
          <cell r="Q2146">
            <v>3.2793627999999999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0.74173520000000004</v>
          </cell>
          <cell r="Y2146">
            <v>0</v>
          </cell>
          <cell r="Z2146">
            <v>0</v>
          </cell>
          <cell r="AA2146">
            <v>35.060893999999998</v>
          </cell>
          <cell r="AB2146">
            <v>0.2142734</v>
          </cell>
        </row>
        <row r="2147">
          <cell r="A2147">
            <v>33401220</v>
          </cell>
          <cell r="B2147" t="str">
            <v>Egg substitute, omelet, scrambled, or fried, with vegetables, NS as to fat added in cooking</v>
          </cell>
          <cell r="I2147">
            <v>110</v>
          </cell>
          <cell r="J2147">
            <v>106.3342</v>
          </cell>
          <cell r="K2147">
            <v>0.96667454545454545</v>
          </cell>
          <cell r="L2147">
            <v>0.59721849999999999</v>
          </cell>
          <cell r="M2147">
            <v>1.0159396000000001</v>
          </cell>
          <cell r="N2147">
            <v>0</v>
          </cell>
          <cell r="O2147">
            <v>5.2401700000000002E-2</v>
          </cell>
          <cell r="P2147">
            <v>0</v>
          </cell>
          <cell r="Q2147">
            <v>3.0259545999999999</v>
          </cell>
          <cell r="R2147">
            <v>0</v>
          </cell>
          <cell r="S2147">
            <v>0</v>
          </cell>
          <cell r="T2147">
            <v>0</v>
          </cell>
          <cell r="U2147">
            <v>38.022274000000003</v>
          </cell>
          <cell r="V2147">
            <v>0</v>
          </cell>
          <cell r="W2147">
            <v>0</v>
          </cell>
          <cell r="X2147">
            <v>0.31588630000000001</v>
          </cell>
          <cell r="Y2147">
            <v>0</v>
          </cell>
          <cell r="Z2147">
            <v>0</v>
          </cell>
          <cell r="AA2147">
            <v>0</v>
          </cell>
          <cell r="AB2147">
            <v>2.5832000000000001E-2</v>
          </cell>
        </row>
        <row r="2148">
          <cell r="A2148">
            <v>33401300</v>
          </cell>
          <cell r="B2148" t="str">
            <v>Egg substitute, omelet, scrambled, or fried, with cheese and meat, fat added in cooking</v>
          </cell>
          <cell r="I2148">
            <v>110</v>
          </cell>
          <cell r="J2148">
            <v>210.04174</v>
          </cell>
          <cell r="K2148">
            <v>1.9094703636363637</v>
          </cell>
          <cell r="L2148">
            <v>0</v>
          </cell>
          <cell r="M2148">
            <v>5.0685875999999999</v>
          </cell>
          <cell r="N2148">
            <v>0</v>
          </cell>
          <cell r="O2148">
            <v>0.119228</v>
          </cell>
          <cell r="P2148">
            <v>0</v>
          </cell>
          <cell r="Q2148">
            <v>3.1182607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0.73953539999999995</v>
          </cell>
          <cell r="Y2148">
            <v>0</v>
          </cell>
          <cell r="Z2148">
            <v>0</v>
          </cell>
          <cell r="AA2148">
            <v>31.7698</v>
          </cell>
          <cell r="AB2148">
            <v>0.35124610000000001</v>
          </cell>
        </row>
        <row r="2149">
          <cell r="A2149">
            <v>33401400</v>
          </cell>
          <cell r="B2149" t="str">
            <v>Egg substitute, omelet, scrambled, or fried, with cheese and vegetables, fat added in cooking</v>
          </cell>
          <cell r="I2149">
            <v>110</v>
          </cell>
          <cell r="J2149">
            <v>137.91914</v>
          </cell>
          <cell r="K2149">
            <v>1.2538103636363636</v>
          </cell>
          <cell r="L2149">
            <v>0.54142140000000005</v>
          </cell>
          <cell r="M2149">
            <v>2.8600064000000001</v>
          </cell>
          <cell r="N2149">
            <v>0</v>
          </cell>
          <cell r="O2149">
            <v>0.12047339999999999</v>
          </cell>
          <cell r="P2149">
            <v>0</v>
          </cell>
          <cell r="Q2149">
            <v>2.8892825000000002</v>
          </cell>
          <cell r="R2149">
            <v>0</v>
          </cell>
          <cell r="S2149">
            <v>0</v>
          </cell>
          <cell r="T2149">
            <v>0</v>
          </cell>
          <cell r="U2149">
            <v>34.469915</v>
          </cell>
          <cell r="V2149">
            <v>0</v>
          </cell>
          <cell r="W2149">
            <v>0</v>
          </cell>
          <cell r="X2149">
            <v>0.35348309999999999</v>
          </cell>
          <cell r="Y2149">
            <v>0</v>
          </cell>
          <cell r="Z2149">
            <v>0</v>
          </cell>
          <cell r="AA2149">
            <v>0</v>
          </cell>
          <cell r="AB2149">
            <v>0.1588137</v>
          </cell>
        </row>
        <row r="2150">
          <cell r="A2150">
            <v>33401420</v>
          </cell>
          <cell r="B2150" t="str">
            <v>Egg substitute, omelet, scrambled, or fried, with cheese and vegetables, NS as to fat added in cooking</v>
          </cell>
          <cell r="I2150">
            <v>110</v>
          </cell>
          <cell r="J2150">
            <v>137.91914</v>
          </cell>
          <cell r="K2150">
            <v>1.2538103636363636</v>
          </cell>
          <cell r="L2150">
            <v>0.54142140000000005</v>
          </cell>
          <cell r="M2150">
            <v>2.8600064000000001</v>
          </cell>
          <cell r="N2150">
            <v>0</v>
          </cell>
          <cell r="O2150">
            <v>0.12047339999999999</v>
          </cell>
          <cell r="P2150">
            <v>0</v>
          </cell>
          <cell r="Q2150">
            <v>2.8892825000000002</v>
          </cell>
          <cell r="R2150">
            <v>0</v>
          </cell>
          <cell r="S2150">
            <v>0</v>
          </cell>
          <cell r="T2150">
            <v>0</v>
          </cell>
          <cell r="U2150">
            <v>34.469915</v>
          </cell>
          <cell r="V2150">
            <v>0</v>
          </cell>
          <cell r="W2150">
            <v>0</v>
          </cell>
          <cell r="X2150">
            <v>0.35348309999999999</v>
          </cell>
          <cell r="Y2150">
            <v>0</v>
          </cell>
          <cell r="Z2150">
            <v>0</v>
          </cell>
          <cell r="AA2150">
            <v>0</v>
          </cell>
          <cell r="AB2150">
            <v>0.16711129999999999</v>
          </cell>
        </row>
        <row r="2151">
          <cell r="A2151">
            <v>33401500</v>
          </cell>
          <cell r="B2151" t="str">
            <v>Egg substitute, omelet, scrambled, or fried, with meat and vegetables, fat added in cooking</v>
          </cell>
          <cell r="I2151">
            <v>110</v>
          </cell>
          <cell r="J2151">
            <v>166.98428999999999</v>
          </cell>
          <cell r="K2151">
            <v>1.5180389999999999</v>
          </cell>
          <cell r="L2151">
            <v>0.2324889</v>
          </cell>
          <cell r="M2151">
            <v>2.6876521000000002</v>
          </cell>
          <cell r="N2151">
            <v>0</v>
          </cell>
          <cell r="O2151">
            <v>4.9946499999999998E-2</v>
          </cell>
          <cell r="P2151">
            <v>0</v>
          </cell>
          <cell r="Q2151">
            <v>3.8152743999999998</v>
          </cell>
          <cell r="R2151">
            <v>0</v>
          </cell>
          <cell r="S2151">
            <v>0</v>
          </cell>
          <cell r="T2151">
            <v>0</v>
          </cell>
          <cell r="U2151">
            <v>14.801468</v>
          </cell>
          <cell r="V2151">
            <v>0</v>
          </cell>
          <cell r="W2151">
            <v>0</v>
          </cell>
          <cell r="X2151">
            <v>0.56378729999999999</v>
          </cell>
          <cell r="Y2151">
            <v>0</v>
          </cell>
          <cell r="Z2151">
            <v>0</v>
          </cell>
          <cell r="AA2151">
            <v>21.885850000000001</v>
          </cell>
          <cell r="AB2151">
            <v>0.13941229999999999</v>
          </cell>
        </row>
        <row r="2152">
          <cell r="A2152">
            <v>33401600</v>
          </cell>
          <cell r="B2152" t="str">
            <v>Egg substitute, omelet, scrambled, or fried, with cheese, meat, and vegetables, fat added in cooking</v>
          </cell>
          <cell r="I2152">
            <v>110</v>
          </cell>
          <cell r="J2152">
            <v>192.27135000000001</v>
          </cell>
          <cell r="K2152">
            <v>1.7479213636363637</v>
          </cell>
          <cell r="L2152">
            <v>0.21129700000000001</v>
          </cell>
          <cell r="M2152">
            <v>4.3344122</v>
          </cell>
          <cell r="N2152">
            <v>0</v>
          </cell>
          <cell r="O2152">
            <v>0.1165836</v>
          </cell>
          <cell r="P2152">
            <v>0</v>
          </cell>
          <cell r="Q2152">
            <v>3.6099836999999999</v>
          </cell>
          <cell r="R2152">
            <v>0</v>
          </cell>
          <cell r="S2152">
            <v>0</v>
          </cell>
          <cell r="T2152">
            <v>0</v>
          </cell>
          <cell r="U2152">
            <v>13.452280999999999</v>
          </cell>
          <cell r="V2152">
            <v>0</v>
          </cell>
          <cell r="W2152">
            <v>0</v>
          </cell>
          <cell r="X2152">
            <v>0.57787149999999998</v>
          </cell>
          <cell r="Y2152">
            <v>0</v>
          </cell>
          <cell r="Z2152">
            <v>0</v>
          </cell>
          <cell r="AA2152">
            <v>19.890906000000001</v>
          </cell>
          <cell r="AB2152">
            <v>0.26615080000000002</v>
          </cell>
        </row>
        <row r="2153">
          <cell r="A2153">
            <v>41101000</v>
          </cell>
          <cell r="B2153" t="str">
            <v>Beans, dry, cooked, NS as to type and as to fat added in cooking</v>
          </cell>
          <cell r="I2153">
            <v>90</v>
          </cell>
          <cell r="J2153">
            <v>177.06136000000001</v>
          </cell>
          <cell r="K2153">
            <v>1.9673484444444445</v>
          </cell>
          <cell r="L2153">
            <v>7.4617377999999999</v>
          </cell>
          <cell r="M2153">
            <v>1.0162266</v>
          </cell>
          <cell r="N2153">
            <v>0</v>
          </cell>
          <cell r="O2153">
            <v>3.8270899999999997E-2</v>
          </cell>
          <cell r="P2153">
            <v>0</v>
          </cell>
          <cell r="Q2153">
            <v>2.9158248000000002</v>
          </cell>
          <cell r="R2153">
            <v>0</v>
          </cell>
          <cell r="S2153">
            <v>82.700926999999993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0.1891535</v>
          </cell>
          <cell r="Y2153">
            <v>0</v>
          </cell>
          <cell r="Z2153">
            <v>0</v>
          </cell>
          <cell r="AA2153">
            <v>0</v>
          </cell>
          <cell r="AB2153">
            <v>2.34083E-2</v>
          </cell>
        </row>
        <row r="2154">
          <cell r="A2154">
            <v>41101010</v>
          </cell>
          <cell r="B2154" t="str">
            <v>Beans, dry, cooked, NS as to type, fat added in cooking</v>
          </cell>
          <cell r="I2154">
            <v>90</v>
          </cell>
          <cell r="J2154">
            <v>177.06136000000001</v>
          </cell>
          <cell r="K2154">
            <v>1.9673484444444445</v>
          </cell>
          <cell r="L2154">
            <v>7.4617377999999999</v>
          </cell>
          <cell r="M2154">
            <v>1.0162266</v>
          </cell>
          <cell r="N2154">
            <v>0</v>
          </cell>
          <cell r="O2154">
            <v>3.8270899999999997E-2</v>
          </cell>
          <cell r="P2154">
            <v>0</v>
          </cell>
          <cell r="Q2154">
            <v>2.9158248000000002</v>
          </cell>
          <cell r="R2154">
            <v>0</v>
          </cell>
          <cell r="S2154">
            <v>82.700926999999993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0.1891535</v>
          </cell>
          <cell r="Y2154">
            <v>0</v>
          </cell>
          <cell r="Z2154">
            <v>0</v>
          </cell>
          <cell r="AA2154">
            <v>0</v>
          </cell>
          <cell r="AB2154">
            <v>2.34083E-2</v>
          </cell>
        </row>
        <row r="2155">
          <cell r="A2155">
            <v>41101020</v>
          </cell>
          <cell r="B2155" t="str">
            <v>Beans, dry, cooked, NS as to type, fat not added in cooking</v>
          </cell>
          <cell r="I2155">
            <v>90</v>
          </cell>
          <cell r="J2155">
            <v>127.95026</v>
          </cell>
          <cell r="K2155">
            <v>1.4216695555555556</v>
          </cell>
          <cell r="L2155">
            <v>8.0528133000000004</v>
          </cell>
          <cell r="M2155">
            <v>0.121687</v>
          </cell>
          <cell r="N2155">
            <v>0</v>
          </cell>
          <cell r="O2155">
            <v>4.1284700000000001E-2</v>
          </cell>
          <cell r="P2155">
            <v>0</v>
          </cell>
          <cell r="Q2155">
            <v>0.21026790000000001</v>
          </cell>
          <cell r="R2155">
            <v>0</v>
          </cell>
          <cell r="S2155">
            <v>89.252015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0.20410149999999999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</row>
        <row r="2156">
          <cell r="A2156">
            <v>41101050</v>
          </cell>
          <cell r="B2156" t="str">
            <v>Beans, canned, drained, NS as to type and as to fat added in cooking</v>
          </cell>
          <cell r="I2156">
            <v>90</v>
          </cell>
          <cell r="J2156">
            <v>124.61678999999999</v>
          </cell>
          <cell r="K2156">
            <v>1.3846309999999999</v>
          </cell>
          <cell r="L2156">
            <v>3.8444050000000001</v>
          </cell>
          <cell r="M2156">
            <v>0.96309789999999995</v>
          </cell>
          <cell r="N2156">
            <v>0</v>
          </cell>
          <cell r="O2156">
            <v>3.9317900000000003E-2</v>
          </cell>
          <cell r="P2156">
            <v>0</v>
          </cell>
          <cell r="Q2156">
            <v>2.7782507999999999</v>
          </cell>
          <cell r="R2156">
            <v>0</v>
          </cell>
          <cell r="S2156">
            <v>83.365087000000003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0.1580404</v>
          </cell>
          <cell r="Y2156">
            <v>0</v>
          </cell>
          <cell r="Z2156">
            <v>0</v>
          </cell>
          <cell r="AA2156">
            <v>0</v>
          </cell>
          <cell r="AB2156">
            <v>2.24414E-2</v>
          </cell>
        </row>
        <row r="2157">
          <cell r="A2157">
            <v>41101100</v>
          </cell>
          <cell r="B2157" t="str">
            <v>White beans, dry, cooked, NS as to fat added in cooking</v>
          </cell>
          <cell r="I2157">
            <v>90</v>
          </cell>
          <cell r="J2157">
            <v>171.73518999999999</v>
          </cell>
          <cell r="K2157">
            <v>1.9081687777777776</v>
          </cell>
          <cell r="L2157">
            <v>5.241676</v>
          </cell>
          <cell r="M2157">
            <v>0.94185620000000003</v>
          </cell>
          <cell r="N2157">
            <v>0</v>
          </cell>
          <cell r="O2157">
            <v>7.5008699999999998E-2</v>
          </cell>
          <cell r="P2157">
            <v>0</v>
          </cell>
          <cell r="Q2157">
            <v>2.7350344</v>
          </cell>
          <cell r="R2157">
            <v>0</v>
          </cell>
          <cell r="S2157">
            <v>82.993202999999994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0.18553559999999999</v>
          </cell>
          <cell r="Y2157">
            <v>0</v>
          </cell>
          <cell r="Z2157">
            <v>0</v>
          </cell>
          <cell r="AA2157">
            <v>0</v>
          </cell>
          <cell r="AB2157">
            <v>2.2441200000000001E-2</v>
          </cell>
        </row>
        <row r="2158">
          <cell r="A2158">
            <v>41101110</v>
          </cell>
          <cell r="B2158" t="str">
            <v>White beans, dry, cooked, fat added in cooking, NS as to type of fat</v>
          </cell>
          <cell r="I2158">
            <v>90</v>
          </cell>
          <cell r="J2158">
            <v>171.73518999999999</v>
          </cell>
          <cell r="K2158">
            <v>1.9081687777777776</v>
          </cell>
          <cell r="L2158">
            <v>5.241676</v>
          </cell>
          <cell r="M2158">
            <v>0.94185620000000003</v>
          </cell>
          <cell r="N2158">
            <v>0</v>
          </cell>
          <cell r="O2158">
            <v>7.5008699999999998E-2</v>
          </cell>
          <cell r="P2158">
            <v>0</v>
          </cell>
          <cell r="Q2158">
            <v>2.7350344</v>
          </cell>
          <cell r="R2158">
            <v>0</v>
          </cell>
          <cell r="S2158">
            <v>82.993202999999994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0.18553559999999999</v>
          </cell>
          <cell r="Y2158">
            <v>0</v>
          </cell>
          <cell r="Z2158">
            <v>0</v>
          </cell>
          <cell r="AA2158">
            <v>0</v>
          </cell>
          <cell r="AB2158">
            <v>6.30463E-2</v>
          </cell>
        </row>
        <row r="2159">
          <cell r="A2159">
            <v>41101111</v>
          </cell>
          <cell r="B2159" t="str">
            <v>White beans, dry, cooked, made with oil</v>
          </cell>
          <cell r="I2159">
            <v>90</v>
          </cell>
          <cell r="J2159">
            <v>171.73697000000001</v>
          </cell>
          <cell r="K2159">
            <v>1.9081885555555558</v>
          </cell>
          <cell r="L2159">
            <v>5.2417300999999998</v>
          </cell>
          <cell r="M2159">
            <v>0.94186590000000003</v>
          </cell>
          <cell r="N2159">
            <v>0</v>
          </cell>
          <cell r="O2159">
            <v>7.5009199999999998E-2</v>
          </cell>
          <cell r="P2159">
            <v>0</v>
          </cell>
          <cell r="Q2159">
            <v>2.7350626999999998</v>
          </cell>
          <cell r="R2159">
            <v>0</v>
          </cell>
          <cell r="S2159">
            <v>82.994061000000002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0.18517719999999999</v>
          </cell>
          <cell r="Y2159">
            <v>0</v>
          </cell>
          <cell r="Z2159">
            <v>0</v>
          </cell>
          <cell r="AA2159">
            <v>0</v>
          </cell>
          <cell r="AB2159">
            <v>2.24414E-2</v>
          </cell>
        </row>
        <row r="2160">
          <cell r="A2160">
            <v>41101112</v>
          </cell>
          <cell r="B2160" t="str">
            <v>White beans, dry, cooked, made with animal fat or meat drippings</v>
          </cell>
          <cell r="I2160">
            <v>90</v>
          </cell>
          <cell r="J2160">
            <v>166.42641</v>
          </cell>
          <cell r="K2160">
            <v>1.8491823333333335</v>
          </cell>
          <cell r="L2160">
            <v>5.2638048</v>
          </cell>
          <cell r="M2160">
            <v>2.2040069999999998</v>
          </cell>
          <cell r="N2160">
            <v>0</v>
          </cell>
          <cell r="O2160">
            <v>7.5566900000000006E-2</v>
          </cell>
          <cell r="P2160">
            <v>0</v>
          </cell>
          <cell r="Q2160">
            <v>0.72818620000000001</v>
          </cell>
          <cell r="R2160">
            <v>0</v>
          </cell>
          <cell r="S2160">
            <v>83.343575999999999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0.22211020000000001</v>
          </cell>
          <cell r="Y2160">
            <v>0</v>
          </cell>
          <cell r="Z2160">
            <v>0</v>
          </cell>
          <cell r="AA2160">
            <v>0</v>
          </cell>
          <cell r="AB2160">
            <v>0.13499340000000001</v>
          </cell>
        </row>
        <row r="2161">
          <cell r="A2161">
            <v>41101120</v>
          </cell>
          <cell r="B2161" t="str">
            <v>White beans, dry, cooked, fat not added in cooking</v>
          </cell>
          <cell r="I2161">
            <v>90</v>
          </cell>
          <cell r="J2161">
            <v>124.405</v>
          </cell>
          <cell r="K2161">
            <v>1.3822777777777777</v>
          </cell>
          <cell r="L2161">
            <v>5.6384999999999996</v>
          </cell>
          <cell r="M2161">
            <v>8.1445000000000004E-2</v>
          </cell>
          <cell r="N2161">
            <v>0</v>
          </cell>
          <cell r="O2161">
            <v>8.0670000000000006E-2</v>
          </cell>
          <cell r="P2161">
            <v>0</v>
          </cell>
          <cell r="Q2161">
            <v>0.13603999999999999</v>
          </cell>
          <cell r="R2161">
            <v>0</v>
          </cell>
          <cell r="S2161">
            <v>89.276250000000005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0.19916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</row>
        <row r="2162">
          <cell r="A2162">
            <v>41102000</v>
          </cell>
          <cell r="B2162" t="str">
            <v>Black, brown, or Bayo beans, dry, cooked, NS as to fat added in cooking</v>
          </cell>
          <cell r="I2162">
            <v>90</v>
          </cell>
          <cell r="J2162">
            <v>165.67075</v>
          </cell>
          <cell r="K2162">
            <v>1.840786111111111</v>
          </cell>
          <cell r="L2162">
            <v>7.2416185000000004</v>
          </cell>
          <cell r="M2162">
            <v>0.97740110000000002</v>
          </cell>
          <cell r="N2162">
            <v>0</v>
          </cell>
          <cell r="O2162">
            <v>2.2600700000000001E-2</v>
          </cell>
          <cell r="P2162">
            <v>0</v>
          </cell>
          <cell r="Q2162">
            <v>2.7874698000000002</v>
          </cell>
          <cell r="R2162">
            <v>0</v>
          </cell>
          <cell r="S2162">
            <v>83.028902000000002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0.18009159999999999</v>
          </cell>
          <cell r="Y2162">
            <v>0</v>
          </cell>
          <cell r="Z2162">
            <v>0</v>
          </cell>
          <cell r="AA2162">
            <v>0</v>
          </cell>
          <cell r="AB2162">
            <v>2.2326100000000001E-2</v>
          </cell>
        </row>
        <row r="2163">
          <cell r="A2163">
            <v>41102010</v>
          </cell>
          <cell r="B2163" t="str">
            <v>Black, brown, or Bayo beans, dry, cooked, fat added in cooking, NS as to type of fat</v>
          </cell>
          <cell r="I2163">
            <v>90</v>
          </cell>
          <cell r="J2163">
            <v>165.66905</v>
          </cell>
          <cell r="K2163">
            <v>1.8407672222222222</v>
          </cell>
          <cell r="L2163">
            <v>7.2415440999999996</v>
          </cell>
          <cell r="M2163">
            <v>0.97739109999999996</v>
          </cell>
          <cell r="N2163">
            <v>0</v>
          </cell>
          <cell r="O2163">
            <v>2.2600700000000001E-2</v>
          </cell>
          <cell r="P2163">
            <v>0</v>
          </cell>
          <cell r="Q2163">
            <v>2.7874412</v>
          </cell>
          <cell r="R2163">
            <v>0</v>
          </cell>
          <cell r="S2163">
            <v>83.028048999999996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0.1804482</v>
          </cell>
          <cell r="Y2163">
            <v>0</v>
          </cell>
          <cell r="Z2163">
            <v>0</v>
          </cell>
          <cell r="AA2163">
            <v>0</v>
          </cell>
          <cell r="AB2163">
            <v>3.2470800000000001E-2</v>
          </cell>
        </row>
        <row r="2164">
          <cell r="A2164">
            <v>41102011</v>
          </cell>
          <cell r="B2164" t="str">
            <v>Black, brown, or Bayo beans, dry, cooked, made with oil</v>
          </cell>
          <cell r="I2164">
            <v>90</v>
          </cell>
          <cell r="J2164">
            <v>167.67994999999999</v>
          </cell>
          <cell r="K2164">
            <v>1.8631105555555554</v>
          </cell>
          <cell r="L2164">
            <v>7.2163965000000001</v>
          </cell>
          <cell r="M2164">
            <v>1.0139365</v>
          </cell>
          <cell r="N2164">
            <v>0</v>
          </cell>
          <cell r="O2164">
            <v>2.25279E-2</v>
          </cell>
          <cell r="P2164">
            <v>0</v>
          </cell>
          <cell r="Q2164">
            <v>2.8980475000000001</v>
          </cell>
          <cell r="R2164">
            <v>0</v>
          </cell>
          <cell r="S2164">
            <v>82.739718999999994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0.187773</v>
          </cell>
          <cell r="Y2164">
            <v>0</v>
          </cell>
          <cell r="Z2164">
            <v>0</v>
          </cell>
          <cell r="AA2164">
            <v>0</v>
          </cell>
          <cell r="AB2164">
            <v>2.3283100000000001E-2</v>
          </cell>
        </row>
        <row r="2165">
          <cell r="A2165">
            <v>41102012</v>
          </cell>
          <cell r="B2165" t="str">
            <v>Black, brown, or Bayo beans, dry, cooked, made with animal fat or meat drippings</v>
          </cell>
          <cell r="I2165">
            <v>90</v>
          </cell>
          <cell r="J2165">
            <v>160.36218</v>
          </cell>
          <cell r="K2165">
            <v>1.7818019999999999</v>
          </cell>
          <cell r="L2165">
            <v>7.2719579999999997</v>
          </cell>
          <cell r="M2165">
            <v>2.2331789</v>
          </cell>
          <cell r="N2165">
            <v>0</v>
          </cell>
          <cell r="O2165">
            <v>2.2936000000000002E-2</v>
          </cell>
          <cell r="P2165">
            <v>0</v>
          </cell>
          <cell r="Q2165">
            <v>0.79116759999999997</v>
          </cell>
          <cell r="R2165">
            <v>0</v>
          </cell>
          <cell r="S2165">
            <v>83.376760000000004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0.2168128</v>
          </cell>
          <cell r="Y2165">
            <v>0</v>
          </cell>
          <cell r="Z2165">
            <v>0</v>
          </cell>
          <cell r="AA2165">
            <v>0</v>
          </cell>
          <cell r="AB2165">
            <v>0.1357672</v>
          </cell>
        </row>
        <row r="2166">
          <cell r="A2166">
            <v>41102020</v>
          </cell>
          <cell r="B2166" t="str">
            <v>Black, brown, or Bayo beans, dry, cooked, fat not added in cooking</v>
          </cell>
          <cell r="I2166">
            <v>90</v>
          </cell>
          <cell r="J2166">
            <v>118.14364999999999</v>
          </cell>
          <cell r="K2166">
            <v>1.3127072222222222</v>
          </cell>
          <cell r="L2166">
            <v>7.7867402999999999</v>
          </cell>
          <cell r="M2166">
            <v>0.1244088</v>
          </cell>
          <cell r="N2166">
            <v>0</v>
          </cell>
          <cell r="O2166">
            <v>2.42851E-2</v>
          </cell>
          <cell r="P2166">
            <v>0</v>
          </cell>
          <cell r="Q2166">
            <v>0.2067514</v>
          </cell>
          <cell r="R2166">
            <v>0</v>
          </cell>
          <cell r="S2166">
            <v>89.279005999999995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0.19361439999999999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</row>
        <row r="2167">
          <cell r="A2167">
            <v>41102030</v>
          </cell>
          <cell r="B2167" t="str">
            <v>Black, brown, or Bayo beans, canned, drained, NS as to fat added in cooking</v>
          </cell>
          <cell r="I2167">
            <v>90</v>
          </cell>
          <cell r="J2167">
            <v>132.22296</v>
          </cell>
          <cell r="K2167">
            <v>1.469144</v>
          </cell>
          <cell r="L2167">
            <v>5.7730148000000003</v>
          </cell>
          <cell r="M2167">
            <v>0.92890220000000001</v>
          </cell>
          <cell r="N2167">
            <v>0</v>
          </cell>
          <cell r="O2167">
            <v>2.9299200000000001E-2</v>
          </cell>
          <cell r="P2167">
            <v>0</v>
          </cell>
          <cell r="Q2167">
            <v>2.7131791000000001</v>
          </cell>
          <cell r="R2167">
            <v>0</v>
          </cell>
          <cell r="S2167">
            <v>83.457714999999993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0.1978202</v>
          </cell>
          <cell r="Y2167">
            <v>0</v>
          </cell>
          <cell r="Z2167">
            <v>0</v>
          </cell>
          <cell r="AA2167">
            <v>0</v>
          </cell>
          <cell r="AB2167">
            <v>2.24414E-2</v>
          </cell>
        </row>
        <row r="2168">
          <cell r="A2168">
            <v>41102050</v>
          </cell>
          <cell r="B2168" t="str">
            <v>Black, brown, or Bayo beans, canned, drained, made with oil</v>
          </cell>
          <cell r="I2168">
            <v>90</v>
          </cell>
          <cell r="J2168">
            <v>132.22296</v>
          </cell>
          <cell r="K2168">
            <v>1.469144</v>
          </cell>
          <cell r="L2168">
            <v>5.7730148000000003</v>
          </cell>
          <cell r="M2168">
            <v>0.92890220000000001</v>
          </cell>
          <cell r="N2168">
            <v>0</v>
          </cell>
          <cell r="O2168">
            <v>2.9299200000000001E-2</v>
          </cell>
          <cell r="P2168">
            <v>0</v>
          </cell>
          <cell r="Q2168">
            <v>2.7131791000000001</v>
          </cell>
          <cell r="R2168">
            <v>0</v>
          </cell>
          <cell r="S2168">
            <v>83.457714999999993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0.1978202</v>
          </cell>
          <cell r="Y2168">
            <v>0</v>
          </cell>
          <cell r="Z2168">
            <v>0</v>
          </cell>
          <cell r="AA2168">
            <v>0</v>
          </cell>
          <cell r="AB2168">
            <v>2.24414E-2</v>
          </cell>
        </row>
        <row r="2169">
          <cell r="A2169">
            <v>41102080</v>
          </cell>
          <cell r="B2169" t="str">
            <v>Black, brown, or Bayo beans, canned, drained, fat not added in cooking</v>
          </cell>
          <cell r="I2169">
            <v>90</v>
          </cell>
          <cell r="J2169">
            <v>81.900000000000006</v>
          </cell>
          <cell r="K2169">
            <v>0.91</v>
          </cell>
          <cell r="L2169">
            <v>6.21</v>
          </cell>
          <cell r="M2169">
            <v>6.7500000000000004E-2</v>
          </cell>
          <cell r="N2169">
            <v>0</v>
          </cell>
          <cell r="O2169">
            <v>3.15E-2</v>
          </cell>
          <cell r="P2169">
            <v>0</v>
          </cell>
          <cell r="Q2169">
            <v>0.1125</v>
          </cell>
          <cell r="R2169">
            <v>0</v>
          </cell>
          <cell r="S2169">
            <v>89.775000000000006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0.21276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</row>
        <row r="2170">
          <cell r="A2170">
            <v>41102100</v>
          </cell>
          <cell r="B2170" t="str">
            <v>Black, brown, or Bayo beans, canned, drained, low sodium, NS as to fat added in cooking</v>
          </cell>
          <cell r="I2170">
            <v>90</v>
          </cell>
          <cell r="J2170">
            <v>132.22296</v>
          </cell>
          <cell r="K2170">
            <v>1.469144</v>
          </cell>
          <cell r="L2170">
            <v>5.7730148000000003</v>
          </cell>
          <cell r="M2170">
            <v>0.92890220000000001</v>
          </cell>
          <cell r="N2170">
            <v>0</v>
          </cell>
          <cell r="O2170">
            <v>2.9299200000000001E-2</v>
          </cell>
          <cell r="P2170">
            <v>0</v>
          </cell>
          <cell r="Q2170">
            <v>2.7131791000000001</v>
          </cell>
          <cell r="R2170">
            <v>0</v>
          </cell>
          <cell r="S2170">
            <v>83.457714999999993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0.115492</v>
          </cell>
          <cell r="Y2170">
            <v>0</v>
          </cell>
          <cell r="Z2170">
            <v>0</v>
          </cell>
          <cell r="AA2170">
            <v>0</v>
          </cell>
          <cell r="AB2170">
            <v>2.24414E-2</v>
          </cell>
        </row>
        <row r="2171">
          <cell r="A2171">
            <v>41102110</v>
          </cell>
          <cell r="B2171" t="str">
            <v>Black, brown, or Bayo beans, canned, drained, low sodium, fat added in cooking</v>
          </cell>
          <cell r="I2171">
            <v>90</v>
          </cell>
          <cell r="J2171">
            <v>132.22296</v>
          </cell>
          <cell r="K2171">
            <v>1.469144</v>
          </cell>
          <cell r="L2171">
            <v>5.7730148000000003</v>
          </cell>
          <cell r="M2171">
            <v>0.92890220000000001</v>
          </cell>
          <cell r="N2171">
            <v>0</v>
          </cell>
          <cell r="O2171">
            <v>2.9299200000000001E-2</v>
          </cell>
          <cell r="P2171">
            <v>0</v>
          </cell>
          <cell r="Q2171">
            <v>2.7131791000000001</v>
          </cell>
          <cell r="R2171">
            <v>0</v>
          </cell>
          <cell r="S2171">
            <v>83.457714999999993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0.115492</v>
          </cell>
          <cell r="Y2171">
            <v>0</v>
          </cell>
          <cell r="Z2171">
            <v>0</v>
          </cell>
          <cell r="AA2171">
            <v>0</v>
          </cell>
          <cell r="AB2171">
            <v>2.24414E-2</v>
          </cell>
        </row>
        <row r="2172">
          <cell r="A2172">
            <v>41102120</v>
          </cell>
          <cell r="B2172" t="str">
            <v>Black, brown, or Bayo beans, canned, drained, low sodium, fat not added in cooking</v>
          </cell>
          <cell r="I2172">
            <v>90</v>
          </cell>
          <cell r="J2172">
            <v>81.900000000000006</v>
          </cell>
          <cell r="K2172">
            <v>0.91</v>
          </cell>
          <cell r="L2172">
            <v>6.21</v>
          </cell>
          <cell r="M2172">
            <v>6.7500000000000004E-2</v>
          </cell>
          <cell r="N2172">
            <v>0</v>
          </cell>
          <cell r="O2172">
            <v>3.15E-2</v>
          </cell>
          <cell r="P2172">
            <v>0</v>
          </cell>
          <cell r="Q2172">
            <v>0.1125</v>
          </cell>
          <cell r="R2172">
            <v>0</v>
          </cell>
          <cell r="S2172">
            <v>89.775000000000006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0.1242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</row>
        <row r="2173">
          <cell r="A2173">
            <v>41102210</v>
          </cell>
          <cell r="B2173" t="str">
            <v>Fava beans, dry, cooked, fat added in cooking</v>
          </cell>
          <cell r="I2173">
            <v>90</v>
          </cell>
          <cell r="J2173">
            <v>149.97790000000001</v>
          </cell>
          <cell r="K2173">
            <v>1.6664211111111111</v>
          </cell>
          <cell r="L2173">
            <v>4.4750169</v>
          </cell>
          <cell r="M2173">
            <v>0.96306939999999996</v>
          </cell>
          <cell r="N2173">
            <v>0</v>
          </cell>
          <cell r="O2173">
            <v>2.9967000000000001E-2</v>
          </cell>
          <cell r="P2173">
            <v>0</v>
          </cell>
          <cell r="Q2173">
            <v>2.8716659</v>
          </cell>
          <cell r="R2173">
            <v>0</v>
          </cell>
          <cell r="S2173">
            <v>82.663506999999996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0.19311220000000001</v>
          </cell>
          <cell r="Y2173">
            <v>0</v>
          </cell>
          <cell r="Z2173">
            <v>0</v>
          </cell>
          <cell r="AA2173">
            <v>0</v>
          </cell>
          <cell r="AB2173">
            <v>2.4550599999999999E-2</v>
          </cell>
        </row>
        <row r="2174">
          <cell r="A2174">
            <v>41102220</v>
          </cell>
          <cell r="B2174" t="str">
            <v>Fava beans, cooked, fat not added in cooking</v>
          </cell>
          <cell r="I2174">
            <v>90</v>
          </cell>
          <cell r="J2174">
            <v>98.421053000000001</v>
          </cell>
          <cell r="K2174">
            <v>1.0935672555555556</v>
          </cell>
          <cell r="L2174">
            <v>4.8315789000000002</v>
          </cell>
          <cell r="M2174">
            <v>5.9052599999999997E-2</v>
          </cell>
          <cell r="N2174">
            <v>0</v>
          </cell>
          <cell r="O2174">
            <v>3.2336799999999999E-2</v>
          </cell>
          <cell r="P2174">
            <v>0</v>
          </cell>
          <cell r="Q2174">
            <v>0.1467368</v>
          </cell>
          <cell r="R2174">
            <v>0</v>
          </cell>
          <cell r="S2174">
            <v>89.25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0.20846319999999999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</row>
        <row r="2175">
          <cell r="A2175">
            <v>41102260</v>
          </cell>
          <cell r="B2175" t="str">
            <v>Fava beans, canned, drained, fat added in cooking</v>
          </cell>
          <cell r="I2175">
            <v>90</v>
          </cell>
          <cell r="J2175">
            <v>146.89770999999999</v>
          </cell>
          <cell r="K2175">
            <v>1.6321967777777777</v>
          </cell>
          <cell r="L2175">
            <v>4.4838544000000002</v>
          </cell>
          <cell r="M2175">
            <v>0.91282920000000001</v>
          </cell>
          <cell r="N2175">
            <v>0</v>
          </cell>
          <cell r="O2175">
            <v>3.0074099999999999E-2</v>
          </cell>
          <cell r="P2175">
            <v>0</v>
          </cell>
          <cell r="Q2175">
            <v>2.7203001000000002</v>
          </cell>
          <cell r="R2175">
            <v>0</v>
          </cell>
          <cell r="S2175">
            <v>82.826756000000003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0.27237020000000001</v>
          </cell>
          <cell r="Y2175">
            <v>0</v>
          </cell>
          <cell r="Z2175">
            <v>0</v>
          </cell>
          <cell r="AA2175">
            <v>0</v>
          </cell>
          <cell r="AB2175">
            <v>5.8027700000000002E-2</v>
          </cell>
        </row>
        <row r="2176">
          <cell r="A2176">
            <v>41103000</v>
          </cell>
          <cell r="B2176" t="str">
            <v>Lima beans, dry, cooked, NS as to fat added in cooking</v>
          </cell>
          <cell r="I2176">
            <v>90</v>
          </cell>
          <cell r="J2176">
            <v>149.62452999999999</v>
          </cell>
          <cell r="K2176">
            <v>1.6624947777777777</v>
          </cell>
          <cell r="L2176">
            <v>5.8452807</v>
          </cell>
          <cell r="M2176">
            <v>0.90199870000000004</v>
          </cell>
          <cell r="N2176">
            <v>0</v>
          </cell>
          <cell r="O2176">
            <v>1.4317399999999999E-2</v>
          </cell>
          <cell r="P2176">
            <v>0</v>
          </cell>
          <cell r="Q2176">
            <v>2.6355213000000002</v>
          </cell>
          <cell r="R2176">
            <v>0</v>
          </cell>
          <cell r="S2176">
            <v>83.295249999999996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0.1738519</v>
          </cell>
          <cell r="Y2176">
            <v>0</v>
          </cell>
          <cell r="Z2176">
            <v>0</v>
          </cell>
          <cell r="AA2176">
            <v>0</v>
          </cell>
          <cell r="AB2176">
            <v>2.1444600000000001E-2</v>
          </cell>
        </row>
        <row r="2177">
          <cell r="A2177">
            <v>41103010</v>
          </cell>
          <cell r="B2177" t="str">
            <v>Lima beans, dry, cooked, fat added in cooking</v>
          </cell>
          <cell r="I2177">
            <v>90</v>
          </cell>
          <cell r="J2177">
            <v>158.21516</v>
          </cell>
          <cell r="K2177">
            <v>1.7579462222222222</v>
          </cell>
          <cell r="L2177">
            <v>5.7671641999999999</v>
          </cell>
          <cell r="M2177">
            <v>1.0106485999999999</v>
          </cell>
          <cell r="N2177">
            <v>0</v>
          </cell>
          <cell r="O2177">
            <v>1.4121999999999999E-2</v>
          </cell>
          <cell r="P2177">
            <v>0</v>
          </cell>
          <cell r="Q2177">
            <v>3.2413468999999999</v>
          </cell>
          <cell r="R2177">
            <v>0</v>
          </cell>
          <cell r="S2177">
            <v>82.182090000000002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0.17520820000000001</v>
          </cell>
          <cell r="Y2177">
            <v>0</v>
          </cell>
          <cell r="Z2177">
            <v>0</v>
          </cell>
          <cell r="AA2177">
            <v>0</v>
          </cell>
          <cell r="AB2177">
            <v>8.8983499999999993E-2</v>
          </cell>
        </row>
        <row r="2178">
          <cell r="A2178">
            <v>41103011</v>
          </cell>
          <cell r="B2178" t="str">
            <v>Lima beans, dry, cooked, made with oil</v>
          </cell>
          <cell r="I2178">
            <v>90</v>
          </cell>
          <cell r="J2178">
            <v>149.62452999999999</v>
          </cell>
          <cell r="K2178">
            <v>1.6624947777777777</v>
          </cell>
          <cell r="L2178">
            <v>5.8452807</v>
          </cell>
          <cell r="M2178">
            <v>0.90199870000000004</v>
          </cell>
          <cell r="N2178">
            <v>0</v>
          </cell>
          <cell r="O2178">
            <v>1.4317399999999999E-2</v>
          </cell>
          <cell r="P2178">
            <v>0</v>
          </cell>
          <cell r="Q2178">
            <v>2.6355213000000002</v>
          </cell>
          <cell r="R2178">
            <v>0</v>
          </cell>
          <cell r="S2178">
            <v>83.295249999999996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0.1738519</v>
          </cell>
          <cell r="Y2178">
            <v>0</v>
          </cell>
          <cell r="Z2178">
            <v>0</v>
          </cell>
          <cell r="AA2178">
            <v>0</v>
          </cell>
          <cell r="AB2178">
            <v>2.1444600000000001E-2</v>
          </cell>
        </row>
        <row r="2179">
          <cell r="A2179">
            <v>41103012</v>
          </cell>
          <cell r="B2179" t="str">
            <v>Lima beans, dry, cooked, made with animal fat or meat drippings</v>
          </cell>
          <cell r="I2179">
            <v>90</v>
          </cell>
          <cell r="J2179">
            <v>144.46182999999999</v>
          </cell>
          <cell r="K2179">
            <v>1.6051314444444444</v>
          </cell>
          <cell r="L2179">
            <v>5.8687993000000001</v>
          </cell>
          <cell r="M2179">
            <v>2.1076933000000002</v>
          </cell>
          <cell r="N2179">
            <v>0</v>
          </cell>
          <cell r="O2179">
            <v>1.4605999999999999E-2</v>
          </cell>
          <cell r="P2179">
            <v>0</v>
          </cell>
          <cell r="Q2179">
            <v>0.7177424</v>
          </cell>
          <cell r="R2179">
            <v>0</v>
          </cell>
          <cell r="S2179">
            <v>83.630391000000003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0.20909220000000001</v>
          </cell>
          <cell r="Y2179">
            <v>0</v>
          </cell>
          <cell r="Z2179">
            <v>0</v>
          </cell>
          <cell r="AA2179">
            <v>0</v>
          </cell>
          <cell r="AB2179">
            <v>0.1476509</v>
          </cell>
        </row>
        <row r="2180">
          <cell r="A2180">
            <v>41103013</v>
          </cell>
          <cell r="B2180" t="str">
            <v>Lima beans, dry, cooked, made with margarine</v>
          </cell>
          <cell r="I2180">
            <v>90</v>
          </cell>
          <cell r="J2180">
            <v>129.47497999999999</v>
          </cell>
          <cell r="K2180">
            <v>1.4386108888888887</v>
          </cell>
          <cell r="L2180">
            <v>5.8255005999999998</v>
          </cell>
          <cell r="M2180">
            <v>0.83982349999999995</v>
          </cell>
          <cell r="N2180">
            <v>0</v>
          </cell>
          <cell r="O2180">
            <v>1.55844E-2</v>
          </cell>
          <cell r="P2180">
            <v>0</v>
          </cell>
          <cell r="Q2180">
            <v>1.8198638</v>
          </cell>
          <cell r="R2180">
            <v>0</v>
          </cell>
          <cell r="S2180">
            <v>83.013383000000005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0.21596899999999999</v>
          </cell>
          <cell r="Y2180">
            <v>0</v>
          </cell>
          <cell r="Z2180">
            <v>0</v>
          </cell>
          <cell r="AA2180">
            <v>0</v>
          </cell>
          <cell r="AB2180">
            <v>0.2321472</v>
          </cell>
        </row>
        <row r="2181">
          <cell r="A2181">
            <v>41103020</v>
          </cell>
          <cell r="B2181" t="str">
            <v>Lima beans, dry, cooked, fat not added in cooking</v>
          </cell>
          <cell r="I2181">
            <v>90</v>
          </cell>
          <cell r="J2181">
            <v>102.95238000000001</v>
          </cell>
          <cell r="K2181">
            <v>1.1439153333333334</v>
          </cell>
          <cell r="L2181">
            <v>6.2666667</v>
          </cell>
          <cell r="M2181">
            <v>7.9676200000000003E-2</v>
          </cell>
          <cell r="N2181">
            <v>0</v>
          </cell>
          <cell r="O2181">
            <v>1.5333299999999999E-2</v>
          </cell>
          <cell r="P2181">
            <v>0</v>
          </cell>
          <cell r="Q2181">
            <v>0.15308569999999999</v>
          </cell>
          <cell r="R2181">
            <v>0</v>
          </cell>
          <cell r="S2181">
            <v>89.3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0.1863524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</row>
        <row r="2182">
          <cell r="A2182">
            <v>41103060</v>
          </cell>
          <cell r="B2182" t="str">
            <v>Pink beans, dry, cooked, fat not added in cooking</v>
          </cell>
          <cell r="I2182">
            <v>90</v>
          </cell>
          <cell r="J2182">
            <v>133.31118000000001</v>
          </cell>
          <cell r="K2182">
            <v>1.4812353333333335</v>
          </cell>
          <cell r="L2182">
            <v>4.7419412000000003</v>
          </cell>
          <cell r="M2182">
            <v>0.1127329</v>
          </cell>
          <cell r="N2182">
            <v>0</v>
          </cell>
          <cell r="O2182">
            <v>4.66518E-2</v>
          </cell>
          <cell r="P2182">
            <v>0</v>
          </cell>
          <cell r="Q2182">
            <v>0.18788820000000001</v>
          </cell>
          <cell r="R2182">
            <v>0</v>
          </cell>
          <cell r="S2182">
            <v>89.246911999999995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0.20697879999999999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</row>
        <row r="2183">
          <cell r="A2183">
            <v>41103070</v>
          </cell>
          <cell r="B2183" t="str">
            <v>Pink beans, dry, cooked, fat added in cooking</v>
          </cell>
          <cell r="I2183">
            <v>90</v>
          </cell>
          <cell r="J2183">
            <v>182.55994999999999</v>
          </cell>
          <cell r="K2183">
            <v>2.0284438888888889</v>
          </cell>
          <cell r="L2183">
            <v>4.3900885000000001</v>
          </cell>
          <cell r="M2183">
            <v>1.0176898000000001</v>
          </cell>
          <cell r="N2183">
            <v>0</v>
          </cell>
          <cell r="O2183">
            <v>4.3206899999999999E-2</v>
          </cell>
          <cell r="P2183">
            <v>0</v>
          </cell>
          <cell r="Q2183">
            <v>2.9246034999999999</v>
          </cell>
          <cell r="R2183">
            <v>0</v>
          </cell>
          <cell r="S2183">
            <v>82.624779000000004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0.1916544</v>
          </cell>
          <cell r="Y2183">
            <v>0</v>
          </cell>
          <cell r="Z2183">
            <v>0</v>
          </cell>
          <cell r="AA2183">
            <v>0</v>
          </cell>
          <cell r="AB2183">
            <v>2.3663500000000001E-2</v>
          </cell>
        </row>
        <row r="2184">
          <cell r="A2184">
            <v>41103100</v>
          </cell>
          <cell r="B2184" t="str">
            <v>Pink beans, canned, drained, fat not added in cooking</v>
          </cell>
          <cell r="I2184">
            <v>90</v>
          </cell>
          <cell r="J2184">
            <v>132.99173999999999</v>
          </cell>
          <cell r="K2184">
            <v>1.4776859999999998</v>
          </cell>
          <cell r="L2184">
            <v>4.7305785</v>
          </cell>
          <cell r="M2184">
            <v>0.1124628</v>
          </cell>
          <cell r="N2184">
            <v>0</v>
          </cell>
          <cell r="O2184">
            <v>4.65917E-2</v>
          </cell>
          <cell r="P2184">
            <v>0</v>
          </cell>
          <cell r="Q2184">
            <v>0.18743799999999999</v>
          </cell>
          <cell r="R2184">
            <v>0</v>
          </cell>
          <cell r="S2184">
            <v>89.033057999999997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0.29006779999999999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</row>
        <row r="2185">
          <cell r="A2185">
            <v>41104000</v>
          </cell>
          <cell r="B2185" t="str">
            <v>Pinto, calico, or red Mexican beans, dry, cooked, NS as to fat added in cooking</v>
          </cell>
          <cell r="I2185">
            <v>90</v>
          </cell>
          <cell r="J2185">
            <v>177.06326999999999</v>
          </cell>
          <cell r="K2185">
            <v>1.9673696666666665</v>
          </cell>
          <cell r="L2185">
            <v>7.4618181999999997</v>
          </cell>
          <cell r="M2185">
            <v>1.0162374999999999</v>
          </cell>
          <cell r="N2185">
            <v>0</v>
          </cell>
          <cell r="O2185">
            <v>3.8271100000000002E-2</v>
          </cell>
          <cell r="P2185">
            <v>0</v>
          </cell>
          <cell r="Q2185">
            <v>2.9158561999999999</v>
          </cell>
          <cell r="R2185">
            <v>0</v>
          </cell>
          <cell r="S2185">
            <v>82.701818000000003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0.18877969999999999</v>
          </cell>
          <cell r="Y2185">
            <v>0</v>
          </cell>
          <cell r="Z2185">
            <v>0</v>
          </cell>
          <cell r="AA2185">
            <v>0</v>
          </cell>
          <cell r="AB2185">
            <v>2.3408600000000002E-2</v>
          </cell>
        </row>
        <row r="2186">
          <cell r="A2186">
            <v>41104010</v>
          </cell>
          <cell r="B2186" t="str">
            <v>Pinto, calico, or red Mexican beans, dry, cooked, fat added in cooking, NS as to type of fat</v>
          </cell>
          <cell r="I2186">
            <v>90</v>
          </cell>
          <cell r="J2186">
            <v>177.06136000000001</v>
          </cell>
          <cell r="K2186">
            <v>1.9673484444444445</v>
          </cell>
          <cell r="L2186">
            <v>7.4617377999999999</v>
          </cell>
          <cell r="M2186">
            <v>1.0162266</v>
          </cell>
          <cell r="N2186">
            <v>0</v>
          </cell>
          <cell r="O2186">
            <v>3.8270899999999997E-2</v>
          </cell>
          <cell r="P2186">
            <v>0</v>
          </cell>
          <cell r="Q2186">
            <v>2.9158248000000002</v>
          </cell>
          <cell r="R2186">
            <v>0</v>
          </cell>
          <cell r="S2186">
            <v>82.700926999999993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0.1891535</v>
          </cell>
          <cell r="Y2186">
            <v>0</v>
          </cell>
          <cell r="Z2186">
            <v>0</v>
          </cell>
          <cell r="AA2186">
            <v>0</v>
          </cell>
          <cell r="AB2186">
            <v>6.06299E-2</v>
          </cell>
        </row>
        <row r="2187">
          <cell r="A2187">
            <v>41104011</v>
          </cell>
          <cell r="B2187" t="str">
            <v>Pinto, calico, or red Mexican beans, dry, cooked, made with oil</v>
          </cell>
          <cell r="I2187">
            <v>90</v>
          </cell>
          <cell r="J2187">
            <v>177.06326999999999</v>
          </cell>
          <cell r="K2187">
            <v>1.9673696666666665</v>
          </cell>
          <cell r="L2187">
            <v>7.4618181999999997</v>
          </cell>
          <cell r="M2187">
            <v>1.0162374999999999</v>
          </cell>
          <cell r="N2187">
            <v>0</v>
          </cell>
          <cell r="O2187">
            <v>3.8271100000000002E-2</v>
          </cell>
          <cell r="P2187">
            <v>0</v>
          </cell>
          <cell r="Q2187">
            <v>2.9158561999999999</v>
          </cell>
          <cell r="R2187">
            <v>0</v>
          </cell>
          <cell r="S2187">
            <v>82.701818000000003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0.18877969999999999</v>
          </cell>
          <cell r="Y2187">
            <v>0</v>
          </cell>
          <cell r="Z2187">
            <v>0</v>
          </cell>
          <cell r="AA2187">
            <v>0</v>
          </cell>
          <cell r="AB2187">
            <v>2.3408600000000002E-2</v>
          </cell>
        </row>
        <row r="2188">
          <cell r="A2188">
            <v>41104012</v>
          </cell>
          <cell r="B2188" t="str">
            <v>Pinto, calico, or red Mexican beans, dry, cooked, made with animal fat or meat drippings</v>
          </cell>
          <cell r="I2188">
            <v>90</v>
          </cell>
          <cell r="J2188">
            <v>171.54624000000001</v>
          </cell>
          <cell r="K2188">
            <v>1.9060693333333334</v>
          </cell>
          <cell r="L2188">
            <v>7.4946026999999997</v>
          </cell>
          <cell r="M2188">
            <v>2.3333396999999998</v>
          </cell>
          <cell r="N2188">
            <v>0</v>
          </cell>
          <cell r="O2188">
            <v>3.8691499999999997E-2</v>
          </cell>
          <cell r="P2188">
            <v>0</v>
          </cell>
          <cell r="Q2188">
            <v>0.82290240000000003</v>
          </cell>
          <cell r="R2188">
            <v>0</v>
          </cell>
          <cell r="S2188">
            <v>83.065179000000001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0.22732730000000001</v>
          </cell>
          <cell r="Y2188">
            <v>0</v>
          </cell>
          <cell r="Z2188">
            <v>0</v>
          </cell>
          <cell r="AA2188">
            <v>0</v>
          </cell>
          <cell r="AB2188">
            <v>0.15643750000000001</v>
          </cell>
        </row>
        <row r="2189">
          <cell r="A2189">
            <v>41104013</v>
          </cell>
          <cell r="B2189" t="str">
            <v>Pinto, calico, or red Mexican beans, dry, cooked, made with margarine</v>
          </cell>
          <cell r="I2189">
            <v>90</v>
          </cell>
          <cell r="J2189">
            <v>154.97387000000001</v>
          </cell>
          <cell r="K2189">
            <v>1.721931888888889</v>
          </cell>
          <cell r="L2189">
            <v>7.4342638000000001</v>
          </cell>
          <cell r="M2189">
            <v>0.94796729999999996</v>
          </cell>
          <cell r="N2189">
            <v>0</v>
          </cell>
          <cell r="O2189">
            <v>3.9565200000000002E-2</v>
          </cell>
          <cell r="P2189">
            <v>0</v>
          </cell>
          <cell r="Q2189">
            <v>2.0247394000000001</v>
          </cell>
          <cell r="R2189">
            <v>0</v>
          </cell>
          <cell r="S2189">
            <v>82.396423999999996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0.2346847</v>
          </cell>
          <cell r="Y2189">
            <v>0</v>
          </cell>
          <cell r="Z2189">
            <v>0</v>
          </cell>
          <cell r="AA2189">
            <v>0</v>
          </cell>
          <cell r="AB2189">
            <v>0.25332929999999998</v>
          </cell>
        </row>
        <row r="2190">
          <cell r="A2190">
            <v>41104020</v>
          </cell>
          <cell r="B2190" t="str">
            <v>Pinto, calico, or red Mexican beans, dry, cooked, fat not added in cooking</v>
          </cell>
          <cell r="I2190">
            <v>90</v>
          </cell>
          <cell r="J2190">
            <v>127.95174</v>
          </cell>
          <cell r="K2190">
            <v>1.421686</v>
          </cell>
          <cell r="L2190">
            <v>8.0529069999999994</v>
          </cell>
          <cell r="M2190">
            <v>0.1216884</v>
          </cell>
          <cell r="N2190">
            <v>0</v>
          </cell>
          <cell r="O2190">
            <v>4.1284899999999999E-2</v>
          </cell>
          <cell r="P2190">
            <v>0</v>
          </cell>
          <cell r="Q2190">
            <v>0.21027029999999999</v>
          </cell>
          <cell r="R2190">
            <v>0</v>
          </cell>
          <cell r="S2190">
            <v>89.253051999999997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0.2036983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</row>
        <row r="2191">
          <cell r="A2191">
            <v>41104050</v>
          </cell>
          <cell r="B2191" t="str">
            <v>Pinto, calico, or red Mexican beans, canned, drained, made with oil</v>
          </cell>
          <cell r="I2191">
            <v>90</v>
          </cell>
          <cell r="J2191">
            <v>124.52996</v>
          </cell>
          <cell r="K2191">
            <v>1.3836662222222222</v>
          </cell>
          <cell r="L2191">
            <v>3.8449013999999999</v>
          </cell>
          <cell r="M2191">
            <v>0.96163279999999995</v>
          </cell>
          <cell r="N2191">
            <v>0</v>
          </cell>
          <cell r="O2191">
            <v>3.9322999999999997E-2</v>
          </cell>
          <cell r="P2191">
            <v>0</v>
          </cell>
          <cell r="Q2191">
            <v>2.7738225000000001</v>
          </cell>
          <cell r="R2191">
            <v>0</v>
          </cell>
          <cell r="S2191">
            <v>83.375851999999995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0.1580608</v>
          </cell>
          <cell r="Y2191">
            <v>0</v>
          </cell>
          <cell r="Z2191">
            <v>0</v>
          </cell>
          <cell r="AA2191">
            <v>0</v>
          </cell>
          <cell r="AB2191">
            <v>2.2403099999999999E-2</v>
          </cell>
        </row>
        <row r="2192">
          <cell r="A2192">
            <v>41104060</v>
          </cell>
          <cell r="B2192" t="str">
            <v>Pinto, calico, or red Mexican beans, canned, drained, made with animal fat or meat drippings</v>
          </cell>
          <cell r="I2192">
            <v>90</v>
          </cell>
          <cell r="J2192">
            <v>119.06480999999999</v>
          </cell>
          <cell r="K2192">
            <v>1.3229423333333332</v>
          </cell>
          <cell r="L2192">
            <v>3.8608554000000002</v>
          </cell>
          <cell r="M2192">
            <v>2.2233193</v>
          </cell>
          <cell r="N2192">
            <v>0</v>
          </cell>
          <cell r="O2192">
            <v>3.9727699999999998E-2</v>
          </cell>
          <cell r="P2192">
            <v>0</v>
          </cell>
          <cell r="Q2192">
            <v>0.77099819999999997</v>
          </cell>
          <cell r="R2192">
            <v>0</v>
          </cell>
          <cell r="S2192">
            <v>83.721810000000005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0.1948356</v>
          </cell>
          <cell r="Y2192">
            <v>0</v>
          </cell>
          <cell r="Z2192">
            <v>0</v>
          </cell>
          <cell r="AA2192">
            <v>0</v>
          </cell>
          <cell r="AB2192">
            <v>0.15366279999999999</v>
          </cell>
        </row>
        <row r="2193">
          <cell r="A2193">
            <v>41104080</v>
          </cell>
          <cell r="B2193" t="str">
            <v>Pinto, calico, or red Mexican beans, canned, drained, fat not added in cooking</v>
          </cell>
          <cell r="I2193">
            <v>90</v>
          </cell>
          <cell r="J2193">
            <v>73.718091000000001</v>
          </cell>
          <cell r="K2193">
            <v>0.81908990000000004</v>
          </cell>
          <cell r="L2193">
            <v>4.1354050999999998</v>
          </cell>
          <cell r="M2193">
            <v>0.1042841</v>
          </cell>
          <cell r="N2193">
            <v>0</v>
          </cell>
          <cell r="O2193">
            <v>4.2277000000000002E-2</v>
          </cell>
          <cell r="P2193">
            <v>0</v>
          </cell>
          <cell r="Q2193">
            <v>0.1824972</v>
          </cell>
          <cell r="R2193">
            <v>0</v>
          </cell>
          <cell r="S2193">
            <v>89.675360999999995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0.16996910000000001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</row>
        <row r="2194">
          <cell r="A2194">
            <v>41104110</v>
          </cell>
          <cell r="B2194" t="str">
            <v>Pinto, calico, or red Mexican beans, canned, drained, low sodium, fat added in cooking</v>
          </cell>
          <cell r="I2194">
            <v>90</v>
          </cell>
          <cell r="J2194">
            <v>124.69293999999999</v>
          </cell>
          <cell r="K2194">
            <v>1.385477111111111</v>
          </cell>
          <cell r="L2194">
            <v>3.8486766000000001</v>
          </cell>
          <cell r="M2194">
            <v>0.96320570000000005</v>
          </cell>
          <cell r="N2194">
            <v>0</v>
          </cell>
          <cell r="O2194">
            <v>3.9339300000000001E-2</v>
          </cell>
          <cell r="P2194">
            <v>0</v>
          </cell>
          <cell r="Q2194">
            <v>2.7784393000000001</v>
          </cell>
          <cell r="R2194">
            <v>0</v>
          </cell>
          <cell r="S2194">
            <v>83.457714999999993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0.1221853</v>
          </cell>
          <cell r="Y2194">
            <v>0</v>
          </cell>
          <cell r="Z2194">
            <v>0</v>
          </cell>
          <cell r="AA2194">
            <v>0</v>
          </cell>
          <cell r="AB2194">
            <v>2.7384700000000001E-2</v>
          </cell>
        </row>
        <row r="2195">
          <cell r="A2195">
            <v>41104120</v>
          </cell>
          <cell r="B2195" t="str">
            <v>Pinto, calico, or red Mexican beans, canned, drained, low sodium, fat not added in cooking</v>
          </cell>
          <cell r="I2195">
            <v>90</v>
          </cell>
          <cell r="J2195">
            <v>73.8</v>
          </cell>
          <cell r="K2195">
            <v>0.82</v>
          </cell>
          <cell r="L2195">
            <v>4.1399999999999997</v>
          </cell>
          <cell r="M2195">
            <v>0.10440000000000001</v>
          </cell>
          <cell r="N2195">
            <v>0</v>
          </cell>
          <cell r="O2195">
            <v>4.2299999999999997E-2</v>
          </cell>
          <cell r="P2195">
            <v>0</v>
          </cell>
          <cell r="Q2195">
            <v>0.1827</v>
          </cell>
          <cell r="R2195">
            <v>0</v>
          </cell>
          <cell r="S2195">
            <v>89.775000000000006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0.13139999999999999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</row>
        <row r="2196">
          <cell r="A2196">
            <v>41106000</v>
          </cell>
          <cell r="B2196" t="str">
            <v>Red kidney beans, dry, cooked, NS as to fat added in cooking</v>
          </cell>
          <cell r="I2196">
            <v>90</v>
          </cell>
          <cell r="J2196">
            <v>162.24798000000001</v>
          </cell>
          <cell r="K2196">
            <v>1.8027553333333335</v>
          </cell>
          <cell r="L2196">
            <v>6.1517024999999999</v>
          </cell>
          <cell r="M2196">
            <v>0.9350465</v>
          </cell>
          <cell r="N2196">
            <v>0</v>
          </cell>
          <cell r="O2196">
            <v>2.34054E-2</v>
          </cell>
          <cell r="P2196">
            <v>0</v>
          </cell>
          <cell r="Q2196">
            <v>2.8644321000000001</v>
          </cell>
          <cell r="R2196">
            <v>0</v>
          </cell>
          <cell r="S2196">
            <v>82.923287999999999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0.18372830000000001</v>
          </cell>
          <cell r="Y2196">
            <v>0</v>
          </cell>
          <cell r="Z2196">
            <v>0</v>
          </cell>
          <cell r="AA2196">
            <v>0</v>
          </cell>
          <cell r="AB2196">
            <v>2.2675600000000001E-2</v>
          </cell>
        </row>
        <row r="2197">
          <cell r="A2197">
            <v>41106010</v>
          </cell>
          <cell r="B2197" t="str">
            <v>Red kidney beans, dry, cooked, fat added in cooking, NS as to type of fat</v>
          </cell>
          <cell r="I2197">
            <v>90</v>
          </cell>
          <cell r="J2197">
            <v>162.24628999999999</v>
          </cell>
          <cell r="K2197">
            <v>1.8027365555555555</v>
          </cell>
          <cell r="L2197">
            <v>6.1516383000000001</v>
          </cell>
          <cell r="M2197">
            <v>0.9350368</v>
          </cell>
          <cell r="N2197">
            <v>0</v>
          </cell>
          <cell r="O2197">
            <v>2.34054E-2</v>
          </cell>
          <cell r="P2197">
            <v>0</v>
          </cell>
          <cell r="Q2197">
            <v>2.8644021999999998</v>
          </cell>
          <cell r="R2197">
            <v>0</v>
          </cell>
          <cell r="S2197">
            <v>82.922421999999997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0.18409039999999999</v>
          </cell>
          <cell r="Y2197">
            <v>0</v>
          </cell>
          <cell r="Z2197">
            <v>0</v>
          </cell>
          <cell r="AA2197">
            <v>0</v>
          </cell>
          <cell r="AB2197">
            <v>3.07639E-2</v>
          </cell>
        </row>
        <row r="2198">
          <cell r="A2198">
            <v>41106011</v>
          </cell>
          <cell r="B2198" t="str">
            <v>Red kidney beans, dry, cooked, made with oil</v>
          </cell>
          <cell r="I2198">
            <v>90</v>
          </cell>
          <cell r="J2198">
            <v>162.24798000000001</v>
          </cell>
          <cell r="K2198">
            <v>1.8027553333333335</v>
          </cell>
          <cell r="L2198">
            <v>6.1517024999999999</v>
          </cell>
          <cell r="M2198">
            <v>0.9350465</v>
          </cell>
          <cell r="N2198">
            <v>0</v>
          </cell>
          <cell r="O2198">
            <v>2.34054E-2</v>
          </cell>
          <cell r="P2198">
            <v>0</v>
          </cell>
          <cell r="Q2198">
            <v>2.8644321000000001</v>
          </cell>
          <cell r="R2198">
            <v>0</v>
          </cell>
          <cell r="S2198">
            <v>82.923287999999999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0.18372830000000001</v>
          </cell>
          <cell r="Y2198">
            <v>0</v>
          </cell>
          <cell r="Z2198">
            <v>0</v>
          </cell>
          <cell r="AA2198">
            <v>0</v>
          </cell>
          <cell r="AB2198">
            <v>2.2675600000000001E-2</v>
          </cell>
        </row>
        <row r="2199">
          <cell r="A2199">
            <v>41106012</v>
          </cell>
          <cell r="B2199" t="str">
            <v>Red kidney beans, dry, cooked, made with animal fat or meat drippings</v>
          </cell>
          <cell r="I2199">
            <v>90</v>
          </cell>
          <cell r="J2199">
            <v>156.84138999999999</v>
          </cell>
          <cell r="K2199">
            <v>1.742682111111111</v>
          </cell>
          <cell r="L2199">
            <v>6.1778810000000002</v>
          </cell>
          <cell r="M2199">
            <v>2.2103877000000001</v>
          </cell>
          <cell r="N2199">
            <v>0</v>
          </cell>
          <cell r="O2199">
            <v>2.37494E-2</v>
          </cell>
          <cell r="P2199">
            <v>0</v>
          </cell>
          <cell r="Q2199">
            <v>0.83707109999999996</v>
          </cell>
          <cell r="R2199">
            <v>0</v>
          </cell>
          <cell r="S2199">
            <v>83.276166000000003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0.22104219999999999</v>
          </cell>
          <cell r="Y2199">
            <v>0</v>
          </cell>
          <cell r="Z2199">
            <v>0</v>
          </cell>
          <cell r="AA2199">
            <v>0</v>
          </cell>
          <cell r="AB2199">
            <v>0.1604988</v>
          </cell>
        </row>
        <row r="2200">
          <cell r="A2200">
            <v>41106013</v>
          </cell>
          <cell r="B2200" t="str">
            <v>Red kidney beans, dry, cooked, made with margarine</v>
          </cell>
          <cell r="I2200">
            <v>90</v>
          </cell>
          <cell r="J2200">
            <v>140.90074999999999</v>
          </cell>
          <cell r="K2200">
            <v>1.5655638888888888</v>
          </cell>
          <cell r="L2200">
            <v>6.1296948000000002</v>
          </cell>
          <cell r="M2200">
            <v>0.86919670000000004</v>
          </cell>
          <cell r="N2200">
            <v>0</v>
          </cell>
          <cell r="O2200">
            <v>2.4712399999999999E-2</v>
          </cell>
          <cell r="P2200">
            <v>0</v>
          </cell>
          <cell r="Q2200">
            <v>2.0013014</v>
          </cell>
          <cell r="R2200">
            <v>0</v>
          </cell>
          <cell r="S2200">
            <v>82.626630000000006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0.22821910000000001</v>
          </cell>
          <cell r="Y2200">
            <v>0</v>
          </cell>
          <cell r="Z2200">
            <v>0</v>
          </cell>
          <cell r="AA2200">
            <v>0</v>
          </cell>
          <cell r="AB2200">
            <v>0.2454257</v>
          </cell>
        </row>
        <row r="2201">
          <cell r="A2201">
            <v>41106020</v>
          </cell>
          <cell r="B2201" t="str">
            <v>Red kidney beans, dry, cooked, fat not added in cooking</v>
          </cell>
          <cell r="I2201">
            <v>90</v>
          </cell>
          <cell r="J2201">
            <v>113.65787</v>
          </cell>
          <cell r="K2201">
            <v>1.2628652222222223</v>
          </cell>
          <cell r="L2201">
            <v>6.6225842999999998</v>
          </cell>
          <cell r="M2201">
            <v>6.4435999999999993E-2</v>
          </cell>
          <cell r="N2201">
            <v>0</v>
          </cell>
          <cell r="O2201">
            <v>2.5179799999999999E-2</v>
          </cell>
          <cell r="P2201">
            <v>0</v>
          </cell>
          <cell r="Q2201">
            <v>0.24610960000000001</v>
          </cell>
          <cell r="R2201">
            <v>0</v>
          </cell>
          <cell r="S2201">
            <v>89.270645999999999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0.1977573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</row>
        <row r="2202">
          <cell r="A2202">
            <v>41106080</v>
          </cell>
          <cell r="B2202" t="str">
            <v>Red kidney beans, canned, drained, fat not added in cooking</v>
          </cell>
          <cell r="I2202">
            <v>90</v>
          </cell>
          <cell r="J2202">
            <v>72.900000000000006</v>
          </cell>
          <cell r="K2202">
            <v>0.81</v>
          </cell>
          <cell r="L2202">
            <v>4.32</v>
          </cell>
          <cell r="M2202">
            <v>0.1125</v>
          </cell>
          <cell r="N2202">
            <v>0</v>
          </cell>
          <cell r="O2202">
            <v>2.6100000000000002E-2</v>
          </cell>
          <cell r="P2202">
            <v>0</v>
          </cell>
          <cell r="Q2202">
            <v>0.15659999999999999</v>
          </cell>
          <cell r="R2202">
            <v>0</v>
          </cell>
          <cell r="S2202">
            <v>89.775000000000006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0.16785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</row>
        <row r="2203">
          <cell r="A2203">
            <v>41106100</v>
          </cell>
          <cell r="B2203" t="str">
            <v>Red kidney beans, canned, low sodium, NS as to fat added in cooking</v>
          </cell>
          <cell r="I2203">
            <v>90</v>
          </cell>
          <cell r="J2203">
            <v>123.85626999999999</v>
          </cell>
          <cell r="K2203">
            <v>1.3761807777777777</v>
          </cell>
          <cell r="L2203">
            <v>4.4343446999999996</v>
          </cell>
          <cell r="M2203">
            <v>0.97073569999999998</v>
          </cell>
          <cell r="N2203">
            <v>0</v>
          </cell>
          <cell r="O2203">
            <v>2.4279200000000001E-2</v>
          </cell>
          <cell r="P2203">
            <v>0</v>
          </cell>
          <cell r="Q2203">
            <v>2.7541758999999999</v>
          </cell>
          <cell r="R2203">
            <v>0</v>
          </cell>
          <cell r="S2203">
            <v>83.457714999999993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9.7921900000000006E-2</v>
          </cell>
          <cell r="Y2203">
            <v>0</v>
          </cell>
          <cell r="Z2203">
            <v>0</v>
          </cell>
          <cell r="AA2203">
            <v>0</v>
          </cell>
          <cell r="AB2203">
            <v>2.24414E-2</v>
          </cell>
        </row>
        <row r="2204">
          <cell r="A2204">
            <v>41106110</v>
          </cell>
          <cell r="B2204" t="str">
            <v>Red kidney beans, canned, drained, low sodium, fat added in cooking</v>
          </cell>
          <cell r="I2204">
            <v>90</v>
          </cell>
          <cell r="J2204">
            <v>123.85626999999999</v>
          </cell>
          <cell r="K2204">
            <v>1.3761807777777777</v>
          </cell>
          <cell r="L2204">
            <v>4.4343446999999996</v>
          </cell>
          <cell r="M2204">
            <v>0.97073569999999998</v>
          </cell>
          <cell r="N2204">
            <v>0</v>
          </cell>
          <cell r="O2204">
            <v>2.4279200000000001E-2</v>
          </cell>
          <cell r="P2204">
            <v>0</v>
          </cell>
          <cell r="Q2204">
            <v>2.7541758999999999</v>
          </cell>
          <cell r="R2204">
            <v>0</v>
          </cell>
          <cell r="S2204">
            <v>83.457714999999993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9.7921900000000006E-2</v>
          </cell>
          <cell r="Y2204">
            <v>0</v>
          </cell>
          <cell r="Z2204">
            <v>0</v>
          </cell>
          <cell r="AA2204">
            <v>0</v>
          </cell>
          <cell r="AB2204">
            <v>2.24414E-2</v>
          </cell>
        </row>
        <row r="2205">
          <cell r="A2205">
            <v>41106120</v>
          </cell>
          <cell r="B2205" t="str">
            <v>Red kidney beans, canned, drained, low sodium, fat not added in cooking</v>
          </cell>
          <cell r="I2205">
            <v>90</v>
          </cell>
          <cell r="J2205">
            <v>72.900000000000006</v>
          </cell>
          <cell r="K2205">
            <v>0.81</v>
          </cell>
          <cell r="L2205">
            <v>4.7699999999999996</v>
          </cell>
          <cell r="M2205">
            <v>0.1125</v>
          </cell>
          <cell r="N2205">
            <v>0</v>
          </cell>
          <cell r="O2205">
            <v>2.6100000000000002E-2</v>
          </cell>
          <cell r="P2205">
            <v>0</v>
          </cell>
          <cell r="Q2205">
            <v>0.15659999999999999</v>
          </cell>
          <cell r="R2205">
            <v>0</v>
          </cell>
          <cell r="S2205">
            <v>89.775000000000006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0.1053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</row>
        <row r="2206">
          <cell r="A2206">
            <v>41106500</v>
          </cell>
          <cell r="B2206" t="str">
            <v>Yellow, canary, or Peruvian beans, dry, cooked, NS as to fat added in cooking</v>
          </cell>
          <cell r="I2206">
            <v>90</v>
          </cell>
          <cell r="J2206">
            <v>175.65919</v>
          </cell>
          <cell r="K2206">
            <v>1.9517687777777777</v>
          </cell>
          <cell r="L2206">
            <v>8.6566474000000007</v>
          </cell>
          <cell r="M2206">
            <v>1.0939329</v>
          </cell>
          <cell r="N2206">
            <v>0</v>
          </cell>
          <cell r="O2206">
            <v>5.1733700000000001E-2</v>
          </cell>
          <cell r="P2206">
            <v>0</v>
          </cell>
          <cell r="Q2206">
            <v>2.9830766999999998</v>
          </cell>
          <cell r="R2206">
            <v>0</v>
          </cell>
          <cell r="S2206">
            <v>83.028902000000002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0.1834211</v>
          </cell>
          <cell r="Y2206">
            <v>0</v>
          </cell>
          <cell r="Z2206">
            <v>0</v>
          </cell>
          <cell r="AA2206">
            <v>0</v>
          </cell>
          <cell r="AB2206">
            <v>2.2326100000000001E-2</v>
          </cell>
        </row>
        <row r="2207">
          <cell r="A2207">
            <v>41106511</v>
          </cell>
          <cell r="B2207" t="str">
            <v>Yellow, canary, or Peruvian beans, dry, cooked, made with oil</v>
          </cell>
          <cell r="I2207">
            <v>90</v>
          </cell>
          <cell r="J2207">
            <v>175.65919</v>
          </cell>
          <cell r="K2207">
            <v>1.9517687777777777</v>
          </cell>
          <cell r="L2207">
            <v>8.6566474000000007</v>
          </cell>
          <cell r="M2207">
            <v>1.0939329</v>
          </cell>
          <cell r="N2207">
            <v>0</v>
          </cell>
          <cell r="O2207">
            <v>5.1733700000000001E-2</v>
          </cell>
          <cell r="P2207">
            <v>0</v>
          </cell>
          <cell r="Q2207">
            <v>2.9830766999999998</v>
          </cell>
          <cell r="R2207">
            <v>0</v>
          </cell>
          <cell r="S2207">
            <v>83.028902000000002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0.1834211</v>
          </cell>
          <cell r="Y2207">
            <v>0</v>
          </cell>
          <cell r="Z2207">
            <v>0</v>
          </cell>
          <cell r="AA2207">
            <v>0</v>
          </cell>
          <cell r="AB2207">
            <v>2.2326100000000001E-2</v>
          </cell>
        </row>
        <row r="2208">
          <cell r="A2208">
            <v>41106520</v>
          </cell>
          <cell r="B2208" t="str">
            <v>Yellow, canary, or Peruvian beans, dry, cooked, fat not added in cooking</v>
          </cell>
          <cell r="I2208">
            <v>90</v>
          </cell>
          <cell r="J2208">
            <v>128.88398000000001</v>
          </cell>
          <cell r="K2208">
            <v>1.4320442222222223</v>
          </cell>
          <cell r="L2208">
            <v>9.3082872999999999</v>
          </cell>
          <cell r="M2208">
            <v>0.24971270000000001</v>
          </cell>
          <cell r="N2208">
            <v>0</v>
          </cell>
          <cell r="O2208">
            <v>5.5611000000000001E-2</v>
          </cell>
          <cell r="P2208">
            <v>0</v>
          </cell>
          <cell r="Q2208">
            <v>0.41708289999999998</v>
          </cell>
          <cell r="R2208">
            <v>0</v>
          </cell>
          <cell r="S2208">
            <v>89.279005999999995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0.19719449999999999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</row>
        <row r="2209">
          <cell r="A2209">
            <v>41107000</v>
          </cell>
          <cell r="B2209" t="str">
            <v>Soybeans, dry, cooked, fat not added in cooking</v>
          </cell>
          <cell r="I2209">
            <v>90</v>
          </cell>
          <cell r="J2209">
            <v>153.90520000000001</v>
          </cell>
          <cell r="K2209">
            <v>1.7100577777777779</v>
          </cell>
          <cell r="L2209">
            <v>5.3687861000000003</v>
          </cell>
          <cell r="M2209">
            <v>1.1605525999999999</v>
          </cell>
          <cell r="N2209">
            <v>0</v>
          </cell>
          <cell r="O2209">
            <v>9.1394199999999995E-2</v>
          </cell>
          <cell r="P2209">
            <v>0</v>
          </cell>
          <cell r="Q2209">
            <v>4.5312555000000003</v>
          </cell>
          <cell r="R2209">
            <v>0</v>
          </cell>
          <cell r="S2209">
            <v>89.256068999999997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0.20252600000000001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</row>
        <row r="2210">
          <cell r="A2210">
            <v>41107010</v>
          </cell>
          <cell r="B2210" t="str">
            <v>Soybeans, dry, cooked, fat added in cooking</v>
          </cell>
          <cell r="I2210">
            <v>90</v>
          </cell>
          <cell r="J2210">
            <v>200.85878</v>
          </cell>
          <cell r="K2210">
            <v>2.231764222222222</v>
          </cell>
          <cell r="L2210">
            <v>4.9768252000000004</v>
          </cell>
          <cell r="M2210">
            <v>1.9744637</v>
          </cell>
          <cell r="N2210">
            <v>0</v>
          </cell>
          <cell r="O2210">
            <v>8.47382E-2</v>
          </cell>
          <cell r="P2210">
            <v>0</v>
          </cell>
          <cell r="Q2210">
            <v>6.9068801999999998</v>
          </cell>
          <cell r="R2210">
            <v>0</v>
          </cell>
          <cell r="S2210">
            <v>82.739718999999994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0.187773</v>
          </cell>
          <cell r="Y2210">
            <v>0</v>
          </cell>
          <cell r="Z2210">
            <v>0</v>
          </cell>
          <cell r="AA2210">
            <v>0</v>
          </cell>
          <cell r="AB2210">
            <v>0.22212090000000001</v>
          </cell>
        </row>
        <row r="2211">
          <cell r="A2211">
            <v>41107020</v>
          </cell>
          <cell r="B2211" t="str">
            <v>Soybeans, dry, cooked, NS as to fat added in cooking</v>
          </cell>
          <cell r="I2211">
            <v>90</v>
          </cell>
          <cell r="J2211">
            <v>200.85878</v>
          </cell>
          <cell r="K2211">
            <v>2.231764222222222</v>
          </cell>
          <cell r="L2211">
            <v>4.9768252000000004</v>
          </cell>
          <cell r="M2211">
            <v>1.9744637</v>
          </cell>
          <cell r="N2211">
            <v>0</v>
          </cell>
          <cell r="O2211">
            <v>8.47382E-2</v>
          </cell>
          <cell r="P2211">
            <v>0</v>
          </cell>
          <cell r="Q2211">
            <v>6.9068801999999998</v>
          </cell>
          <cell r="R2211">
            <v>0</v>
          </cell>
          <cell r="S2211">
            <v>82.739718999999994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0.187773</v>
          </cell>
          <cell r="Y2211">
            <v>0</v>
          </cell>
          <cell r="Z2211">
            <v>0</v>
          </cell>
          <cell r="AA2211">
            <v>0</v>
          </cell>
          <cell r="AB2211">
            <v>0.2222864</v>
          </cell>
        </row>
        <row r="2212">
          <cell r="A2212">
            <v>41108000</v>
          </cell>
          <cell r="B2212" t="str">
            <v>Mung beans, dry, cooked, fat not added in cooking</v>
          </cell>
          <cell r="I2212">
            <v>90</v>
          </cell>
          <cell r="J2212">
            <v>94.034482999999994</v>
          </cell>
          <cell r="K2212">
            <v>1.0448275888888889</v>
          </cell>
          <cell r="L2212">
            <v>6.8063054000000003</v>
          </cell>
          <cell r="M2212">
            <v>0.1038857</v>
          </cell>
          <cell r="N2212">
            <v>0</v>
          </cell>
          <cell r="O2212">
            <v>2.4286700000000001E-2</v>
          </cell>
          <cell r="P2212">
            <v>0</v>
          </cell>
          <cell r="Q2212">
            <v>0.1146325</v>
          </cell>
          <cell r="R2212">
            <v>0</v>
          </cell>
          <cell r="S2212">
            <v>89.332758999999996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0.17362459999999999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</row>
        <row r="2213">
          <cell r="A2213">
            <v>41108010</v>
          </cell>
          <cell r="B2213" t="str">
            <v>Mung beans, fat added in cooking</v>
          </cell>
          <cell r="I2213">
            <v>90</v>
          </cell>
          <cell r="J2213">
            <v>138.25121999999999</v>
          </cell>
          <cell r="K2213">
            <v>1.5361246666666666</v>
          </cell>
          <cell r="L2213">
            <v>6.3782112</v>
          </cell>
          <cell r="M2213">
            <v>0.87154069999999995</v>
          </cell>
          <cell r="N2213">
            <v>0</v>
          </cell>
          <cell r="O2213">
            <v>2.27733E-2</v>
          </cell>
          <cell r="P2213">
            <v>0</v>
          </cell>
          <cell r="Q2213">
            <v>2.4390523000000002</v>
          </cell>
          <cell r="R2213">
            <v>0</v>
          </cell>
          <cell r="S2213">
            <v>83.714022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0.1627325</v>
          </cell>
          <cell r="Y2213">
            <v>0</v>
          </cell>
          <cell r="Z2213">
            <v>0</v>
          </cell>
          <cell r="AA2213">
            <v>0</v>
          </cell>
          <cell r="AB2213">
            <v>2.0058699999999999E-2</v>
          </cell>
        </row>
        <row r="2214">
          <cell r="A2214">
            <v>41108020</v>
          </cell>
          <cell r="B2214" t="str">
            <v>Mung beans, dry, cooked, NS as to fat added in cooking</v>
          </cell>
          <cell r="I2214">
            <v>90</v>
          </cell>
          <cell r="J2214">
            <v>138.25121999999999</v>
          </cell>
          <cell r="K2214">
            <v>1.5361246666666666</v>
          </cell>
          <cell r="L2214">
            <v>6.3782112</v>
          </cell>
          <cell r="M2214">
            <v>0.87154069999999995</v>
          </cell>
          <cell r="N2214">
            <v>0</v>
          </cell>
          <cell r="O2214">
            <v>2.27733E-2</v>
          </cell>
          <cell r="P2214">
            <v>0</v>
          </cell>
          <cell r="Q2214">
            <v>2.4390523000000002</v>
          </cell>
          <cell r="R2214">
            <v>0</v>
          </cell>
          <cell r="S2214">
            <v>83.714022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0.1627325</v>
          </cell>
          <cell r="Y2214">
            <v>0</v>
          </cell>
          <cell r="Z2214">
            <v>0</v>
          </cell>
          <cell r="AA2214">
            <v>0</v>
          </cell>
          <cell r="AB2214">
            <v>2.0058699999999999E-2</v>
          </cell>
        </row>
        <row r="2215">
          <cell r="A2215">
            <v>41201010</v>
          </cell>
          <cell r="B2215" t="str">
            <v>Baked beans, NFS</v>
          </cell>
          <cell r="I2215">
            <v>130</v>
          </cell>
          <cell r="J2215">
            <v>136.5</v>
          </cell>
          <cell r="K2215">
            <v>1.05</v>
          </cell>
          <cell r="L2215">
            <v>5.72</v>
          </cell>
          <cell r="M2215">
            <v>0.30030000000000001</v>
          </cell>
          <cell r="N2215">
            <v>0</v>
          </cell>
          <cell r="O2215">
            <v>5.0700000000000002E-2</v>
          </cell>
          <cell r="P2215">
            <v>-2.7100000000000002E-16</v>
          </cell>
          <cell r="Q2215">
            <v>0.52</v>
          </cell>
          <cell r="R2215">
            <v>0</v>
          </cell>
          <cell r="S2215">
            <v>75.075000000000003</v>
          </cell>
          <cell r="T2215">
            <v>0</v>
          </cell>
          <cell r="U2215">
            <v>22.295000000000002</v>
          </cell>
          <cell r="V2215">
            <v>0</v>
          </cell>
          <cell r="W2215">
            <v>0</v>
          </cell>
          <cell r="X2215">
            <v>0.50829999999999997</v>
          </cell>
          <cell r="Y2215">
            <v>0</v>
          </cell>
          <cell r="Z2215">
            <v>0</v>
          </cell>
          <cell r="AA2215">
            <v>6.2653499999999998</v>
          </cell>
          <cell r="AB2215">
            <v>0</v>
          </cell>
        </row>
        <row r="2216">
          <cell r="A2216">
            <v>41201020</v>
          </cell>
          <cell r="B2216" t="str">
            <v>Baked beans, vegetarian</v>
          </cell>
          <cell r="I2216">
            <v>130</v>
          </cell>
          <cell r="J2216">
            <v>122.2</v>
          </cell>
          <cell r="K2216">
            <v>0.94000000000000006</v>
          </cell>
          <cell r="L2216">
            <v>5.33</v>
          </cell>
          <cell r="M2216">
            <v>9.2299999999999993E-2</v>
          </cell>
          <cell r="N2216">
            <v>0</v>
          </cell>
          <cell r="O2216">
            <v>4.4200000000000003E-2</v>
          </cell>
          <cell r="P2216">
            <v>4.5089999999999999E-16</v>
          </cell>
          <cell r="Q2216">
            <v>0.1573</v>
          </cell>
          <cell r="R2216">
            <v>0</v>
          </cell>
          <cell r="S2216">
            <v>77.349999999999994</v>
          </cell>
          <cell r="T2216">
            <v>0</v>
          </cell>
          <cell r="U2216">
            <v>31.85</v>
          </cell>
          <cell r="V2216">
            <v>0</v>
          </cell>
          <cell r="W2216">
            <v>0</v>
          </cell>
          <cell r="X2216">
            <v>0.44590000000000002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</row>
        <row r="2217">
          <cell r="A2217">
            <v>41202020</v>
          </cell>
          <cell r="B2217" t="str">
            <v>Chili beans, barbecue beans, ranch style beans or Mexican- style beans</v>
          </cell>
          <cell r="I2217">
            <v>130</v>
          </cell>
          <cell r="J2217">
            <v>136.5</v>
          </cell>
          <cell r="K2217">
            <v>1.05</v>
          </cell>
          <cell r="L2217">
            <v>5.72</v>
          </cell>
          <cell r="M2217">
            <v>0.30030000000000001</v>
          </cell>
          <cell r="N2217">
            <v>0</v>
          </cell>
          <cell r="O2217">
            <v>5.0700000000000002E-2</v>
          </cell>
          <cell r="P2217">
            <v>-2.7100000000000002E-16</v>
          </cell>
          <cell r="Q2217">
            <v>0.52</v>
          </cell>
          <cell r="R2217">
            <v>0</v>
          </cell>
          <cell r="S2217">
            <v>75.075000000000003</v>
          </cell>
          <cell r="T2217">
            <v>0</v>
          </cell>
          <cell r="U2217">
            <v>22.295000000000002</v>
          </cell>
          <cell r="V2217">
            <v>0</v>
          </cell>
          <cell r="W2217">
            <v>0</v>
          </cell>
          <cell r="X2217">
            <v>0.50829999999999997</v>
          </cell>
          <cell r="Y2217">
            <v>0</v>
          </cell>
          <cell r="Z2217">
            <v>0</v>
          </cell>
          <cell r="AA2217">
            <v>6.2653499999999998</v>
          </cell>
          <cell r="AB2217">
            <v>0</v>
          </cell>
        </row>
        <row r="2218">
          <cell r="A2218">
            <v>41202500</v>
          </cell>
          <cell r="B2218" t="str">
            <v>Beans and tomatoes, NS as to fat added in cooking</v>
          </cell>
          <cell r="I2218">
            <v>130</v>
          </cell>
          <cell r="J2218">
            <v>182.91079999999999</v>
          </cell>
          <cell r="K2218">
            <v>1.4070061538461538</v>
          </cell>
          <cell r="L2218">
            <v>7.9745143000000001</v>
          </cell>
          <cell r="M2218">
            <v>1.0171638000000001</v>
          </cell>
          <cell r="N2218">
            <v>0</v>
          </cell>
          <cell r="O2218">
            <v>3.9660800000000003E-2</v>
          </cell>
          <cell r="P2218">
            <v>0</v>
          </cell>
          <cell r="Q2218">
            <v>2.9155188999999999</v>
          </cell>
          <cell r="R2218">
            <v>0</v>
          </cell>
          <cell r="S2218">
            <v>82.313952</v>
          </cell>
          <cell r="T2218">
            <v>0</v>
          </cell>
          <cell r="U2218">
            <v>40.799537000000001</v>
          </cell>
          <cell r="V2218">
            <v>0</v>
          </cell>
          <cell r="W2218">
            <v>0</v>
          </cell>
          <cell r="X2218">
            <v>0.2680903</v>
          </cell>
          <cell r="Y2218">
            <v>0</v>
          </cell>
          <cell r="Z2218">
            <v>0</v>
          </cell>
          <cell r="AA2218">
            <v>0</v>
          </cell>
          <cell r="AB2218">
            <v>2.2996200000000001E-2</v>
          </cell>
        </row>
        <row r="2219">
          <cell r="A2219">
            <v>41202505</v>
          </cell>
          <cell r="B2219" t="str">
            <v>Beans and tomatoes, fat not added in cooking</v>
          </cell>
          <cell r="I2219">
            <v>130</v>
          </cell>
          <cell r="J2219">
            <v>131.75744</v>
          </cell>
          <cell r="K2219">
            <v>1.0135187692307692</v>
          </cell>
          <cell r="L2219">
            <v>8.3152142999999992</v>
          </cell>
          <cell r="M2219">
            <v>0.12508269999999999</v>
          </cell>
          <cell r="N2219">
            <v>0</v>
          </cell>
          <cell r="O2219">
            <v>4.8156999999999998E-2</v>
          </cell>
          <cell r="P2219">
            <v>0</v>
          </cell>
          <cell r="Q2219">
            <v>0.2364656</v>
          </cell>
          <cell r="R2219">
            <v>0</v>
          </cell>
          <cell r="S2219">
            <v>86.845490999999996</v>
          </cell>
          <cell r="T2219">
            <v>0</v>
          </cell>
          <cell r="U2219">
            <v>42.737279000000001</v>
          </cell>
          <cell r="V2219">
            <v>0</v>
          </cell>
          <cell r="W2219">
            <v>0</v>
          </cell>
          <cell r="X2219">
            <v>0.28125679999999997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</row>
        <row r="2220">
          <cell r="A2220">
            <v>41202510</v>
          </cell>
          <cell r="B2220" t="str">
            <v>Beans and tomatoes, fat added in cooking</v>
          </cell>
          <cell r="I2220">
            <v>130</v>
          </cell>
          <cell r="J2220">
            <v>182.91079999999999</v>
          </cell>
          <cell r="K2220">
            <v>1.4070061538461538</v>
          </cell>
          <cell r="L2220">
            <v>7.9745143000000001</v>
          </cell>
          <cell r="M2220">
            <v>1.0171638000000001</v>
          </cell>
          <cell r="N2220">
            <v>0</v>
          </cell>
          <cell r="O2220">
            <v>3.9660800000000003E-2</v>
          </cell>
          <cell r="P2220">
            <v>0</v>
          </cell>
          <cell r="Q2220">
            <v>2.9155188999999999</v>
          </cell>
          <cell r="R2220">
            <v>0</v>
          </cell>
          <cell r="S2220">
            <v>82.313952</v>
          </cell>
          <cell r="T2220">
            <v>0</v>
          </cell>
          <cell r="U2220">
            <v>40.799537000000001</v>
          </cell>
          <cell r="V2220">
            <v>0</v>
          </cell>
          <cell r="W2220">
            <v>0</v>
          </cell>
          <cell r="X2220">
            <v>0.2680903</v>
          </cell>
          <cell r="Y2220">
            <v>0</v>
          </cell>
          <cell r="Z2220">
            <v>0</v>
          </cell>
          <cell r="AA2220">
            <v>0</v>
          </cell>
          <cell r="AB2220">
            <v>2.2996200000000001E-2</v>
          </cell>
        </row>
        <row r="2221">
          <cell r="A2221">
            <v>41203030</v>
          </cell>
          <cell r="B2221" t="str">
            <v>Black bean salad</v>
          </cell>
          <cell r="I2221">
            <v>130</v>
          </cell>
          <cell r="J2221">
            <v>142.09216000000001</v>
          </cell>
          <cell r="K2221">
            <v>1.0930166153846155</v>
          </cell>
          <cell r="L2221">
            <v>4.7061133000000002</v>
          </cell>
          <cell r="M2221">
            <v>0.74512929999999999</v>
          </cell>
          <cell r="N2221">
            <v>0</v>
          </cell>
          <cell r="O2221">
            <v>3.6790700000000003E-2</v>
          </cell>
          <cell r="P2221">
            <v>0.44953609999999999</v>
          </cell>
          <cell r="Q2221">
            <v>2.5196805000000002</v>
          </cell>
          <cell r="R2221">
            <v>0</v>
          </cell>
          <cell r="S2221">
            <v>50.583092999999998</v>
          </cell>
          <cell r="T2221">
            <v>0</v>
          </cell>
          <cell r="U2221">
            <v>35.34158</v>
          </cell>
          <cell r="V2221">
            <v>0</v>
          </cell>
          <cell r="W2221">
            <v>0</v>
          </cell>
          <cell r="X2221">
            <v>0.2624341</v>
          </cell>
          <cell r="Y2221">
            <v>0</v>
          </cell>
          <cell r="Z2221">
            <v>0</v>
          </cell>
          <cell r="AA2221">
            <v>0</v>
          </cell>
          <cell r="AB2221">
            <v>1.4386100000000001E-2</v>
          </cell>
        </row>
        <row r="2222">
          <cell r="A2222">
            <v>41204020</v>
          </cell>
          <cell r="B2222" t="str">
            <v>Boston baked beans</v>
          </cell>
          <cell r="I2222">
            <v>130</v>
          </cell>
          <cell r="J2222">
            <v>136.5</v>
          </cell>
          <cell r="K2222">
            <v>1.05</v>
          </cell>
          <cell r="L2222">
            <v>5.72</v>
          </cell>
          <cell r="M2222">
            <v>0.30030000000000001</v>
          </cell>
          <cell r="N2222">
            <v>0</v>
          </cell>
          <cell r="O2222">
            <v>5.0700000000000002E-2</v>
          </cell>
          <cell r="P2222">
            <v>-2.7100000000000002E-16</v>
          </cell>
          <cell r="Q2222">
            <v>0.52</v>
          </cell>
          <cell r="R2222">
            <v>0</v>
          </cell>
          <cell r="S2222">
            <v>75.075000000000003</v>
          </cell>
          <cell r="T2222">
            <v>0</v>
          </cell>
          <cell r="U2222">
            <v>22.295000000000002</v>
          </cell>
          <cell r="V2222">
            <v>0</v>
          </cell>
          <cell r="W2222">
            <v>0</v>
          </cell>
          <cell r="X2222">
            <v>0.50829999999999997</v>
          </cell>
          <cell r="Y2222">
            <v>0</v>
          </cell>
          <cell r="Z2222">
            <v>0</v>
          </cell>
          <cell r="AA2222">
            <v>6.2653499999999998</v>
          </cell>
          <cell r="AB2222">
            <v>0</v>
          </cell>
        </row>
        <row r="2223">
          <cell r="A2223">
            <v>41205010</v>
          </cell>
          <cell r="B2223" t="str">
            <v>Refried beans, fat added in cooking, NS as to type of fat</v>
          </cell>
          <cell r="I2223">
            <v>130</v>
          </cell>
          <cell r="J2223">
            <v>181.91372999999999</v>
          </cell>
          <cell r="K2223">
            <v>1.3993363846153846</v>
          </cell>
          <cell r="L2223">
            <v>6.8405060999999998</v>
          </cell>
          <cell r="M2223">
            <v>1.2561340000000001</v>
          </cell>
          <cell r="N2223">
            <v>0</v>
          </cell>
          <cell r="O2223">
            <v>4.4615700000000001E-2</v>
          </cell>
          <cell r="P2223">
            <v>0</v>
          </cell>
          <cell r="Q2223">
            <v>2.772243</v>
          </cell>
          <cell r="R2223">
            <v>0</v>
          </cell>
          <cell r="S2223">
            <v>114.46986</v>
          </cell>
          <cell r="T2223">
            <v>0</v>
          </cell>
          <cell r="U2223">
            <v>9.2917699000000002</v>
          </cell>
          <cell r="V2223">
            <v>0</v>
          </cell>
          <cell r="W2223">
            <v>0</v>
          </cell>
          <cell r="X2223">
            <v>0.41155890000000001</v>
          </cell>
          <cell r="Y2223">
            <v>0</v>
          </cell>
          <cell r="Z2223">
            <v>0</v>
          </cell>
          <cell r="AA2223">
            <v>0</v>
          </cell>
          <cell r="AB2223">
            <v>8.2331399999999999E-2</v>
          </cell>
        </row>
        <row r="2224">
          <cell r="A2224">
            <v>41205011</v>
          </cell>
          <cell r="B2224" t="str">
            <v>Refried beans, made with oil</v>
          </cell>
          <cell r="I2224">
            <v>130</v>
          </cell>
          <cell r="J2224">
            <v>181.91372999999999</v>
          </cell>
          <cell r="K2224">
            <v>1.3993363846153846</v>
          </cell>
          <cell r="L2224">
            <v>6.8405060999999998</v>
          </cell>
          <cell r="M2224">
            <v>1.2561340000000001</v>
          </cell>
          <cell r="N2224">
            <v>0</v>
          </cell>
          <cell r="O2224">
            <v>4.4615700000000001E-2</v>
          </cell>
          <cell r="P2224">
            <v>0</v>
          </cell>
          <cell r="Q2224">
            <v>2.772243</v>
          </cell>
          <cell r="R2224">
            <v>0</v>
          </cell>
          <cell r="S2224">
            <v>114.46986</v>
          </cell>
          <cell r="T2224">
            <v>0</v>
          </cell>
          <cell r="U2224">
            <v>9.2917699000000002</v>
          </cell>
          <cell r="V2224">
            <v>0</v>
          </cell>
          <cell r="W2224">
            <v>0</v>
          </cell>
          <cell r="X2224">
            <v>0.41155890000000001</v>
          </cell>
          <cell r="Y2224">
            <v>0</v>
          </cell>
          <cell r="Z2224">
            <v>0</v>
          </cell>
          <cell r="AA2224">
            <v>0</v>
          </cell>
          <cell r="AB2224">
            <v>3.0585600000000001E-2</v>
          </cell>
        </row>
        <row r="2225">
          <cell r="A2225">
            <v>41205012</v>
          </cell>
          <cell r="B2225" t="str">
            <v>Refried beans, made with animal fat or meat drippings</v>
          </cell>
          <cell r="I2225">
            <v>130</v>
          </cell>
          <cell r="J2225">
            <v>177.1026</v>
          </cell>
          <cell r="K2225">
            <v>1.3623276923076924</v>
          </cell>
          <cell r="L2225">
            <v>6.8579448000000003</v>
          </cell>
          <cell r="M2225">
            <v>2.3589761</v>
          </cell>
          <cell r="N2225">
            <v>0</v>
          </cell>
          <cell r="O2225">
            <v>4.4940800000000003E-2</v>
          </cell>
          <cell r="P2225">
            <v>0</v>
          </cell>
          <cell r="Q2225">
            <v>1.0151496</v>
          </cell>
          <cell r="R2225">
            <v>0</v>
          </cell>
          <cell r="S2225">
            <v>114.76168</v>
          </cell>
          <cell r="T2225">
            <v>0</v>
          </cell>
          <cell r="U2225">
            <v>9.3154576999999996</v>
          </cell>
          <cell r="V2225">
            <v>0</v>
          </cell>
          <cell r="W2225">
            <v>0</v>
          </cell>
          <cell r="X2225">
            <v>0.4442064</v>
          </cell>
          <cell r="Y2225">
            <v>0</v>
          </cell>
          <cell r="Z2225">
            <v>0</v>
          </cell>
          <cell r="AA2225">
            <v>0</v>
          </cell>
          <cell r="AB2225">
            <v>0.1526708</v>
          </cell>
        </row>
        <row r="2226">
          <cell r="A2226">
            <v>41205013</v>
          </cell>
          <cell r="B2226" t="str">
            <v>Refried beans, made with margarine</v>
          </cell>
          <cell r="I2226">
            <v>130</v>
          </cell>
          <cell r="J2226">
            <v>163.50326000000001</v>
          </cell>
          <cell r="K2226">
            <v>1.2577173846153846</v>
          </cell>
          <cell r="L2226">
            <v>6.8258127999999996</v>
          </cell>
          <cell r="M2226">
            <v>1.1991852000000001</v>
          </cell>
          <cell r="N2226">
            <v>0</v>
          </cell>
          <cell r="O2226">
            <v>4.5726500000000003E-2</v>
          </cell>
          <cell r="P2226">
            <v>0</v>
          </cell>
          <cell r="Q2226">
            <v>2.0262196000000001</v>
          </cell>
          <cell r="R2226">
            <v>0</v>
          </cell>
          <cell r="S2226">
            <v>114.22398</v>
          </cell>
          <cell r="T2226">
            <v>0</v>
          </cell>
          <cell r="U2226">
            <v>9.2718114000000007</v>
          </cell>
          <cell r="V2226">
            <v>0</v>
          </cell>
          <cell r="W2226">
            <v>0</v>
          </cell>
          <cell r="X2226">
            <v>0.44984819999999998</v>
          </cell>
          <cell r="Y2226">
            <v>0</v>
          </cell>
          <cell r="Z2226">
            <v>0</v>
          </cell>
          <cell r="AA2226">
            <v>0</v>
          </cell>
          <cell r="AB2226">
            <v>0.2238619</v>
          </cell>
        </row>
        <row r="2227">
          <cell r="A2227">
            <v>41205015</v>
          </cell>
          <cell r="B2227" t="str">
            <v>Refried beans, fat not added in cooking</v>
          </cell>
          <cell r="I2227">
            <v>130</v>
          </cell>
          <cell r="J2227">
            <v>102.7</v>
          </cell>
          <cell r="K2227">
            <v>0.79</v>
          </cell>
          <cell r="L2227">
            <v>6.11</v>
          </cell>
          <cell r="M2227">
            <v>0.12089999999999999</v>
          </cell>
          <cell r="N2227">
            <v>0</v>
          </cell>
          <cell r="O2227">
            <v>4.4200000000000003E-2</v>
          </cell>
          <cell r="P2227">
            <v>0</v>
          </cell>
          <cell r="Q2227">
            <v>0.37309999999999999</v>
          </cell>
          <cell r="R2227">
            <v>0</v>
          </cell>
          <cell r="S2227">
            <v>129.67500000000001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0.56940000000000002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</row>
        <row r="2228">
          <cell r="A2228">
            <v>41205016</v>
          </cell>
          <cell r="B2228" t="str">
            <v>Refried beans, NS as to fat added in cooking</v>
          </cell>
          <cell r="I2228">
            <v>130</v>
          </cell>
          <cell r="J2228">
            <v>181.91372999999999</v>
          </cell>
          <cell r="K2228">
            <v>1.3993363846153846</v>
          </cell>
          <cell r="L2228">
            <v>6.8405060999999998</v>
          </cell>
          <cell r="M2228">
            <v>1.2561340000000001</v>
          </cell>
          <cell r="N2228">
            <v>0</v>
          </cell>
          <cell r="O2228">
            <v>4.4615700000000001E-2</v>
          </cell>
          <cell r="P2228">
            <v>0</v>
          </cell>
          <cell r="Q2228">
            <v>2.772243</v>
          </cell>
          <cell r="R2228">
            <v>0</v>
          </cell>
          <cell r="S2228">
            <v>114.46986</v>
          </cell>
          <cell r="T2228">
            <v>0</v>
          </cell>
          <cell r="U2228">
            <v>9.2917699000000002</v>
          </cell>
          <cell r="V2228">
            <v>0</v>
          </cell>
          <cell r="W2228">
            <v>0</v>
          </cell>
          <cell r="X2228">
            <v>0.41155890000000001</v>
          </cell>
          <cell r="Y2228">
            <v>0</v>
          </cell>
          <cell r="Z2228">
            <v>0</v>
          </cell>
          <cell r="AA2228">
            <v>0</v>
          </cell>
          <cell r="AB2228">
            <v>3.0585600000000001E-2</v>
          </cell>
        </row>
        <row r="2229">
          <cell r="A2229">
            <v>41205017</v>
          </cell>
          <cell r="B2229" t="str">
            <v>Refried beans, from restaurant</v>
          </cell>
          <cell r="I2229">
            <v>130</v>
          </cell>
          <cell r="J2229">
            <v>202.8</v>
          </cell>
          <cell r="K2229">
            <v>1.56</v>
          </cell>
          <cell r="L2229">
            <v>10.4</v>
          </cell>
          <cell r="M2229">
            <v>2.3919999999999999</v>
          </cell>
          <cell r="N2229">
            <v>0</v>
          </cell>
          <cell r="O2229">
            <v>7.4099999999999999E-2</v>
          </cell>
          <cell r="P2229">
            <v>7.7909999999999998E-16</v>
          </cell>
          <cell r="Q2229">
            <v>3.0472000000000001</v>
          </cell>
          <cell r="R2229">
            <v>0</v>
          </cell>
          <cell r="S2229">
            <v>97.825000000000003</v>
          </cell>
          <cell r="T2229">
            <v>0</v>
          </cell>
          <cell r="U2229">
            <v>25.48</v>
          </cell>
          <cell r="V2229">
            <v>0</v>
          </cell>
          <cell r="W2229">
            <v>0</v>
          </cell>
          <cell r="X2229">
            <v>0.48880000000000001</v>
          </cell>
          <cell r="Y2229">
            <v>0</v>
          </cell>
          <cell r="Z2229">
            <v>0</v>
          </cell>
          <cell r="AA2229">
            <v>0</v>
          </cell>
          <cell r="AB2229">
            <v>0.11310000000000001</v>
          </cell>
        </row>
        <row r="2230">
          <cell r="A2230">
            <v>41205020</v>
          </cell>
          <cell r="B2230" t="str">
            <v>Refried beans with cheese</v>
          </cell>
          <cell r="I2230">
            <v>130</v>
          </cell>
          <cell r="J2230">
            <v>138.66585000000001</v>
          </cell>
          <cell r="K2230">
            <v>1.0666603846153846</v>
          </cell>
          <cell r="L2230">
            <v>4.5547016999999999</v>
          </cell>
          <cell r="M2230">
            <v>2.0785754000000001</v>
          </cell>
          <cell r="N2230">
            <v>0</v>
          </cell>
          <cell r="O2230">
            <v>8.4688700000000006E-2</v>
          </cell>
          <cell r="P2230">
            <v>0</v>
          </cell>
          <cell r="Q2230">
            <v>0.76648159999999999</v>
          </cell>
          <cell r="R2230">
            <v>0</v>
          </cell>
          <cell r="S2230">
            <v>122.7923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0.5005269</v>
          </cell>
          <cell r="Y2230">
            <v>0</v>
          </cell>
          <cell r="Z2230">
            <v>0</v>
          </cell>
          <cell r="AA2230">
            <v>0</v>
          </cell>
          <cell r="AB2230">
            <v>8.2968600000000003E-2</v>
          </cell>
        </row>
        <row r="2231">
          <cell r="A2231">
            <v>41205030</v>
          </cell>
          <cell r="B2231" t="str">
            <v>Refried beans with meat</v>
          </cell>
          <cell r="I2231">
            <v>130</v>
          </cell>
          <cell r="J2231">
            <v>146.81032999999999</v>
          </cell>
          <cell r="K2231">
            <v>1.1293102307692306</v>
          </cell>
          <cell r="L2231">
            <v>6.5390952999999996</v>
          </cell>
          <cell r="M2231">
            <v>0.85328729999999997</v>
          </cell>
          <cell r="N2231">
            <v>0</v>
          </cell>
          <cell r="O2231">
            <v>4.3408599999999999E-2</v>
          </cell>
          <cell r="P2231">
            <v>0</v>
          </cell>
          <cell r="Q2231">
            <v>0.60589490000000001</v>
          </cell>
          <cell r="R2231">
            <v>0</v>
          </cell>
          <cell r="S2231">
            <v>109.42601000000001</v>
          </cell>
          <cell r="T2231">
            <v>0</v>
          </cell>
          <cell r="U2231">
            <v>8.8823500000000006</v>
          </cell>
          <cell r="V2231">
            <v>0</v>
          </cell>
          <cell r="W2231">
            <v>0</v>
          </cell>
          <cell r="X2231">
            <v>0.50798279999999996</v>
          </cell>
          <cell r="Y2231">
            <v>0</v>
          </cell>
          <cell r="Z2231">
            <v>0</v>
          </cell>
          <cell r="AA2231">
            <v>10.911642000000001</v>
          </cell>
          <cell r="AB2231">
            <v>0.27059519999999998</v>
          </cell>
        </row>
        <row r="2232">
          <cell r="A2232">
            <v>41205050</v>
          </cell>
          <cell r="B2232" t="str">
            <v>Bean dip, made with refried beans</v>
          </cell>
          <cell r="I2232">
            <v>30</v>
          </cell>
          <cell r="J2232">
            <v>35.700000000000003</v>
          </cell>
          <cell r="K2232">
            <v>1.1900000000000002</v>
          </cell>
          <cell r="L2232">
            <v>1.47</v>
          </cell>
          <cell r="M2232">
            <v>0.15870000000000001</v>
          </cell>
          <cell r="N2232">
            <v>0</v>
          </cell>
          <cell r="O2232">
            <v>7.7999999999999996E-3</v>
          </cell>
          <cell r="P2232">
            <v>4.415E-17</v>
          </cell>
          <cell r="Q2232">
            <v>0.58709999999999996</v>
          </cell>
          <cell r="R2232">
            <v>0</v>
          </cell>
          <cell r="S2232">
            <v>16.274999999999999</v>
          </cell>
          <cell r="T2232">
            <v>0</v>
          </cell>
          <cell r="U2232">
            <v>1.47</v>
          </cell>
          <cell r="V2232">
            <v>0</v>
          </cell>
          <cell r="W2232">
            <v>0</v>
          </cell>
          <cell r="X2232">
            <v>0.13289999999999999</v>
          </cell>
          <cell r="Y2232">
            <v>0</v>
          </cell>
          <cell r="Z2232">
            <v>0</v>
          </cell>
          <cell r="AA2232">
            <v>0</v>
          </cell>
          <cell r="AB2232">
            <v>2.3999999999999998E-3</v>
          </cell>
        </row>
        <row r="2233">
          <cell r="A2233">
            <v>41205055</v>
          </cell>
          <cell r="B2233" t="str">
            <v>Layer dip</v>
          </cell>
          <cell r="I2233">
            <v>30</v>
          </cell>
          <cell r="J2233">
            <v>43.527866000000003</v>
          </cell>
          <cell r="K2233">
            <v>1.4509288666666669</v>
          </cell>
          <cell r="L2233">
            <v>0.69190649999999998</v>
          </cell>
          <cell r="M2233">
            <v>1.4650734999999999</v>
          </cell>
          <cell r="N2233">
            <v>0</v>
          </cell>
          <cell r="O2233">
            <v>4.2645599999999999E-2</v>
          </cell>
          <cell r="P2233">
            <v>0</v>
          </cell>
          <cell r="Q2233">
            <v>0.2370603</v>
          </cell>
          <cell r="R2233">
            <v>0</v>
          </cell>
          <cell r="S2233">
            <v>4.4708664999999996</v>
          </cell>
          <cell r="T2233">
            <v>5.4183700000000001E-2</v>
          </cell>
          <cell r="U2233">
            <v>16.341066999999999</v>
          </cell>
          <cell r="V2233">
            <v>0</v>
          </cell>
          <cell r="W2233">
            <v>0</v>
          </cell>
          <cell r="X2233">
            <v>0.16304560000000001</v>
          </cell>
          <cell r="Y2233">
            <v>0</v>
          </cell>
          <cell r="Z2233">
            <v>0</v>
          </cell>
          <cell r="AA2233">
            <v>0</v>
          </cell>
          <cell r="AB2233">
            <v>8.9608499999999994E-2</v>
          </cell>
        </row>
        <row r="2234">
          <cell r="A2234">
            <v>41205070</v>
          </cell>
          <cell r="B2234" t="str">
            <v>Hummus, plain</v>
          </cell>
          <cell r="I2234">
            <v>30</v>
          </cell>
          <cell r="J2234">
            <v>77.932030999999995</v>
          </cell>
          <cell r="K2234">
            <v>2.5977343666666664</v>
          </cell>
          <cell r="L2234">
            <v>1.2399023</v>
          </cell>
          <cell r="M2234">
            <v>0.72858339999999999</v>
          </cell>
          <cell r="N2234">
            <v>0</v>
          </cell>
          <cell r="O2234">
            <v>3.3840799999999997E-2</v>
          </cell>
          <cell r="P2234">
            <v>0.54492189999999996</v>
          </cell>
          <cell r="Q2234">
            <v>1.7533764000000001</v>
          </cell>
          <cell r="R2234">
            <v>0</v>
          </cell>
          <cell r="S2234">
            <v>16.072997999999998</v>
          </cell>
          <cell r="T2234">
            <v>2.6367188000000001</v>
          </cell>
          <cell r="U2234">
            <v>0.3515625</v>
          </cell>
          <cell r="V2234">
            <v>0</v>
          </cell>
          <cell r="W2234">
            <v>0</v>
          </cell>
          <cell r="X2234">
            <v>0.1443633</v>
          </cell>
          <cell r="Y2234">
            <v>5.1910400000000001</v>
          </cell>
          <cell r="Z2234">
            <v>0</v>
          </cell>
          <cell r="AA2234">
            <v>0</v>
          </cell>
          <cell r="AB2234">
            <v>3.2895500000000001E-2</v>
          </cell>
        </row>
        <row r="2235">
          <cell r="A2235">
            <v>41205075</v>
          </cell>
          <cell r="B2235" t="str">
            <v>Hummus, flavored</v>
          </cell>
          <cell r="I2235">
            <v>30</v>
          </cell>
          <cell r="J2235">
            <v>77.355171999999996</v>
          </cell>
          <cell r="K2235">
            <v>2.578505733333333</v>
          </cell>
          <cell r="L2235">
            <v>1.2258046</v>
          </cell>
          <cell r="M2235">
            <v>0.72038100000000005</v>
          </cell>
          <cell r="N2235">
            <v>0</v>
          </cell>
          <cell r="O2235">
            <v>3.3243099999999998E-2</v>
          </cell>
          <cell r="P2235">
            <v>0.53873559999999998</v>
          </cell>
          <cell r="Q2235">
            <v>1.7592707000000001</v>
          </cell>
          <cell r="R2235">
            <v>0</v>
          </cell>
          <cell r="S2235">
            <v>15.765086</v>
          </cell>
          <cell r="T2235">
            <v>2.5862069000000001</v>
          </cell>
          <cell r="U2235">
            <v>0.80459769999999997</v>
          </cell>
          <cell r="V2235">
            <v>0</v>
          </cell>
          <cell r="W2235">
            <v>0</v>
          </cell>
          <cell r="X2235">
            <v>0.14161840000000001</v>
          </cell>
          <cell r="Y2235">
            <v>5.2064611999999997</v>
          </cell>
          <cell r="Z2235">
            <v>0</v>
          </cell>
          <cell r="AA2235">
            <v>0</v>
          </cell>
          <cell r="AB2235">
            <v>4.8710700000000003E-2</v>
          </cell>
        </row>
        <row r="2236">
          <cell r="A2236">
            <v>41205100</v>
          </cell>
          <cell r="B2236" t="str">
            <v>Black bean sauce</v>
          </cell>
          <cell r="I2236">
            <v>130</v>
          </cell>
          <cell r="J2236">
            <v>255.19550000000001</v>
          </cell>
          <cell r="K2236">
            <v>1.9630423076923078</v>
          </cell>
          <cell r="L2236">
            <v>3.2545592000000001</v>
          </cell>
          <cell r="M2236">
            <v>2.7883746999999999</v>
          </cell>
          <cell r="N2236">
            <v>0</v>
          </cell>
          <cell r="O2236">
            <v>7.0003800000000005E-2</v>
          </cell>
          <cell r="P2236">
            <v>0.55660010000000004</v>
          </cell>
          <cell r="Q2236">
            <v>8.1998256000000005</v>
          </cell>
          <cell r="R2236">
            <v>0</v>
          </cell>
          <cell r="S2236">
            <v>23.796876999999999</v>
          </cell>
          <cell r="T2236">
            <v>0</v>
          </cell>
          <cell r="U2236">
            <v>48.773325999999997</v>
          </cell>
          <cell r="V2236">
            <v>0</v>
          </cell>
          <cell r="W2236">
            <v>0</v>
          </cell>
          <cell r="X2236">
            <v>3.0976126000000002</v>
          </cell>
          <cell r="Y2236">
            <v>0</v>
          </cell>
          <cell r="Z2236">
            <v>0</v>
          </cell>
          <cell r="AA2236">
            <v>0</v>
          </cell>
          <cell r="AB2236">
            <v>6.8301200000000006E-2</v>
          </cell>
        </row>
        <row r="2237">
          <cell r="A2237">
            <v>41206030</v>
          </cell>
          <cell r="B2237" t="str">
            <v>Beans and franks</v>
          </cell>
          <cell r="I2237">
            <v>130</v>
          </cell>
          <cell r="J2237">
            <v>178.94499999999999</v>
          </cell>
          <cell r="K2237">
            <v>1.3765000000000001</v>
          </cell>
          <cell r="L2237">
            <v>4.29</v>
          </cell>
          <cell r="M2237">
            <v>2.6987350000000001</v>
          </cell>
          <cell r="N2237">
            <v>0</v>
          </cell>
          <cell r="O2237">
            <v>4.3485000000000003E-2</v>
          </cell>
          <cell r="P2237">
            <v>1.2999999999999999E-2</v>
          </cell>
          <cell r="Q2237">
            <v>0.70570500000000003</v>
          </cell>
          <cell r="R2237">
            <v>0</v>
          </cell>
          <cell r="S2237">
            <v>56.306249999999999</v>
          </cell>
          <cell r="T2237">
            <v>0</v>
          </cell>
          <cell r="U2237">
            <v>16.721250000000001</v>
          </cell>
          <cell r="V2237">
            <v>0</v>
          </cell>
          <cell r="W2237">
            <v>0</v>
          </cell>
          <cell r="X2237">
            <v>0.56966000000000006</v>
          </cell>
          <cell r="Y2237">
            <v>0</v>
          </cell>
          <cell r="Z2237">
            <v>0</v>
          </cell>
          <cell r="AA2237">
            <v>33.067548000000002</v>
          </cell>
          <cell r="AB2237">
            <v>0.36423309999999998</v>
          </cell>
        </row>
        <row r="2238">
          <cell r="A2238">
            <v>41207030</v>
          </cell>
          <cell r="B2238" t="str">
            <v>Beans, dry, cooked with ground beef</v>
          </cell>
          <cell r="I2238">
            <v>130</v>
          </cell>
          <cell r="J2238">
            <v>264.36793</v>
          </cell>
          <cell r="K2238">
            <v>2.0335994615384614</v>
          </cell>
          <cell r="L2238">
            <v>6.2079610000000001</v>
          </cell>
          <cell r="M2238">
            <v>2.6260431999999998</v>
          </cell>
          <cell r="N2238">
            <v>0</v>
          </cell>
          <cell r="O2238">
            <v>9.4419600000000006E-2</v>
          </cell>
          <cell r="P2238">
            <v>0</v>
          </cell>
          <cell r="Q2238">
            <v>3.3550361999999998</v>
          </cell>
          <cell r="R2238">
            <v>0</v>
          </cell>
          <cell r="S2238">
            <v>98.292715999999999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0.31223329999999999</v>
          </cell>
          <cell r="Y2238">
            <v>0</v>
          </cell>
          <cell r="Z2238">
            <v>21.244841000000001</v>
          </cell>
          <cell r="AA2238">
            <v>0</v>
          </cell>
          <cell r="AB2238">
            <v>0.20316229999999999</v>
          </cell>
        </row>
        <row r="2239">
          <cell r="A2239">
            <v>41208030</v>
          </cell>
          <cell r="B2239" t="str">
            <v>Pork and beans</v>
          </cell>
          <cell r="I2239">
            <v>130</v>
          </cell>
          <cell r="J2239">
            <v>136.5</v>
          </cell>
          <cell r="K2239">
            <v>1.05</v>
          </cell>
          <cell r="L2239">
            <v>5.72</v>
          </cell>
          <cell r="M2239">
            <v>0.30030000000000001</v>
          </cell>
          <cell r="N2239">
            <v>0</v>
          </cell>
          <cell r="O2239">
            <v>5.0700000000000002E-2</v>
          </cell>
          <cell r="P2239">
            <v>-2.7100000000000002E-16</v>
          </cell>
          <cell r="Q2239">
            <v>0.52</v>
          </cell>
          <cell r="R2239">
            <v>0</v>
          </cell>
          <cell r="S2239">
            <v>75.075000000000003</v>
          </cell>
          <cell r="T2239">
            <v>0</v>
          </cell>
          <cell r="U2239">
            <v>22.295000000000002</v>
          </cell>
          <cell r="V2239">
            <v>0</v>
          </cell>
          <cell r="W2239">
            <v>0</v>
          </cell>
          <cell r="X2239">
            <v>0.50829999999999997</v>
          </cell>
          <cell r="Y2239">
            <v>0</v>
          </cell>
          <cell r="Z2239">
            <v>0</v>
          </cell>
          <cell r="AA2239">
            <v>6.2653499999999998</v>
          </cell>
          <cell r="AB2239">
            <v>0</v>
          </cell>
        </row>
        <row r="2240">
          <cell r="A2240">
            <v>41208100</v>
          </cell>
          <cell r="B2240" t="str">
            <v>Beans, dry, cooked with pork</v>
          </cell>
          <cell r="I2240">
            <v>130</v>
          </cell>
          <cell r="J2240">
            <v>245.53182000000001</v>
          </cell>
          <cell r="K2240">
            <v>1.8887063076923079</v>
          </cell>
          <cell r="L2240">
            <v>6.2079610000000001</v>
          </cell>
          <cell r="M2240">
            <v>1.9165713</v>
          </cell>
          <cell r="N2240">
            <v>0</v>
          </cell>
          <cell r="O2240">
            <v>9.0474700000000005E-2</v>
          </cell>
          <cell r="P2240">
            <v>0</v>
          </cell>
          <cell r="Q2240">
            <v>3.5341935000000002</v>
          </cell>
          <cell r="R2240">
            <v>0</v>
          </cell>
          <cell r="S2240">
            <v>98.292715999999999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0.46254060000000002</v>
          </cell>
          <cell r="Y2240">
            <v>0</v>
          </cell>
          <cell r="Z2240">
            <v>0</v>
          </cell>
          <cell r="AA2240">
            <v>23.162115</v>
          </cell>
          <cell r="AB2240">
            <v>2.65781E-2</v>
          </cell>
        </row>
        <row r="2241">
          <cell r="A2241">
            <v>41209000</v>
          </cell>
          <cell r="B2241" t="str">
            <v>Falafel</v>
          </cell>
          <cell r="I2241">
            <v>130</v>
          </cell>
          <cell r="J2241">
            <v>656.14047000000005</v>
          </cell>
          <cell r="K2241">
            <v>5.0472343846153853</v>
          </cell>
          <cell r="L2241">
            <v>5.9415538000000003</v>
          </cell>
          <cell r="M2241">
            <v>7.1008218000000003</v>
          </cell>
          <cell r="N2241">
            <v>0</v>
          </cell>
          <cell r="O2241">
            <v>0.11535380000000001</v>
          </cell>
          <cell r="P2241">
            <v>0.38203530000000002</v>
          </cell>
          <cell r="Q2241">
            <v>21.780173000000001</v>
          </cell>
          <cell r="R2241">
            <v>0</v>
          </cell>
          <cell r="S2241">
            <v>45.547471999999999</v>
          </cell>
          <cell r="T2241">
            <v>0</v>
          </cell>
          <cell r="U2241">
            <v>23.798553999999999</v>
          </cell>
          <cell r="V2241">
            <v>0</v>
          </cell>
          <cell r="W2241">
            <v>0</v>
          </cell>
          <cell r="X2241">
            <v>0.65652259999999996</v>
          </cell>
          <cell r="Y2241">
            <v>0</v>
          </cell>
          <cell r="Z2241">
            <v>0</v>
          </cell>
          <cell r="AA2241">
            <v>0</v>
          </cell>
          <cell r="AB2241">
            <v>0.1759232</v>
          </cell>
        </row>
        <row r="2242">
          <cell r="A2242">
            <v>41210090</v>
          </cell>
          <cell r="B2242" t="str">
            <v>Stewed beans with pork, tomatoes, and chili peppers, Mexican style</v>
          </cell>
          <cell r="I2242">
            <v>242</v>
          </cell>
          <cell r="J2242">
            <v>254.79933</v>
          </cell>
          <cell r="K2242">
            <v>1.0528897933884298</v>
          </cell>
          <cell r="L2242">
            <v>3.5278575000000001</v>
          </cell>
          <cell r="M2242">
            <v>5.6217930000000003</v>
          </cell>
          <cell r="N2242">
            <v>0</v>
          </cell>
          <cell r="O2242">
            <v>4.4632900000000003E-2</v>
          </cell>
          <cell r="P2242">
            <v>0</v>
          </cell>
          <cell r="Q2242">
            <v>2.2081460000000002</v>
          </cell>
          <cell r="R2242">
            <v>0</v>
          </cell>
          <cell r="S2242">
            <v>25.089528000000001</v>
          </cell>
          <cell r="T2242">
            <v>0</v>
          </cell>
          <cell r="U2242">
            <v>33.849843999999997</v>
          </cell>
          <cell r="V2242">
            <v>0</v>
          </cell>
          <cell r="W2242">
            <v>0</v>
          </cell>
          <cell r="X2242">
            <v>0.48182560000000002</v>
          </cell>
          <cell r="Y2242">
            <v>0</v>
          </cell>
          <cell r="Z2242">
            <v>0</v>
          </cell>
          <cell r="AA2242">
            <v>8.9622302000000005</v>
          </cell>
          <cell r="AB2242">
            <v>0.59681490000000004</v>
          </cell>
        </row>
        <row r="2243">
          <cell r="A2243">
            <v>41221010</v>
          </cell>
          <cell r="B2243" t="str">
            <v>Baked beans, low sodium</v>
          </cell>
          <cell r="I2243">
            <v>130</v>
          </cell>
          <cell r="J2243">
            <v>136.5</v>
          </cell>
          <cell r="K2243">
            <v>1.05</v>
          </cell>
          <cell r="L2243">
            <v>7.15</v>
          </cell>
          <cell r="M2243">
            <v>0.13389999999999999</v>
          </cell>
          <cell r="N2243">
            <v>0</v>
          </cell>
          <cell r="O2243">
            <v>6.5000000000000002E-2</v>
          </cell>
          <cell r="P2243">
            <v>-3.3899999999999999E-16</v>
          </cell>
          <cell r="Q2243">
            <v>0.22359999999999999</v>
          </cell>
          <cell r="R2243">
            <v>0</v>
          </cell>
          <cell r="S2243">
            <v>75.075000000000003</v>
          </cell>
          <cell r="T2243">
            <v>0</v>
          </cell>
          <cell r="U2243">
            <v>22.295000000000002</v>
          </cell>
          <cell r="V2243">
            <v>0</v>
          </cell>
          <cell r="W2243">
            <v>0</v>
          </cell>
          <cell r="X2243">
            <v>1.2999999999999999E-3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</row>
        <row r="2244">
          <cell r="A2244">
            <v>41221020</v>
          </cell>
          <cell r="B2244" t="str">
            <v>Chili with beans, without meat</v>
          </cell>
          <cell r="I2244">
            <v>253</v>
          </cell>
          <cell r="J2244">
            <v>106.01765</v>
          </cell>
          <cell r="K2244">
            <v>0.41904209486166011</v>
          </cell>
          <cell r="L2244">
            <v>5.9225792999999998</v>
          </cell>
          <cell r="M2244">
            <v>0.19137950000000001</v>
          </cell>
          <cell r="N2244">
            <v>0</v>
          </cell>
          <cell r="O2244">
            <v>7.3148599999999994E-2</v>
          </cell>
          <cell r="P2244">
            <v>0.93528100000000003</v>
          </cell>
          <cell r="Q2244">
            <v>0.3812548</v>
          </cell>
          <cell r="R2244">
            <v>0</v>
          </cell>
          <cell r="S2244">
            <v>83.409846999999999</v>
          </cell>
          <cell r="T2244">
            <v>0</v>
          </cell>
          <cell r="U2244">
            <v>136.00040000000001</v>
          </cell>
          <cell r="V2244">
            <v>0</v>
          </cell>
          <cell r="W2244">
            <v>0</v>
          </cell>
          <cell r="X2244">
            <v>1.0237867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</row>
        <row r="2245">
          <cell r="A2245">
            <v>41301000</v>
          </cell>
          <cell r="B2245" t="str">
            <v>Cowpeas, dry, cooked, NS as to fat added in cooking</v>
          </cell>
          <cell r="I2245">
            <v>90</v>
          </cell>
          <cell r="J2245">
            <v>158.88095000000001</v>
          </cell>
          <cell r="K2245">
            <v>1.765343888888889</v>
          </cell>
          <cell r="L2245">
            <v>5.3499005999999998</v>
          </cell>
          <cell r="M2245">
            <v>1.049974</v>
          </cell>
          <cell r="N2245">
            <v>0</v>
          </cell>
          <cell r="O2245">
            <v>1.98909E-2</v>
          </cell>
          <cell r="P2245">
            <v>0</v>
          </cell>
          <cell r="Q2245">
            <v>3.2825701999999999</v>
          </cell>
          <cell r="R2245">
            <v>0</v>
          </cell>
          <cell r="S2245">
            <v>82.100397999999998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0.2113544</v>
          </cell>
          <cell r="Y2245">
            <v>0</v>
          </cell>
          <cell r="Z2245">
            <v>0</v>
          </cell>
          <cell r="AA2245">
            <v>0</v>
          </cell>
          <cell r="AB2245">
            <v>2.3283100000000001E-2</v>
          </cell>
        </row>
        <row r="2246">
          <cell r="A2246">
            <v>41301010</v>
          </cell>
          <cell r="B2246" t="str">
            <v>Cowpeas, dry, cooked, fat added in cooking</v>
          </cell>
          <cell r="I2246">
            <v>90</v>
          </cell>
          <cell r="J2246">
            <v>154.40841</v>
          </cell>
          <cell r="K2246">
            <v>1.715649</v>
          </cell>
          <cell r="L2246">
            <v>5.3915606</v>
          </cell>
          <cell r="M2246">
            <v>1.013107</v>
          </cell>
          <cell r="N2246">
            <v>0</v>
          </cell>
          <cell r="O2246">
            <v>2.0039499999999998E-2</v>
          </cell>
          <cell r="P2246">
            <v>0</v>
          </cell>
          <cell r="Q2246">
            <v>2.8930706000000002</v>
          </cell>
          <cell r="R2246">
            <v>0</v>
          </cell>
          <cell r="S2246">
            <v>82.739718999999994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0.1902614</v>
          </cell>
          <cell r="Y2246">
            <v>0</v>
          </cell>
          <cell r="Z2246">
            <v>0</v>
          </cell>
          <cell r="AA2246">
            <v>0</v>
          </cell>
          <cell r="AB2246">
            <v>5.5794000000000003E-2</v>
          </cell>
        </row>
        <row r="2247">
          <cell r="A2247">
            <v>41301020</v>
          </cell>
          <cell r="B2247" t="str">
            <v>Cowpeas, dry, cooked, fat not added in cooking</v>
          </cell>
          <cell r="I2247">
            <v>90</v>
          </cell>
          <cell r="J2247">
            <v>103.79653</v>
          </cell>
          <cell r="K2247">
            <v>1.1532947777777778</v>
          </cell>
          <cell r="L2247">
            <v>5.8161849999999999</v>
          </cell>
          <cell r="M2247">
            <v>0.1234821</v>
          </cell>
          <cell r="N2247">
            <v>0</v>
          </cell>
          <cell r="O2247">
            <v>2.1600000000000001E-2</v>
          </cell>
          <cell r="P2247">
            <v>0</v>
          </cell>
          <cell r="Q2247">
            <v>0.20132949999999999</v>
          </cell>
          <cell r="R2247">
            <v>0</v>
          </cell>
          <cell r="S2247">
            <v>89.256068999999997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0.20521039999999999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</row>
        <row r="2248">
          <cell r="A2248">
            <v>41302000</v>
          </cell>
          <cell r="B2248" t="str">
            <v>Chickpeas, dry, cooked, NS as to fat added in cooking</v>
          </cell>
          <cell r="I2248">
            <v>90</v>
          </cell>
          <cell r="J2248">
            <v>196.31110000000001</v>
          </cell>
          <cell r="K2248">
            <v>2.1812344444444447</v>
          </cell>
          <cell r="L2248">
            <v>6.2799719999999999</v>
          </cell>
          <cell r="M2248">
            <v>1.161165</v>
          </cell>
          <cell r="N2248">
            <v>0</v>
          </cell>
          <cell r="O2248">
            <v>4.0627400000000001E-2</v>
          </cell>
          <cell r="P2248">
            <v>0</v>
          </cell>
          <cell r="Q2248">
            <v>3.7828686</v>
          </cell>
          <cell r="R2248">
            <v>0</v>
          </cell>
          <cell r="S2248">
            <v>82.424633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0.20110020000000001</v>
          </cell>
          <cell r="Y2248">
            <v>0</v>
          </cell>
          <cell r="Z2248">
            <v>0</v>
          </cell>
          <cell r="AA2248">
            <v>0</v>
          </cell>
          <cell r="AB2248">
            <v>0.12313739999999999</v>
          </cell>
        </row>
        <row r="2249">
          <cell r="A2249">
            <v>41302010</v>
          </cell>
          <cell r="B2249" t="str">
            <v>Chickpeas, dry, cooked, fat added in cooking, NS as to type of fat</v>
          </cell>
          <cell r="I2249">
            <v>90</v>
          </cell>
          <cell r="J2249">
            <v>196.31110000000001</v>
          </cell>
          <cell r="K2249">
            <v>2.1812344444444447</v>
          </cell>
          <cell r="L2249">
            <v>6.2799719999999999</v>
          </cell>
          <cell r="M2249">
            <v>1.161165</v>
          </cell>
          <cell r="N2249">
            <v>0</v>
          </cell>
          <cell r="O2249">
            <v>4.0627400000000001E-2</v>
          </cell>
          <cell r="P2249">
            <v>0</v>
          </cell>
          <cell r="Q2249">
            <v>3.7828686</v>
          </cell>
          <cell r="R2249">
            <v>0</v>
          </cell>
          <cell r="S2249">
            <v>82.424633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0.20110020000000001</v>
          </cell>
          <cell r="Y2249">
            <v>0</v>
          </cell>
          <cell r="Z2249">
            <v>0</v>
          </cell>
          <cell r="AA2249">
            <v>0</v>
          </cell>
          <cell r="AB2249">
            <v>0.16558020000000001</v>
          </cell>
        </row>
        <row r="2250">
          <cell r="A2250">
            <v>41302011</v>
          </cell>
          <cell r="B2250" t="str">
            <v>Chickpeas, dry, cooked, made with oil</v>
          </cell>
          <cell r="I2250">
            <v>90</v>
          </cell>
          <cell r="J2250">
            <v>196.31110000000001</v>
          </cell>
          <cell r="K2250">
            <v>2.1812344444444447</v>
          </cell>
          <cell r="L2250">
            <v>6.2799719999999999</v>
          </cell>
          <cell r="M2250">
            <v>1.161165</v>
          </cell>
          <cell r="N2250">
            <v>0</v>
          </cell>
          <cell r="O2250">
            <v>4.0627400000000001E-2</v>
          </cell>
          <cell r="P2250">
            <v>0</v>
          </cell>
          <cell r="Q2250">
            <v>3.7828686</v>
          </cell>
          <cell r="R2250">
            <v>0</v>
          </cell>
          <cell r="S2250">
            <v>82.424633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0.20110020000000001</v>
          </cell>
          <cell r="Y2250">
            <v>0</v>
          </cell>
          <cell r="Z2250">
            <v>0</v>
          </cell>
          <cell r="AA2250">
            <v>0</v>
          </cell>
          <cell r="AB2250">
            <v>0.12043520000000001</v>
          </cell>
        </row>
        <row r="2251">
          <cell r="A2251">
            <v>41302012</v>
          </cell>
          <cell r="B2251" t="str">
            <v>Chickpeas, dry, cooked, made with animal fat or meat drippings</v>
          </cell>
          <cell r="I2251">
            <v>90</v>
          </cell>
          <cell r="J2251">
            <v>190.66478000000001</v>
          </cell>
          <cell r="K2251">
            <v>2.1184975555555559</v>
          </cell>
          <cell r="L2251">
            <v>6.3086501000000004</v>
          </cell>
          <cell r="M2251">
            <v>2.5307795</v>
          </cell>
          <cell r="N2251">
            <v>0</v>
          </cell>
          <cell r="O2251">
            <v>4.1075100000000003E-2</v>
          </cell>
          <cell r="P2251">
            <v>0</v>
          </cell>
          <cell r="Q2251">
            <v>1.6114804</v>
          </cell>
          <cell r="R2251">
            <v>0</v>
          </cell>
          <cell r="S2251">
            <v>82.801033000000004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0.24122160000000001</v>
          </cell>
          <cell r="Y2251">
            <v>0</v>
          </cell>
          <cell r="Z2251">
            <v>0</v>
          </cell>
          <cell r="AA2251">
            <v>0</v>
          </cell>
          <cell r="AB2251">
            <v>0.26324920000000002</v>
          </cell>
        </row>
        <row r="2252">
          <cell r="A2252">
            <v>41302020</v>
          </cell>
          <cell r="B2252" t="str">
            <v>Chickpeas, dry, cooked, fat not added in cooking</v>
          </cell>
          <cell r="I2252">
            <v>90</v>
          </cell>
          <cell r="J2252">
            <v>146.70545000000001</v>
          </cell>
          <cell r="K2252">
            <v>1.6300605555555556</v>
          </cell>
          <cell r="L2252">
            <v>6.7985455000000004</v>
          </cell>
          <cell r="M2252">
            <v>0.2406327</v>
          </cell>
          <cell r="N2252">
            <v>0</v>
          </cell>
          <cell r="O2252">
            <v>4.3963599999999999E-2</v>
          </cell>
          <cell r="P2252">
            <v>0</v>
          </cell>
          <cell r="Q2252">
            <v>1.0340944999999999</v>
          </cell>
          <cell r="R2252">
            <v>0</v>
          </cell>
          <cell r="S2252">
            <v>89.230908999999997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0.2176691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</row>
        <row r="2253">
          <cell r="A2253">
            <v>41302030</v>
          </cell>
          <cell r="B2253" t="str">
            <v>Chickpeas, canned, drained, NS as to fat added in cooking</v>
          </cell>
          <cell r="I2253">
            <v>90</v>
          </cell>
          <cell r="J2253">
            <v>129.50425000000001</v>
          </cell>
          <cell r="K2253">
            <v>1.4389361111111112</v>
          </cell>
          <cell r="L2253">
            <v>3.6756920000000002</v>
          </cell>
          <cell r="M2253">
            <v>1.0350929</v>
          </cell>
          <cell r="N2253">
            <v>0</v>
          </cell>
          <cell r="O2253">
            <v>2.92877E-2</v>
          </cell>
          <cell r="P2253">
            <v>0</v>
          </cell>
          <cell r="Q2253">
            <v>3.3401190999999999</v>
          </cell>
          <cell r="R2253">
            <v>0</v>
          </cell>
          <cell r="S2253">
            <v>83.329609000000005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0.16426540000000001</v>
          </cell>
          <cell r="Y2253">
            <v>0</v>
          </cell>
          <cell r="Z2253">
            <v>0</v>
          </cell>
          <cell r="AA2253">
            <v>0</v>
          </cell>
          <cell r="AB2253">
            <v>0.14901329999999999</v>
          </cell>
        </row>
        <row r="2254">
          <cell r="A2254">
            <v>41302050</v>
          </cell>
          <cell r="B2254" t="str">
            <v>Chickpeas, canned, drained, made with oil</v>
          </cell>
          <cell r="I2254">
            <v>90</v>
          </cell>
          <cell r="J2254">
            <v>129.50425000000001</v>
          </cell>
          <cell r="K2254">
            <v>1.4389361111111112</v>
          </cell>
          <cell r="L2254">
            <v>3.6756920000000002</v>
          </cell>
          <cell r="M2254">
            <v>1.0350929</v>
          </cell>
          <cell r="N2254">
            <v>0</v>
          </cell>
          <cell r="O2254">
            <v>2.92877E-2</v>
          </cell>
          <cell r="P2254">
            <v>0</v>
          </cell>
          <cell r="Q2254">
            <v>3.3401190999999999</v>
          </cell>
          <cell r="R2254">
            <v>0</v>
          </cell>
          <cell r="S2254">
            <v>83.329609000000005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0.16426540000000001</v>
          </cell>
          <cell r="Y2254">
            <v>0</v>
          </cell>
          <cell r="Z2254">
            <v>0</v>
          </cell>
          <cell r="AA2254">
            <v>0</v>
          </cell>
          <cell r="AB2254">
            <v>0.14903830000000001</v>
          </cell>
        </row>
        <row r="2255">
          <cell r="A2255">
            <v>41302080</v>
          </cell>
          <cell r="B2255" t="str">
            <v>Chickpeas, canned, drained, fat not added in cooking</v>
          </cell>
          <cell r="I2255">
            <v>90</v>
          </cell>
          <cell r="J2255">
            <v>79.068219999999997</v>
          </cell>
          <cell r="K2255">
            <v>0.87853577777777769</v>
          </cell>
          <cell r="L2255">
            <v>3.953411</v>
          </cell>
          <cell r="M2255">
            <v>0.1832945</v>
          </cell>
          <cell r="N2255">
            <v>0</v>
          </cell>
          <cell r="O2255">
            <v>3.1483499999999998E-2</v>
          </cell>
          <cell r="P2255">
            <v>0</v>
          </cell>
          <cell r="Q2255">
            <v>0.79158070000000003</v>
          </cell>
          <cell r="R2255">
            <v>0</v>
          </cell>
          <cell r="S2255">
            <v>89.625624000000002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0.17664260000000001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</row>
        <row r="2256">
          <cell r="A2256">
            <v>41302110</v>
          </cell>
          <cell r="B2256" t="str">
            <v>Chickpeas, canned, drained, low sodium, fat added in cooking</v>
          </cell>
          <cell r="I2256">
            <v>90</v>
          </cell>
          <cell r="J2256">
            <v>129.71295000000001</v>
          </cell>
          <cell r="K2256">
            <v>1.4412550000000002</v>
          </cell>
          <cell r="L2256">
            <v>3.6813427999999999</v>
          </cell>
          <cell r="M2256">
            <v>1.0368325</v>
          </cell>
          <cell r="N2256">
            <v>0</v>
          </cell>
          <cell r="O2256">
            <v>2.9299200000000001E-2</v>
          </cell>
          <cell r="P2256">
            <v>0</v>
          </cell>
          <cell r="Q2256">
            <v>3.3457007999999999</v>
          </cell>
          <cell r="R2256">
            <v>0</v>
          </cell>
          <cell r="S2256">
            <v>83.457714999999993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0.1104719</v>
          </cell>
          <cell r="Y2256">
            <v>0</v>
          </cell>
          <cell r="Z2256">
            <v>0</v>
          </cell>
          <cell r="AA2256">
            <v>0</v>
          </cell>
          <cell r="AB2256">
            <v>0.14861640000000001</v>
          </cell>
        </row>
        <row r="2257">
          <cell r="A2257">
            <v>41303000</v>
          </cell>
          <cell r="B2257" t="str">
            <v>Green or yellow split peas, dry, cooked, fat not added in cooking</v>
          </cell>
          <cell r="I2257">
            <v>90</v>
          </cell>
          <cell r="J2257">
            <v>105.66091</v>
          </cell>
          <cell r="K2257">
            <v>1.1740101111111112</v>
          </cell>
          <cell r="L2257">
            <v>7.4320811999999998</v>
          </cell>
          <cell r="M2257">
            <v>4.8353300000000002E-2</v>
          </cell>
          <cell r="N2257">
            <v>0</v>
          </cell>
          <cell r="O2257">
            <v>1.2645699999999999E-2</v>
          </cell>
          <cell r="P2257">
            <v>0</v>
          </cell>
          <cell r="Q2257">
            <v>0.14774619999999999</v>
          </cell>
          <cell r="R2257">
            <v>0</v>
          </cell>
          <cell r="S2257">
            <v>89.319288999999998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0.17885789999999999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</row>
        <row r="2258">
          <cell r="A2258">
            <v>41303010</v>
          </cell>
          <cell r="B2258" t="str">
            <v>Green or yellow split peas, dry, cooked, fat added in cooking, NS as to type of fat</v>
          </cell>
          <cell r="I2258">
            <v>90</v>
          </cell>
          <cell r="J2258">
            <v>150.38514000000001</v>
          </cell>
          <cell r="K2258">
            <v>1.670946</v>
          </cell>
          <cell r="L2258">
            <v>6.9513116000000004</v>
          </cell>
          <cell r="M2258">
            <v>0.84146849999999995</v>
          </cell>
          <cell r="N2258">
            <v>0</v>
          </cell>
          <cell r="O2258">
            <v>1.1842200000000001E-2</v>
          </cell>
          <cell r="P2258">
            <v>0</v>
          </cell>
          <cell r="Q2258">
            <v>2.5362388999999999</v>
          </cell>
          <cell r="R2258">
            <v>0</v>
          </cell>
          <cell r="S2258">
            <v>83.541364999999999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0.16731689999999999</v>
          </cell>
          <cell r="Y2258">
            <v>0</v>
          </cell>
          <cell r="Z2258">
            <v>0</v>
          </cell>
          <cell r="AA2258">
            <v>0</v>
          </cell>
          <cell r="AB2258">
            <v>2.0630099999999998E-2</v>
          </cell>
        </row>
        <row r="2259">
          <cell r="A2259">
            <v>41303011</v>
          </cell>
          <cell r="B2259" t="str">
            <v>Green or yellow split peas, dry, cooked, made with oil</v>
          </cell>
          <cell r="I2259">
            <v>90</v>
          </cell>
          <cell r="J2259">
            <v>150.38514000000001</v>
          </cell>
          <cell r="K2259">
            <v>1.670946</v>
          </cell>
          <cell r="L2259">
            <v>6.9513116000000004</v>
          </cell>
          <cell r="M2259">
            <v>0.84146849999999995</v>
          </cell>
          <cell r="N2259">
            <v>0</v>
          </cell>
          <cell r="O2259">
            <v>1.1842200000000001E-2</v>
          </cell>
          <cell r="P2259">
            <v>0</v>
          </cell>
          <cell r="Q2259">
            <v>2.5362388999999999</v>
          </cell>
          <cell r="R2259">
            <v>0</v>
          </cell>
          <cell r="S2259">
            <v>83.541364999999999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0.16731689999999999</v>
          </cell>
          <cell r="Y2259">
            <v>0</v>
          </cell>
          <cell r="Z2259">
            <v>0</v>
          </cell>
          <cell r="AA2259">
            <v>0</v>
          </cell>
          <cell r="AB2259">
            <v>2.2525400000000001E-2</v>
          </cell>
        </row>
        <row r="2260">
          <cell r="A2260">
            <v>41303013</v>
          </cell>
          <cell r="B2260" t="str">
            <v>Green or yellow split peas, dry, cooked, made with margarine</v>
          </cell>
          <cell r="I2260">
            <v>90</v>
          </cell>
          <cell r="J2260">
            <v>130.99593999999999</v>
          </cell>
          <cell r="K2260">
            <v>1.4555104444444444</v>
          </cell>
          <cell r="L2260">
            <v>6.9286792999999998</v>
          </cell>
          <cell r="M2260">
            <v>0.78184410000000004</v>
          </cell>
          <cell r="N2260">
            <v>0</v>
          </cell>
          <cell r="O2260">
            <v>1.3069300000000001E-2</v>
          </cell>
          <cell r="P2260">
            <v>0</v>
          </cell>
          <cell r="Q2260">
            <v>1.7517841999999999</v>
          </cell>
          <cell r="R2260">
            <v>0</v>
          </cell>
          <cell r="S2260">
            <v>83.269368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0.20786089999999999</v>
          </cell>
          <cell r="Y2260">
            <v>0</v>
          </cell>
          <cell r="Z2260">
            <v>0</v>
          </cell>
          <cell r="AA2260">
            <v>0</v>
          </cell>
          <cell r="AB2260">
            <v>0.22335849999999999</v>
          </cell>
        </row>
        <row r="2261">
          <cell r="A2261">
            <v>41303020</v>
          </cell>
          <cell r="B2261" t="str">
            <v>Green or yellow split peas, dry, cooked, NS as to fat added in cooking</v>
          </cell>
          <cell r="I2261">
            <v>90</v>
          </cell>
          <cell r="J2261">
            <v>150.38514000000001</v>
          </cell>
          <cell r="K2261">
            <v>1.670946</v>
          </cell>
          <cell r="L2261">
            <v>6.9513116000000004</v>
          </cell>
          <cell r="M2261">
            <v>0.84146849999999995</v>
          </cell>
          <cell r="N2261">
            <v>0</v>
          </cell>
          <cell r="O2261">
            <v>1.1842200000000001E-2</v>
          </cell>
          <cell r="P2261">
            <v>0</v>
          </cell>
          <cell r="Q2261">
            <v>2.5362388999999999</v>
          </cell>
          <cell r="R2261">
            <v>0</v>
          </cell>
          <cell r="S2261">
            <v>83.541364999999999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0.16731689999999999</v>
          </cell>
          <cell r="Y2261">
            <v>0</v>
          </cell>
          <cell r="Z2261">
            <v>0</v>
          </cell>
          <cell r="AA2261">
            <v>0</v>
          </cell>
          <cell r="AB2261">
            <v>2.0630099999999998E-2</v>
          </cell>
        </row>
        <row r="2262">
          <cell r="A2262">
            <v>41304000</v>
          </cell>
          <cell r="B2262" t="str">
            <v>Wasabi peas</v>
          </cell>
          <cell r="I2262">
            <v>90</v>
          </cell>
          <cell r="J2262">
            <v>388.8</v>
          </cell>
          <cell r="K2262">
            <v>4.32</v>
          </cell>
          <cell r="L2262">
            <v>0</v>
          </cell>
          <cell r="M2262">
            <v>4.7610000000000001</v>
          </cell>
          <cell r="N2262">
            <v>0</v>
          </cell>
          <cell r="O2262">
            <v>0.11070000000000001</v>
          </cell>
          <cell r="P2262">
            <v>3.42</v>
          </cell>
          <cell r="Q2262">
            <v>1.7559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0.27</v>
          </cell>
          <cell r="Y2262">
            <v>0</v>
          </cell>
          <cell r="Z2262">
            <v>0</v>
          </cell>
          <cell r="AA2262">
            <v>0</v>
          </cell>
          <cell r="AB2262">
            <v>0.319046</v>
          </cell>
        </row>
        <row r="2263">
          <cell r="A2263">
            <v>41304980</v>
          </cell>
          <cell r="B2263" t="str">
            <v>Lentils, dry, cooked, NS as to fat added in cooking</v>
          </cell>
          <cell r="I2263">
            <v>90</v>
          </cell>
          <cell r="J2263">
            <v>148.29333</v>
          </cell>
          <cell r="K2263">
            <v>1.6477036666666667</v>
          </cell>
          <cell r="L2263">
            <v>6.6209524000000002</v>
          </cell>
          <cell r="M2263">
            <v>0.83317249999999998</v>
          </cell>
          <cell r="N2263">
            <v>0</v>
          </cell>
          <cell r="O2263">
            <v>1.60398E-2</v>
          </cell>
          <cell r="P2263">
            <v>0</v>
          </cell>
          <cell r="Q2263">
            <v>2.5221602000000001</v>
          </cell>
          <cell r="R2263">
            <v>0</v>
          </cell>
          <cell r="S2263">
            <v>83.6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0.16576009999999999</v>
          </cell>
          <cell r="Y2263">
            <v>0</v>
          </cell>
          <cell r="Z2263">
            <v>0</v>
          </cell>
          <cell r="AA2263">
            <v>0</v>
          </cell>
          <cell r="AB2263">
            <v>2.0436099999999999E-2</v>
          </cell>
        </row>
        <row r="2264">
          <cell r="A2264">
            <v>41304990</v>
          </cell>
          <cell r="B2264" t="str">
            <v>Lentils, dry, cooked, fat added in cooking, NS as to type of fat</v>
          </cell>
          <cell r="I2264">
            <v>90</v>
          </cell>
          <cell r="J2264">
            <v>148.29333</v>
          </cell>
          <cell r="K2264">
            <v>1.6477036666666667</v>
          </cell>
          <cell r="L2264">
            <v>6.6209524000000002</v>
          </cell>
          <cell r="M2264">
            <v>0.83317249999999998</v>
          </cell>
          <cell r="N2264">
            <v>0</v>
          </cell>
          <cell r="O2264">
            <v>1.60398E-2</v>
          </cell>
          <cell r="P2264">
            <v>0</v>
          </cell>
          <cell r="Q2264">
            <v>2.5221602000000001</v>
          </cell>
          <cell r="R2264">
            <v>0</v>
          </cell>
          <cell r="S2264">
            <v>83.6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0.16576009999999999</v>
          </cell>
          <cell r="Y2264">
            <v>0</v>
          </cell>
          <cell r="Z2264">
            <v>0</v>
          </cell>
          <cell r="AA2264">
            <v>0</v>
          </cell>
          <cell r="AB2264">
            <v>2.8041799999999999E-2</v>
          </cell>
        </row>
        <row r="2265">
          <cell r="A2265">
            <v>41304991</v>
          </cell>
          <cell r="B2265" t="str">
            <v>Lentils, dry, cooked, made with oil</v>
          </cell>
          <cell r="I2265">
            <v>90</v>
          </cell>
          <cell r="J2265">
            <v>148.29333</v>
          </cell>
          <cell r="K2265">
            <v>1.6477036666666667</v>
          </cell>
          <cell r="L2265">
            <v>6.6209524000000002</v>
          </cell>
          <cell r="M2265">
            <v>0.83317249999999998</v>
          </cell>
          <cell r="N2265">
            <v>0</v>
          </cell>
          <cell r="O2265">
            <v>1.60398E-2</v>
          </cell>
          <cell r="P2265">
            <v>0</v>
          </cell>
          <cell r="Q2265">
            <v>2.5221602000000001</v>
          </cell>
          <cell r="R2265">
            <v>0</v>
          </cell>
          <cell r="S2265">
            <v>83.6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0.16576009999999999</v>
          </cell>
          <cell r="Y2265">
            <v>0</v>
          </cell>
          <cell r="Z2265">
            <v>0</v>
          </cell>
          <cell r="AA2265">
            <v>0</v>
          </cell>
          <cell r="AB2265">
            <v>2.0436099999999999E-2</v>
          </cell>
        </row>
        <row r="2266">
          <cell r="A2266">
            <v>41304992</v>
          </cell>
          <cell r="B2266" t="str">
            <v>Lentils, dry, cooked, made with animal fat or meat drippings</v>
          </cell>
          <cell r="I2266">
            <v>90</v>
          </cell>
          <cell r="J2266">
            <v>143.36927</v>
          </cell>
          <cell r="K2266">
            <v>1.592991888888889</v>
          </cell>
          <cell r="L2266">
            <v>6.6463343000000004</v>
          </cell>
          <cell r="M2266">
            <v>1.9816805</v>
          </cell>
          <cell r="N2266">
            <v>0</v>
          </cell>
          <cell r="O2266">
            <v>1.63214E-2</v>
          </cell>
          <cell r="P2266">
            <v>0</v>
          </cell>
          <cell r="Q2266">
            <v>0.69448790000000005</v>
          </cell>
          <cell r="R2266">
            <v>0</v>
          </cell>
          <cell r="S2266">
            <v>83.920485999999997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0.1993057</v>
          </cell>
          <cell r="Y2266">
            <v>0</v>
          </cell>
          <cell r="Z2266">
            <v>0</v>
          </cell>
          <cell r="AA2266">
            <v>0</v>
          </cell>
          <cell r="AB2266">
            <v>0.14491109999999999</v>
          </cell>
        </row>
        <row r="2267">
          <cell r="A2267">
            <v>41305000</v>
          </cell>
          <cell r="B2267" t="str">
            <v>Lentils, dry, cooked, fat not added in cooking</v>
          </cell>
          <cell r="I2267">
            <v>90</v>
          </cell>
          <cell r="J2267">
            <v>103.87538000000001</v>
          </cell>
          <cell r="K2267">
            <v>1.1541708888888889</v>
          </cell>
          <cell r="L2267">
            <v>7.0742713999999998</v>
          </cell>
          <cell r="M2267">
            <v>4.7460299999999997E-2</v>
          </cell>
          <cell r="N2267">
            <v>0</v>
          </cell>
          <cell r="O2267">
            <v>1.7122600000000002E-2</v>
          </cell>
          <cell r="P2267">
            <v>0</v>
          </cell>
          <cell r="Q2267">
            <v>0.1567085</v>
          </cell>
          <cell r="R2267">
            <v>0</v>
          </cell>
          <cell r="S2267">
            <v>89.323869000000002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0.1770784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</row>
        <row r="2268">
          <cell r="A2268">
            <v>41306000</v>
          </cell>
          <cell r="B2268" t="str">
            <v>Loaf, lentil</v>
          </cell>
          <cell r="I2268">
            <v>85</v>
          </cell>
          <cell r="J2268">
            <v>61.197557000000003</v>
          </cell>
          <cell r="K2268">
            <v>0.71997125882352941</v>
          </cell>
          <cell r="L2268">
            <v>1.2857684</v>
          </cell>
          <cell r="M2268">
            <v>0.28789019999999999</v>
          </cell>
          <cell r="N2268">
            <v>0</v>
          </cell>
          <cell r="O2268">
            <v>9.1520000000000004E-3</v>
          </cell>
          <cell r="P2268">
            <v>6.5926899999999997E-2</v>
          </cell>
          <cell r="Q2268">
            <v>0.84043020000000002</v>
          </cell>
          <cell r="R2268">
            <v>0</v>
          </cell>
          <cell r="S2268">
            <v>13.968921999999999</v>
          </cell>
          <cell r="T2268">
            <v>0</v>
          </cell>
          <cell r="U2268">
            <v>14.039766999999999</v>
          </cell>
          <cell r="V2268">
            <v>0</v>
          </cell>
          <cell r="W2268">
            <v>0</v>
          </cell>
          <cell r="X2268">
            <v>8.2891099999999995E-2</v>
          </cell>
          <cell r="Y2268">
            <v>0</v>
          </cell>
          <cell r="Z2268">
            <v>0</v>
          </cell>
          <cell r="AA2268">
            <v>0</v>
          </cell>
          <cell r="AB2268">
            <v>2.9816800000000001E-2</v>
          </cell>
        </row>
        <row r="2269">
          <cell r="A2269">
            <v>41310150</v>
          </cell>
          <cell r="B2269" t="str">
            <v>Stewed chickpeas, Puerto Rican style</v>
          </cell>
          <cell r="I2269">
            <v>260</v>
          </cell>
          <cell r="J2269">
            <v>186.80226999999999</v>
          </cell>
          <cell r="K2269">
            <v>0.71847026923076918</v>
          </cell>
          <cell r="L2269">
            <v>4.0909823000000003</v>
          </cell>
          <cell r="M2269">
            <v>1.2664951</v>
          </cell>
          <cell r="N2269">
            <v>0</v>
          </cell>
          <cell r="O2269">
            <v>3.1280299999999997E-2</v>
          </cell>
          <cell r="P2269">
            <v>4.6448099999999999E-2</v>
          </cell>
          <cell r="Q2269">
            <v>1.5374665000000001</v>
          </cell>
          <cell r="R2269">
            <v>0</v>
          </cell>
          <cell r="S2269">
            <v>31.551608000000002</v>
          </cell>
          <cell r="T2269">
            <v>0</v>
          </cell>
          <cell r="U2269">
            <v>15.579878000000001</v>
          </cell>
          <cell r="V2269">
            <v>0</v>
          </cell>
          <cell r="W2269">
            <v>0</v>
          </cell>
          <cell r="X2269">
            <v>0.57180660000000005</v>
          </cell>
          <cell r="Y2269">
            <v>0</v>
          </cell>
          <cell r="Z2269">
            <v>0</v>
          </cell>
          <cell r="AA2269">
            <v>8.3595571999999994</v>
          </cell>
          <cell r="AB2269">
            <v>0.17735509999999999</v>
          </cell>
        </row>
        <row r="2270">
          <cell r="A2270">
            <v>41310160</v>
          </cell>
          <cell r="B2270" t="str">
            <v>Stewed chickpeas, with potatoes, Puerto Rican style</v>
          </cell>
          <cell r="I2270">
            <v>260</v>
          </cell>
          <cell r="J2270">
            <v>332.14622000000003</v>
          </cell>
          <cell r="K2270">
            <v>1.2774854615384617</v>
          </cell>
          <cell r="L2270">
            <v>8.4147862999999994</v>
          </cell>
          <cell r="M2270">
            <v>1.5851596999999999</v>
          </cell>
          <cell r="N2270">
            <v>0</v>
          </cell>
          <cell r="O2270">
            <v>5.1824799999999997E-2</v>
          </cell>
          <cell r="P2270">
            <v>0.38397559999999997</v>
          </cell>
          <cell r="Q2270">
            <v>2.4826961999999999</v>
          </cell>
          <cell r="R2270">
            <v>0</v>
          </cell>
          <cell r="S2270">
            <v>65.980027000000007</v>
          </cell>
          <cell r="T2270">
            <v>0</v>
          </cell>
          <cell r="U2270">
            <v>23.234582</v>
          </cell>
          <cell r="V2270">
            <v>0</v>
          </cell>
          <cell r="W2270">
            <v>0</v>
          </cell>
          <cell r="X2270">
            <v>0.87077919999999998</v>
          </cell>
          <cell r="Y2270">
            <v>0</v>
          </cell>
          <cell r="Z2270">
            <v>0</v>
          </cell>
          <cell r="AA2270">
            <v>9.2977363999999998</v>
          </cell>
          <cell r="AB2270">
            <v>0.32357730000000001</v>
          </cell>
        </row>
        <row r="2271">
          <cell r="A2271">
            <v>41310900</v>
          </cell>
          <cell r="B2271" t="str">
            <v>Bean chips</v>
          </cell>
          <cell r="I2271">
            <v>90</v>
          </cell>
          <cell r="J2271">
            <v>404.68567999999999</v>
          </cell>
          <cell r="K2271">
            <v>4.4965075555555556</v>
          </cell>
          <cell r="L2271">
            <v>5.2674621999999998</v>
          </cell>
          <cell r="M2271">
            <v>2.5851164</v>
          </cell>
          <cell r="N2271">
            <v>0</v>
          </cell>
          <cell r="O2271">
            <v>3.2601199999999997E-2</v>
          </cell>
          <cell r="P2271">
            <v>3.8032596000000001</v>
          </cell>
          <cell r="Q2271">
            <v>10.511507999999999</v>
          </cell>
          <cell r="R2271">
            <v>0</v>
          </cell>
          <cell r="S2271">
            <v>44.528522000000002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0.3681953</v>
          </cell>
          <cell r="Y2271">
            <v>0</v>
          </cell>
          <cell r="Z2271">
            <v>0</v>
          </cell>
          <cell r="AA2271">
            <v>0</v>
          </cell>
          <cell r="AB2271">
            <v>5.2438899999999997E-2</v>
          </cell>
        </row>
        <row r="2272">
          <cell r="A2272">
            <v>41311000</v>
          </cell>
          <cell r="B2272" t="str">
            <v>Papad, grilled or broiled</v>
          </cell>
          <cell r="I2272">
            <v>90</v>
          </cell>
          <cell r="J2272">
            <v>333.9</v>
          </cell>
          <cell r="K2272">
            <v>3.71</v>
          </cell>
          <cell r="L2272">
            <v>16.739999999999998</v>
          </cell>
          <cell r="M2272">
            <v>0.97560000000000002</v>
          </cell>
          <cell r="N2272">
            <v>0</v>
          </cell>
          <cell r="O2272">
            <v>0.12870000000000001</v>
          </cell>
          <cell r="P2272">
            <v>0</v>
          </cell>
          <cell r="Q2272">
            <v>1.0331999999999999</v>
          </cell>
          <cell r="R2272">
            <v>0</v>
          </cell>
          <cell r="S2272">
            <v>90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1.5705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</row>
        <row r="2273">
          <cell r="A2273">
            <v>41311020</v>
          </cell>
          <cell r="B2273" t="str">
            <v>Sambar (Indian vegetable stew)</v>
          </cell>
          <cell r="I2273">
            <v>90</v>
          </cell>
          <cell r="J2273">
            <v>68.016833000000005</v>
          </cell>
          <cell r="K2273">
            <v>0.7557425888888889</v>
          </cell>
          <cell r="L2273">
            <v>3.0416547</v>
          </cell>
          <cell r="M2273">
            <v>0.2938308</v>
          </cell>
          <cell r="N2273">
            <v>0</v>
          </cell>
          <cell r="O2273">
            <v>1.4546699999999999E-2</v>
          </cell>
          <cell r="P2273">
            <v>0.12515399999999999</v>
          </cell>
          <cell r="Q2273">
            <v>0.88005869999999997</v>
          </cell>
          <cell r="R2273">
            <v>0</v>
          </cell>
          <cell r="S2273">
            <v>34.507852</v>
          </cell>
          <cell r="T2273">
            <v>0.86485840000000003</v>
          </cell>
          <cell r="U2273">
            <v>15.410204999999999</v>
          </cell>
          <cell r="V2273">
            <v>0</v>
          </cell>
          <cell r="W2273">
            <v>0</v>
          </cell>
          <cell r="X2273">
            <v>0.16838069999999999</v>
          </cell>
          <cell r="Y2273">
            <v>0</v>
          </cell>
          <cell r="Z2273">
            <v>0</v>
          </cell>
          <cell r="AA2273">
            <v>0</v>
          </cell>
          <cell r="AB2273">
            <v>6.7926999999999996E-3</v>
          </cell>
        </row>
        <row r="2274">
          <cell r="A2274">
            <v>41410010</v>
          </cell>
          <cell r="B2274" t="str">
            <v>Soy nuts</v>
          </cell>
          <cell r="I2274">
            <v>30</v>
          </cell>
          <cell r="J2274">
            <v>140.69999999999999</v>
          </cell>
          <cell r="K2274">
            <v>4.6899999999999995</v>
          </cell>
          <cell r="L2274">
            <v>5.31</v>
          </cell>
          <cell r="M2274">
            <v>1.1022000000000001</v>
          </cell>
          <cell r="N2274">
            <v>0</v>
          </cell>
          <cell r="O2274">
            <v>4.1399999999999999E-2</v>
          </cell>
          <cell r="P2274">
            <v>0</v>
          </cell>
          <cell r="Q2274">
            <v>4.3017000000000003</v>
          </cell>
          <cell r="R2274">
            <v>0</v>
          </cell>
          <cell r="S2274">
            <v>30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4.8899999999999999E-2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</row>
        <row r="2275">
          <cell r="A2275">
            <v>41410015</v>
          </cell>
          <cell r="B2275" t="str">
            <v>Soy chips</v>
          </cell>
          <cell r="I2275">
            <v>30</v>
          </cell>
          <cell r="J2275">
            <v>115.5</v>
          </cell>
          <cell r="K2275">
            <v>3.85</v>
          </cell>
          <cell r="L2275">
            <v>0</v>
          </cell>
          <cell r="M2275">
            <v>0.3306</v>
          </cell>
          <cell r="N2275">
            <v>0</v>
          </cell>
          <cell r="O2275">
            <v>5.1299999999999998E-2</v>
          </cell>
          <cell r="P2275">
            <v>1.05</v>
          </cell>
          <cell r="Q2275">
            <v>1.2054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0.25259999999999999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</row>
        <row r="2276">
          <cell r="A2276">
            <v>41420010</v>
          </cell>
          <cell r="B2276" t="str">
            <v>Soybean curd</v>
          </cell>
          <cell r="I2276">
            <v>85</v>
          </cell>
          <cell r="J2276">
            <v>51.85</v>
          </cell>
          <cell r="K2276">
            <v>0.61</v>
          </cell>
          <cell r="L2276">
            <v>0</v>
          </cell>
          <cell r="M2276">
            <v>0.45305000000000001</v>
          </cell>
          <cell r="N2276">
            <v>0</v>
          </cell>
          <cell r="O2276">
            <v>9.4350000000000003E-2</v>
          </cell>
          <cell r="P2276">
            <v>0.17</v>
          </cell>
          <cell r="Q2276">
            <v>1.76885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6.7999999999999996E-3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</row>
        <row r="2277">
          <cell r="A2277">
            <v>41420020</v>
          </cell>
          <cell r="B2277" t="str">
            <v>Edamame, cooked</v>
          </cell>
          <cell r="I2277">
            <v>85</v>
          </cell>
          <cell r="J2277">
            <v>102.85</v>
          </cell>
          <cell r="K2277">
            <v>1.21</v>
          </cell>
          <cell r="L2277">
            <v>4.42</v>
          </cell>
          <cell r="M2277">
            <v>0.52700000000000002</v>
          </cell>
          <cell r="N2277">
            <v>0</v>
          </cell>
          <cell r="O2277">
            <v>5.355E-2</v>
          </cell>
          <cell r="P2277">
            <v>0</v>
          </cell>
          <cell r="Q2277">
            <v>1.8326</v>
          </cell>
          <cell r="R2277">
            <v>0</v>
          </cell>
          <cell r="S2277">
            <v>84.787499999999994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5.1000000000000004E-3</v>
          </cell>
          <cell r="Y2277">
            <v>0</v>
          </cell>
          <cell r="Z2277">
            <v>0</v>
          </cell>
          <cell r="AA2277">
            <v>0</v>
          </cell>
          <cell r="AB2277">
            <v>7.6499999999999997E-3</v>
          </cell>
        </row>
        <row r="2278">
          <cell r="A2278">
            <v>41420050</v>
          </cell>
          <cell r="B2278" t="str">
            <v>Soybean curd cheese</v>
          </cell>
          <cell r="I2278">
            <v>85</v>
          </cell>
          <cell r="J2278">
            <v>128.35</v>
          </cell>
          <cell r="K2278">
            <v>1.51</v>
          </cell>
          <cell r="L2278">
            <v>0</v>
          </cell>
          <cell r="M2278">
            <v>0.99619999999999997</v>
          </cell>
          <cell r="N2278">
            <v>0</v>
          </cell>
          <cell r="O2278">
            <v>0.1598</v>
          </cell>
          <cell r="P2278">
            <v>0</v>
          </cell>
          <cell r="Q2278">
            <v>3.8862000000000001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1.7000000000000001E-2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</row>
        <row r="2279">
          <cell r="A2279">
            <v>41420100</v>
          </cell>
          <cell r="B2279" t="str">
            <v>Miso sauce</v>
          </cell>
          <cell r="I2279">
            <v>30</v>
          </cell>
          <cell r="J2279">
            <v>46.376471000000002</v>
          </cell>
          <cell r="K2279">
            <v>1.5458823666666668</v>
          </cell>
          <cell r="L2279">
            <v>0.48633799999999999</v>
          </cell>
          <cell r="M2279">
            <v>0.13867650000000001</v>
          </cell>
          <cell r="N2279">
            <v>0</v>
          </cell>
          <cell r="O2279">
            <v>8.2255000000000002E-3</v>
          </cell>
          <cell r="P2279">
            <v>0.2442502</v>
          </cell>
          <cell r="Q2279">
            <v>0.39018819999999999</v>
          </cell>
          <cell r="R2279">
            <v>0</v>
          </cell>
          <cell r="S2279">
            <v>8.0500000000000007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0.50491759999999997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</row>
        <row r="2280">
          <cell r="A2280">
            <v>41420110</v>
          </cell>
          <cell r="B2280" t="str">
            <v>Miso</v>
          </cell>
          <cell r="I2280">
            <v>30</v>
          </cell>
          <cell r="J2280">
            <v>59.4</v>
          </cell>
          <cell r="K2280">
            <v>1.98</v>
          </cell>
          <cell r="L2280">
            <v>1.0784016999999999</v>
          </cell>
          <cell r="M2280">
            <v>0.3075</v>
          </cell>
          <cell r="N2280">
            <v>0</v>
          </cell>
          <cell r="O2280">
            <v>1.7100000000000001E-2</v>
          </cell>
          <cell r="P2280">
            <v>0.54159829999999998</v>
          </cell>
          <cell r="Q2280">
            <v>0.86519999999999997</v>
          </cell>
          <cell r="R2280">
            <v>0</v>
          </cell>
          <cell r="S2280">
            <v>17.850000000000001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1.1184000000000001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</row>
        <row r="2281">
          <cell r="A2281">
            <v>41420200</v>
          </cell>
          <cell r="B2281" t="str">
            <v>Natto</v>
          </cell>
          <cell r="I2281">
            <v>30</v>
          </cell>
          <cell r="J2281">
            <v>63.3</v>
          </cell>
          <cell r="K2281">
            <v>2.11</v>
          </cell>
          <cell r="L2281">
            <v>0</v>
          </cell>
          <cell r="M2281">
            <v>0.4773</v>
          </cell>
          <cell r="N2281">
            <v>0</v>
          </cell>
          <cell r="O2281">
            <v>6.5100000000000005E-2</v>
          </cell>
          <cell r="P2281">
            <v>1.62</v>
          </cell>
          <cell r="Q2281">
            <v>1.863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2.0999999999999999E-3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</row>
        <row r="2282">
          <cell r="A2282">
            <v>41420250</v>
          </cell>
          <cell r="B2282" t="str">
            <v>Hoisin sauce</v>
          </cell>
          <cell r="I2282">
            <v>18</v>
          </cell>
          <cell r="J2282">
            <v>39.6</v>
          </cell>
          <cell r="K2282">
            <v>2.2000000000000002</v>
          </cell>
          <cell r="L2282">
            <v>0</v>
          </cell>
          <cell r="M2282">
            <v>0.10224</v>
          </cell>
          <cell r="N2282">
            <v>0</v>
          </cell>
          <cell r="O2282">
            <v>5.7600000000000004E-3</v>
          </cell>
          <cell r="P2282">
            <v>0.504</v>
          </cell>
          <cell r="Q2282">
            <v>0.30564000000000002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0.29070000000000001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</row>
        <row r="2283">
          <cell r="A2283">
            <v>41420300</v>
          </cell>
          <cell r="B2283" t="str">
            <v>Soy sauce</v>
          </cell>
          <cell r="I2283">
            <v>16</v>
          </cell>
          <cell r="J2283">
            <v>8.48</v>
          </cell>
          <cell r="K2283">
            <v>0.53</v>
          </cell>
          <cell r="L2283">
            <v>0</v>
          </cell>
          <cell r="M2283">
            <v>1.1679999999999999E-2</v>
          </cell>
          <cell r="N2283">
            <v>0</v>
          </cell>
          <cell r="O2283">
            <v>5.28E-3</v>
          </cell>
          <cell r="P2283">
            <v>0.128</v>
          </cell>
          <cell r="Q2283">
            <v>4.2079999999999999E-2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0.87887999999999999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</row>
        <row r="2284">
          <cell r="A2284">
            <v>41420350</v>
          </cell>
          <cell r="B2284" t="str">
            <v>Soy sauce, reduced sodium</v>
          </cell>
          <cell r="I2284">
            <v>16</v>
          </cell>
          <cell r="J2284">
            <v>9.1199999999999992</v>
          </cell>
          <cell r="K2284">
            <v>0.56999999999999995</v>
          </cell>
          <cell r="L2284">
            <v>0</v>
          </cell>
          <cell r="M2284">
            <v>5.5999999999999999E-3</v>
          </cell>
          <cell r="N2284">
            <v>0</v>
          </cell>
          <cell r="O2284">
            <v>4.7999999999999996E-3</v>
          </cell>
          <cell r="P2284">
            <v>0.112</v>
          </cell>
          <cell r="Q2284">
            <v>2.2079999999999999E-2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0.57567999999999997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</row>
        <row r="2285">
          <cell r="A2285">
            <v>41420380</v>
          </cell>
          <cell r="B2285" t="str">
            <v>Yogurt, soy</v>
          </cell>
          <cell r="I2285">
            <v>170</v>
          </cell>
          <cell r="J2285">
            <v>159.80000000000001</v>
          </cell>
          <cell r="K2285">
            <v>0.94000000000000006</v>
          </cell>
          <cell r="L2285">
            <v>0.34</v>
          </cell>
          <cell r="M2285">
            <v>0.44030000000000002</v>
          </cell>
          <cell r="N2285">
            <v>0</v>
          </cell>
          <cell r="O2285">
            <v>0.2006</v>
          </cell>
          <cell r="P2285">
            <v>0</v>
          </cell>
          <cell r="Q2285">
            <v>1.7289000000000001</v>
          </cell>
          <cell r="R2285">
            <v>0</v>
          </cell>
          <cell r="S2285">
            <v>0</v>
          </cell>
          <cell r="T2285">
            <v>2.4649999999999999</v>
          </cell>
          <cell r="U2285">
            <v>0</v>
          </cell>
          <cell r="V2285">
            <v>0</v>
          </cell>
          <cell r="W2285">
            <v>0</v>
          </cell>
          <cell r="X2285">
            <v>5.9499999999999997E-2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</row>
        <row r="2286">
          <cell r="A2286">
            <v>41420400</v>
          </cell>
          <cell r="B2286" t="str">
            <v>Teriyaki sauce</v>
          </cell>
          <cell r="I2286">
            <v>5</v>
          </cell>
          <cell r="J2286">
            <v>4.45</v>
          </cell>
          <cell r="K2286">
            <v>0.89</v>
          </cell>
          <cell r="L2286">
            <v>0</v>
          </cell>
          <cell r="M2286">
            <v>0</v>
          </cell>
          <cell r="N2286">
            <v>0</v>
          </cell>
          <cell r="O2286">
            <v>1.25E-3</v>
          </cell>
          <cell r="P2286">
            <v>5.0000000000000001E-3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0.19164999999999999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</row>
        <row r="2287">
          <cell r="A2287">
            <v>41420410</v>
          </cell>
          <cell r="B2287" t="str">
            <v>Teriyaki sauce, reduced sodium</v>
          </cell>
          <cell r="I2287">
            <v>5</v>
          </cell>
          <cell r="J2287">
            <v>4.45</v>
          </cell>
          <cell r="K2287">
            <v>0.89</v>
          </cell>
          <cell r="L2287">
            <v>0</v>
          </cell>
          <cell r="M2287">
            <v>0</v>
          </cell>
          <cell r="N2287">
            <v>0</v>
          </cell>
          <cell r="O2287">
            <v>1.25E-3</v>
          </cell>
          <cell r="P2287">
            <v>5.0000000000000001E-3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8.8900000000000007E-2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</row>
        <row r="2288">
          <cell r="A2288">
            <v>41420450</v>
          </cell>
          <cell r="B2288" t="str">
            <v>Worcestershire sauce</v>
          </cell>
          <cell r="I2288">
            <v>5</v>
          </cell>
          <cell r="J2288">
            <v>3.9</v>
          </cell>
          <cell r="K2288">
            <v>0.78</v>
          </cell>
          <cell r="L2288">
            <v>0</v>
          </cell>
          <cell r="M2288">
            <v>0</v>
          </cell>
          <cell r="N2288">
            <v>0</v>
          </cell>
          <cell r="O2288">
            <v>5.3499999999999997E-3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4.9000000000000002E-2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</row>
        <row r="2289">
          <cell r="A2289">
            <v>41421010</v>
          </cell>
          <cell r="B2289" t="str">
            <v>Soybean curd, deep fried</v>
          </cell>
          <cell r="I2289">
            <v>85</v>
          </cell>
          <cell r="J2289">
            <v>229.5</v>
          </cell>
          <cell r="K2289">
            <v>2.7</v>
          </cell>
          <cell r="L2289">
            <v>0</v>
          </cell>
          <cell r="M2289">
            <v>2.4803000000000002</v>
          </cell>
          <cell r="N2289">
            <v>0</v>
          </cell>
          <cell r="O2289">
            <v>0.31619999999999998</v>
          </cell>
          <cell r="P2289">
            <v>3.3149999999999999</v>
          </cell>
          <cell r="Q2289">
            <v>9.6814999999999998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1.3599999999999999E-2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</row>
        <row r="2290">
          <cell r="A2290">
            <v>41422010</v>
          </cell>
          <cell r="B2290" t="str">
            <v>Soybean meal</v>
          </cell>
          <cell r="I2290">
            <v>85</v>
          </cell>
          <cell r="J2290">
            <v>277.95</v>
          </cell>
          <cell r="K2290">
            <v>3.27</v>
          </cell>
          <cell r="L2290">
            <v>0</v>
          </cell>
          <cell r="M2290">
            <v>0.11559999999999999</v>
          </cell>
          <cell r="N2290">
            <v>0</v>
          </cell>
          <cell r="O2290">
            <v>0.20485</v>
          </cell>
          <cell r="P2290">
            <v>14.875</v>
          </cell>
          <cell r="Q2290">
            <v>0.45305000000000001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1.7000000000000001E-2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</row>
        <row r="2291">
          <cell r="A2291">
            <v>41425010</v>
          </cell>
          <cell r="B2291" t="str">
            <v>Vermicelli, made from soybeans</v>
          </cell>
          <cell r="I2291">
            <v>85</v>
          </cell>
          <cell r="J2291">
            <v>107.38549999999999</v>
          </cell>
          <cell r="K2291">
            <v>1.2633588235294118</v>
          </cell>
          <cell r="L2291">
            <v>0</v>
          </cell>
          <cell r="M2291">
            <v>4.542E-3</v>
          </cell>
          <cell r="N2291">
            <v>0</v>
          </cell>
          <cell r="O2291">
            <v>1.9420199999999999E-2</v>
          </cell>
          <cell r="P2291">
            <v>1.2652672</v>
          </cell>
          <cell r="Q2291">
            <v>1.3301500000000001E-2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3.3999999999999998E-3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</row>
        <row r="2292">
          <cell r="A2292">
            <v>41440000</v>
          </cell>
          <cell r="B2292" t="str">
            <v>Textured vegetable protein, dry</v>
          </cell>
          <cell r="I2292">
            <v>17</v>
          </cell>
          <cell r="J2292">
            <v>55.59</v>
          </cell>
          <cell r="K2292">
            <v>3.27</v>
          </cell>
          <cell r="L2292">
            <v>0</v>
          </cell>
          <cell r="M2292">
            <v>2.3120000000000002E-2</v>
          </cell>
          <cell r="N2292">
            <v>0</v>
          </cell>
          <cell r="O2292">
            <v>4.0969999999999999E-2</v>
          </cell>
          <cell r="P2292">
            <v>2.9750000000000001</v>
          </cell>
          <cell r="Q2292">
            <v>9.0609999999999996E-2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3.3999999999999998E-3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</row>
        <row r="2293">
          <cell r="A2293">
            <v>41480000</v>
          </cell>
          <cell r="B2293" t="str">
            <v>Tofu, frozen dessert, flavors other than chocolate</v>
          </cell>
          <cell r="I2293">
            <v>85</v>
          </cell>
          <cell r="J2293">
            <v>221.63484</v>
          </cell>
          <cell r="K2293">
            <v>2.6074687058823529</v>
          </cell>
          <cell r="L2293">
            <v>0</v>
          </cell>
          <cell r="M2293">
            <v>2.3578852000000001</v>
          </cell>
          <cell r="N2293">
            <v>0</v>
          </cell>
          <cell r="O2293">
            <v>2.4727599999999999E-2</v>
          </cell>
          <cell r="P2293">
            <v>0.58851160000000002</v>
          </cell>
          <cell r="Q2293">
            <v>7.8656439999999996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0.210114</v>
          </cell>
          <cell r="Y2293">
            <v>8.5732028000000007</v>
          </cell>
          <cell r="Z2293">
            <v>0</v>
          </cell>
          <cell r="AA2293">
            <v>0</v>
          </cell>
          <cell r="AB2293">
            <v>1.2747042</v>
          </cell>
        </row>
        <row r="2294">
          <cell r="A2294">
            <v>41601010</v>
          </cell>
          <cell r="B2294" t="str">
            <v>Bean soup, NFS</v>
          </cell>
          <cell r="I2294">
            <v>245</v>
          </cell>
          <cell r="J2294">
            <v>165.64678000000001</v>
          </cell>
          <cell r="K2294">
            <v>0.67610930612244902</v>
          </cell>
          <cell r="L2294">
            <v>7.5760931999999999</v>
          </cell>
          <cell r="M2294">
            <v>1.4638553000000001</v>
          </cell>
          <cell r="N2294">
            <v>0</v>
          </cell>
          <cell r="O2294">
            <v>8.0542799999999998E-2</v>
          </cell>
          <cell r="P2294">
            <v>-7.4999999999999996E-16</v>
          </cell>
          <cell r="Q2294">
            <v>1.7463537</v>
          </cell>
          <cell r="R2294">
            <v>0</v>
          </cell>
          <cell r="S2294">
            <v>29.212902</v>
          </cell>
          <cell r="T2294">
            <v>0</v>
          </cell>
          <cell r="U2294">
            <v>62.920096000000001</v>
          </cell>
          <cell r="V2294">
            <v>0</v>
          </cell>
          <cell r="W2294">
            <v>0</v>
          </cell>
          <cell r="X2294">
            <v>0.8675678</v>
          </cell>
          <cell r="Y2294">
            <v>0</v>
          </cell>
          <cell r="Z2294">
            <v>0</v>
          </cell>
          <cell r="AA2294">
            <v>8.3728671000000006</v>
          </cell>
          <cell r="AB2294">
            <v>0.16078110000000001</v>
          </cell>
        </row>
        <row r="2295">
          <cell r="A2295">
            <v>41601020</v>
          </cell>
          <cell r="B2295" t="str">
            <v>Bean with bacon or ham soup, canned or ready-to-serve</v>
          </cell>
          <cell r="I2295">
            <v>245</v>
          </cell>
          <cell r="J2295">
            <v>165.58023</v>
          </cell>
          <cell r="K2295">
            <v>0.67583767346938772</v>
          </cell>
          <cell r="L2295">
            <v>7.5730494000000004</v>
          </cell>
          <cell r="M2295">
            <v>1.4632672</v>
          </cell>
          <cell r="N2295">
            <v>0</v>
          </cell>
          <cell r="O2295">
            <v>8.0513399999999999E-2</v>
          </cell>
          <cell r="P2295">
            <v>-7.4999999999999996E-16</v>
          </cell>
          <cell r="Q2295">
            <v>1.7456521</v>
          </cell>
          <cell r="R2295">
            <v>0</v>
          </cell>
          <cell r="S2295">
            <v>29.201165</v>
          </cell>
          <cell r="T2295">
            <v>0</v>
          </cell>
          <cell r="U2295">
            <v>62.894817000000003</v>
          </cell>
          <cell r="V2295">
            <v>0</v>
          </cell>
          <cell r="W2295">
            <v>0</v>
          </cell>
          <cell r="X2295">
            <v>0.86722319999999997</v>
          </cell>
          <cell r="Y2295">
            <v>0</v>
          </cell>
          <cell r="Z2295">
            <v>0</v>
          </cell>
          <cell r="AA2295">
            <v>8.3695032000000005</v>
          </cell>
          <cell r="AB2295">
            <v>0.24105389999999999</v>
          </cell>
        </row>
        <row r="2296">
          <cell r="A2296">
            <v>41601030</v>
          </cell>
          <cell r="B2296" t="str">
            <v>Black bean soup, home recipe, canned or ready-to-serve</v>
          </cell>
          <cell r="I2296">
            <v>245</v>
          </cell>
          <cell r="J2296">
            <v>112.7</v>
          </cell>
          <cell r="K2296">
            <v>0.46</v>
          </cell>
          <cell r="L2296">
            <v>8.33</v>
          </cell>
          <cell r="M2296">
            <v>0.41649999999999998</v>
          </cell>
          <cell r="N2296">
            <v>0</v>
          </cell>
          <cell r="O2296">
            <v>4.6550000000000001E-2</v>
          </cell>
          <cell r="P2296">
            <v>0</v>
          </cell>
          <cell r="Q2296">
            <v>0.50224999999999997</v>
          </cell>
          <cell r="R2296">
            <v>0</v>
          </cell>
          <cell r="S2296">
            <v>55.737499999999997</v>
          </cell>
          <cell r="T2296">
            <v>0</v>
          </cell>
          <cell r="U2296">
            <v>48.02</v>
          </cell>
          <cell r="V2296">
            <v>0</v>
          </cell>
          <cell r="W2296">
            <v>0</v>
          </cell>
          <cell r="X2296">
            <v>1.1931499999999999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</row>
        <row r="2297">
          <cell r="A2297">
            <v>41601040</v>
          </cell>
          <cell r="B2297" t="str">
            <v>Lima bean soup, home recipe, canned or ready-to-serve</v>
          </cell>
          <cell r="I2297">
            <v>245</v>
          </cell>
          <cell r="J2297">
            <v>141.36294000000001</v>
          </cell>
          <cell r="K2297">
            <v>0.57699159183673476</v>
          </cell>
          <cell r="L2297">
            <v>6.5509614000000003</v>
          </cell>
          <cell r="M2297">
            <v>0.53655540000000002</v>
          </cell>
          <cell r="N2297">
            <v>0</v>
          </cell>
          <cell r="O2297">
            <v>2.8834200000000001E-2</v>
          </cell>
          <cell r="P2297">
            <v>0</v>
          </cell>
          <cell r="Q2297">
            <v>0.37596459999999998</v>
          </cell>
          <cell r="R2297">
            <v>0</v>
          </cell>
          <cell r="S2297">
            <v>86.388480999999999</v>
          </cell>
          <cell r="T2297">
            <v>0</v>
          </cell>
          <cell r="U2297">
            <v>26.534296000000001</v>
          </cell>
          <cell r="V2297">
            <v>0</v>
          </cell>
          <cell r="W2297">
            <v>0</v>
          </cell>
          <cell r="X2297">
            <v>0.65665689999999999</v>
          </cell>
          <cell r="Y2297">
            <v>0</v>
          </cell>
          <cell r="Z2297">
            <v>0</v>
          </cell>
          <cell r="AA2297">
            <v>13.930505</v>
          </cell>
          <cell r="AB2297">
            <v>2.7390999999999999E-2</v>
          </cell>
        </row>
        <row r="2298">
          <cell r="A2298">
            <v>41601070</v>
          </cell>
          <cell r="B2298" t="str">
            <v>Soybean soup, miso broth</v>
          </cell>
          <cell r="I2298">
            <v>245</v>
          </cell>
          <cell r="J2298">
            <v>79.325326000000004</v>
          </cell>
          <cell r="K2298">
            <v>0.32377684081632657</v>
          </cell>
          <cell r="L2298">
            <v>0.71245049999999999</v>
          </cell>
          <cell r="M2298">
            <v>0.52655339999999995</v>
          </cell>
          <cell r="N2298">
            <v>1.2893699999999999E-2</v>
          </cell>
          <cell r="O2298">
            <v>3.8372799999999999E-2</v>
          </cell>
          <cell r="P2298">
            <v>0.28744769999999997</v>
          </cell>
          <cell r="Q2298">
            <v>1.5108804</v>
          </cell>
          <cell r="R2298">
            <v>0</v>
          </cell>
          <cell r="S2298">
            <v>8.6805930999999994</v>
          </cell>
          <cell r="T2298">
            <v>0</v>
          </cell>
          <cell r="U2298">
            <v>9.7615225999999993</v>
          </cell>
          <cell r="V2298">
            <v>0</v>
          </cell>
          <cell r="W2298">
            <v>0</v>
          </cell>
          <cell r="X2298">
            <v>1.5146702999999999</v>
          </cell>
          <cell r="Y2298">
            <v>0</v>
          </cell>
          <cell r="Z2298">
            <v>0</v>
          </cell>
          <cell r="AA2298">
            <v>0</v>
          </cell>
          <cell r="AB2298">
            <v>3.9350400000000001E-2</v>
          </cell>
        </row>
        <row r="2299">
          <cell r="A2299">
            <v>41601090</v>
          </cell>
          <cell r="B2299" t="str">
            <v>Bean soup, with macaroni, home recipe, canned, or ready-to-serve</v>
          </cell>
          <cell r="I2299">
            <v>245</v>
          </cell>
          <cell r="J2299">
            <v>220.95227</v>
          </cell>
          <cell r="K2299">
            <v>0.90184600000000004</v>
          </cell>
          <cell r="L2299">
            <v>5.1269092000000001</v>
          </cell>
          <cell r="M2299">
            <v>1.5200669</v>
          </cell>
          <cell r="N2299">
            <v>0</v>
          </cell>
          <cell r="O2299">
            <v>0.1353007</v>
          </cell>
          <cell r="P2299">
            <v>0.55698139999999996</v>
          </cell>
          <cell r="Q2299">
            <v>0.64441059999999994</v>
          </cell>
          <cell r="R2299">
            <v>0</v>
          </cell>
          <cell r="S2299">
            <v>73.995853999999994</v>
          </cell>
          <cell r="T2299">
            <v>0</v>
          </cell>
          <cell r="U2299">
            <v>24.533705999999999</v>
          </cell>
          <cell r="V2299">
            <v>0</v>
          </cell>
          <cell r="W2299">
            <v>0</v>
          </cell>
          <cell r="X2299">
            <v>0.51917060000000004</v>
          </cell>
          <cell r="Y2299">
            <v>0</v>
          </cell>
          <cell r="Z2299">
            <v>0</v>
          </cell>
          <cell r="AA2299">
            <v>0</v>
          </cell>
          <cell r="AB2299">
            <v>5.8350100000000002E-2</v>
          </cell>
        </row>
        <row r="2300">
          <cell r="A2300">
            <v>41601100</v>
          </cell>
          <cell r="B2300" t="str">
            <v>Portuguese bean soup, home recipe, canned or ready-to-serve</v>
          </cell>
          <cell r="I2300">
            <v>245</v>
          </cell>
          <cell r="J2300">
            <v>257.75958000000003</v>
          </cell>
          <cell r="K2300">
            <v>1.052079918367347</v>
          </cell>
          <cell r="L2300">
            <v>7.2483461</v>
          </cell>
          <cell r="M2300">
            <v>2.4042804000000002</v>
          </cell>
          <cell r="N2300">
            <v>0</v>
          </cell>
          <cell r="O2300">
            <v>7.3930700000000002E-2</v>
          </cell>
          <cell r="P2300">
            <v>0.49386639999999998</v>
          </cell>
          <cell r="Q2300">
            <v>1.1984827</v>
          </cell>
          <cell r="R2300">
            <v>0</v>
          </cell>
          <cell r="S2300">
            <v>37.787514000000002</v>
          </cell>
          <cell r="T2300">
            <v>0</v>
          </cell>
          <cell r="U2300">
            <v>102.36035</v>
          </cell>
          <cell r="V2300">
            <v>0</v>
          </cell>
          <cell r="W2300">
            <v>0</v>
          </cell>
          <cell r="X2300">
            <v>0.57898870000000002</v>
          </cell>
          <cell r="Y2300">
            <v>0</v>
          </cell>
          <cell r="Z2300">
            <v>0</v>
          </cell>
          <cell r="AA2300">
            <v>19.366807000000001</v>
          </cell>
          <cell r="AB2300">
            <v>1.9511000000000001E-2</v>
          </cell>
        </row>
        <row r="2301">
          <cell r="A2301">
            <v>41601110</v>
          </cell>
          <cell r="B2301" t="str">
            <v>Bean and ham soup, chunky style, canned or ready-to-serve</v>
          </cell>
          <cell r="I2301">
            <v>245</v>
          </cell>
          <cell r="J2301">
            <v>188.65</v>
          </cell>
          <cell r="K2301">
            <v>0.77</v>
          </cell>
          <cell r="L2301">
            <v>2.3747807000000001</v>
          </cell>
          <cell r="M2301">
            <v>1.617</v>
          </cell>
          <cell r="N2301">
            <v>0</v>
          </cell>
          <cell r="O2301">
            <v>3.4299999999999997E-2</v>
          </cell>
          <cell r="P2301">
            <v>1.7902193</v>
          </cell>
          <cell r="Q2301">
            <v>0.58799999999999997</v>
          </cell>
          <cell r="R2301">
            <v>0</v>
          </cell>
          <cell r="S2301">
            <v>51.45</v>
          </cell>
          <cell r="T2301">
            <v>0</v>
          </cell>
          <cell r="U2301">
            <v>60.024999999999999</v>
          </cell>
          <cell r="V2301">
            <v>0</v>
          </cell>
          <cell r="W2301">
            <v>0</v>
          </cell>
          <cell r="X2301">
            <v>0.73745000000000005</v>
          </cell>
          <cell r="Y2301">
            <v>0</v>
          </cell>
          <cell r="Z2301">
            <v>0</v>
          </cell>
          <cell r="AA2301">
            <v>21.531825000000001</v>
          </cell>
          <cell r="AB2301">
            <v>0</v>
          </cell>
        </row>
        <row r="2302">
          <cell r="A2302">
            <v>41601130</v>
          </cell>
          <cell r="B2302" t="str">
            <v>Bean soup, mixed beans, home recipe, canned or ready-to-serve</v>
          </cell>
          <cell r="I2302">
            <v>245</v>
          </cell>
          <cell r="J2302">
            <v>154.07451</v>
          </cell>
          <cell r="K2302">
            <v>0.62887555102040815</v>
          </cell>
          <cell r="L2302">
            <v>6.9644995999999999</v>
          </cell>
          <cell r="M2302">
            <v>0.55171999999999999</v>
          </cell>
          <cell r="N2302">
            <v>0</v>
          </cell>
          <cell r="O2302">
            <v>5.9879000000000002E-2</v>
          </cell>
          <cell r="P2302">
            <v>0</v>
          </cell>
          <cell r="Q2302">
            <v>0.37965959999999999</v>
          </cell>
          <cell r="R2302">
            <v>0</v>
          </cell>
          <cell r="S2302">
            <v>84.057164</v>
          </cell>
          <cell r="T2302">
            <v>0</v>
          </cell>
          <cell r="U2302">
            <v>26.925816999999999</v>
          </cell>
          <cell r="V2302">
            <v>0</v>
          </cell>
          <cell r="W2302">
            <v>0</v>
          </cell>
          <cell r="X2302">
            <v>0.66718370000000005</v>
          </cell>
          <cell r="Y2302">
            <v>0</v>
          </cell>
          <cell r="Z2302">
            <v>0</v>
          </cell>
          <cell r="AA2302">
            <v>14.136054</v>
          </cell>
          <cell r="AB2302">
            <v>2.7133999999999999E-3</v>
          </cell>
        </row>
        <row r="2303">
          <cell r="A2303">
            <v>41601140</v>
          </cell>
          <cell r="B2303" t="str">
            <v>Bean soup, home recipe</v>
          </cell>
          <cell r="I2303">
            <v>245</v>
          </cell>
          <cell r="J2303">
            <v>159.07356999999999</v>
          </cell>
          <cell r="K2303">
            <v>0.64927987755102035</v>
          </cell>
          <cell r="L2303">
            <v>5.7814813999999997</v>
          </cell>
          <cell r="M2303">
            <v>0.54370439999999998</v>
          </cell>
          <cell r="N2303">
            <v>0</v>
          </cell>
          <cell r="O2303">
            <v>8.9857500000000007E-2</v>
          </cell>
          <cell r="P2303">
            <v>0</v>
          </cell>
          <cell r="Q2303">
            <v>0.35928490000000002</v>
          </cell>
          <cell r="R2303">
            <v>0</v>
          </cell>
          <cell r="S2303">
            <v>83.664469999999994</v>
          </cell>
          <cell r="T2303">
            <v>0</v>
          </cell>
          <cell r="U2303">
            <v>27.002168000000001</v>
          </cell>
          <cell r="V2303">
            <v>0</v>
          </cell>
          <cell r="W2303">
            <v>0</v>
          </cell>
          <cell r="X2303">
            <v>0.67120389999999996</v>
          </cell>
          <cell r="Y2303">
            <v>0</v>
          </cell>
          <cell r="Z2303">
            <v>0</v>
          </cell>
          <cell r="AA2303">
            <v>14.169578</v>
          </cell>
          <cell r="AB2303">
            <v>0</v>
          </cell>
        </row>
        <row r="2304">
          <cell r="A2304">
            <v>41601180</v>
          </cell>
          <cell r="B2304" t="str">
            <v>Bean and ham soup, home recipe</v>
          </cell>
          <cell r="I2304">
            <v>245</v>
          </cell>
          <cell r="J2304">
            <v>200.03733</v>
          </cell>
          <cell r="K2304">
            <v>0.81647889795918371</v>
          </cell>
          <cell r="L2304">
            <v>4.9265407000000003</v>
          </cell>
          <cell r="M2304">
            <v>1.5935523</v>
          </cell>
          <cell r="N2304">
            <v>0</v>
          </cell>
          <cell r="O2304">
            <v>7.9458500000000001E-2</v>
          </cell>
          <cell r="P2304">
            <v>0</v>
          </cell>
          <cell r="Q2304">
            <v>0.81694089999999997</v>
          </cell>
          <cell r="R2304">
            <v>0</v>
          </cell>
          <cell r="S2304">
            <v>71.297611000000003</v>
          </cell>
          <cell r="T2304">
            <v>0</v>
          </cell>
          <cell r="U2304">
            <v>23.000195999999999</v>
          </cell>
          <cell r="V2304">
            <v>0</v>
          </cell>
          <cell r="W2304">
            <v>0</v>
          </cell>
          <cell r="X2304">
            <v>1.1153636</v>
          </cell>
          <cell r="Y2304">
            <v>0</v>
          </cell>
          <cell r="Z2304">
            <v>0</v>
          </cell>
          <cell r="AA2304">
            <v>48.300410999999997</v>
          </cell>
          <cell r="AB2304">
            <v>0</v>
          </cell>
        </row>
        <row r="2305">
          <cell r="A2305">
            <v>41601200</v>
          </cell>
          <cell r="B2305" t="str">
            <v>Liquid from stewed kidney beans, Puerto Rican style</v>
          </cell>
          <cell r="I2305">
            <v>245</v>
          </cell>
          <cell r="J2305">
            <v>115.15</v>
          </cell>
          <cell r="K2305">
            <v>0.47000000000000003</v>
          </cell>
          <cell r="L2305">
            <v>0</v>
          </cell>
          <cell r="M2305">
            <v>2.8763000000000001</v>
          </cell>
          <cell r="N2305">
            <v>0</v>
          </cell>
          <cell r="O2305">
            <v>3.1850000000000003E-2</v>
          </cell>
          <cell r="P2305">
            <v>0.245</v>
          </cell>
          <cell r="Q2305">
            <v>0.83299999999999996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4.8999999999999998E-3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</row>
        <row r="2306">
          <cell r="A2306">
            <v>41602010</v>
          </cell>
          <cell r="B2306" t="str">
            <v>Pea and ham soup, chunky style, canned or ready-to-serve</v>
          </cell>
          <cell r="I2306">
            <v>245</v>
          </cell>
          <cell r="J2306">
            <v>188.65</v>
          </cell>
          <cell r="K2306">
            <v>0.77</v>
          </cell>
          <cell r="L2306">
            <v>2.3747807000000001</v>
          </cell>
          <cell r="M2306">
            <v>1.617</v>
          </cell>
          <cell r="N2306">
            <v>0</v>
          </cell>
          <cell r="O2306">
            <v>3.4299999999999997E-2</v>
          </cell>
          <cell r="P2306">
            <v>1.7902193</v>
          </cell>
          <cell r="Q2306">
            <v>0.58799999999999997</v>
          </cell>
          <cell r="R2306">
            <v>0</v>
          </cell>
          <cell r="S2306">
            <v>51.45</v>
          </cell>
          <cell r="T2306">
            <v>0</v>
          </cell>
          <cell r="U2306">
            <v>60.024999999999999</v>
          </cell>
          <cell r="V2306">
            <v>0</v>
          </cell>
          <cell r="W2306">
            <v>0</v>
          </cell>
          <cell r="X2306">
            <v>0.73745000000000005</v>
          </cell>
          <cell r="Y2306">
            <v>0</v>
          </cell>
          <cell r="Z2306">
            <v>0</v>
          </cell>
          <cell r="AA2306">
            <v>21.531825000000001</v>
          </cell>
          <cell r="AB2306">
            <v>7.8796699999999997E-2</v>
          </cell>
        </row>
        <row r="2307">
          <cell r="A2307">
            <v>41602020</v>
          </cell>
          <cell r="B2307" t="str">
            <v>Garbanzo bean or chickpea soup, home recipe, canned or ready-to-serve</v>
          </cell>
          <cell r="I2307">
            <v>245</v>
          </cell>
          <cell r="J2307">
            <v>173.49690000000001</v>
          </cell>
          <cell r="K2307">
            <v>0.70815061224489795</v>
          </cell>
          <cell r="L2307">
            <v>6.5247780999999998</v>
          </cell>
          <cell r="M2307">
            <v>0.69402260000000005</v>
          </cell>
          <cell r="N2307">
            <v>0</v>
          </cell>
          <cell r="O2307">
            <v>5.3546700000000003E-2</v>
          </cell>
          <cell r="P2307">
            <v>0</v>
          </cell>
          <cell r="Q2307">
            <v>1.1532593</v>
          </cell>
          <cell r="R2307">
            <v>0</v>
          </cell>
          <cell r="S2307">
            <v>78.921609000000004</v>
          </cell>
          <cell r="T2307">
            <v>0</v>
          </cell>
          <cell r="U2307">
            <v>27.78828</v>
          </cell>
          <cell r="V2307">
            <v>0</v>
          </cell>
          <cell r="W2307">
            <v>0</v>
          </cell>
          <cell r="X2307">
            <v>0.69141419999999998</v>
          </cell>
          <cell r="Y2307">
            <v>0</v>
          </cell>
          <cell r="Z2307">
            <v>0</v>
          </cell>
          <cell r="AA2307">
            <v>14.588846999999999</v>
          </cell>
          <cell r="AB2307">
            <v>0.11343350000000001</v>
          </cell>
        </row>
        <row r="2308">
          <cell r="A2308">
            <v>41602030</v>
          </cell>
          <cell r="B2308" t="str">
            <v>Split pea and ham soup</v>
          </cell>
          <cell r="I2308">
            <v>245</v>
          </cell>
          <cell r="J2308">
            <v>188.65</v>
          </cell>
          <cell r="K2308">
            <v>0.77</v>
          </cell>
          <cell r="L2308">
            <v>2.3747807000000001</v>
          </cell>
          <cell r="M2308">
            <v>1.617</v>
          </cell>
          <cell r="N2308">
            <v>0</v>
          </cell>
          <cell r="O2308">
            <v>3.4299999999999997E-2</v>
          </cell>
          <cell r="P2308">
            <v>1.7902193</v>
          </cell>
          <cell r="Q2308">
            <v>0.58799999999999997</v>
          </cell>
          <cell r="R2308">
            <v>0</v>
          </cell>
          <cell r="S2308">
            <v>51.45</v>
          </cell>
          <cell r="T2308">
            <v>0</v>
          </cell>
          <cell r="U2308">
            <v>60.024999999999999</v>
          </cell>
          <cell r="V2308">
            <v>0</v>
          </cell>
          <cell r="W2308">
            <v>0</v>
          </cell>
          <cell r="X2308">
            <v>0.73745000000000005</v>
          </cell>
          <cell r="Y2308">
            <v>0</v>
          </cell>
          <cell r="Z2308">
            <v>0</v>
          </cell>
          <cell r="AA2308">
            <v>21.531825000000001</v>
          </cell>
          <cell r="AB2308">
            <v>7.9289299999999993E-2</v>
          </cell>
        </row>
        <row r="2309">
          <cell r="A2309">
            <v>41602050</v>
          </cell>
          <cell r="B2309" t="str">
            <v>Split pea soup</v>
          </cell>
          <cell r="I2309">
            <v>245</v>
          </cell>
          <cell r="J2309">
            <v>149.44999999999999</v>
          </cell>
          <cell r="K2309">
            <v>0.61</v>
          </cell>
          <cell r="L2309">
            <v>3.5496943000000001</v>
          </cell>
          <cell r="M2309">
            <v>1.2838000000000001</v>
          </cell>
          <cell r="N2309">
            <v>0</v>
          </cell>
          <cell r="O2309">
            <v>2.9399999999999999E-2</v>
          </cell>
          <cell r="P2309">
            <v>1.1053056999999999</v>
          </cell>
          <cell r="Q2309">
            <v>0.34789999999999999</v>
          </cell>
          <cell r="R2309">
            <v>0</v>
          </cell>
          <cell r="S2309">
            <v>47.162500000000001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0.82320000000000004</v>
          </cell>
          <cell r="Y2309">
            <v>0</v>
          </cell>
          <cell r="Z2309">
            <v>0</v>
          </cell>
          <cell r="AA2309">
            <v>0</v>
          </cell>
          <cell r="AB2309">
            <v>0.11532870000000001</v>
          </cell>
        </row>
        <row r="2310">
          <cell r="A2310">
            <v>41602070</v>
          </cell>
          <cell r="B2310" t="str">
            <v>Split pea soup, canned, reduced sodium, prepared with water or ready-to-serve</v>
          </cell>
          <cell r="I2310">
            <v>245</v>
          </cell>
          <cell r="J2310">
            <v>173.95</v>
          </cell>
          <cell r="K2310">
            <v>0.71</v>
          </cell>
          <cell r="L2310">
            <v>1.6174153</v>
          </cell>
          <cell r="M2310">
            <v>0.73499999999999999</v>
          </cell>
          <cell r="N2310">
            <v>0</v>
          </cell>
          <cell r="O2310">
            <v>4.165E-2</v>
          </cell>
          <cell r="P2310">
            <v>3.0375847</v>
          </cell>
          <cell r="Q2310">
            <v>0.41160000000000002</v>
          </cell>
          <cell r="R2310">
            <v>0</v>
          </cell>
          <cell r="S2310">
            <v>64.3125</v>
          </cell>
          <cell r="T2310">
            <v>0</v>
          </cell>
          <cell r="U2310">
            <v>6.0025000000000004</v>
          </cell>
          <cell r="V2310">
            <v>0</v>
          </cell>
          <cell r="W2310">
            <v>0</v>
          </cell>
          <cell r="X2310">
            <v>0.40670000000000001</v>
          </cell>
          <cell r="Y2310">
            <v>0</v>
          </cell>
          <cell r="Z2310">
            <v>0</v>
          </cell>
          <cell r="AA2310">
            <v>2.7783000000000002</v>
          </cell>
          <cell r="AB2310">
            <v>5.37592E-2</v>
          </cell>
        </row>
        <row r="2311">
          <cell r="A2311">
            <v>41603010</v>
          </cell>
          <cell r="B2311" t="str">
            <v>Lentil soup, home recipe, canned, or ready-to-serve</v>
          </cell>
          <cell r="I2311">
            <v>245</v>
          </cell>
          <cell r="J2311">
            <v>155.91973999999999</v>
          </cell>
          <cell r="K2311">
            <v>0.6364071020408163</v>
          </cell>
          <cell r="L2311">
            <v>7.8877281000000004</v>
          </cell>
          <cell r="M2311">
            <v>0.54452020000000001</v>
          </cell>
          <cell r="N2311">
            <v>0</v>
          </cell>
          <cell r="O2311">
            <v>3.1123399999999999E-2</v>
          </cell>
          <cell r="P2311">
            <v>0</v>
          </cell>
          <cell r="Q2311">
            <v>0.55367100000000002</v>
          </cell>
          <cell r="R2311">
            <v>0</v>
          </cell>
          <cell r="S2311">
            <v>93.270480000000006</v>
          </cell>
          <cell r="T2311">
            <v>0</v>
          </cell>
          <cell r="U2311">
            <v>27.201233999999999</v>
          </cell>
          <cell r="V2311">
            <v>0</v>
          </cell>
          <cell r="W2311">
            <v>0</v>
          </cell>
          <cell r="X2311">
            <v>0.45911459999999998</v>
          </cell>
          <cell r="Y2311">
            <v>0</v>
          </cell>
          <cell r="Z2311">
            <v>0</v>
          </cell>
          <cell r="AA2311">
            <v>0</v>
          </cell>
          <cell r="AB2311">
            <v>2.6247699999999999E-2</v>
          </cell>
        </row>
        <row r="2312">
          <cell r="A2312">
            <v>41810200</v>
          </cell>
          <cell r="B2312" t="str">
            <v>Bacon strip, meatless</v>
          </cell>
          <cell r="I2312">
            <v>15</v>
          </cell>
          <cell r="J2312">
            <v>46.35</v>
          </cell>
          <cell r="K2312">
            <v>3.0900000000000003</v>
          </cell>
          <cell r="L2312">
            <v>0</v>
          </cell>
          <cell r="M2312">
            <v>0.69330000000000003</v>
          </cell>
          <cell r="N2312">
            <v>0</v>
          </cell>
          <cell r="O2312">
            <v>3.4499999999999999E-3</v>
          </cell>
          <cell r="P2312">
            <v>0.39</v>
          </cell>
          <cell r="Q2312">
            <v>2.3161499999999999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0.21975</v>
          </cell>
          <cell r="Y2312">
            <v>0</v>
          </cell>
          <cell r="Z2312">
            <v>0</v>
          </cell>
          <cell r="AA2312">
            <v>0</v>
          </cell>
          <cell r="AB2312">
            <v>3.2566699999999997E-2</v>
          </cell>
        </row>
        <row r="2313">
          <cell r="A2313">
            <v>41810250</v>
          </cell>
          <cell r="B2313" t="str">
            <v>Bacon bits</v>
          </cell>
          <cell r="I2313">
            <v>7</v>
          </cell>
          <cell r="J2313">
            <v>33.32</v>
          </cell>
          <cell r="K2313">
            <v>4.76</v>
          </cell>
          <cell r="L2313">
            <v>0</v>
          </cell>
          <cell r="M2313">
            <v>0.28384999999999999</v>
          </cell>
          <cell r="N2313">
            <v>0</v>
          </cell>
          <cell r="O2313">
            <v>7.0699999999999999E-3</v>
          </cell>
          <cell r="P2313">
            <v>0.71399999999999997</v>
          </cell>
          <cell r="Q2313">
            <v>0.94835999999999998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0.1239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</row>
        <row r="2314">
          <cell r="A2314">
            <v>41810400</v>
          </cell>
          <cell r="B2314" t="str">
            <v>Breakfast link, pattie, or slice, meatless</v>
          </cell>
          <cell r="I2314">
            <v>38</v>
          </cell>
          <cell r="J2314">
            <v>96.9</v>
          </cell>
          <cell r="K2314">
            <v>2.5500000000000003</v>
          </cell>
          <cell r="L2314">
            <v>0</v>
          </cell>
          <cell r="M2314">
            <v>1.11188</v>
          </cell>
          <cell r="N2314">
            <v>0</v>
          </cell>
          <cell r="O2314">
            <v>2.3939999999999999E-2</v>
          </cell>
          <cell r="P2314">
            <v>1.0640000000000001</v>
          </cell>
          <cell r="Q2314">
            <v>3.5260199999999999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0.33744000000000002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</row>
        <row r="2315">
          <cell r="A2315">
            <v>41810600</v>
          </cell>
          <cell r="B2315" t="str">
            <v>Chicken, meatless, NFS</v>
          </cell>
          <cell r="I2315">
            <v>168</v>
          </cell>
          <cell r="J2315">
            <v>376.32</v>
          </cell>
          <cell r="K2315">
            <v>2.2399999999999998</v>
          </cell>
          <cell r="L2315">
            <v>0</v>
          </cell>
          <cell r="M2315">
            <v>2.5771199999999999</v>
          </cell>
          <cell r="N2315">
            <v>0</v>
          </cell>
          <cell r="O2315">
            <v>5.8799999999999998E-2</v>
          </cell>
          <cell r="P2315">
            <v>6.048</v>
          </cell>
          <cell r="Q2315">
            <v>8.4369599999999991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1.19112</v>
          </cell>
          <cell r="Y2315">
            <v>0</v>
          </cell>
          <cell r="Z2315">
            <v>0</v>
          </cell>
          <cell r="AA2315">
            <v>0</v>
          </cell>
          <cell r="AB2315">
            <v>0.38084440000000003</v>
          </cell>
        </row>
        <row r="2316">
          <cell r="A2316">
            <v>41810610</v>
          </cell>
          <cell r="B2316" t="str">
            <v>Chicken, meatless, breaded, fried</v>
          </cell>
          <cell r="I2316">
            <v>130</v>
          </cell>
          <cell r="J2316">
            <v>304.2</v>
          </cell>
          <cell r="K2316">
            <v>2.34</v>
          </cell>
          <cell r="L2316">
            <v>0</v>
          </cell>
          <cell r="M2316">
            <v>1.4690000000000001</v>
          </cell>
          <cell r="N2316">
            <v>0</v>
          </cell>
          <cell r="O2316">
            <v>5.4600000000000003E-2</v>
          </cell>
          <cell r="P2316">
            <v>5.59</v>
          </cell>
          <cell r="Q2316">
            <v>5.9553000000000003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0.52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</row>
        <row r="2317">
          <cell r="A2317">
            <v>41811400</v>
          </cell>
          <cell r="B2317" t="str">
            <v>Frankfurter or hot dog, meatless</v>
          </cell>
          <cell r="I2317">
            <v>140</v>
          </cell>
          <cell r="J2317">
            <v>326.2</v>
          </cell>
          <cell r="K2317">
            <v>2.33</v>
          </cell>
          <cell r="L2317">
            <v>0</v>
          </cell>
          <cell r="M2317">
            <v>2.3142</v>
          </cell>
          <cell r="N2317">
            <v>0</v>
          </cell>
          <cell r="O2317">
            <v>4.6199999999999998E-2</v>
          </cell>
          <cell r="P2317">
            <v>5.46</v>
          </cell>
          <cell r="Q2317">
            <v>7.5810000000000004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0.65939999999999999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</row>
        <row r="2318">
          <cell r="A2318">
            <v>41811600</v>
          </cell>
          <cell r="B2318" t="str">
            <v>Luncheon slice, meatless-beef, chicken, salami or turkey</v>
          </cell>
          <cell r="I2318">
            <v>140</v>
          </cell>
          <cell r="J2318">
            <v>264.60000000000002</v>
          </cell>
          <cell r="K2318">
            <v>1.8900000000000001</v>
          </cell>
          <cell r="L2318">
            <v>0.16055900000000001</v>
          </cell>
          <cell r="M2318">
            <v>1.8732</v>
          </cell>
          <cell r="N2318">
            <v>0</v>
          </cell>
          <cell r="O2318">
            <v>5.74E-2</v>
          </cell>
          <cell r="P2318">
            <v>1.3794409999999999</v>
          </cell>
          <cell r="Q2318">
            <v>6.1361999999999997</v>
          </cell>
          <cell r="R2318">
            <v>0</v>
          </cell>
          <cell r="S2318">
            <v>7.35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0.99539999999999995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</row>
        <row r="2319">
          <cell r="A2319">
            <v>41811800</v>
          </cell>
          <cell r="B2319" t="str">
            <v>Meatball, meatless</v>
          </cell>
          <cell r="I2319">
            <v>144</v>
          </cell>
          <cell r="J2319">
            <v>283.68</v>
          </cell>
          <cell r="K2319">
            <v>1.97</v>
          </cell>
          <cell r="L2319">
            <v>0</v>
          </cell>
          <cell r="M2319">
            <v>2.052</v>
          </cell>
          <cell r="N2319">
            <v>0</v>
          </cell>
          <cell r="O2319">
            <v>3.5999999999999997E-2</v>
          </cell>
          <cell r="P2319">
            <v>6.6239999999999997</v>
          </cell>
          <cell r="Q2319">
            <v>6.7190399999999997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0.79200000000000004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</row>
        <row r="2320">
          <cell r="A2320">
            <v>41811890</v>
          </cell>
          <cell r="B2320" t="str">
            <v>Vegetarian burger or patty, meatless, no bun</v>
          </cell>
          <cell r="I2320">
            <v>85</v>
          </cell>
          <cell r="J2320">
            <v>150.44999999999999</v>
          </cell>
          <cell r="K2320">
            <v>1.7699999999999998</v>
          </cell>
          <cell r="L2320">
            <v>4.165</v>
          </cell>
          <cell r="M2320">
            <v>1.224</v>
          </cell>
          <cell r="N2320">
            <v>0</v>
          </cell>
          <cell r="O2320">
            <v>0.11559999999999999</v>
          </cell>
          <cell r="P2320">
            <v>0</v>
          </cell>
          <cell r="Q2320">
            <v>1.7195499999999999</v>
          </cell>
          <cell r="R2320">
            <v>0</v>
          </cell>
          <cell r="S2320">
            <v>0</v>
          </cell>
          <cell r="T2320">
            <v>0</v>
          </cell>
          <cell r="U2320">
            <v>39.524999999999999</v>
          </cell>
          <cell r="V2320">
            <v>0</v>
          </cell>
          <cell r="W2320">
            <v>0</v>
          </cell>
          <cell r="X2320">
            <v>0.48365000000000002</v>
          </cell>
          <cell r="Y2320">
            <v>0</v>
          </cell>
          <cell r="Z2320">
            <v>0</v>
          </cell>
          <cell r="AA2320">
            <v>0</v>
          </cell>
          <cell r="AB2320">
            <v>7.2030800000000006E-2</v>
          </cell>
        </row>
        <row r="2321">
          <cell r="A2321">
            <v>41812000</v>
          </cell>
          <cell r="B2321" t="str">
            <v>Sandwich spread, meat substitute type</v>
          </cell>
          <cell r="I2321">
            <v>55</v>
          </cell>
          <cell r="J2321">
            <v>81.95</v>
          </cell>
          <cell r="K2321">
            <v>1.49</v>
          </cell>
          <cell r="L2321">
            <v>1.8149999999999999</v>
          </cell>
          <cell r="M2321">
            <v>0.78374999999999995</v>
          </cell>
          <cell r="N2321">
            <v>0</v>
          </cell>
          <cell r="O2321">
            <v>2.4199999999999999E-2</v>
          </cell>
          <cell r="P2321">
            <v>0</v>
          </cell>
          <cell r="Q2321">
            <v>2.5663</v>
          </cell>
          <cell r="R2321">
            <v>0</v>
          </cell>
          <cell r="S2321">
            <v>0</v>
          </cell>
          <cell r="T2321">
            <v>0</v>
          </cell>
          <cell r="U2321">
            <v>15.345000000000001</v>
          </cell>
          <cell r="V2321">
            <v>0</v>
          </cell>
          <cell r="W2321">
            <v>0</v>
          </cell>
          <cell r="X2321">
            <v>0.34649999999999997</v>
          </cell>
          <cell r="Y2321">
            <v>6.7047749999999997</v>
          </cell>
          <cell r="Z2321">
            <v>0</v>
          </cell>
          <cell r="AA2321">
            <v>0</v>
          </cell>
          <cell r="AB2321">
            <v>0</v>
          </cell>
        </row>
        <row r="2322">
          <cell r="A2322">
            <v>41812450</v>
          </cell>
          <cell r="B2322" t="str">
            <v>Vegetarian chili, made with meat substitute</v>
          </cell>
          <cell r="I2322">
            <v>254</v>
          </cell>
          <cell r="J2322">
            <v>271.86876999999998</v>
          </cell>
          <cell r="K2322">
            <v>1.0703494881889764</v>
          </cell>
          <cell r="L2322">
            <v>10.679254</v>
          </cell>
          <cell r="M2322">
            <v>1.2374204</v>
          </cell>
          <cell r="N2322">
            <v>0</v>
          </cell>
          <cell r="O2322">
            <v>6.4949999999999994E-2</v>
          </cell>
          <cell r="P2322">
            <v>0.57734770000000002</v>
          </cell>
          <cell r="Q2322">
            <v>3.4580256</v>
          </cell>
          <cell r="R2322">
            <v>0</v>
          </cell>
          <cell r="S2322">
            <v>87.268724000000006</v>
          </cell>
          <cell r="T2322">
            <v>0</v>
          </cell>
          <cell r="U2322">
            <v>125.78919999999999</v>
          </cell>
          <cell r="V2322">
            <v>0</v>
          </cell>
          <cell r="W2322">
            <v>0</v>
          </cell>
          <cell r="X2322">
            <v>0.63098929999999998</v>
          </cell>
          <cell r="Y2322">
            <v>0</v>
          </cell>
          <cell r="Z2322">
            <v>0</v>
          </cell>
          <cell r="AA2322">
            <v>0</v>
          </cell>
          <cell r="AB2322">
            <v>0.33970889999999998</v>
          </cell>
        </row>
        <row r="2323">
          <cell r="A2323">
            <v>41812500</v>
          </cell>
          <cell r="B2323" t="str">
            <v>Tofu and vegetables including carrots, broccoli, and/or dark-green leafy; no potatoes, with soy-based sauce</v>
          </cell>
          <cell r="I2323">
            <v>140</v>
          </cell>
          <cell r="J2323">
            <v>118.94638</v>
          </cell>
          <cell r="K2323">
            <v>0.84961700000000007</v>
          </cell>
          <cell r="L2323">
            <v>1.5467261000000001</v>
          </cell>
          <cell r="M2323">
            <v>1.2359770000000001</v>
          </cell>
          <cell r="N2323">
            <v>0</v>
          </cell>
          <cell r="O2323">
            <v>8.5702799999999996E-2</v>
          </cell>
          <cell r="P2323">
            <v>0.13940330000000001</v>
          </cell>
          <cell r="Q2323">
            <v>3.9055618000000001</v>
          </cell>
          <cell r="R2323">
            <v>0</v>
          </cell>
          <cell r="S2323">
            <v>0</v>
          </cell>
          <cell r="T2323">
            <v>0</v>
          </cell>
          <cell r="U2323">
            <v>60.837491999999997</v>
          </cell>
          <cell r="V2323">
            <v>0</v>
          </cell>
          <cell r="W2323">
            <v>0</v>
          </cell>
          <cell r="X2323">
            <v>0.28816849999999999</v>
          </cell>
          <cell r="Y2323">
            <v>0</v>
          </cell>
          <cell r="Z2323">
            <v>0</v>
          </cell>
          <cell r="AA2323">
            <v>0</v>
          </cell>
          <cell r="AB2323">
            <v>8.0650899999999998E-2</v>
          </cell>
        </row>
        <row r="2324">
          <cell r="A2324">
            <v>41812510</v>
          </cell>
          <cell r="B2324" t="str">
            <v>Tofu and vegetables excluding carrots, broccoli, and dark-green leafy; no potatoes, with soy-based sauce</v>
          </cell>
          <cell r="I2324">
            <v>140</v>
          </cell>
          <cell r="J2324">
            <v>119.78573</v>
          </cell>
          <cell r="K2324">
            <v>0.85561235714285711</v>
          </cell>
          <cell r="L2324">
            <v>1.0597981000000001</v>
          </cell>
          <cell r="M2324">
            <v>1.2740605</v>
          </cell>
          <cell r="N2324">
            <v>0</v>
          </cell>
          <cell r="O2324">
            <v>8.1663299999999994E-2</v>
          </cell>
          <cell r="P2324">
            <v>0.14433319999999999</v>
          </cell>
          <cell r="Q2324">
            <v>4.0383190000000004</v>
          </cell>
          <cell r="R2324">
            <v>0</v>
          </cell>
          <cell r="S2324">
            <v>0</v>
          </cell>
          <cell r="T2324">
            <v>0</v>
          </cell>
          <cell r="U2324">
            <v>58.037928000000001</v>
          </cell>
          <cell r="V2324">
            <v>0</v>
          </cell>
          <cell r="W2324">
            <v>0</v>
          </cell>
          <cell r="X2324">
            <v>0.27980769999999999</v>
          </cell>
          <cell r="Y2324">
            <v>0</v>
          </cell>
          <cell r="Z2324">
            <v>0</v>
          </cell>
          <cell r="AA2324">
            <v>0</v>
          </cell>
          <cell r="AB2324">
            <v>8.8086300000000006E-2</v>
          </cell>
        </row>
        <row r="2325">
          <cell r="A2325">
            <v>41812800</v>
          </cell>
          <cell r="B2325" t="str">
            <v>Vegetarian stew</v>
          </cell>
          <cell r="I2325">
            <v>247</v>
          </cell>
          <cell r="J2325">
            <v>77.598166000000006</v>
          </cell>
          <cell r="K2325">
            <v>0.31416261538461543</v>
          </cell>
          <cell r="L2325">
            <v>2.6310753</v>
          </cell>
          <cell r="M2325">
            <v>3.2256554</v>
          </cell>
          <cell r="N2325">
            <v>0</v>
          </cell>
          <cell r="O2325">
            <v>8.3459199999999997E-2</v>
          </cell>
          <cell r="P2325">
            <v>2.18268E-2</v>
          </cell>
          <cell r="Q2325">
            <v>0.27530110000000002</v>
          </cell>
          <cell r="R2325">
            <v>0</v>
          </cell>
          <cell r="S2325">
            <v>0</v>
          </cell>
          <cell r="T2325">
            <v>0</v>
          </cell>
          <cell r="U2325">
            <v>136.50266999999999</v>
          </cell>
          <cell r="V2325">
            <v>0</v>
          </cell>
          <cell r="W2325">
            <v>0</v>
          </cell>
          <cell r="X2325">
            <v>0.39229310000000001</v>
          </cell>
          <cell r="Y2325">
            <v>0</v>
          </cell>
          <cell r="Z2325">
            <v>0</v>
          </cell>
          <cell r="AA2325">
            <v>0</v>
          </cell>
          <cell r="AB2325">
            <v>0.2023356</v>
          </cell>
        </row>
        <row r="2326">
          <cell r="A2326">
            <v>41812900</v>
          </cell>
          <cell r="B2326" t="str">
            <v>Vegetarian meat loaf</v>
          </cell>
          <cell r="I2326">
            <v>140</v>
          </cell>
          <cell r="J2326">
            <v>275.8</v>
          </cell>
          <cell r="K2326">
            <v>1.97</v>
          </cell>
          <cell r="L2326">
            <v>6.44</v>
          </cell>
          <cell r="M2326">
            <v>1.9950000000000001</v>
          </cell>
          <cell r="N2326">
            <v>0</v>
          </cell>
          <cell r="O2326">
            <v>4.0599999999999997E-2</v>
          </cell>
          <cell r="P2326">
            <v>0</v>
          </cell>
          <cell r="Q2326">
            <v>6.5324</v>
          </cell>
          <cell r="R2326">
            <v>0</v>
          </cell>
          <cell r="S2326">
            <v>0</v>
          </cell>
          <cell r="T2326">
            <v>0</v>
          </cell>
          <cell r="U2326">
            <v>26.04</v>
          </cell>
          <cell r="V2326">
            <v>0</v>
          </cell>
          <cell r="W2326">
            <v>0</v>
          </cell>
          <cell r="X2326">
            <v>0.77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</row>
        <row r="2327">
          <cell r="A2327">
            <v>42100050</v>
          </cell>
          <cell r="B2327" t="str">
            <v>Nuts, NFS</v>
          </cell>
          <cell r="I2327">
            <v>30</v>
          </cell>
          <cell r="J2327">
            <v>181.41428999999999</v>
          </cell>
          <cell r="K2327">
            <v>6.0471430000000002</v>
          </cell>
          <cell r="L2327">
            <v>0</v>
          </cell>
          <cell r="M2327">
            <v>2.2794791000000001</v>
          </cell>
          <cell r="N2327">
            <v>0</v>
          </cell>
          <cell r="O2327">
            <v>2.8038199999999999E-2</v>
          </cell>
          <cell r="P2327">
            <v>2.2767857</v>
          </cell>
          <cell r="Q2327">
            <v>4.0681797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9.41076E-2</v>
          </cell>
          <cell r="Y2327">
            <v>28.403789</v>
          </cell>
          <cell r="Z2327">
            <v>0</v>
          </cell>
          <cell r="AA2327">
            <v>0</v>
          </cell>
          <cell r="AB2327">
            <v>8.3233199999999993E-2</v>
          </cell>
        </row>
        <row r="2328">
          <cell r="A2328">
            <v>42100100</v>
          </cell>
          <cell r="B2328" t="str">
            <v>Almonds, NFS</v>
          </cell>
          <cell r="I2328">
            <v>30</v>
          </cell>
          <cell r="J2328">
            <v>179.4</v>
          </cell>
          <cell r="K2328">
            <v>5.98</v>
          </cell>
          <cell r="L2328">
            <v>0</v>
          </cell>
          <cell r="M2328">
            <v>1.2276</v>
          </cell>
          <cell r="N2328">
            <v>0</v>
          </cell>
          <cell r="O2328">
            <v>8.0399999999999999E-2</v>
          </cell>
          <cell r="P2328">
            <v>3.27</v>
          </cell>
          <cell r="Q2328">
            <v>3.8864999999999998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8.9999999999999998E-4</v>
          </cell>
          <cell r="Y2328">
            <v>29.980125000000001</v>
          </cell>
          <cell r="Z2328">
            <v>0</v>
          </cell>
          <cell r="AA2328">
            <v>0</v>
          </cell>
          <cell r="AB2328">
            <v>2.0999999999999999E-3</v>
          </cell>
        </row>
        <row r="2329">
          <cell r="A2329">
            <v>42101000</v>
          </cell>
          <cell r="B2329" t="str">
            <v>Almonds, unroasted</v>
          </cell>
          <cell r="I2329">
            <v>30</v>
          </cell>
          <cell r="J2329">
            <v>173.7</v>
          </cell>
          <cell r="K2329">
            <v>5.79</v>
          </cell>
          <cell r="L2329">
            <v>0</v>
          </cell>
          <cell r="M2329">
            <v>1.1406000000000001</v>
          </cell>
          <cell r="N2329">
            <v>0</v>
          </cell>
          <cell r="O2329">
            <v>8.0699999999999994E-2</v>
          </cell>
          <cell r="P2329">
            <v>3.75</v>
          </cell>
          <cell r="Q2329">
            <v>3.6987000000000001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2.9999999999999997E-4</v>
          </cell>
          <cell r="Y2329">
            <v>29.980125000000001</v>
          </cell>
          <cell r="Z2329">
            <v>0</v>
          </cell>
          <cell r="AA2329">
            <v>0</v>
          </cell>
          <cell r="AB2329">
            <v>4.4999999999999997E-3</v>
          </cell>
        </row>
        <row r="2330">
          <cell r="A2330">
            <v>42101100</v>
          </cell>
          <cell r="B2330" t="str">
            <v>Almonds, roasted</v>
          </cell>
          <cell r="I2330">
            <v>30</v>
          </cell>
          <cell r="J2330">
            <v>182.1</v>
          </cell>
          <cell r="K2330">
            <v>6.0699999999999994</v>
          </cell>
          <cell r="L2330">
            <v>0</v>
          </cell>
          <cell r="M2330">
            <v>1.2624</v>
          </cell>
          <cell r="N2330">
            <v>0</v>
          </cell>
          <cell r="O2330">
            <v>8.7300000000000003E-2</v>
          </cell>
          <cell r="P2330">
            <v>3.15</v>
          </cell>
          <cell r="Q2330">
            <v>4.0556999999999999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0.1017</v>
          </cell>
          <cell r="Y2330">
            <v>29.980125000000001</v>
          </cell>
          <cell r="Z2330">
            <v>0</v>
          </cell>
          <cell r="AA2330">
            <v>0</v>
          </cell>
          <cell r="AB2330">
            <v>0.1797705</v>
          </cell>
        </row>
        <row r="2331">
          <cell r="A2331">
            <v>42101110</v>
          </cell>
          <cell r="B2331" t="str">
            <v>Almonds, salted</v>
          </cell>
          <cell r="I2331">
            <v>30</v>
          </cell>
          <cell r="J2331">
            <v>180.18653</v>
          </cell>
          <cell r="K2331">
            <v>6.0062176666666671</v>
          </cell>
          <cell r="L2331">
            <v>0</v>
          </cell>
          <cell r="M2331">
            <v>1.3008523999999999</v>
          </cell>
          <cell r="N2331">
            <v>0</v>
          </cell>
          <cell r="O2331">
            <v>7.7289399999999994E-2</v>
          </cell>
          <cell r="P2331">
            <v>3.140495</v>
          </cell>
          <cell r="Q2331">
            <v>4.0996166000000001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0.1159916</v>
          </cell>
          <cell r="Y2331">
            <v>28.792793</v>
          </cell>
          <cell r="Z2331">
            <v>0</v>
          </cell>
          <cell r="AA2331">
            <v>0</v>
          </cell>
          <cell r="AB2331">
            <v>0.12663460000000001</v>
          </cell>
        </row>
        <row r="2332">
          <cell r="A2332">
            <v>42101120</v>
          </cell>
          <cell r="B2332" t="str">
            <v>Almonds, lightly salted</v>
          </cell>
          <cell r="I2332">
            <v>30</v>
          </cell>
          <cell r="J2332">
            <v>181.08299</v>
          </cell>
          <cell r="K2332">
            <v>6.0360996666666669</v>
          </cell>
          <cell r="L2332">
            <v>0</v>
          </cell>
          <cell r="M2332">
            <v>1.3073243000000001</v>
          </cell>
          <cell r="N2332">
            <v>0</v>
          </cell>
          <cell r="O2332">
            <v>7.7638100000000002E-2</v>
          </cell>
          <cell r="P2332">
            <v>3.1561194000000001</v>
          </cell>
          <cell r="Q2332">
            <v>4.1200127000000002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5.8720899999999999E-2</v>
          </cell>
          <cell r="Y2332">
            <v>28.936040999999999</v>
          </cell>
          <cell r="Z2332">
            <v>0</v>
          </cell>
          <cell r="AA2332">
            <v>0</v>
          </cell>
          <cell r="AB2332">
            <v>0.12729570000000001</v>
          </cell>
        </row>
        <row r="2333">
          <cell r="A2333">
            <v>42101130</v>
          </cell>
          <cell r="B2333" t="str">
            <v>Almonds, unsalted</v>
          </cell>
          <cell r="I2333">
            <v>30</v>
          </cell>
          <cell r="J2333">
            <v>181.98840000000001</v>
          </cell>
          <cell r="K2333">
            <v>6.0662800000000008</v>
          </cell>
          <cell r="L2333">
            <v>0</v>
          </cell>
          <cell r="M2333">
            <v>1.3138609999999999</v>
          </cell>
          <cell r="N2333">
            <v>0</v>
          </cell>
          <cell r="O2333">
            <v>7.7990299999999999E-2</v>
          </cell>
          <cell r="P2333">
            <v>3.1718999999999999</v>
          </cell>
          <cell r="Q2333">
            <v>4.1406128000000004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8.7750000000000002E-4</v>
          </cell>
          <cell r="Y2333">
            <v>29.080721</v>
          </cell>
          <cell r="Z2333">
            <v>0</v>
          </cell>
          <cell r="AA2333">
            <v>0</v>
          </cell>
          <cell r="AB2333">
            <v>0.12925809999999999</v>
          </cell>
        </row>
        <row r="2334">
          <cell r="A2334">
            <v>42101200</v>
          </cell>
          <cell r="B2334" t="str">
            <v>Almonds, dry roasted, salted</v>
          </cell>
          <cell r="I2334">
            <v>30</v>
          </cell>
          <cell r="J2334">
            <v>179.4</v>
          </cell>
          <cell r="K2334">
            <v>5.98</v>
          </cell>
          <cell r="L2334">
            <v>0</v>
          </cell>
          <cell r="M2334">
            <v>1.2276</v>
          </cell>
          <cell r="N2334">
            <v>0</v>
          </cell>
          <cell r="O2334">
            <v>8.0399999999999999E-2</v>
          </cell>
          <cell r="P2334">
            <v>3.27</v>
          </cell>
          <cell r="Q2334">
            <v>3.8864999999999998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0.14940000000000001</v>
          </cell>
          <cell r="Y2334">
            <v>29.980125000000001</v>
          </cell>
          <cell r="Z2334">
            <v>0</v>
          </cell>
          <cell r="AA2334">
            <v>0</v>
          </cell>
          <cell r="AB2334">
            <v>2.0999999999999999E-3</v>
          </cell>
        </row>
        <row r="2335">
          <cell r="A2335">
            <v>42101210</v>
          </cell>
          <cell r="B2335" t="str">
            <v>Almonds, dry roasted, without salt</v>
          </cell>
          <cell r="I2335">
            <v>30</v>
          </cell>
          <cell r="J2335">
            <v>179.4</v>
          </cell>
          <cell r="K2335">
            <v>5.98</v>
          </cell>
          <cell r="L2335">
            <v>0</v>
          </cell>
          <cell r="M2335">
            <v>1.2276</v>
          </cell>
          <cell r="N2335">
            <v>0</v>
          </cell>
          <cell r="O2335">
            <v>8.0399999999999999E-2</v>
          </cell>
          <cell r="P2335">
            <v>3.27</v>
          </cell>
          <cell r="Q2335">
            <v>3.8864999999999998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8.9999999999999998E-4</v>
          </cell>
          <cell r="Y2335">
            <v>29.980125000000001</v>
          </cell>
          <cell r="Z2335">
            <v>0</v>
          </cell>
          <cell r="AA2335">
            <v>0</v>
          </cell>
          <cell r="AB2335">
            <v>2.0999999999999999E-3</v>
          </cell>
        </row>
        <row r="2336">
          <cell r="A2336">
            <v>42101300</v>
          </cell>
          <cell r="B2336" t="str">
            <v>Almonds, flavored</v>
          </cell>
          <cell r="I2336">
            <v>30</v>
          </cell>
          <cell r="J2336">
            <v>179.65290999999999</v>
          </cell>
          <cell r="K2336">
            <v>5.9884303333333326</v>
          </cell>
          <cell r="L2336">
            <v>0</v>
          </cell>
          <cell r="M2336">
            <v>1.2969999999999999</v>
          </cell>
          <cell r="N2336">
            <v>0</v>
          </cell>
          <cell r="O2336">
            <v>7.7081800000000006E-2</v>
          </cell>
          <cell r="P2336">
            <v>3.1311944999999999</v>
          </cell>
          <cell r="Q2336">
            <v>4.0874756000000003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0.15008260000000001</v>
          </cell>
          <cell r="Y2336">
            <v>28.707522999999998</v>
          </cell>
          <cell r="Z2336">
            <v>0</v>
          </cell>
          <cell r="AA2336">
            <v>0</v>
          </cell>
          <cell r="AB2336">
            <v>0.12587400000000001</v>
          </cell>
        </row>
        <row r="2337">
          <cell r="A2337">
            <v>42101350</v>
          </cell>
          <cell r="B2337" t="str">
            <v>Almonds, honey roasted</v>
          </cell>
          <cell r="I2337">
            <v>30</v>
          </cell>
          <cell r="J2337">
            <v>172.37822</v>
          </cell>
          <cell r="K2337">
            <v>5.7459406666666668</v>
          </cell>
          <cell r="L2337">
            <v>0</v>
          </cell>
          <cell r="M2337">
            <v>1.2327371</v>
          </cell>
          <cell r="N2337">
            <v>0</v>
          </cell>
          <cell r="O2337">
            <v>5.4274799999999998E-2</v>
          </cell>
          <cell r="P2337">
            <v>2.2015842000000001</v>
          </cell>
          <cell r="Q2337">
            <v>3.8401114000000001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0.11580890000000001</v>
          </cell>
          <cell r="Y2337">
            <v>20.184639000000001</v>
          </cell>
          <cell r="Z2337">
            <v>0</v>
          </cell>
          <cell r="AA2337">
            <v>0</v>
          </cell>
          <cell r="AB2337">
            <v>0.14341329999999999</v>
          </cell>
        </row>
        <row r="2338">
          <cell r="A2338">
            <v>42102000</v>
          </cell>
          <cell r="B2338" t="str">
            <v>Brazil nuts</v>
          </cell>
          <cell r="I2338">
            <v>30</v>
          </cell>
          <cell r="J2338">
            <v>197.7</v>
          </cell>
          <cell r="K2338">
            <v>6.59</v>
          </cell>
          <cell r="L2338">
            <v>0</v>
          </cell>
          <cell r="M2338">
            <v>4.8402000000000003</v>
          </cell>
          <cell r="N2338">
            <v>0</v>
          </cell>
          <cell r="O2338">
            <v>4.8000000000000001E-2</v>
          </cell>
          <cell r="P2338">
            <v>2.25</v>
          </cell>
          <cell r="Q2338">
            <v>7.3197000000000001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8.9999999999999998E-4</v>
          </cell>
          <cell r="Y2338">
            <v>29.980125000000001</v>
          </cell>
          <cell r="Z2338">
            <v>0</v>
          </cell>
          <cell r="AA2338">
            <v>0</v>
          </cell>
          <cell r="AB2338">
            <v>9.6227499999999994E-2</v>
          </cell>
        </row>
        <row r="2339">
          <cell r="A2339">
            <v>42104000</v>
          </cell>
          <cell r="B2339" t="str">
            <v>Cashews, NFS</v>
          </cell>
          <cell r="I2339">
            <v>30</v>
          </cell>
          <cell r="J2339">
            <v>172.2</v>
          </cell>
          <cell r="K2339">
            <v>5.7399999999999993</v>
          </cell>
          <cell r="L2339">
            <v>0</v>
          </cell>
          <cell r="M2339">
            <v>2.7471000000000001</v>
          </cell>
          <cell r="N2339">
            <v>0</v>
          </cell>
          <cell r="O2339">
            <v>1.35E-2</v>
          </cell>
          <cell r="P2339">
            <v>0.9</v>
          </cell>
          <cell r="Q2339">
            <v>2.3508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4.7999999999999996E-3</v>
          </cell>
          <cell r="Y2339">
            <v>29.980125000000001</v>
          </cell>
          <cell r="Z2339">
            <v>0</v>
          </cell>
          <cell r="AA2339">
            <v>0</v>
          </cell>
          <cell r="AB2339">
            <v>0.21593029999999999</v>
          </cell>
        </row>
        <row r="2340">
          <cell r="A2340">
            <v>42104050</v>
          </cell>
          <cell r="B2340" t="str">
            <v>Cashews, unroasted</v>
          </cell>
          <cell r="I2340">
            <v>30</v>
          </cell>
          <cell r="J2340">
            <v>172.2</v>
          </cell>
          <cell r="K2340">
            <v>5.7399999999999993</v>
          </cell>
          <cell r="L2340">
            <v>0</v>
          </cell>
          <cell r="M2340">
            <v>2.7471000000000001</v>
          </cell>
          <cell r="N2340">
            <v>0</v>
          </cell>
          <cell r="O2340">
            <v>1.35E-2</v>
          </cell>
          <cell r="P2340">
            <v>0.9</v>
          </cell>
          <cell r="Q2340">
            <v>2.3508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4.7999999999999996E-3</v>
          </cell>
          <cell r="Y2340">
            <v>29.980125000000001</v>
          </cell>
          <cell r="Z2340">
            <v>0</v>
          </cell>
          <cell r="AA2340">
            <v>0</v>
          </cell>
          <cell r="AB2340">
            <v>7.9577099999999998E-2</v>
          </cell>
        </row>
        <row r="2341">
          <cell r="A2341">
            <v>42104100</v>
          </cell>
          <cell r="B2341" t="str">
            <v>Cashews, salted</v>
          </cell>
          <cell r="I2341">
            <v>30</v>
          </cell>
          <cell r="J2341">
            <v>173.27168</v>
          </cell>
          <cell r="K2341">
            <v>5.7757226666666668</v>
          </cell>
          <cell r="L2341">
            <v>0</v>
          </cell>
          <cell r="M2341">
            <v>2.7601741999999998</v>
          </cell>
          <cell r="N2341">
            <v>0</v>
          </cell>
          <cell r="O2341">
            <v>1.3038900000000001E-2</v>
          </cell>
          <cell r="P2341">
            <v>0.86435640000000002</v>
          </cell>
          <cell r="Q2341">
            <v>2.6247364000000002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0.1197371</v>
          </cell>
          <cell r="Y2341">
            <v>28.792793</v>
          </cell>
          <cell r="Z2341">
            <v>0</v>
          </cell>
          <cell r="AA2341">
            <v>0</v>
          </cell>
          <cell r="AB2341">
            <v>0.1838332</v>
          </cell>
        </row>
        <row r="2342">
          <cell r="A2342">
            <v>42104105</v>
          </cell>
          <cell r="B2342" t="str">
            <v>Cashews, lightly salted</v>
          </cell>
          <cell r="I2342">
            <v>30</v>
          </cell>
          <cell r="J2342">
            <v>174.13373000000001</v>
          </cell>
          <cell r="K2342">
            <v>5.804457666666667</v>
          </cell>
          <cell r="L2342">
            <v>0</v>
          </cell>
          <cell r="M2342">
            <v>2.7739064</v>
          </cell>
          <cell r="N2342">
            <v>0</v>
          </cell>
          <cell r="O2342">
            <v>1.30679E-2</v>
          </cell>
          <cell r="P2342">
            <v>0.86865669999999995</v>
          </cell>
          <cell r="Q2342">
            <v>2.6377948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6.2485100000000002E-2</v>
          </cell>
          <cell r="Y2342">
            <v>28.936040999999999</v>
          </cell>
          <cell r="Z2342">
            <v>0</v>
          </cell>
          <cell r="AA2342">
            <v>0</v>
          </cell>
          <cell r="AB2342">
            <v>7.7221200000000004E-2</v>
          </cell>
        </row>
        <row r="2343">
          <cell r="A2343">
            <v>42104110</v>
          </cell>
          <cell r="B2343" t="str">
            <v>Cashews, unsalted</v>
          </cell>
          <cell r="I2343">
            <v>30</v>
          </cell>
          <cell r="J2343">
            <v>175.0044</v>
          </cell>
          <cell r="K2343">
            <v>5.8334799999999998</v>
          </cell>
          <cell r="L2343">
            <v>0</v>
          </cell>
          <cell r="M2343">
            <v>2.787776</v>
          </cell>
          <cell r="N2343">
            <v>0</v>
          </cell>
          <cell r="O2343">
            <v>1.3097299999999999E-2</v>
          </cell>
          <cell r="P2343">
            <v>0.873</v>
          </cell>
          <cell r="Q2343">
            <v>2.6509838000000001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4.6604999999999997E-3</v>
          </cell>
          <cell r="Y2343">
            <v>29.080721</v>
          </cell>
          <cell r="Z2343">
            <v>0</v>
          </cell>
          <cell r="AA2343">
            <v>0</v>
          </cell>
          <cell r="AB2343">
            <v>0.13563700000000001</v>
          </cell>
        </row>
        <row r="2344">
          <cell r="A2344">
            <v>42104200</v>
          </cell>
          <cell r="B2344" t="str">
            <v>Cashew nuts, dry roasted, salted</v>
          </cell>
          <cell r="I2344">
            <v>30</v>
          </cell>
          <cell r="J2344">
            <v>172.2</v>
          </cell>
          <cell r="K2344">
            <v>5.7399999999999993</v>
          </cell>
          <cell r="L2344">
            <v>0</v>
          </cell>
          <cell r="M2344">
            <v>2.7471000000000001</v>
          </cell>
          <cell r="N2344">
            <v>0</v>
          </cell>
          <cell r="O2344">
            <v>1.35E-2</v>
          </cell>
          <cell r="P2344">
            <v>0.9</v>
          </cell>
          <cell r="Q2344">
            <v>2.3508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0.192</v>
          </cell>
          <cell r="Y2344">
            <v>29.980125000000001</v>
          </cell>
          <cell r="Z2344">
            <v>0</v>
          </cell>
          <cell r="AA2344">
            <v>0</v>
          </cell>
          <cell r="AB2344">
            <v>7.9880699999999999E-2</v>
          </cell>
        </row>
        <row r="2345">
          <cell r="A2345">
            <v>42104205</v>
          </cell>
          <cell r="B2345" t="str">
            <v>Cashew nuts, dry roasted, without salt</v>
          </cell>
          <cell r="I2345">
            <v>30</v>
          </cell>
          <cell r="J2345">
            <v>172.2</v>
          </cell>
          <cell r="K2345">
            <v>5.7399999999999993</v>
          </cell>
          <cell r="L2345">
            <v>0</v>
          </cell>
          <cell r="M2345">
            <v>2.7471000000000001</v>
          </cell>
          <cell r="N2345">
            <v>0</v>
          </cell>
          <cell r="O2345">
            <v>1.35E-2</v>
          </cell>
          <cell r="P2345">
            <v>0.9</v>
          </cell>
          <cell r="Q2345">
            <v>2.3508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4.7999999999999996E-3</v>
          </cell>
          <cell r="Y2345">
            <v>29.980125000000001</v>
          </cell>
          <cell r="Z2345">
            <v>0</v>
          </cell>
          <cell r="AA2345">
            <v>0</v>
          </cell>
          <cell r="AB2345">
            <v>7.9997700000000005E-2</v>
          </cell>
        </row>
        <row r="2346">
          <cell r="A2346">
            <v>42104500</v>
          </cell>
          <cell r="B2346" t="str">
            <v>Cashews, honey roasted</v>
          </cell>
          <cell r="I2346">
            <v>30</v>
          </cell>
          <cell r="J2346">
            <v>167.53068999999999</v>
          </cell>
          <cell r="K2346">
            <v>5.584356333333333</v>
          </cell>
          <cell r="L2346">
            <v>0</v>
          </cell>
          <cell r="M2346">
            <v>2.2557668</v>
          </cell>
          <cell r="N2346">
            <v>0</v>
          </cell>
          <cell r="O2346">
            <v>9.2332000000000004E-3</v>
          </cell>
          <cell r="P2346">
            <v>0.60594060000000005</v>
          </cell>
          <cell r="Q2346">
            <v>2.8061748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0.1184347</v>
          </cell>
          <cell r="Y2346">
            <v>20.184639000000001</v>
          </cell>
          <cell r="Z2346">
            <v>0</v>
          </cell>
          <cell r="AA2346">
            <v>0</v>
          </cell>
          <cell r="AB2346">
            <v>0.20375740000000001</v>
          </cell>
        </row>
        <row r="2347">
          <cell r="A2347">
            <v>42105000</v>
          </cell>
          <cell r="B2347" t="str">
            <v>Chestnuts</v>
          </cell>
          <cell r="I2347">
            <v>30</v>
          </cell>
          <cell r="J2347">
            <v>73.5</v>
          </cell>
          <cell r="K2347">
            <v>2.4500000000000002</v>
          </cell>
          <cell r="L2347">
            <v>0</v>
          </cell>
          <cell r="M2347">
            <v>0.1242</v>
          </cell>
          <cell r="N2347">
            <v>0</v>
          </cell>
          <cell r="O2347">
            <v>8.6999999999999994E-3</v>
          </cell>
          <cell r="P2347">
            <v>1.53</v>
          </cell>
          <cell r="Q2347">
            <v>0.26069999999999999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5.9999999999999995E-4</v>
          </cell>
          <cell r="Y2347">
            <v>29.980125000000001</v>
          </cell>
          <cell r="Z2347">
            <v>0</v>
          </cell>
          <cell r="AA2347">
            <v>0</v>
          </cell>
          <cell r="AB2347">
            <v>0</v>
          </cell>
        </row>
        <row r="2348">
          <cell r="A2348">
            <v>42106000</v>
          </cell>
          <cell r="B2348" t="str">
            <v>Coconut, fresh</v>
          </cell>
          <cell r="I2348">
            <v>30</v>
          </cell>
          <cell r="J2348">
            <v>106.2</v>
          </cell>
          <cell r="K2348">
            <v>3.54</v>
          </cell>
          <cell r="L2348">
            <v>0</v>
          </cell>
          <cell r="M2348">
            <v>8.9093999999999998</v>
          </cell>
          <cell r="N2348">
            <v>0</v>
          </cell>
          <cell r="O2348">
            <v>4.1999999999999997E-3</v>
          </cell>
          <cell r="P2348">
            <v>2.7</v>
          </cell>
          <cell r="Q2348">
            <v>0.10979999999999999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6.0000000000000001E-3</v>
          </cell>
          <cell r="Y2348">
            <v>0</v>
          </cell>
          <cell r="Z2348">
            <v>0</v>
          </cell>
          <cell r="AA2348">
            <v>0</v>
          </cell>
          <cell r="AB2348">
            <v>0.1901003</v>
          </cell>
        </row>
        <row r="2349">
          <cell r="A2349">
            <v>42106020</v>
          </cell>
          <cell r="B2349" t="str">
            <v>Coconut, packaged</v>
          </cell>
          <cell r="I2349">
            <v>30</v>
          </cell>
          <cell r="J2349">
            <v>136.80000000000001</v>
          </cell>
          <cell r="K2349">
            <v>4.5600000000000005</v>
          </cell>
          <cell r="L2349">
            <v>0</v>
          </cell>
          <cell r="M2349">
            <v>7.9188000000000001</v>
          </cell>
          <cell r="N2349">
            <v>0</v>
          </cell>
          <cell r="O2349">
            <v>3.3E-3</v>
          </cell>
          <cell r="P2349">
            <v>2.97</v>
          </cell>
          <cell r="Q2349">
            <v>6.6600000000000006E-2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8.5500000000000007E-2</v>
          </cell>
          <cell r="Y2349">
            <v>0</v>
          </cell>
          <cell r="Z2349">
            <v>0</v>
          </cell>
          <cell r="AA2349">
            <v>0</v>
          </cell>
          <cell r="AB2349">
            <v>5.9999999999999995E-4</v>
          </cell>
        </row>
        <row r="2350">
          <cell r="A2350">
            <v>42107000</v>
          </cell>
          <cell r="B2350" t="str">
            <v>Hazelnuts</v>
          </cell>
          <cell r="I2350">
            <v>30</v>
          </cell>
          <cell r="J2350">
            <v>188.4</v>
          </cell>
          <cell r="K2350">
            <v>6.28</v>
          </cell>
          <cell r="L2350">
            <v>0</v>
          </cell>
          <cell r="M2350">
            <v>1.3391999999999999</v>
          </cell>
          <cell r="N2350">
            <v>0</v>
          </cell>
          <cell r="O2350">
            <v>3.4200000000000001E-2</v>
          </cell>
          <cell r="P2350">
            <v>2.91</v>
          </cell>
          <cell r="Q2350">
            <v>2.3759999999999999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29.980125000000001</v>
          </cell>
          <cell r="Z2350">
            <v>0</v>
          </cell>
          <cell r="AA2350">
            <v>0</v>
          </cell>
          <cell r="AB2350">
            <v>0.3881308</v>
          </cell>
        </row>
        <row r="2351">
          <cell r="A2351">
            <v>42109000</v>
          </cell>
          <cell r="B2351" t="str">
            <v>Macadamia nuts, unroasted</v>
          </cell>
          <cell r="I2351">
            <v>30</v>
          </cell>
          <cell r="J2351">
            <v>214.8</v>
          </cell>
          <cell r="K2351">
            <v>7.16</v>
          </cell>
          <cell r="L2351">
            <v>0</v>
          </cell>
          <cell r="M2351">
            <v>3.5840999999999998</v>
          </cell>
          <cell r="N2351">
            <v>0</v>
          </cell>
          <cell r="O2351">
            <v>2.1000000000000001E-2</v>
          </cell>
          <cell r="P2351">
            <v>2.4</v>
          </cell>
          <cell r="Q2351">
            <v>0.44940000000000002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0.10589999999999999</v>
          </cell>
          <cell r="Y2351">
            <v>29.980125000000001</v>
          </cell>
          <cell r="Z2351">
            <v>0</v>
          </cell>
          <cell r="AA2351">
            <v>0</v>
          </cell>
          <cell r="AB2351">
            <v>0</v>
          </cell>
        </row>
        <row r="2352">
          <cell r="A2352">
            <v>42109100</v>
          </cell>
          <cell r="B2352" t="str">
            <v>Macadamia nuts</v>
          </cell>
          <cell r="I2352">
            <v>30</v>
          </cell>
          <cell r="J2352">
            <v>214.8</v>
          </cell>
          <cell r="K2352">
            <v>7.16</v>
          </cell>
          <cell r="L2352">
            <v>0</v>
          </cell>
          <cell r="M2352">
            <v>3.5840999999999998</v>
          </cell>
          <cell r="N2352">
            <v>0</v>
          </cell>
          <cell r="O2352">
            <v>2.1000000000000001E-2</v>
          </cell>
          <cell r="P2352">
            <v>2.4</v>
          </cell>
          <cell r="Q2352">
            <v>0.44940000000000002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0.10589999999999999</v>
          </cell>
          <cell r="Y2352">
            <v>29.980125000000001</v>
          </cell>
          <cell r="Z2352">
            <v>0</v>
          </cell>
          <cell r="AA2352">
            <v>0</v>
          </cell>
          <cell r="AB2352">
            <v>0</v>
          </cell>
        </row>
        <row r="2353">
          <cell r="A2353">
            <v>42110000</v>
          </cell>
          <cell r="B2353" t="str">
            <v>Mixed nuts, NFS</v>
          </cell>
          <cell r="I2353">
            <v>30</v>
          </cell>
          <cell r="J2353">
            <v>181.41428999999999</v>
          </cell>
          <cell r="K2353">
            <v>6.0471430000000002</v>
          </cell>
          <cell r="L2353">
            <v>0</v>
          </cell>
          <cell r="M2353">
            <v>2.2794791000000001</v>
          </cell>
          <cell r="N2353">
            <v>0</v>
          </cell>
          <cell r="O2353">
            <v>2.8038199999999999E-2</v>
          </cell>
          <cell r="P2353">
            <v>2.2767857</v>
          </cell>
          <cell r="Q2353">
            <v>4.0681797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9.41076E-2</v>
          </cell>
          <cell r="Y2353">
            <v>28.403789</v>
          </cell>
          <cell r="Z2353">
            <v>0</v>
          </cell>
          <cell r="AA2353">
            <v>0</v>
          </cell>
          <cell r="AB2353">
            <v>7.5819200000000003E-2</v>
          </cell>
        </row>
        <row r="2354">
          <cell r="A2354">
            <v>42110015</v>
          </cell>
          <cell r="B2354" t="str">
            <v>Mixed nuts, salted</v>
          </cell>
          <cell r="I2354">
            <v>30</v>
          </cell>
          <cell r="J2354">
            <v>184.5</v>
          </cell>
          <cell r="K2354">
            <v>6.15</v>
          </cell>
          <cell r="L2354">
            <v>0</v>
          </cell>
          <cell r="M2354">
            <v>2.7261000000000002</v>
          </cell>
          <cell r="N2354">
            <v>0</v>
          </cell>
          <cell r="O2354">
            <v>3.1800000000000002E-2</v>
          </cell>
          <cell r="P2354">
            <v>1.65</v>
          </cell>
          <cell r="Q2354">
            <v>3.4346999999999999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9.1800000000000007E-2</v>
          </cell>
          <cell r="Y2354">
            <v>29.980125000000001</v>
          </cell>
          <cell r="Z2354">
            <v>0</v>
          </cell>
          <cell r="AA2354">
            <v>0</v>
          </cell>
          <cell r="AB2354">
            <v>0.12803110000000001</v>
          </cell>
        </row>
        <row r="2355">
          <cell r="A2355">
            <v>42110020</v>
          </cell>
          <cell r="B2355" t="str">
            <v>Mixed nuts, without salt</v>
          </cell>
          <cell r="I2355">
            <v>30</v>
          </cell>
          <cell r="J2355">
            <v>182.1</v>
          </cell>
          <cell r="K2355">
            <v>6.0699999999999994</v>
          </cell>
          <cell r="L2355">
            <v>0</v>
          </cell>
          <cell r="M2355">
            <v>2.403</v>
          </cell>
          <cell r="N2355">
            <v>0</v>
          </cell>
          <cell r="O2355">
            <v>2.6100000000000002E-2</v>
          </cell>
          <cell r="P2355">
            <v>1.92</v>
          </cell>
          <cell r="Q2355">
            <v>2.9573999999999998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1.1999999999999999E-3</v>
          </cell>
          <cell r="Y2355">
            <v>29.980125000000001</v>
          </cell>
          <cell r="Z2355">
            <v>0</v>
          </cell>
          <cell r="AA2355">
            <v>0</v>
          </cell>
          <cell r="AB2355">
            <v>9.9000000000000008E-3</v>
          </cell>
        </row>
        <row r="2356">
          <cell r="A2356">
            <v>42110100</v>
          </cell>
          <cell r="B2356" t="str">
            <v>Mixed nuts, with peanuts, salted</v>
          </cell>
          <cell r="I2356">
            <v>30</v>
          </cell>
          <cell r="J2356">
            <v>181.41428999999999</v>
          </cell>
          <cell r="K2356">
            <v>6.0471430000000002</v>
          </cell>
          <cell r="L2356">
            <v>0</v>
          </cell>
          <cell r="M2356">
            <v>2.2794791000000001</v>
          </cell>
          <cell r="N2356">
            <v>0</v>
          </cell>
          <cell r="O2356">
            <v>2.8038199999999999E-2</v>
          </cell>
          <cell r="P2356">
            <v>2.2767857</v>
          </cell>
          <cell r="Q2356">
            <v>4.0681797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9.41076E-2</v>
          </cell>
          <cell r="Y2356">
            <v>28.403789</v>
          </cell>
          <cell r="Z2356">
            <v>0</v>
          </cell>
          <cell r="AA2356">
            <v>0</v>
          </cell>
          <cell r="AB2356">
            <v>0.13378280000000001</v>
          </cell>
        </row>
        <row r="2357">
          <cell r="A2357">
            <v>42110110</v>
          </cell>
          <cell r="B2357" t="str">
            <v>Mixed nuts, with peanuts, lightly salted</v>
          </cell>
          <cell r="I2357">
            <v>30</v>
          </cell>
          <cell r="J2357">
            <v>182.13704999999999</v>
          </cell>
          <cell r="K2357">
            <v>6.0712349999999997</v>
          </cell>
          <cell r="L2357">
            <v>0</v>
          </cell>
          <cell r="M2357">
            <v>2.2885607000000001</v>
          </cell>
          <cell r="N2357">
            <v>0</v>
          </cell>
          <cell r="O2357">
            <v>2.8121199999999999E-2</v>
          </cell>
          <cell r="P2357">
            <v>2.2858565999999998</v>
          </cell>
          <cell r="Q2357">
            <v>4.0843876000000003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4.8158199999999998E-2</v>
          </cell>
          <cell r="Y2357">
            <v>28.516952</v>
          </cell>
          <cell r="Z2357">
            <v>0</v>
          </cell>
          <cell r="AA2357">
            <v>0</v>
          </cell>
          <cell r="AB2357">
            <v>0.1403123</v>
          </cell>
        </row>
        <row r="2358">
          <cell r="A2358">
            <v>42110120</v>
          </cell>
          <cell r="B2358" t="str">
            <v>Mixed nuts, with peanuts, unsalted</v>
          </cell>
          <cell r="I2358">
            <v>30</v>
          </cell>
          <cell r="J2358">
            <v>182.8656</v>
          </cell>
          <cell r="K2358">
            <v>6.0955199999999996</v>
          </cell>
          <cell r="L2358">
            <v>0</v>
          </cell>
          <cell r="M2358">
            <v>2.2977148999999999</v>
          </cell>
          <cell r="N2358">
            <v>0</v>
          </cell>
          <cell r="O2358">
            <v>2.8204900000000001E-2</v>
          </cell>
          <cell r="P2358">
            <v>2.2949999999999999</v>
          </cell>
          <cell r="Q2358">
            <v>4.1007251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1.8412999999999999E-3</v>
          </cell>
          <cell r="Y2358">
            <v>28.631018999999998</v>
          </cell>
          <cell r="Z2358">
            <v>0</v>
          </cell>
          <cell r="AA2358">
            <v>0</v>
          </cell>
          <cell r="AB2358">
            <v>0.1418412</v>
          </cell>
        </row>
        <row r="2359">
          <cell r="A2359">
            <v>42110150</v>
          </cell>
          <cell r="B2359" t="str">
            <v>Mixed nuts, without peanuts, salted</v>
          </cell>
          <cell r="I2359">
            <v>30</v>
          </cell>
          <cell r="J2359">
            <v>182.92955000000001</v>
          </cell>
          <cell r="K2359">
            <v>6.0976516666666667</v>
          </cell>
          <cell r="L2359">
            <v>-2.6599999999999998E-16</v>
          </cell>
          <cell r="M2359">
            <v>2.1508379999999998</v>
          </cell>
          <cell r="N2359">
            <v>0</v>
          </cell>
          <cell r="O2359">
            <v>4.0241800000000001E-2</v>
          </cell>
          <cell r="P2359">
            <v>2.1971660000000002</v>
          </cell>
          <cell r="Q2359">
            <v>4.7018326999999998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9.6118099999999998E-2</v>
          </cell>
          <cell r="Y2359">
            <v>28.827043</v>
          </cell>
          <cell r="Z2359">
            <v>0</v>
          </cell>
          <cell r="AA2359">
            <v>0</v>
          </cell>
          <cell r="AB2359">
            <v>0.10884969999999999</v>
          </cell>
        </row>
        <row r="2360">
          <cell r="A2360">
            <v>42110160</v>
          </cell>
          <cell r="B2360" t="str">
            <v>Mixed nuts, without peanuts, unsalted</v>
          </cell>
          <cell r="I2360">
            <v>30</v>
          </cell>
          <cell r="J2360">
            <v>184.42285999999999</v>
          </cell>
          <cell r="K2360">
            <v>6.1474286666666664</v>
          </cell>
          <cell r="L2360">
            <v>0</v>
          </cell>
          <cell r="M2360">
            <v>2.1683959000000002</v>
          </cell>
          <cell r="N2360">
            <v>0</v>
          </cell>
          <cell r="O2360">
            <v>4.0511499999999999E-2</v>
          </cell>
          <cell r="P2360">
            <v>2.2151019999999999</v>
          </cell>
          <cell r="Q2360">
            <v>4.7402151000000003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1.9851999999999999E-3</v>
          </cell>
          <cell r="Y2360">
            <v>29.062366000000001</v>
          </cell>
          <cell r="Z2360">
            <v>0</v>
          </cell>
          <cell r="AA2360">
            <v>0</v>
          </cell>
          <cell r="AB2360">
            <v>0.1091221</v>
          </cell>
        </row>
        <row r="2361">
          <cell r="A2361">
            <v>42110200</v>
          </cell>
          <cell r="B2361" t="str">
            <v>Mixed nuts, dry roasted</v>
          </cell>
          <cell r="I2361">
            <v>30</v>
          </cell>
          <cell r="J2361">
            <v>178.2</v>
          </cell>
          <cell r="K2361">
            <v>5.9399999999999995</v>
          </cell>
          <cell r="L2361">
            <v>0</v>
          </cell>
          <cell r="M2361">
            <v>1.95</v>
          </cell>
          <cell r="N2361">
            <v>0</v>
          </cell>
          <cell r="O2361">
            <v>2.1000000000000001E-2</v>
          </cell>
          <cell r="P2361">
            <v>2.7</v>
          </cell>
          <cell r="Q2361">
            <v>3.2303999999999999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0.10349999999999999</v>
          </cell>
          <cell r="Y2361">
            <v>29.980125000000001</v>
          </cell>
          <cell r="Z2361">
            <v>0</v>
          </cell>
          <cell r="AA2361">
            <v>0</v>
          </cell>
          <cell r="AB2361">
            <v>8.6251599999999998E-2</v>
          </cell>
        </row>
        <row r="2362">
          <cell r="A2362">
            <v>42110300</v>
          </cell>
          <cell r="B2362" t="str">
            <v>Mixed nuts, honey roasted</v>
          </cell>
          <cell r="I2362">
            <v>30</v>
          </cell>
          <cell r="J2362">
            <v>173.59730999999999</v>
          </cell>
          <cell r="K2362">
            <v>5.7865769999999994</v>
          </cell>
          <cell r="L2362">
            <v>0</v>
          </cell>
          <cell r="M2362">
            <v>1.9719009999999999</v>
          </cell>
          <cell r="N2362">
            <v>0</v>
          </cell>
          <cell r="O2362">
            <v>2.1915500000000001E-2</v>
          </cell>
          <cell r="P2362">
            <v>1.7815235</v>
          </cell>
          <cell r="Q2362">
            <v>3.7429589000000001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0.1166078</v>
          </cell>
          <cell r="Y2362">
            <v>22.214006999999999</v>
          </cell>
          <cell r="Z2362">
            <v>0</v>
          </cell>
          <cell r="AA2362">
            <v>0</v>
          </cell>
          <cell r="AB2362">
            <v>5.7929899999999999E-2</v>
          </cell>
        </row>
        <row r="2363">
          <cell r="A2363">
            <v>42111000</v>
          </cell>
          <cell r="B2363" t="str">
            <v>Peanuts, NFS</v>
          </cell>
          <cell r="I2363">
            <v>30</v>
          </cell>
          <cell r="J2363">
            <v>176.1</v>
          </cell>
          <cell r="K2363">
            <v>5.87</v>
          </cell>
          <cell r="L2363">
            <v>0</v>
          </cell>
          <cell r="M2363">
            <v>2.3169</v>
          </cell>
          <cell r="N2363">
            <v>0</v>
          </cell>
          <cell r="O2363">
            <v>1.7399999999999999E-2</v>
          </cell>
          <cell r="P2363">
            <v>2.52</v>
          </cell>
          <cell r="Q2363">
            <v>2.9319000000000002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0.123</v>
          </cell>
          <cell r="Y2363">
            <v>29.980125000000001</v>
          </cell>
          <cell r="Z2363">
            <v>0</v>
          </cell>
          <cell r="AA2363">
            <v>0</v>
          </cell>
          <cell r="AB2363">
            <v>8.0999999999999996E-3</v>
          </cell>
        </row>
        <row r="2364">
          <cell r="A2364">
            <v>42111030</v>
          </cell>
          <cell r="B2364" t="str">
            <v>Peanuts, boiled</v>
          </cell>
          <cell r="I2364">
            <v>30</v>
          </cell>
          <cell r="J2364">
            <v>95.4</v>
          </cell>
          <cell r="K2364">
            <v>3.18</v>
          </cell>
          <cell r="L2364">
            <v>0</v>
          </cell>
          <cell r="M2364">
            <v>0.91649999999999998</v>
          </cell>
          <cell r="N2364">
            <v>0</v>
          </cell>
          <cell r="O2364">
            <v>1.6500000000000001E-2</v>
          </cell>
          <cell r="P2364">
            <v>2.64</v>
          </cell>
          <cell r="Q2364">
            <v>2.0868000000000002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0.2253</v>
          </cell>
          <cell r="Y2364">
            <v>29.980125000000001</v>
          </cell>
          <cell r="Z2364">
            <v>0</v>
          </cell>
          <cell r="AA2364">
            <v>0</v>
          </cell>
          <cell r="AB2364">
            <v>0</v>
          </cell>
        </row>
        <row r="2365">
          <cell r="A2365">
            <v>42111040</v>
          </cell>
          <cell r="B2365" t="str">
            <v>Peanuts, unroasted</v>
          </cell>
          <cell r="I2365">
            <v>30</v>
          </cell>
          <cell r="J2365">
            <v>170.1</v>
          </cell>
          <cell r="K2365">
            <v>5.67</v>
          </cell>
          <cell r="L2365">
            <v>0</v>
          </cell>
          <cell r="M2365">
            <v>1.8836999999999999</v>
          </cell>
          <cell r="N2365">
            <v>0</v>
          </cell>
          <cell r="O2365">
            <v>2.76E-2</v>
          </cell>
          <cell r="P2365">
            <v>2.5499999999999998</v>
          </cell>
          <cell r="Q2365">
            <v>4.6673999999999998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5.4000000000000003E-3</v>
          </cell>
          <cell r="Y2365">
            <v>29.980125000000001</v>
          </cell>
          <cell r="Z2365">
            <v>0</v>
          </cell>
          <cell r="AA2365">
            <v>0</v>
          </cell>
          <cell r="AB2365">
            <v>0</v>
          </cell>
        </row>
        <row r="2366">
          <cell r="A2366">
            <v>42111100</v>
          </cell>
          <cell r="B2366" t="str">
            <v>Peanuts, roasted, salted</v>
          </cell>
          <cell r="I2366">
            <v>30</v>
          </cell>
          <cell r="J2366">
            <v>179.7</v>
          </cell>
          <cell r="K2366">
            <v>5.9899999999999993</v>
          </cell>
          <cell r="L2366">
            <v>0</v>
          </cell>
          <cell r="M2366">
            <v>2.5964999999999998</v>
          </cell>
          <cell r="N2366">
            <v>0</v>
          </cell>
          <cell r="O2366">
            <v>1.83E-2</v>
          </cell>
          <cell r="P2366">
            <v>2.82</v>
          </cell>
          <cell r="Q2366">
            <v>4.5909000000000004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9.6000000000000002E-2</v>
          </cell>
          <cell r="Y2366">
            <v>29.980125000000001</v>
          </cell>
          <cell r="Z2366">
            <v>0</v>
          </cell>
          <cell r="AA2366">
            <v>0</v>
          </cell>
          <cell r="AB2366">
            <v>0</v>
          </cell>
        </row>
        <row r="2367">
          <cell r="A2367">
            <v>42111110</v>
          </cell>
          <cell r="B2367" t="str">
            <v>Peanuts, roasted, unsalted</v>
          </cell>
          <cell r="I2367">
            <v>30</v>
          </cell>
          <cell r="J2367">
            <v>179.7</v>
          </cell>
          <cell r="K2367">
            <v>5.9899999999999993</v>
          </cell>
          <cell r="L2367">
            <v>0</v>
          </cell>
          <cell r="M2367">
            <v>2.6057999999999999</v>
          </cell>
          <cell r="N2367">
            <v>0</v>
          </cell>
          <cell r="O2367">
            <v>1.83E-2</v>
          </cell>
          <cell r="P2367">
            <v>2.82</v>
          </cell>
          <cell r="Q2367">
            <v>4.5876000000000001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1.8E-3</v>
          </cell>
          <cell r="Y2367">
            <v>29.980125000000001</v>
          </cell>
          <cell r="Z2367">
            <v>0</v>
          </cell>
          <cell r="AA2367">
            <v>0</v>
          </cell>
          <cell r="AB2367">
            <v>0</v>
          </cell>
        </row>
        <row r="2368">
          <cell r="A2368">
            <v>42111200</v>
          </cell>
          <cell r="B2368" t="str">
            <v>Peanuts, dry roasted, salted</v>
          </cell>
          <cell r="I2368">
            <v>30</v>
          </cell>
          <cell r="J2368">
            <v>176.1</v>
          </cell>
          <cell r="K2368">
            <v>5.87</v>
          </cell>
          <cell r="L2368">
            <v>0</v>
          </cell>
          <cell r="M2368">
            <v>2.3169</v>
          </cell>
          <cell r="N2368">
            <v>0</v>
          </cell>
          <cell r="O2368">
            <v>1.7399999999999999E-2</v>
          </cell>
          <cell r="P2368">
            <v>2.52</v>
          </cell>
          <cell r="Q2368">
            <v>2.9319000000000002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0.123</v>
          </cell>
          <cell r="Y2368">
            <v>29.980125000000001</v>
          </cell>
          <cell r="Z2368">
            <v>0</v>
          </cell>
          <cell r="AA2368">
            <v>0</v>
          </cell>
          <cell r="AB2368">
            <v>8.0999999999999996E-3</v>
          </cell>
        </row>
        <row r="2369">
          <cell r="A2369">
            <v>42111205</v>
          </cell>
          <cell r="B2369" t="str">
            <v>Peanuts, dry roasted, lightly salted</v>
          </cell>
          <cell r="I2369">
            <v>30</v>
          </cell>
          <cell r="J2369">
            <v>175.22388000000001</v>
          </cell>
          <cell r="K2369">
            <v>5.8407960000000001</v>
          </cell>
          <cell r="L2369">
            <v>0</v>
          </cell>
          <cell r="M2369">
            <v>2.3053731000000002</v>
          </cell>
          <cell r="N2369">
            <v>0</v>
          </cell>
          <cell r="O2369">
            <v>1.7349300000000002E-2</v>
          </cell>
          <cell r="P2369">
            <v>2.5074627</v>
          </cell>
          <cell r="Q2369">
            <v>2.9173133999999998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5.9638799999999999E-2</v>
          </cell>
          <cell r="Y2369">
            <v>29.830970000000001</v>
          </cell>
          <cell r="Z2369">
            <v>0</v>
          </cell>
          <cell r="AA2369">
            <v>0</v>
          </cell>
          <cell r="AB2369">
            <v>8.0596999999999995E-3</v>
          </cell>
        </row>
        <row r="2370">
          <cell r="A2370">
            <v>42111210</v>
          </cell>
          <cell r="B2370" t="str">
            <v>Peanuts, dry roasted, unsalted</v>
          </cell>
          <cell r="I2370">
            <v>30</v>
          </cell>
          <cell r="J2370">
            <v>176.1</v>
          </cell>
          <cell r="K2370">
            <v>5.87</v>
          </cell>
          <cell r="L2370">
            <v>0</v>
          </cell>
          <cell r="M2370">
            <v>2.3169</v>
          </cell>
          <cell r="N2370">
            <v>0</v>
          </cell>
          <cell r="O2370">
            <v>1.7399999999999999E-2</v>
          </cell>
          <cell r="P2370">
            <v>2.52</v>
          </cell>
          <cell r="Q2370">
            <v>2.9319000000000002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1.8E-3</v>
          </cell>
          <cell r="Y2370">
            <v>29.980125000000001</v>
          </cell>
          <cell r="Z2370">
            <v>0</v>
          </cell>
          <cell r="AA2370">
            <v>0</v>
          </cell>
          <cell r="AB2370">
            <v>8.0999999999999996E-3</v>
          </cell>
        </row>
        <row r="2371">
          <cell r="A2371">
            <v>42111500</v>
          </cell>
          <cell r="B2371" t="str">
            <v>Peanuts, honey roasted</v>
          </cell>
          <cell r="I2371">
            <v>30</v>
          </cell>
          <cell r="J2371">
            <v>171.5874</v>
          </cell>
          <cell r="K2371">
            <v>5.7195799999999997</v>
          </cell>
          <cell r="L2371">
            <v>2.6649999999999999E-16</v>
          </cell>
          <cell r="M2371">
            <v>2.092454</v>
          </cell>
          <cell r="N2371">
            <v>0</v>
          </cell>
          <cell r="O2371">
            <v>1.4828300000000001E-2</v>
          </cell>
          <cell r="P2371">
            <v>2.1419999999999999</v>
          </cell>
          <cell r="Q2371">
            <v>2.8628228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0.1045905</v>
          </cell>
          <cell r="Y2371">
            <v>25.483105999999999</v>
          </cell>
          <cell r="Z2371">
            <v>0</v>
          </cell>
          <cell r="AA2371">
            <v>0</v>
          </cell>
          <cell r="AB2371">
            <v>1.00742E-2</v>
          </cell>
        </row>
        <row r="2372">
          <cell r="A2372">
            <v>42112000</v>
          </cell>
          <cell r="B2372" t="str">
            <v>Pecans, NFS</v>
          </cell>
          <cell r="I2372">
            <v>30</v>
          </cell>
          <cell r="J2372">
            <v>207.3</v>
          </cell>
          <cell r="K2372">
            <v>6.91</v>
          </cell>
          <cell r="L2372">
            <v>0</v>
          </cell>
          <cell r="M2372">
            <v>1.8540000000000001</v>
          </cell>
          <cell r="N2372">
            <v>0</v>
          </cell>
          <cell r="O2372">
            <v>2.1000000000000001E-2</v>
          </cell>
          <cell r="P2372">
            <v>2.88</v>
          </cell>
          <cell r="Q2372">
            <v>6.4842000000000004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29.980125000000001</v>
          </cell>
          <cell r="Z2372">
            <v>0</v>
          </cell>
          <cell r="AA2372">
            <v>0</v>
          </cell>
          <cell r="AB2372">
            <v>0.36829889999999998</v>
          </cell>
        </row>
        <row r="2373">
          <cell r="A2373">
            <v>42112100</v>
          </cell>
          <cell r="B2373" t="str">
            <v>Pecans, unroasted</v>
          </cell>
          <cell r="I2373">
            <v>30</v>
          </cell>
          <cell r="J2373">
            <v>207.3</v>
          </cell>
          <cell r="K2373">
            <v>6.91</v>
          </cell>
          <cell r="L2373">
            <v>0</v>
          </cell>
          <cell r="M2373">
            <v>1.8540000000000001</v>
          </cell>
          <cell r="N2373">
            <v>0</v>
          </cell>
          <cell r="O2373">
            <v>2.1000000000000001E-2</v>
          </cell>
          <cell r="P2373">
            <v>2.88</v>
          </cell>
          <cell r="Q2373">
            <v>6.4842000000000004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29.980125000000001</v>
          </cell>
          <cell r="Z2373">
            <v>0</v>
          </cell>
          <cell r="AA2373">
            <v>0</v>
          </cell>
          <cell r="AB2373">
            <v>0.36855559999999998</v>
          </cell>
        </row>
        <row r="2374">
          <cell r="A2374">
            <v>42112200</v>
          </cell>
          <cell r="B2374" t="str">
            <v>Pecans, salted</v>
          </cell>
          <cell r="I2374">
            <v>30</v>
          </cell>
          <cell r="J2374">
            <v>206.98158000000001</v>
          </cell>
          <cell r="K2374">
            <v>6.8993860000000007</v>
          </cell>
          <cell r="L2374">
            <v>0</v>
          </cell>
          <cell r="M2374">
            <v>1.9024445000000001</v>
          </cell>
          <cell r="N2374">
            <v>0</v>
          </cell>
          <cell r="O2374">
            <v>2.0241800000000001E-2</v>
          </cell>
          <cell r="P2374">
            <v>2.7659406</v>
          </cell>
          <cell r="Q2374">
            <v>6.5944374000000003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0.1151272</v>
          </cell>
          <cell r="Y2374">
            <v>28.792793</v>
          </cell>
          <cell r="Z2374">
            <v>0</v>
          </cell>
          <cell r="AA2374">
            <v>0</v>
          </cell>
          <cell r="AB2374">
            <v>0.35316540000000002</v>
          </cell>
        </row>
        <row r="2375">
          <cell r="A2375">
            <v>42112210</v>
          </cell>
          <cell r="B2375" t="str">
            <v>Pecans, unsalted</v>
          </cell>
          <cell r="I2375">
            <v>30</v>
          </cell>
          <cell r="J2375">
            <v>209.0514</v>
          </cell>
          <cell r="K2375">
            <v>6.9683799999999998</v>
          </cell>
          <cell r="L2375">
            <v>0</v>
          </cell>
          <cell r="M2375">
            <v>1.9214690000000001</v>
          </cell>
          <cell r="N2375">
            <v>0</v>
          </cell>
          <cell r="O2375">
            <v>2.0372299999999999E-2</v>
          </cell>
          <cell r="P2375">
            <v>2.7936000000000001</v>
          </cell>
          <cell r="Q2375">
            <v>6.6603817999999997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4.5000000000000001E-6</v>
          </cell>
          <cell r="Y2375">
            <v>29.080721</v>
          </cell>
          <cell r="Z2375">
            <v>0</v>
          </cell>
          <cell r="AA2375">
            <v>0</v>
          </cell>
          <cell r="AB2375">
            <v>0.35770750000000001</v>
          </cell>
        </row>
        <row r="2376">
          <cell r="A2376">
            <v>42112300</v>
          </cell>
          <cell r="B2376" t="str">
            <v>Pecans, honey roasted</v>
          </cell>
          <cell r="I2376">
            <v>30</v>
          </cell>
          <cell r="J2376">
            <v>191.16238000000001</v>
          </cell>
          <cell r="K2376">
            <v>6.3720793333333337</v>
          </cell>
          <cell r="L2376">
            <v>0</v>
          </cell>
          <cell r="M2376">
            <v>1.6544718</v>
          </cell>
          <cell r="N2376">
            <v>0</v>
          </cell>
          <cell r="O2376">
            <v>1.4282700000000001E-2</v>
          </cell>
          <cell r="P2376">
            <v>1.9390099000000001</v>
          </cell>
          <cell r="Q2376">
            <v>5.5890579000000002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0.115203</v>
          </cell>
          <cell r="Y2376">
            <v>20.184639000000001</v>
          </cell>
          <cell r="Z2376">
            <v>0</v>
          </cell>
          <cell r="AA2376">
            <v>0</v>
          </cell>
          <cell r="AB2376">
            <v>0.26019340000000002</v>
          </cell>
        </row>
        <row r="2377">
          <cell r="A2377">
            <v>42113000</v>
          </cell>
          <cell r="B2377" t="str">
            <v>Pine nuts</v>
          </cell>
          <cell r="I2377">
            <v>30</v>
          </cell>
          <cell r="J2377">
            <v>201.9</v>
          </cell>
          <cell r="K2377">
            <v>6.73</v>
          </cell>
          <cell r="L2377">
            <v>0</v>
          </cell>
          <cell r="M2377">
            <v>1.4697</v>
          </cell>
          <cell r="N2377">
            <v>0</v>
          </cell>
          <cell r="O2377">
            <v>4.7999999999999996E-3</v>
          </cell>
          <cell r="P2377">
            <v>1.1100000000000001</v>
          </cell>
          <cell r="Q2377">
            <v>10.221299999999999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5.9999999999999995E-4</v>
          </cell>
          <cell r="Y2377">
            <v>29.980125000000001</v>
          </cell>
          <cell r="Z2377">
            <v>0</v>
          </cell>
          <cell r="AA2377">
            <v>0</v>
          </cell>
          <cell r="AB2377">
            <v>7.6328699999999999E-2</v>
          </cell>
        </row>
        <row r="2378">
          <cell r="A2378">
            <v>42114130</v>
          </cell>
          <cell r="B2378" t="str">
            <v>Pistachio nuts, NFS</v>
          </cell>
          <cell r="I2378">
            <v>30</v>
          </cell>
          <cell r="J2378">
            <v>171.6</v>
          </cell>
          <cell r="K2378">
            <v>5.72</v>
          </cell>
          <cell r="L2378">
            <v>0</v>
          </cell>
          <cell r="M2378">
            <v>1.6935</v>
          </cell>
          <cell r="N2378">
            <v>0</v>
          </cell>
          <cell r="O2378">
            <v>3.2099999999999997E-2</v>
          </cell>
          <cell r="P2378">
            <v>3.09</v>
          </cell>
          <cell r="Q2378">
            <v>4.0038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1.8E-3</v>
          </cell>
          <cell r="Y2378">
            <v>29.980125000000001</v>
          </cell>
          <cell r="Z2378">
            <v>0</v>
          </cell>
          <cell r="AA2378">
            <v>0</v>
          </cell>
          <cell r="AB2378">
            <v>0</v>
          </cell>
        </row>
        <row r="2379">
          <cell r="A2379">
            <v>42114140</v>
          </cell>
          <cell r="B2379" t="str">
            <v>Pistachio nuts, salted</v>
          </cell>
          <cell r="I2379">
            <v>30</v>
          </cell>
          <cell r="J2379">
            <v>172.69544999999999</v>
          </cell>
          <cell r="K2379">
            <v>5.7565149999999994</v>
          </cell>
          <cell r="L2379">
            <v>0</v>
          </cell>
          <cell r="M2379">
            <v>1.7483009</v>
          </cell>
          <cell r="N2379">
            <v>0</v>
          </cell>
          <cell r="O2379">
            <v>3.0902200000000001E-2</v>
          </cell>
          <cell r="P2379">
            <v>2.9676238000000001</v>
          </cell>
          <cell r="Q2379">
            <v>4.2122710000000003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0.1168559</v>
          </cell>
          <cell r="Y2379">
            <v>28.792793</v>
          </cell>
          <cell r="Z2379">
            <v>0</v>
          </cell>
          <cell r="AA2379">
            <v>0</v>
          </cell>
          <cell r="AB2379">
            <v>3.1576E-3</v>
          </cell>
        </row>
        <row r="2380">
          <cell r="A2380">
            <v>42114142</v>
          </cell>
          <cell r="B2380" t="str">
            <v>Pistachio nuts, lightly salted</v>
          </cell>
          <cell r="I2380">
            <v>30</v>
          </cell>
          <cell r="J2380">
            <v>173.55463</v>
          </cell>
          <cell r="K2380">
            <v>5.7851543333333337</v>
          </cell>
          <cell r="L2380">
            <v>0</v>
          </cell>
          <cell r="M2380">
            <v>1.756999</v>
          </cell>
          <cell r="N2380">
            <v>0</v>
          </cell>
          <cell r="O2380">
            <v>3.1020099999999998E-2</v>
          </cell>
          <cell r="P2380">
            <v>2.9823881000000001</v>
          </cell>
          <cell r="Q2380">
            <v>4.2332276000000002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5.95896E-2</v>
          </cell>
          <cell r="Y2380">
            <v>28.936040999999999</v>
          </cell>
          <cell r="Z2380">
            <v>0</v>
          </cell>
          <cell r="AA2380">
            <v>0</v>
          </cell>
          <cell r="AB2380">
            <v>3.1733E-3</v>
          </cell>
        </row>
        <row r="2381">
          <cell r="A2381">
            <v>42114145</v>
          </cell>
          <cell r="B2381" t="str">
            <v>Pistachio nuts, unsalted</v>
          </cell>
          <cell r="I2381">
            <v>30</v>
          </cell>
          <cell r="J2381">
            <v>174.42240000000001</v>
          </cell>
          <cell r="K2381">
            <v>5.8140800000000006</v>
          </cell>
          <cell r="L2381">
            <v>5.3290000000000004E-16</v>
          </cell>
          <cell r="M2381">
            <v>1.765784</v>
          </cell>
          <cell r="N2381">
            <v>0</v>
          </cell>
          <cell r="O2381">
            <v>3.1139300000000002E-2</v>
          </cell>
          <cell r="P2381">
            <v>2.9973000000000001</v>
          </cell>
          <cell r="Q2381">
            <v>4.2543937999999999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1.7505000000000001E-3</v>
          </cell>
          <cell r="Y2381">
            <v>29.080721</v>
          </cell>
          <cell r="Z2381">
            <v>0</v>
          </cell>
          <cell r="AA2381">
            <v>0</v>
          </cell>
          <cell r="AB2381">
            <v>3.1892000000000001E-3</v>
          </cell>
        </row>
        <row r="2382">
          <cell r="A2382">
            <v>42116000</v>
          </cell>
          <cell r="B2382" t="str">
            <v>Walnuts, NFS</v>
          </cell>
          <cell r="I2382">
            <v>30</v>
          </cell>
          <cell r="J2382">
            <v>196.2</v>
          </cell>
          <cell r="K2382">
            <v>6.54</v>
          </cell>
          <cell r="L2382">
            <v>0</v>
          </cell>
          <cell r="M2382">
            <v>1.8378000000000001</v>
          </cell>
          <cell r="N2382">
            <v>0</v>
          </cell>
          <cell r="O2382">
            <v>2.9399999999999999E-2</v>
          </cell>
          <cell r="P2382">
            <v>2.0099999999999998</v>
          </cell>
          <cell r="Q2382">
            <v>14.152200000000001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5.9999999999999995E-4</v>
          </cell>
          <cell r="Y2382">
            <v>29.980125000000001</v>
          </cell>
          <cell r="Z2382">
            <v>0</v>
          </cell>
          <cell r="AA2382">
            <v>0</v>
          </cell>
          <cell r="AB2382">
            <v>0</v>
          </cell>
        </row>
        <row r="2383">
          <cell r="A2383">
            <v>42116050</v>
          </cell>
          <cell r="B2383" t="str">
            <v>Walnuts</v>
          </cell>
          <cell r="I2383">
            <v>30</v>
          </cell>
          <cell r="J2383">
            <v>196.2</v>
          </cell>
          <cell r="K2383">
            <v>6.54</v>
          </cell>
          <cell r="L2383">
            <v>0</v>
          </cell>
          <cell r="M2383">
            <v>1.8378000000000001</v>
          </cell>
          <cell r="N2383">
            <v>0</v>
          </cell>
          <cell r="O2383">
            <v>2.9399999999999999E-2</v>
          </cell>
          <cell r="P2383">
            <v>2.0099999999999998</v>
          </cell>
          <cell r="Q2383">
            <v>14.152200000000001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5.9999999999999995E-4</v>
          </cell>
          <cell r="Y2383">
            <v>29.980125000000001</v>
          </cell>
          <cell r="Z2383">
            <v>0</v>
          </cell>
          <cell r="AA2383">
            <v>0</v>
          </cell>
          <cell r="AB2383">
            <v>0</v>
          </cell>
        </row>
        <row r="2384">
          <cell r="A2384">
            <v>42116055</v>
          </cell>
          <cell r="B2384" t="str">
            <v>Walnuts, roasted, without salt</v>
          </cell>
          <cell r="I2384">
            <v>30</v>
          </cell>
          <cell r="J2384">
            <v>196.2</v>
          </cell>
          <cell r="K2384">
            <v>6.54</v>
          </cell>
          <cell r="L2384">
            <v>0</v>
          </cell>
          <cell r="M2384">
            <v>1.8378000000000001</v>
          </cell>
          <cell r="N2384">
            <v>0</v>
          </cell>
          <cell r="O2384">
            <v>2.9399999999999999E-2</v>
          </cell>
          <cell r="P2384">
            <v>2.0099999999999998</v>
          </cell>
          <cell r="Q2384">
            <v>14.152200000000001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5.9999999999999995E-4</v>
          </cell>
          <cell r="Y2384">
            <v>29.980125000000001</v>
          </cell>
          <cell r="Z2384">
            <v>0</v>
          </cell>
          <cell r="AA2384">
            <v>0</v>
          </cell>
          <cell r="AB2384">
            <v>0</v>
          </cell>
        </row>
        <row r="2385">
          <cell r="A2385">
            <v>42116100</v>
          </cell>
          <cell r="B2385" t="str">
            <v>Walnuts, honey roasted</v>
          </cell>
          <cell r="I2385">
            <v>30</v>
          </cell>
          <cell r="J2385">
            <v>183.68911</v>
          </cell>
          <cell r="K2385">
            <v>6.122970333333333</v>
          </cell>
          <cell r="L2385">
            <v>0</v>
          </cell>
          <cell r="M2385">
            <v>1.6435649000000001</v>
          </cell>
          <cell r="N2385">
            <v>0</v>
          </cell>
          <cell r="O2385">
            <v>1.99381E-2</v>
          </cell>
          <cell r="P2385">
            <v>1.3532673</v>
          </cell>
          <cell r="Q2385">
            <v>10.751671999999999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0.1156069</v>
          </cell>
          <cell r="Y2385">
            <v>20.184639000000001</v>
          </cell>
          <cell r="Z2385">
            <v>0</v>
          </cell>
          <cell r="AA2385">
            <v>0</v>
          </cell>
          <cell r="AB2385">
            <v>1.05252E-2</v>
          </cell>
        </row>
        <row r="2386">
          <cell r="A2386">
            <v>42200500</v>
          </cell>
          <cell r="B2386" t="str">
            <v>Almond butter</v>
          </cell>
          <cell r="I2386">
            <v>32</v>
          </cell>
          <cell r="J2386">
            <v>196.48</v>
          </cell>
          <cell r="K2386">
            <v>6.14</v>
          </cell>
          <cell r="L2386">
            <v>0</v>
          </cell>
          <cell r="M2386">
            <v>2.0960000000000001</v>
          </cell>
          <cell r="N2386">
            <v>0</v>
          </cell>
          <cell r="O2386">
            <v>0.11104</v>
          </cell>
          <cell r="P2386">
            <v>3.2959999999999998</v>
          </cell>
          <cell r="Q2386">
            <v>4.35616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7.2639999999999996E-2</v>
          </cell>
          <cell r="Y2386">
            <v>28.35</v>
          </cell>
          <cell r="Z2386">
            <v>0</v>
          </cell>
          <cell r="AA2386">
            <v>0</v>
          </cell>
          <cell r="AB2386">
            <v>0</v>
          </cell>
        </row>
        <row r="2387">
          <cell r="A2387">
            <v>42200600</v>
          </cell>
          <cell r="B2387" t="str">
            <v>Almond paste</v>
          </cell>
          <cell r="I2387">
            <v>28</v>
          </cell>
          <cell r="J2387">
            <v>128.24</v>
          </cell>
          <cell r="K2387">
            <v>4.58</v>
          </cell>
          <cell r="L2387">
            <v>0</v>
          </cell>
          <cell r="M2387">
            <v>0.73612</v>
          </cell>
          <cell r="N2387">
            <v>0</v>
          </cell>
          <cell r="O2387">
            <v>4.8160000000000001E-2</v>
          </cell>
          <cell r="P2387">
            <v>1.3440000000000001</v>
          </cell>
          <cell r="Q2387">
            <v>1.62988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2.5200000000000001E-3</v>
          </cell>
          <cell r="Y2387">
            <v>14.01057</v>
          </cell>
          <cell r="Z2387">
            <v>0</v>
          </cell>
          <cell r="AA2387">
            <v>0</v>
          </cell>
          <cell r="AB2387">
            <v>5.5068400000000003E-2</v>
          </cell>
        </row>
        <row r="2388">
          <cell r="A2388">
            <v>42201000</v>
          </cell>
          <cell r="B2388" t="str">
            <v>Cashew butter</v>
          </cell>
          <cell r="I2388">
            <v>32</v>
          </cell>
          <cell r="J2388">
            <v>194.88</v>
          </cell>
          <cell r="K2388">
            <v>6.09</v>
          </cell>
          <cell r="L2388">
            <v>0</v>
          </cell>
          <cell r="M2388">
            <v>3.39392</v>
          </cell>
          <cell r="N2388">
            <v>0</v>
          </cell>
          <cell r="O2388">
            <v>1.9519999999999999E-2</v>
          </cell>
          <cell r="P2388">
            <v>0.96</v>
          </cell>
          <cell r="Q2388">
            <v>4.2787199999999999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9.4399999999999998E-2</v>
          </cell>
          <cell r="Y2388">
            <v>28.35</v>
          </cell>
          <cell r="Z2388">
            <v>0</v>
          </cell>
          <cell r="AA2388">
            <v>0</v>
          </cell>
          <cell r="AB2388">
            <v>0</v>
          </cell>
        </row>
        <row r="2389">
          <cell r="A2389">
            <v>42202000</v>
          </cell>
          <cell r="B2389" t="str">
            <v>Peanut butter</v>
          </cell>
          <cell r="I2389">
            <v>32</v>
          </cell>
          <cell r="J2389">
            <v>191.36</v>
          </cell>
          <cell r="K2389">
            <v>5.98</v>
          </cell>
          <cell r="L2389">
            <v>0</v>
          </cell>
          <cell r="M2389">
            <v>3.3039999999999998</v>
          </cell>
          <cell r="N2389">
            <v>0</v>
          </cell>
          <cell r="O2389">
            <v>1.5679999999999999E-2</v>
          </cell>
          <cell r="P2389">
            <v>1.6</v>
          </cell>
          <cell r="Q2389">
            <v>4.0111999999999997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0.13632</v>
          </cell>
          <cell r="Y2389">
            <v>28.35</v>
          </cell>
          <cell r="Z2389">
            <v>0</v>
          </cell>
          <cell r="AA2389">
            <v>0</v>
          </cell>
          <cell r="AB2389">
            <v>2.4E-2</v>
          </cell>
        </row>
        <row r="2390">
          <cell r="A2390">
            <v>42202010</v>
          </cell>
          <cell r="B2390" t="str">
            <v>Peanut butter, lower sodium</v>
          </cell>
          <cell r="I2390">
            <v>32</v>
          </cell>
          <cell r="J2390">
            <v>191.36</v>
          </cell>
          <cell r="K2390">
            <v>5.98</v>
          </cell>
          <cell r="L2390">
            <v>0</v>
          </cell>
          <cell r="M2390">
            <v>3.3039999999999998</v>
          </cell>
          <cell r="N2390">
            <v>0</v>
          </cell>
          <cell r="O2390">
            <v>1.5679999999999999E-2</v>
          </cell>
          <cell r="P2390">
            <v>1.6</v>
          </cell>
          <cell r="Q2390">
            <v>4.0111999999999997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5.4400000000000004E-3</v>
          </cell>
          <cell r="Y2390">
            <v>28.35</v>
          </cell>
          <cell r="Z2390">
            <v>0</v>
          </cell>
          <cell r="AA2390">
            <v>0</v>
          </cell>
          <cell r="AB2390">
            <v>2.4E-2</v>
          </cell>
        </row>
        <row r="2391">
          <cell r="A2391">
            <v>42202100</v>
          </cell>
          <cell r="B2391" t="str">
            <v>Peanut butter, lower sodium and lower sugar</v>
          </cell>
          <cell r="I2391">
            <v>32</v>
          </cell>
          <cell r="J2391">
            <v>199.68</v>
          </cell>
          <cell r="K2391">
            <v>6.24</v>
          </cell>
          <cell r="L2391">
            <v>0</v>
          </cell>
          <cell r="M2391">
            <v>3.2871999999999999</v>
          </cell>
          <cell r="N2391">
            <v>0</v>
          </cell>
          <cell r="O2391">
            <v>1.9359999999999999E-2</v>
          </cell>
          <cell r="P2391">
            <v>2.048</v>
          </cell>
          <cell r="Q2391">
            <v>4.6081599999999998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4.9439999999999998E-2</v>
          </cell>
          <cell r="Y2391">
            <v>28.35</v>
          </cell>
          <cell r="Z2391">
            <v>0</v>
          </cell>
          <cell r="AA2391">
            <v>0</v>
          </cell>
          <cell r="AB2391">
            <v>3.7600000000000001E-2</v>
          </cell>
        </row>
        <row r="2392">
          <cell r="A2392">
            <v>42202130</v>
          </cell>
          <cell r="B2392" t="str">
            <v>Peanut butter, lower sugar</v>
          </cell>
          <cell r="I2392">
            <v>32</v>
          </cell>
          <cell r="J2392">
            <v>208</v>
          </cell>
          <cell r="K2392">
            <v>6.5</v>
          </cell>
          <cell r="L2392">
            <v>0</v>
          </cell>
          <cell r="M2392">
            <v>3.2704</v>
          </cell>
          <cell r="N2392">
            <v>0</v>
          </cell>
          <cell r="O2392">
            <v>2.3040000000000001E-2</v>
          </cell>
          <cell r="P2392">
            <v>2.496</v>
          </cell>
          <cell r="Q2392">
            <v>5.20512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9.3439999999999995E-2</v>
          </cell>
          <cell r="Y2392">
            <v>28.35</v>
          </cell>
          <cell r="Z2392">
            <v>0</v>
          </cell>
          <cell r="AA2392">
            <v>0</v>
          </cell>
          <cell r="AB2392">
            <v>5.1200000000000002E-2</v>
          </cell>
        </row>
        <row r="2393">
          <cell r="A2393">
            <v>42202150</v>
          </cell>
          <cell r="B2393" t="str">
            <v>Peanut butter, reduced fat</v>
          </cell>
          <cell r="I2393">
            <v>36</v>
          </cell>
          <cell r="J2393">
            <v>187.2</v>
          </cell>
          <cell r="K2393">
            <v>5.1999999999999993</v>
          </cell>
          <cell r="L2393">
            <v>0</v>
          </cell>
          <cell r="M2393">
            <v>2.0735999999999999</v>
          </cell>
          <cell r="N2393">
            <v>0</v>
          </cell>
          <cell r="O2393">
            <v>1.26E-2</v>
          </cell>
          <cell r="P2393">
            <v>1.8720000000000001</v>
          </cell>
          <cell r="Q2393">
            <v>3.30552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0.19439999999999999</v>
          </cell>
          <cell r="Y2393">
            <v>31.893750000000001</v>
          </cell>
          <cell r="Z2393">
            <v>0</v>
          </cell>
          <cell r="AA2393">
            <v>0</v>
          </cell>
          <cell r="AB2393">
            <v>0</v>
          </cell>
        </row>
        <row r="2394">
          <cell r="A2394">
            <v>42202200</v>
          </cell>
          <cell r="B2394" t="str">
            <v>Peanut butter, vitamin and mineral fortified</v>
          </cell>
          <cell r="I2394">
            <v>32</v>
          </cell>
          <cell r="J2394">
            <v>189.44</v>
          </cell>
          <cell r="K2394">
            <v>5.92</v>
          </cell>
          <cell r="L2394">
            <v>0</v>
          </cell>
          <cell r="M2394">
            <v>2.8955199999999999</v>
          </cell>
          <cell r="N2394">
            <v>0</v>
          </cell>
          <cell r="O2394">
            <v>1.4080000000000001E-2</v>
          </cell>
          <cell r="P2394">
            <v>1.8080000000000001</v>
          </cell>
          <cell r="Q2394">
            <v>4.5591999999999997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0.12576000000000001</v>
          </cell>
          <cell r="Y2394">
            <v>28.35</v>
          </cell>
          <cell r="Z2394">
            <v>0</v>
          </cell>
          <cell r="AA2394">
            <v>0</v>
          </cell>
          <cell r="AB2394">
            <v>0</v>
          </cell>
        </row>
        <row r="2395">
          <cell r="A2395">
            <v>42203000</v>
          </cell>
          <cell r="B2395" t="str">
            <v>Peanut butter and jelly</v>
          </cell>
          <cell r="I2395">
            <v>32</v>
          </cell>
          <cell r="J2395">
            <v>138.24</v>
          </cell>
          <cell r="K2395">
            <v>4.32</v>
          </cell>
          <cell r="L2395">
            <v>0.16</v>
          </cell>
          <cell r="M2395">
            <v>1.6528</v>
          </cell>
          <cell r="N2395">
            <v>0</v>
          </cell>
          <cell r="O2395">
            <v>8.9599999999999992E-3</v>
          </cell>
          <cell r="P2395">
            <v>0.8</v>
          </cell>
          <cell r="Q2395">
            <v>2.00624</v>
          </cell>
          <cell r="R2395">
            <v>0</v>
          </cell>
          <cell r="S2395">
            <v>0</v>
          </cell>
          <cell r="T2395">
            <v>7.2169600000000003</v>
          </cell>
          <cell r="U2395">
            <v>0</v>
          </cell>
          <cell r="V2395">
            <v>0</v>
          </cell>
          <cell r="W2395">
            <v>0</v>
          </cell>
          <cell r="X2395">
            <v>7.2959999999999997E-2</v>
          </cell>
          <cell r="Y2395">
            <v>14.175000000000001</v>
          </cell>
          <cell r="Z2395">
            <v>0</v>
          </cell>
          <cell r="AA2395">
            <v>0</v>
          </cell>
          <cell r="AB2395">
            <v>1.2E-2</v>
          </cell>
        </row>
        <row r="2396">
          <cell r="A2396">
            <v>42204050</v>
          </cell>
          <cell r="B2396" t="str">
            <v>Peanut sauce</v>
          </cell>
          <cell r="I2396">
            <v>28</v>
          </cell>
          <cell r="J2396">
            <v>71.959999999999994</v>
          </cell>
          <cell r="K2396">
            <v>2.57</v>
          </cell>
          <cell r="L2396">
            <v>0</v>
          </cell>
          <cell r="M2396">
            <v>0.81396000000000002</v>
          </cell>
          <cell r="N2396">
            <v>0</v>
          </cell>
          <cell r="O2396">
            <v>6.1599999999999997E-3</v>
          </cell>
          <cell r="P2396">
            <v>0.504</v>
          </cell>
          <cell r="Q2396">
            <v>1.3400799999999999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0.37463999999999997</v>
          </cell>
          <cell r="Y2396">
            <v>8.4223999999999997</v>
          </cell>
          <cell r="Z2396">
            <v>0</v>
          </cell>
          <cell r="AA2396">
            <v>0</v>
          </cell>
          <cell r="AB2396">
            <v>9.7999999999999997E-3</v>
          </cell>
        </row>
        <row r="2397">
          <cell r="A2397">
            <v>42204100</v>
          </cell>
          <cell r="B2397" t="str">
            <v>Brown nut gravy, meatless</v>
          </cell>
          <cell r="I2397">
            <v>59</v>
          </cell>
          <cell r="J2397">
            <v>65.958010999999999</v>
          </cell>
          <cell r="K2397">
            <v>1.1179323898305085</v>
          </cell>
          <cell r="L2397">
            <v>7.3401599999999997E-2</v>
          </cell>
          <cell r="M2397">
            <v>0.69781119999999996</v>
          </cell>
          <cell r="N2397">
            <v>0</v>
          </cell>
          <cell r="O2397">
            <v>1.45921E-2</v>
          </cell>
          <cell r="P2397">
            <v>0.60784530000000003</v>
          </cell>
          <cell r="Q2397">
            <v>2.4910774</v>
          </cell>
          <cell r="R2397">
            <v>0</v>
          </cell>
          <cell r="S2397">
            <v>0</v>
          </cell>
          <cell r="T2397">
            <v>0</v>
          </cell>
          <cell r="U2397">
            <v>4.3177396000000003</v>
          </cell>
          <cell r="V2397">
            <v>0</v>
          </cell>
          <cell r="W2397">
            <v>0</v>
          </cell>
          <cell r="X2397">
            <v>9.5554399999999998E-2</v>
          </cell>
          <cell r="Y2397">
            <v>4.3765203000000001</v>
          </cell>
          <cell r="Z2397">
            <v>0</v>
          </cell>
          <cell r="AA2397">
            <v>0</v>
          </cell>
          <cell r="AB2397">
            <v>2.6144400000000002E-2</v>
          </cell>
        </row>
        <row r="2398">
          <cell r="A2398">
            <v>42301010</v>
          </cell>
          <cell r="B2398" t="str">
            <v>Peanut butter sandwich</v>
          </cell>
          <cell r="I2398">
            <v>140</v>
          </cell>
          <cell r="J2398">
            <v>506.66</v>
          </cell>
          <cell r="K2398">
            <v>3.6190000000000002</v>
          </cell>
          <cell r="L2398">
            <v>1.2430000000000001E-15</v>
          </cell>
          <cell r="M2398">
            <v>5.0982399999999997</v>
          </cell>
          <cell r="N2398">
            <v>0</v>
          </cell>
          <cell r="O2398">
            <v>0.27285999999999999</v>
          </cell>
          <cell r="P2398">
            <v>5.1660000000000004</v>
          </cell>
          <cell r="Q2398">
            <v>7.5175799999999997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0.67396</v>
          </cell>
          <cell r="Y2398">
            <v>37.209375000000001</v>
          </cell>
          <cell r="Z2398">
            <v>0</v>
          </cell>
          <cell r="AA2398">
            <v>0</v>
          </cell>
          <cell r="AB2398">
            <v>6.1173900000000003E-2</v>
          </cell>
        </row>
        <row r="2399">
          <cell r="A2399">
            <v>42301015</v>
          </cell>
          <cell r="B2399" t="str">
            <v>Peanut butter sandwich, with regular peanut butter, on white bread</v>
          </cell>
          <cell r="I2399">
            <v>140</v>
          </cell>
          <cell r="J2399">
            <v>534.06957</v>
          </cell>
          <cell r="K2399">
            <v>3.8147826428571427</v>
          </cell>
          <cell r="L2399">
            <v>0</v>
          </cell>
          <cell r="M2399">
            <v>5.6651303999999998</v>
          </cell>
          <cell r="N2399">
            <v>0</v>
          </cell>
          <cell r="O2399">
            <v>0.15533910000000001</v>
          </cell>
          <cell r="P2399">
            <v>4.9000000000000004</v>
          </cell>
          <cell r="Q2399">
            <v>7.5666957000000004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0.65483480000000005</v>
          </cell>
          <cell r="Y2399">
            <v>43.141303999999998</v>
          </cell>
          <cell r="Z2399">
            <v>0</v>
          </cell>
          <cell r="AA2399">
            <v>0</v>
          </cell>
          <cell r="AB2399">
            <v>6.1173900000000003E-2</v>
          </cell>
        </row>
        <row r="2400">
          <cell r="A2400">
            <v>42301020</v>
          </cell>
          <cell r="B2400" t="str">
            <v>Peanut butter sandwich, with regular peanut butter, on wheat bread</v>
          </cell>
          <cell r="I2400">
            <v>140</v>
          </cell>
          <cell r="J2400">
            <v>531.19348000000002</v>
          </cell>
          <cell r="K2400">
            <v>3.7942391428571431</v>
          </cell>
          <cell r="L2400">
            <v>3.7460273000000002</v>
          </cell>
          <cell r="M2400">
            <v>5.6818847999999997</v>
          </cell>
          <cell r="N2400">
            <v>0</v>
          </cell>
          <cell r="O2400">
            <v>0.1706326</v>
          </cell>
          <cell r="P2400">
            <v>3.6100596</v>
          </cell>
          <cell r="Q2400">
            <v>7.5281196000000001</v>
          </cell>
          <cell r="R2400">
            <v>31.562086999999998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0.63132390000000005</v>
          </cell>
          <cell r="Y2400">
            <v>43.231901000000001</v>
          </cell>
          <cell r="Z2400">
            <v>0</v>
          </cell>
          <cell r="AA2400">
            <v>0</v>
          </cell>
          <cell r="AB2400">
            <v>0.26153690000000002</v>
          </cell>
        </row>
        <row r="2401">
          <cell r="A2401">
            <v>42301025</v>
          </cell>
          <cell r="B2401" t="str">
            <v>Peanut butter sandwich, with regular peanut butter, on whole wheat bread</v>
          </cell>
          <cell r="I2401">
            <v>140</v>
          </cell>
          <cell r="J2401">
            <v>531.19348000000002</v>
          </cell>
          <cell r="K2401">
            <v>3.7942391428571431</v>
          </cell>
          <cell r="L2401">
            <v>3.7460273000000002</v>
          </cell>
          <cell r="M2401">
            <v>5.6818847999999997</v>
          </cell>
          <cell r="N2401">
            <v>0</v>
          </cell>
          <cell r="O2401">
            <v>0.1706326</v>
          </cell>
          <cell r="P2401">
            <v>3.6100596</v>
          </cell>
          <cell r="Q2401">
            <v>7.5281196000000001</v>
          </cell>
          <cell r="R2401">
            <v>31.562086999999998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0.63132390000000005</v>
          </cell>
          <cell r="Y2401">
            <v>43.231901000000001</v>
          </cell>
          <cell r="Z2401">
            <v>0</v>
          </cell>
          <cell r="AA2401">
            <v>0</v>
          </cell>
          <cell r="AB2401">
            <v>0.2617526</v>
          </cell>
        </row>
        <row r="2402">
          <cell r="A2402">
            <v>42301125</v>
          </cell>
          <cell r="B2402" t="str">
            <v>Peanut butter sandwich, with reduced fat peanut butter, on whole wheat bread</v>
          </cell>
          <cell r="I2402">
            <v>140</v>
          </cell>
          <cell r="J2402">
            <v>493.21087</v>
          </cell>
          <cell r="K2402">
            <v>3.5229347857142859</v>
          </cell>
          <cell r="L2402">
            <v>3.7460273000000002</v>
          </cell>
          <cell r="M2402">
            <v>3.4589283000000002</v>
          </cell>
          <cell r="N2402">
            <v>0</v>
          </cell>
          <cell r="O2402">
            <v>0.16381519999999999</v>
          </cell>
          <cell r="P2402">
            <v>3.7074509</v>
          </cell>
          <cell r="Q2402">
            <v>5.8953543000000002</v>
          </cell>
          <cell r="R2402">
            <v>31.562086999999998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0.68683700000000003</v>
          </cell>
          <cell r="Y2402">
            <v>43.231901000000001</v>
          </cell>
          <cell r="Z2402">
            <v>0</v>
          </cell>
          <cell r="AA2402">
            <v>0</v>
          </cell>
          <cell r="AB2402">
            <v>9.9817699999999995E-2</v>
          </cell>
        </row>
        <row r="2403">
          <cell r="A2403">
            <v>42302010</v>
          </cell>
          <cell r="B2403" t="str">
            <v>Peanut butter and jelly sandwich, NFS</v>
          </cell>
          <cell r="I2403">
            <v>140</v>
          </cell>
          <cell r="J2403">
            <v>505.2</v>
          </cell>
          <cell r="K2403">
            <v>3.6085714285714285</v>
          </cell>
          <cell r="L2403">
            <v>0.25</v>
          </cell>
          <cell r="M2403">
            <v>4.6547499999999999</v>
          </cell>
          <cell r="N2403">
            <v>0</v>
          </cell>
          <cell r="O2403">
            <v>0.12934999999999999</v>
          </cell>
          <cell r="P2403">
            <v>4.0250000000000004</v>
          </cell>
          <cell r="Q2403">
            <v>6.2164999999999999</v>
          </cell>
          <cell r="R2403">
            <v>0</v>
          </cell>
          <cell r="S2403">
            <v>0</v>
          </cell>
          <cell r="T2403">
            <v>11.2765</v>
          </cell>
          <cell r="U2403">
            <v>0</v>
          </cell>
          <cell r="V2403">
            <v>0</v>
          </cell>
          <cell r="W2403">
            <v>0</v>
          </cell>
          <cell r="X2403">
            <v>0.5454</v>
          </cell>
          <cell r="Y2403">
            <v>35.4375</v>
          </cell>
          <cell r="Z2403">
            <v>0</v>
          </cell>
          <cell r="AA2403">
            <v>0</v>
          </cell>
          <cell r="AB2403">
            <v>5.0250000000000003E-2</v>
          </cell>
        </row>
        <row r="2404">
          <cell r="A2404">
            <v>42302015</v>
          </cell>
          <cell r="B2404" t="str">
            <v>Peanut butter and jelly sandwich, with regular peanut butter, regular jelly, on white bread</v>
          </cell>
          <cell r="I2404">
            <v>140</v>
          </cell>
          <cell r="J2404">
            <v>505.2</v>
          </cell>
          <cell r="K2404">
            <v>3.6085714285714285</v>
          </cell>
          <cell r="L2404">
            <v>0.25</v>
          </cell>
          <cell r="M2404">
            <v>4.6547499999999999</v>
          </cell>
          <cell r="N2404">
            <v>0</v>
          </cell>
          <cell r="O2404">
            <v>0.12934999999999999</v>
          </cell>
          <cell r="P2404">
            <v>4.0250000000000004</v>
          </cell>
          <cell r="Q2404">
            <v>6.2164999999999999</v>
          </cell>
          <cell r="R2404">
            <v>0</v>
          </cell>
          <cell r="S2404">
            <v>0</v>
          </cell>
          <cell r="T2404">
            <v>11.2765</v>
          </cell>
          <cell r="U2404">
            <v>0</v>
          </cell>
          <cell r="V2404">
            <v>0</v>
          </cell>
          <cell r="W2404">
            <v>0</v>
          </cell>
          <cell r="X2404">
            <v>0.5454</v>
          </cell>
          <cell r="Y2404">
            <v>35.4375</v>
          </cell>
          <cell r="Z2404">
            <v>0</v>
          </cell>
          <cell r="AA2404">
            <v>0</v>
          </cell>
          <cell r="AB2404">
            <v>0.16225110000000001</v>
          </cell>
        </row>
        <row r="2405">
          <cell r="A2405">
            <v>42302020</v>
          </cell>
          <cell r="B2405" t="str">
            <v>Peanut butter and jelly sandwich, with regular peanut butter, regular jelly, on wheat bread</v>
          </cell>
          <cell r="I2405">
            <v>140</v>
          </cell>
          <cell r="J2405">
            <v>502.83749999999998</v>
          </cell>
          <cell r="K2405">
            <v>3.5916964285714283</v>
          </cell>
          <cell r="L2405">
            <v>3.3270938999999999</v>
          </cell>
          <cell r="M2405">
            <v>4.6685125000000003</v>
          </cell>
          <cell r="N2405">
            <v>0</v>
          </cell>
          <cell r="O2405">
            <v>0.1419125</v>
          </cell>
          <cell r="P2405">
            <v>2.9654061</v>
          </cell>
          <cell r="Q2405">
            <v>6.1848124999999996</v>
          </cell>
          <cell r="R2405">
            <v>25.925999999999998</v>
          </cell>
          <cell r="S2405">
            <v>0</v>
          </cell>
          <cell r="T2405">
            <v>11.2765</v>
          </cell>
          <cell r="U2405">
            <v>0</v>
          </cell>
          <cell r="V2405">
            <v>0</v>
          </cell>
          <cell r="W2405">
            <v>0</v>
          </cell>
          <cell r="X2405">
            <v>0.52608750000000004</v>
          </cell>
          <cell r="Y2405">
            <v>35.511918999999999</v>
          </cell>
          <cell r="Z2405">
            <v>0</v>
          </cell>
          <cell r="AA2405">
            <v>0</v>
          </cell>
          <cell r="AB2405">
            <v>0.21589530000000001</v>
          </cell>
        </row>
        <row r="2406">
          <cell r="A2406">
            <v>42302025</v>
          </cell>
          <cell r="B2406" t="str">
            <v>Peanut butter and jelly sandwich, with regular peanut butter, regular jelly, on whole wheat bread</v>
          </cell>
          <cell r="I2406">
            <v>140</v>
          </cell>
          <cell r="J2406">
            <v>502.83749999999998</v>
          </cell>
          <cell r="K2406">
            <v>3.5916964285714283</v>
          </cell>
          <cell r="L2406">
            <v>3.3270938999999999</v>
          </cell>
          <cell r="M2406">
            <v>4.6685125000000003</v>
          </cell>
          <cell r="N2406">
            <v>0</v>
          </cell>
          <cell r="O2406">
            <v>0.1419125</v>
          </cell>
          <cell r="P2406">
            <v>2.9654061</v>
          </cell>
          <cell r="Q2406">
            <v>6.1848124999999996</v>
          </cell>
          <cell r="R2406">
            <v>25.925999999999998</v>
          </cell>
          <cell r="S2406">
            <v>0</v>
          </cell>
          <cell r="T2406">
            <v>11.2765</v>
          </cell>
          <cell r="U2406">
            <v>0</v>
          </cell>
          <cell r="V2406">
            <v>0</v>
          </cell>
          <cell r="W2406">
            <v>0</v>
          </cell>
          <cell r="X2406">
            <v>0.52608750000000004</v>
          </cell>
          <cell r="Y2406">
            <v>35.511918999999999</v>
          </cell>
          <cell r="Z2406">
            <v>0</v>
          </cell>
          <cell r="AA2406">
            <v>0</v>
          </cell>
          <cell r="AB2406">
            <v>0.21587619999999999</v>
          </cell>
        </row>
        <row r="2407">
          <cell r="A2407">
            <v>42302060</v>
          </cell>
          <cell r="B2407" t="str">
            <v>Peanut butter and jelly sandwich, with reduced fat peanut butter, regular jelly, on wheat bread</v>
          </cell>
          <cell r="I2407">
            <v>140</v>
          </cell>
          <cell r="J2407">
            <v>471.63749999999999</v>
          </cell>
          <cell r="K2407">
            <v>3.3688392857142855</v>
          </cell>
          <cell r="L2407">
            <v>3.3270938999999999</v>
          </cell>
          <cell r="M2407">
            <v>2.8425125000000002</v>
          </cell>
          <cell r="N2407">
            <v>0</v>
          </cell>
          <cell r="O2407">
            <v>0.1363125</v>
          </cell>
          <cell r="P2407">
            <v>3.0454061000000001</v>
          </cell>
          <cell r="Q2407">
            <v>4.8436124999999999</v>
          </cell>
          <cell r="R2407">
            <v>25.925999999999998</v>
          </cell>
          <cell r="S2407">
            <v>0</v>
          </cell>
          <cell r="T2407">
            <v>11.2765</v>
          </cell>
          <cell r="U2407">
            <v>0</v>
          </cell>
          <cell r="V2407">
            <v>0</v>
          </cell>
          <cell r="W2407">
            <v>0</v>
          </cell>
          <cell r="X2407">
            <v>0.57168750000000002</v>
          </cell>
          <cell r="Y2407">
            <v>35.511918999999999</v>
          </cell>
          <cell r="Z2407">
            <v>0</v>
          </cell>
          <cell r="AA2407">
            <v>0</v>
          </cell>
          <cell r="AB2407">
            <v>8.0878599999999995E-2</v>
          </cell>
        </row>
        <row r="2408">
          <cell r="A2408">
            <v>42302065</v>
          </cell>
          <cell r="B2408" t="str">
            <v>Peanut butter and jelly sandwich, with reduced fat peanut butter, regular jelly, on whole wheat bread</v>
          </cell>
          <cell r="I2408">
            <v>140</v>
          </cell>
          <cell r="J2408">
            <v>471.63749999999999</v>
          </cell>
          <cell r="K2408">
            <v>3.3688392857142855</v>
          </cell>
          <cell r="L2408">
            <v>3.3270938999999999</v>
          </cell>
          <cell r="M2408">
            <v>2.8425125000000002</v>
          </cell>
          <cell r="N2408">
            <v>0</v>
          </cell>
          <cell r="O2408">
            <v>0.1363125</v>
          </cell>
          <cell r="P2408">
            <v>3.0454061000000001</v>
          </cell>
          <cell r="Q2408">
            <v>4.8436124999999999</v>
          </cell>
          <cell r="R2408">
            <v>25.925999999999998</v>
          </cell>
          <cell r="S2408">
            <v>0</v>
          </cell>
          <cell r="T2408">
            <v>11.2765</v>
          </cell>
          <cell r="U2408">
            <v>0</v>
          </cell>
          <cell r="V2408">
            <v>0</v>
          </cell>
          <cell r="W2408">
            <v>0</v>
          </cell>
          <cell r="X2408">
            <v>0.57168750000000002</v>
          </cell>
          <cell r="Y2408">
            <v>35.511918999999999</v>
          </cell>
          <cell r="Z2408">
            <v>0</v>
          </cell>
          <cell r="AA2408">
            <v>0</v>
          </cell>
          <cell r="AB2408">
            <v>8.0743999999999996E-2</v>
          </cell>
        </row>
        <row r="2409">
          <cell r="A2409">
            <v>42302105</v>
          </cell>
          <cell r="B2409" t="str">
            <v>Peanut butter and jelly sandwich, with regular peanut butter, reduced sugar jelly, on white bread</v>
          </cell>
          <cell r="I2409">
            <v>140</v>
          </cell>
          <cell r="J2409">
            <v>476.45</v>
          </cell>
          <cell r="K2409">
            <v>3.4032142857142857</v>
          </cell>
          <cell r="L2409">
            <v>0.375</v>
          </cell>
          <cell r="M2409">
            <v>4.6547499999999999</v>
          </cell>
          <cell r="N2409">
            <v>0</v>
          </cell>
          <cell r="O2409">
            <v>0.12759999999999999</v>
          </cell>
          <cell r="P2409">
            <v>4.0250000000000004</v>
          </cell>
          <cell r="Q2409">
            <v>6.2279999999999998</v>
          </cell>
          <cell r="R2409">
            <v>0</v>
          </cell>
          <cell r="S2409">
            <v>0</v>
          </cell>
          <cell r="T2409">
            <v>5.4375</v>
          </cell>
          <cell r="U2409">
            <v>0</v>
          </cell>
          <cell r="V2409">
            <v>0</v>
          </cell>
          <cell r="W2409">
            <v>0</v>
          </cell>
          <cell r="X2409">
            <v>0.53790000000000004</v>
          </cell>
          <cell r="Y2409">
            <v>35.4375</v>
          </cell>
          <cell r="Z2409">
            <v>0</v>
          </cell>
          <cell r="AA2409">
            <v>0</v>
          </cell>
          <cell r="AB2409">
            <v>0.16248650000000001</v>
          </cell>
        </row>
        <row r="2410">
          <cell r="A2410">
            <v>42302110</v>
          </cell>
          <cell r="B2410" t="str">
            <v>Peanut butter and jelly sandwich, with regular peanut butter, reduced sugar jelly, on wheat bread</v>
          </cell>
          <cell r="I2410">
            <v>140</v>
          </cell>
          <cell r="J2410">
            <v>474.08749999999998</v>
          </cell>
          <cell r="K2410">
            <v>3.3863392857142856</v>
          </cell>
          <cell r="L2410">
            <v>3.4520938999999999</v>
          </cell>
          <cell r="M2410">
            <v>4.6685125000000003</v>
          </cell>
          <cell r="N2410">
            <v>0</v>
          </cell>
          <cell r="O2410">
            <v>0.1401625</v>
          </cell>
          <cell r="P2410">
            <v>2.9654061</v>
          </cell>
          <cell r="Q2410">
            <v>6.1963125000000003</v>
          </cell>
          <cell r="R2410">
            <v>25.925999999999998</v>
          </cell>
          <cell r="S2410">
            <v>0</v>
          </cell>
          <cell r="T2410">
            <v>5.4375</v>
          </cell>
          <cell r="U2410">
            <v>0</v>
          </cell>
          <cell r="V2410">
            <v>0</v>
          </cell>
          <cell r="W2410">
            <v>0</v>
          </cell>
          <cell r="X2410">
            <v>0.51858749999999998</v>
          </cell>
          <cell r="Y2410">
            <v>35.511918999999999</v>
          </cell>
          <cell r="Z2410">
            <v>0</v>
          </cell>
          <cell r="AA2410">
            <v>0</v>
          </cell>
          <cell r="AB2410">
            <v>0.21550859999999999</v>
          </cell>
        </row>
        <row r="2411">
          <cell r="A2411">
            <v>42302115</v>
          </cell>
          <cell r="B2411" t="str">
            <v>Peanut butter and jelly sandwich, with regular peanut butter, reduced sugar jelly, on whole wheat bread</v>
          </cell>
          <cell r="I2411">
            <v>140</v>
          </cell>
          <cell r="J2411">
            <v>474.08749999999998</v>
          </cell>
          <cell r="K2411">
            <v>3.3863392857142856</v>
          </cell>
          <cell r="L2411">
            <v>3.4520938999999999</v>
          </cell>
          <cell r="M2411">
            <v>4.6685125000000003</v>
          </cell>
          <cell r="N2411">
            <v>0</v>
          </cell>
          <cell r="O2411">
            <v>0.1401625</v>
          </cell>
          <cell r="P2411">
            <v>2.9654061</v>
          </cell>
          <cell r="Q2411">
            <v>6.1963125000000003</v>
          </cell>
          <cell r="R2411">
            <v>25.925999999999998</v>
          </cell>
          <cell r="S2411">
            <v>0</v>
          </cell>
          <cell r="T2411">
            <v>5.4375</v>
          </cell>
          <cell r="U2411">
            <v>0</v>
          </cell>
          <cell r="V2411">
            <v>0</v>
          </cell>
          <cell r="W2411">
            <v>0</v>
          </cell>
          <cell r="X2411">
            <v>0.51858749999999998</v>
          </cell>
          <cell r="Y2411">
            <v>35.511918999999999</v>
          </cell>
          <cell r="Z2411">
            <v>0</v>
          </cell>
          <cell r="AA2411">
            <v>0</v>
          </cell>
          <cell r="AB2411">
            <v>0.21558060000000001</v>
          </cell>
        </row>
        <row r="2412">
          <cell r="A2412">
            <v>42302155</v>
          </cell>
          <cell r="B2412" t="str">
            <v>Peanut butter and jelly sandwich, with reduced fat peanut butter, reduced sugar jelly, on white bread</v>
          </cell>
          <cell r="I2412">
            <v>140</v>
          </cell>
          <cell r="J2412">
            <v>445.25</v>
          </cell>
          <cell r="K2412">
            <v>3.1803571428571429</v>
          </cell>
          <cell r="L2412">
            <v>0.375</v>
          </cell>
          <cell r="M2412">
            <v>2.8287499999999999</v>
          </cell>
          <cell r="N2412">
            <v>0</v>
          </cell>
          <cell r="O2412">
            <v>0.122</v>
          </cell>
          <cell r="P2412">
            <v>4.1050000000000004</v>
          </cell>
          <cell r="Q2412">
            <v>4.8868</v>
          </cell>
          <cell r="R2412">
            <v>0</v>
          </cell>
          <cell r="S2412">
            <v>0</v>
          </cell>
          <cell r="T2412">
            <v>5.4375</v>
          </cell>
          <cell r="U2412">
            <v>0</v>
          </cell>
          <cell r="V2412">
            <v>0</v>
          </cell>
          <cell r="W2412">
            <v>0</v>
          </cell>
          <cell r="X2412">
            <v>0.58350000000000002</v>
          </cell>
          <cell r="Y2412">
            <v>35.4375</v>
          </cell>
          <cell r="Z2412">
            <v>0</v>
          </cell>
          <cell r="AA2412">
            <v>0</v>
          </cell>
          <cell r="AB2412">
            <v>2.8101999999999999E-2</v>
          </cell>
        </row>
        <row r="2413">
          <cell r="A2413">
            <v>42302160</v>
          </cell>
          <cell r="B2413" t="str">
            <v>Peanut butter and jelly sandwich, with reduced fat peanut butter, reduced sugar jelly, on wheat bread</v>
          </cell>
          <cell r="I2413">
            <v>140</v>
          </cell>
          <cell r="J2413">
            <v>442.88749999999999</v>
          </cell>
          <cell r="K2413">
            <v>3.1634821428571427</v>
          </cell>
          <cell r="L2413">
            <v>3.4520938999999999</v>
          </cell>
          <cell r="M2413">
            <v>2.8425125000000002</v>
          </cell>
          <cell r="N2413">
            <v>0</v>
          </cell>
          <cell r="O2413">
            <v>0.1345625</v>
          </cell>
          <cell r="P2413">
            <v>3.0454061000000001</v>
          </cell>
          <cell r="Q2413">
            <v>4.8551124999999997</v>
          </cell>
          <cell r="R2413">
            <v>25.925999999999998</v>
          </cell>
          <cell r="S2413">
            <v>0</v>
          </cell>
          <cell r="T2413">
            <v>5.4375</v>
          </cell>
          <cell r="U2413">
            <v>0</v>
          </cell>
          <cell r="V2413">
            <v>0</v>
          </cell>
          <cell r="W2413">
            <v>0</v>
          </cell>
          <cell r="X2413">
            <v>0.56418749999999995</v>
          </cell>
          <cell r="Y2413">
            <v>35.511918999999999</v>
          </cell>
          <cell r="Z2413">
            <v>0</v>
          </cell>
          <cell r="AA2413">
            <v>0</v>
          </cell>
          <cell r="AB2413">
            <v>8.2807400000000003E-2</v>
          </cell>
        </row>
        <row r="2414">
          <cell r="A2414">
            <v>42401010</v>
          </cell>
          <cell r="B2414" t="str">
            <v>Coconut milk, used in cooking</v>
          </cell>
          <cell r="I2414">
            <v>240</v>
          </cell>
          <cell r="J2414">
            <v>552</v>
          </cell>
          <cell r="K2414">
            <v>2.2999999999999998</v>
          </cell>
          <cell r="L2414">
            <v>0</v>
          </cell>
          <cell r="M2414">
            <v>50.735999999999997</v>
          </cell>
          <cell r="N2414">
            <v>0</v>
          </cell>
          <cell r="O2414">
            <v>3.8399999999999997E-2</v>
          </cell>
          <cell r="P2414">
            <v>5.28</v>
          </cell>
          <cell r="Q2414">
            <v>0.62639999999999996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3.5999999999999997E-2</v>
          </cell>
          <cell r="Y2414">
            <v>0</v>
          </cell>
          <cell r="Z2414">
            <v>0</v>
          </cell>
          <cell r="AA2414">
            <v>0</v>
          </cell>
          <cell r="AB2414">
            <v>1.0653083999999999</v>
          </cell>
        </row>
        <row r="2415">
          <cell r="A2415">
            <v>42402010</v>
          </cell>
          <cell r="B2415" t="str">
            <v>Coconut cream, canned, sweetened</v>
          </cell>
          <cell r="I2415">
            <v>15</v>
          </cell>
          <cell r="J2415">
            <v>53.55</v>
          </cell>
          <cell r="K2415">
            <v>3.57</v>
          </cell>
          <cell r="L2415">
            <v>0</v>
          </cell>
          <cell r="M2415">
            <v>2.3208000000000002</v>
          </cell>
          <cell r="N2415">
            <v>0</v>
          </cell>
          <cell r="O2415">
            <v>5.9999999999999995E-4</v>
          </cell>
          <cell r="P2415">
            <v>0.03</v>
          </cell>
          <cell r="Q2415">
            <v>2.385E-2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5.4000000000000003E-3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</row>
        <row r="2416">
          <cell r="A2416">
            <v>42403010</v>
          </cell>
          <cell r="B2416" t="str">
            <v>Coconut water, unsweetened</v>
          </cell>
          <cell r="I2416">
            <v>240</v>
          </cell>
          <cell r="J2416">
            <v>43.2</v>
          </cell>
          <cell r="K2416">
            <v>0.18000000000000002</v>
          </cell>
          <cell r="L2416">
            <v>0</v>
          </cell>
          <cell r="M2416">
            <v>0</v>
          </cell>
          <cell r="N2416">
            <v>0</v>
          </cell>
          <cell r="O2416">
            <v>1.6799999999999999E-2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240</v>
          </cell>
          <cell r="X2416">
            <v>6.2399999999999997E-2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</row>
        <row r="2417">
          <cell r="A2417">
            <v>42404010</v>
          </cell>
          <cell r="B2417" t="str">
            <v>Coconut water, sweetened</v>
          </cell>
          <cell r="I2417">
            <v>237</v>
          </cell>
          <cell r="J2417">
            <v>89.19</v>
          </cell>
          <cell r="K2417">
            <v>0.37632911392405061</v>
          </cell>
          <cell r="L2417">
            <v>-5.2599999999999997E-16</v>
          </cell>
          <cell r="M2417">
            <v>0.39600000000000002</v>
          </cell>
          <cell r="N2417">
            <v>0</v>
          </cell>
          <cell r="O2417">
            <v>5.4120000000000001E-2</v>
          </cell>
          <cell r="P2417">
            <v>2.4750000000000001</v>
          </cell>
          <cell r="Q2417">
            <v>4.4999999999999997E-3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237</v>
          </cell>
          <cell r="X2417">
            <v>0.23637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</row>
        <row r="2418">
          <cell r="A2418">
            <v>42500000</v>
          </cell>
          <cell r="B2418" t="str">
            <v>Trail mix, NFS</v>
          </cell>
          <cell r="I2418">
            <v>30</v>
          </cell>
          <cell r="J2418">
            <v>135.49071000000001</v>
          </cell>
          <cell r="K2418">
            <v>4.5163570000000002</v>
          </cell>
          <cell r="L2418">
            <v>0.67500000000000004</v>
          </cell>
          <cell r="M2418">
            <v>1.1042491000000001</v>
          </cell>
          <cell r="N2418">
            <v>0</v>
          </cell>
          <cell r="O2418">
            <v>1.7605300000000001E-2</v>
          </cell>
          <cell r="P2418">
            <v>1.2092143</v>
          </cell>
          <cell r="Q2418">
            <v>2.5325069</v>
          </cell>
          <cell r="R2418">
            <v>0</v>
          </cell>
          <cell r="S2418">
            <v>0</v>
          </cell>
          <cell r="T2418">
            <v>10.99635</v>
          </cell>
          <cell r="U2418">
            <v>0</v>
          </cell>
          <cell r="V2418">
            <v>0</v>
          </cell>
          <cell r="W2418">
            <v>0</v>
          </cell>
          <cell r="X2418">
            <v>3.9045499999999997E-2</v>
          </cell>
          <cell r="Y2418">
            <v>14.359527999999999</v>
          </cell>
          <cell r="Z2418">
            <v>0</v>
          </cell>
          <cell r="AA2418">
            <v>0</v>
          </cell>
          <cell r="AB2418">
            <v>5.7084599999999999E-2</v>
          </cell>
        </row>
        <row r="2419">
          <cell r="A2419">
            <v>42500100</v>
          </cell>
          <cell r="B2419" t="str">
            <v>Trail mix with nuts</v>
          </cell>
          <cell r="I2419">
            <v>30</v>
          </cell>
          <cell r="J2419">
            <v>179.93143000000001</v>
          </cell>
          <cell r="K2419">
            <v>5.9977143333333336</v>
          </cell>
          <cell r="L2419">
            <v>0</v>
          </cell>
          <cell r="M2419">
            <v>2.1865983</v>
          </cell>
          <cell r="N2419">
            <v>0</v>
          </cell>
          <cell r="O2419">
            <v>2.6360499999999999E-2</v>
          </cell>
          <cell r="P2419">
            <v>2.4184285999999999</v>
          </cell>
          <cell r="Q2419">
            <v>5.0321638000000002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7.5691099999999997E-2</v>
          </cell>
          <cell r="Y2419">
            <v>28.719055999999998</v>
          </cell>
          <cell r="Z2419">
            <v>0</v>
          </cell>
          <cell r="AA2419">
            <v>0</v>
          </cell>
          <cell r="AB2419">
            <v>0.1084311</v>
          </cell>
        </row>
        <row r="2420">
          <cell r="A2420">
            <v>42501000</v>
          </cell>
          <cell r="B2420" t="str">
            <v>Trail mix with nuts and fruit</v>
          </cell>
          <cell r="I2420">
            <v>30</v>
          </cell>
          <cell r="J2420">
            <v>135.49071000000001</v>
          </cell>
          <cell r="K2420">
            <v>4.5163570000000002</v>
          </cell>
          <cell r="L2420">
            <v>0.67500000000000004</v>
          </cell>
          <cell r="M2420">
            <v>1.1042491000000001</v>
          </cell>
          <cell r="N2420">
            <v>0</v>
          </cell>
          <cell r="O2420">
            <v>1.7605300000000001E-2</v>
          </cell>
          <cell r="P2420">
            <v>1.2092143</v>
          </cell>
          <cell r="Q2420">
            <v>2.5325069</v>
          </cell>
          <cell r="R2420">
            <v>0</v>
          </cell>
          <cell r="S2420">
            <v>0</v>
          </cell>
          <cell r="T2420">
            <v>10.99635</v>
          </cell>
          <cell r="U2420">
            <v>0</v>
          </cell>
          <cell r="V2420">
            <v>0</v>
          </cell>
          <cell r="W2420">
            <v>0</v>
          </cell>
          <cell r="X2420">
            <v>3.9045499999999997E-2</v>
          </cell>
          <cell r="Y2420">
            <v>14.359527999999999</v>
          </cell>
          <cell r="Z2420">
            <v>0</v>
          </cell>
          <cell r="AA2420">
            <v>0</v>
          </cell>
          <cell r="AB2420">
            <v>4.1062E-3</v>
          </cell>
        </row>
        <row r="2421">
          <cell r="A2421">
            <v>42501500</v>
          </cell>
          <cell r="B2421" t="str">
            <v>Trail mix with chocolate</v>
          </cell>
          <cell r="I2421">
            <v>30</v>
          </cell>
          <cell r="J2421">
            <v>150.21991</v>
          </cell>
          <cell r="K2421">
            <v>5.007330333333333</v>
          </cell>
          <cell r="L2421">
            <v>0.32727270000000003</v>
          </cell>
          <cell r="M2421">
            <v>2.1005606999999999</v>
          </cell>
          <cell r="N2421">
            <v>0</v>
          </cell>
          <cell r="O2421">
            <v>2.3413400000000001E-2</v>
          </cell>
          <cell r="P2421">
            <v>1.4335498</v>
          </cell>
          <cell r="Q2421">
            <v>2.6192332</v>
          </cell>
          <cell r="R2421">
            <v>0</v>
          </cell>
          <cell r="S2421">
            <v>0</v>
          </cell>
          <cell r="T2421">
            <v>5.3315636</v>
          </cell>
          <cell r="U2421">
            <v>0</v>
          </cell>
          <cell r="V2421">
            <v>0</v>
          </cell>
          <cell r="W2421">
            <v>0</v>
          </cell>
          <cell r="X2421">
            <v>4.3430799999999999E-2</v>
          </cell>
          <cell r="Y2421">
            <v>14.504574</v>
          </cell>
          <cell r="Z2421">
            <v>0</v>
          </cell>
          <cell r="AA2421">
            <v>0</v>
          </cell>
          <cell r="AB2421">
            <v>9.8934599999999998E-2</v>
          </cell>
        </row>
        <row r="2422">
          <cell r="A2422">
            <v>42502000</v>
          </cell>
          <cell r="B2422" t="str">
            <v>Nut mixture with seeds</v>
          </cell>
          <cell r="I2422">
            <v>30</v>
          </cell>
          <cell r="J2422">
            <v>156.084</v>
          </cell>
          <cell r="K2422">
            <v>5.2027999999999999</v>
          </cell>
          <cell r="L2422">
            <v>5.3290000000000004E-16</v>
          </cell>
          <cell r="M2422">
            <v>1.734426</v>
          </cell>
          <cell r="N2422">
            <v>0</v>
          </cell>
          <cell r="O2422">
            <v>1.6284E-2</v>
          </cell>
          <cell r="P2422">
            <v>2.2067999999999999</v>
          </cell>
          <cell r="Q2422">
            <v>3.1237710000000001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7.8756000000000007E-2</v>
          </cell>
          <cell r="Y2422">
            <v>20.986087999999999</v>
          </cell>
          <cell r="Z2422">
            <v>0</v>
          </cell>
          <cell r="AA2422">
            <v>0</v>
          </cell>
          <cell r="AB2422">
            <v>1.4809599999999999E-2</v>
          </cell>
        </row>
        <row r="2423">
          <cell r="A2423">
            <v>42502100</v>
          </cell>
          <cell r="B2423" t="str">
            <v>Trail mix with pretzels, cereal, or granola</v>
          </cell>
          <cell r="I2423">
            <v>30</v>
          </cell>
          <cell r="J2423">
            <v>142.03809999999999</v>
          </cell>
          <cell r="K2423">
            <v>4.7346033333333333</v>
          </cell>
          <cell r="L2423">
            <v>0.32727270000000003</v>
          </cell>
          <cell r="M2423">
            <v>1.1392728999999999</v>
          </cell>
          <cell r="N2423">
            <v>0</v>
          </cell>
          <cell r="O2423">
            <v>1.75043E-2</v>
          </cell>
          <cell r="P2423">
            <v>1.4790042999999999</v>
          </cell>
          <cell r="Q2423">
            <v>2.6472635000000002</v>
          </cell>
          <cell r="R2423">
            <v>0</v>
          </cell>
          <cell r="S2423">
            <v>0</v>
          </cell>
          <cell r="T2423">
            <v>5.3315636</v>
          </cell>
          <cell r="U2423">
            <v>0</v>
          </cell>
          <cell r="V2423">
            <v>0</v>
          </cell>
          <cell r="W2423">
            <v>0</v>
          </cell>
          <cell r="X2423">
            <v>0.13274900000000001</v>
          </cell>
          <cell r="Y2423">
            <v>14.504574</v>
          </cell>
          <cell r="Z2423">
            <v>0</v>
          </cell>
          <cell r="AA2423">
            <v>0</v>
          </cell>
          <cell r="AB2423">
            <v>5.8441199999999999E-2</v>
          </cell>
        </row>
        <row r="2424">
          <cell r="A2424">
            <v>43101000</v>
          </cell>
          <cell r="B2424" t="str">
            <v>Pumpkin and/or squash seeds, hulled, unroasted</v>
          </cell>
          <cell r="I2424">
            <v>30</v>
          </cell>
          <cell r="J2424">
            <v>167.7</v>
          </cell>
          <cell r="K2424">
            <v>5.59</v>
          </cell>
          <cell r="L2424">
            <v>0</v>
          </cell>
          <cell r="M2424">
            <v>2.5977000000000001</v>
          </cell>
          <cell r="N2424">
            <v>0</v>
          </cell>
          <cell r="O2424">
            <v>1.38E-2</v>
          </cell>
          <cell r="P2424">
            <v>1.8</v>
          </cell>
          <cell r="Q2424">
            <v>6.2927999999999997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2.0999999999999999E-3</v>
          </cell>
          <cell r="Y2424">
            <v>29.980125000000001</v>
          </cell>
          <cell r="Z2424">
            <v>0</v>
          </cell>
          <cell r="AA2424">
            <v>0</v>
          </cell>
          <cell r="AB2424">
            <v>1.9199999999999998E-2</v>
          </cell>
        </row>
        <row r="2425">
          <cell r="A2425">
            <v>43101050</v>
          </cell>
          <cell r="B2425" t="str">
            <v>Pumpkin seeds, NFS</v>
          </cell>
          <cell r="I2425">
            <v>30</v>
          </cell>
          <cell r="J2425">
            <v>172.2</v>
          </cell>
          <cell r="K2425">
            <v>5.7399999999999993</v>
          </cell>
          <cell r="L2425">
            <v>0</v>
          </cell>
          <cell r="M2425">
            <v>2.5632000000000001</v>
          </cell>
          <cell r="N2425">
            <v>0</v>
          </cell>
          <cell r="O2425">
            <v>1.5599999999999999E-2</v>
          </cell>
          <cell r="P2425">
            <v>1.95</v>
          </cell>
          <cell r="Q2425">
            <v>5.9568000000000003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5.4000000000000003E-3</v>
          </cell>
          <cell r="Y2425">
            <v>29.980125000000001</v>
          </cell>
          <cell r="Z2425">
            <v>0</v>
          </cell>
          <cell r="AA2425">
            <v>0</v>
          </cell>
          <cell r="AB2425">
            <v>1.26E-2</v>
          </cell>
        </row>
        <row r="2426">
          <cell r="A2426">
            <v>43101100</v>
          </cell>
          <cell r="B2426" t="str">
            <v>Pumpkin seeds, salted</v>
          </cell>
          <cell r="I2426">
            <v>30</v>
          </cell>
          <cell r="J2426">
            <v>170.15809999999999</v>
          </cell>
          <cell r="K2426">
            <v>5.6719366666666664</v>
          </cell>
          <cell r="L2426">
            <v>-2.6599999999999998E-16</v>
          </cell>
          <cell r="M2426">
            <v>2.5328062999999998</v>
          </cell>
          <cell r="N2426">
            <v>0</v>
          </cell>
          <cell r="O2426">
            <v>1.5500399999999999E-2</v>
          </cell>
          <cell r="P2426">
            <v>1.9268775</v>
          </cell>
          <cell r="Q2426">
            <v>5.8861660000000002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0.14321030000000001</v>
          </cell>
          <cell r="Y2426">
            <v>29.624628999999999</v>
          </cell>
          <cell r="Z2426">
            <v>0</v>
          </cell>
          <cell r="AA2426">
            <v>0</v>
          </cell>
          <cell r="AB2426">
            <v>1.2450599999999999E-2</v>
          </cell>
        </row>
        <row r="2427">
          <cell r="A2427">
            <v>43101150</v>
          </cell>
          <cell r="B2427" t="str">
            <v>Pumpkin seeds, unsalted</v>
          </cell>
          <cell r="I2427">
            <v>30</v>
          </cell>
          <cell r="J2427">
            <v>172.2</v>
          </cell>
          <cell r="K2427">
            <v>5.7399999999999993</v>
          </cell>
          <cell r="L2427">
            <v>0</v>
          </cell>
          <cell r="M2427">
            <v>2.5632000000000001</v>
          </cell>
          <cell r="N2427">
            <v>0</v>
          </cell>
          <cell r="O2427">
            <v>1.5599999999999999E-2</v>
          </cell>
          <cell r="P2427">
            <v>1.95</v>
          </cell>
          <cell r="Q2427">
            <v>5.9568000000000003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5.4000000000000003E-3</v>
          </cell>
          <cell r="Y2427">
            <v>29.980125000000001</v>
          </cell>
          <cell r="Z2427">
            <v>0</v>
          </cell>
          <cell r="AA2427">
            <v>0</v>
          </cell>
          <cell r="AB2427">
            <v>1.26E-2</v>
          </cell>
        </row>
        <row r="2428">
          <cell r="A2428">
            <v>43102000</v>
          </cell>
          <cell r="B2428" t="str">
            <v>Sunflower seeds, plain, unsalted</v>
          </cell>
          <cell r="I2428">
            <v>30</v>
          </cell>
          <cell r="J2428">
            <v>174.6</v>
          </cell>
          <cell r="K2428">
            <v>5.8199999999999994</v>
          </cell>
          <cell r="L2428">
            <v>0</v>
          </cell>
          <cell r="M2428">
            <v>1.5657000000000001</v>
          </cell>
          <cell r="N2428">
            <v>0</v>
          </cell>
          <cell r="O2428">
            <v>2.1000000000000001E-2</v>
          </cell>
          <cell r="P2428">
            <v>3.33</v>
          </cell>
          <cell r="Q2428">
            <v>9.8651999999999997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8.9999999999999998E-4</v>
          </cell>
          <cell r="Y2428">
            <v>29.980125000000001</v>
          </cell>
          <cell r="Z2428">
            <v>0</v>
          </cell>
          <cell r="AA2428">
            <v>0</v>
          </cell>
          <cell r="AB2428">
            <v>4.6892400000000001E-2</v>
          </cell>
        </row>
        <row r="2429">
          <cell r="A2429">
            <v>43102100</v>
          </cell>
          <cell r="B2429" t="str">
            <v>Sunflower seeds, plain, salted</v>
          </cell>
          <cell r="I2429">
            <v>30</v>
          </cell>
          <cell r="J2429">
            <v>172.52964</v>
          </cell>
          <cell r="K2429">
            <v>5.7509880000000004</v>
          </cell>
          <cell r="L2429">
            <v>0</v>
          </cell>
          <cell r="M2429">
            <v>1.5471344</v>
          </cell>
          <cell r="N2429">
            <v>0</v>
          </cell>
          <cell r="O2429">
            <v>2.0836400000000001E-2</v>
          </cell>
          <cell r="P2429">
            <v>3.2905137999999998</v>
          </cell>
          <cell r="Q2429">
            <v>9.7482213000000009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0.13876359999999999</v>
          </cell>
          <cell r="Y2429">
            <v>29.624628999999999</v>
          </cell>
          <cell r="Z2429">
            <v>0</v>
          </cell>
          <cell r="AA2429">
            <v>0</v>
          </cell>
          <cell r="AB2429">
            <v>0</v>
          </cell>
        </row>
        <row r="2430">
          <cell r="A2430">
            <v>43102300</v>
          </cell>
          <cell r="B2430" t="str">
            <v>Sunflower seeds, flavored</v>
          </cell>
          <cell r="I2430">
            <v>30</v>
          </cell>
          <cell r="J2430">
            <v>170.12303</v>
          </cell>
          <cell r="K2430">
            <v>5.6707676666666664</v>
          </cell>
          <cell r="L2430">
            <v>0</v>
          </cell>
          <cell r="M2430">
            <v>1.494812</v>
          </cell>
          <cell r="N2430">
            <v>0</v>
          </cell>
          <cell r="O2430">
            <v>2.0171499999999998E-2</v>
          </cell>
          <cell r="P2430">
            <v>3.1792322999999998</v>
          </cell>
          <cell r="Q2430">
            <v>9.4185472000000008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0.1839768</v>
          </cell>
          <cell r="Y2430">
            <v>28.622757</v>
          </cell>
          <cell r="Z2430">
            <v>0</v>
          </cell>
          <cell r="AA2430">
            <v>0</v>
          </cell>
          <cell r="AB2430">
            <v>0</v>
          </cell>
        </row>
        <row r="2431">
          <cell r="A2431">
            <v>43102400</v>
          </cell>
          <cell r="B2431" t="str">
            <v>Sunflower seeds, NFS</v>
          </cell>
          <cell r="I2431">
            <v>30</v>
          </cell>
          <cell r="J2431">
            <v>174.6</v>
          </cell>
          <cell r="K2431">
            <v>5.8199999999999994</v>
          </cell>
          <cell r="L2431">
            <v>0</v>
          </cell>
          <cell r="M2431">
            <v>1.5657000000000001</v>
          </cell>
          <cell r="N2431">
            <v>0</v>
          </cell>
          <cell r="O2431">
            <v>2.1000000000000001E-2</v>
          </cell>
          <cell r="P2431">
            <v>3.33</v>
          </cell>
          <cell r="Q2431">
            <v>9.8651999999999997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8.9999999999999998E-4</v>
          </cell>
          <cell r="Y2431">
            <v>29.980125000000001</v>
          </cell>
          <cell r="Z2431">
            <v>0</v>
          </cell>
          <cell r="AA2431">
            <v>0</v>
          </cell>
          <cell r="AB2431">
            <v>0</v>
          </cell>
        </row>
        <row r="2432">
          <cell r="A2432">
            <v>43103000</v>
          </cell>
          <cell r="B2432" t="str">
            <v>Sesame seeds</v>
          </cell>
          <cell r="I2432">
            <v>30</v>
          </cell>
          <cell r="J2432">
            <v>170.1</v>
          </cell>
          <cell r="K2432">
            <v>5.67</v>
          </cell>
          <cell r="L2432">
            <v>0</v>
          </cell>
          <cell r="M2432">
            <v>2.0165999999999999</v>
          </cell>
          <cell r="N2432">
            <v>0</v>
          </cell>
          <cell r="O2432">
            <v>3.9300000000000002E-2</v>
          </cell>
          <cell r="P2432">
            <v>5.07</v>
          </cell>
          <cell r="Q2432">
            <v>6.3117000000000001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1.17E-2</v>
          </cell>
          <cell r="Y2432">
            <v>29.980125000000001</v>
          </cell>
          <cell r="Z2432">
            <v>0</v>
          </cell>
          <cell r="AA2432">
            <v>0</v>
          </cell>
          <cell r="AB2432">
            <v>2.04236E-2</v>
          </cell>
        </row>
        <row r="2433">
          <cell r="A2433">
            <v>43103100</v>
          </cell>
          <cell r="B2433" t="str">
            <v>Sesame sauce</v>
          </cell>
          <cell r="I2433">
            <v>30</v>
          </cell>
          <cell r="J2433">
            <v>53.317562000000002</v>
          </cell>
          <cell r="K2433">
            <v>1.7772520666666667</v>
          </cell>
          <cell r="L2433">
            <v>2.7418999999999998E-3</v>
          </cell>
          <cell r="M2433">
            <v>0.19686049999999999</v>
          </cell>
          <cell r="N2433">
            <v>0</v>
          </cell>
          <cell r="O2433">
            <v>1.9997999999999999E-3</v>
          </cell>
          <cell r="P2433">
            <v>8.1114699999999998E-2</v>
          </cell>
          <cell r="Q2433">
            <v>0.54350600000000004</v>
          </cell>
          <cell r="R2433">
            <v>0</v>
          </cell>
          <cell r="S2433">
            <v>0</v>
          </cell>
          <cell r="T2433">
            <v>0</v>
          </cell>
          <cell r="U2433">
            <v>0.13056880000000001</v>
          </cell>
          <cell r="V2433">
            <v>0</v>
          </cell>
          <cell r="W2433">
            <v>0</v>
          </cell>
          <cell r="X2433">
            <v>0.1370895</v>
          </cell>
          <cell r="Y2433">
            <v>0.1159987</v>
          </cell>
          <cell r="Z2433">
            <v>0</v>
          </cell>
          <cell r="AA2433">
            <v>0</v>
          </cell>
          <cell r="AB2433">
            <v>0</v>
          </cell>
        </row>
        <row r="2434">
          <cell r="A2434">
            <v>43103200</v>
          </cell>
          <cell r="B2434" t="str">
            <v>Sesame paste (sesame butter made from whole seeds)</v>
          </cell>
          <cell r="I2434">
            <v>30</v>
          </cell>
          <cell r="J2434">
            <v>178.5</v>
          </cell>
          <cell r="K2434">
            <v>5.95</v>
          </cell>
          <cell r="L2434">
            <v>0</v>
          </cell>
          <cell r="M2434">
            <v>2.2587000000000002</v>
          </cell>
          <cell r="N2434">
            <v>0</v>
          </cell>
          <cell r="O2434">
            <v>0.1278</v>
          </cell>
          <cell r="P2434">
            <v>2.79</v>
          </cell>
          <cell r="Q2434">
            <v>7.0692000000000004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3.4500000000000003E-2</v>
          </cell>
          <cell r="Y2434">
            <v>26.578125</v>
          </cell>
          <cell r="Z2434">
            <v>0</v>
          </cell>
          <cell r="AA2434">
            <v>0</v>
          </cell>
          <cell r="AB2434">
            <v>0.1021875</v>
          </cell>
        </row>
        <row r="2435">
          <cell r="A2435">
            <v>43103300</v>
          </cell>
          <cell r="B2435" t="str">
            <v>Tahini</v>
          </cell>
          <cell r="I2435">
            <v>30</v>
          </cell>
          <cell r="J2435">
            <v>178.5</v>
          </cell>
          <cell r="K2435">
            <v>5.95</v>
          </cell>
          <cell r="L2435">
            <v>0</v>
          </cell>
          <cell r="M2435">
            <v>2.2587000000000002</v>
          </cell>
          <cell r="N2435">
            <v>0</v>
          </cell>
          <cell r="O2435">
            <v>0.1278</v>
          </cell>
          <cell r="P2435">
            <v>2.79</v>
          </cell>
          <cell r="Q2435">
            <v>7.0692000000000004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3.4500000000000003E-2</v>
          </cell>
          <cell r="Y2435">
            <v>26.578125</v>
          </cell>
          <cell r="Z2435">
            <v>0</v>
          </cell>
          <cell r="AA2435">
            <v>0</v>
          </cell>
          <cell r="AB2435">
            <v>0.1015624</v>
          </cell>
        </row>
        <row r="2436">
          <cell r="A2436">
            <v>43104000</v>
          </cell>
          <cell r="B2436" t="str">
            <v>Flax seeds</v>
          </cell>
          <cell r="I2436">
            <v>30</v>
          </cell>
          <cell r="J2436">
            <v>160.19999999999999</v>
          </cell>
          <cell r="K2436">
            <v>5.34</v>
          </cell>
          <cell r="L2436">
            <v>0</v>
          </cell>
          <cell r="M2436">
            <v>1.0989</v>
          </cell>
          <cell r="N2436">
            <v>0</v>
          </cell>
          <cell r="O2436">
            <v>7.6499999999999999E-2</v>
          </cell>
          <cell r="P2436">
            <v>8.19</v>
          </cell>
          <cell r="Q2436">
            <v>8.6189999999999998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8.9999999999999993E-3</v>
          </cell>
          <cell r="Y2436">
            <v>29.980125000000001</v>
          </cell>
          <cell r="Z2436">
            <v>0</v>
          </cell>
          <cell r="AA2436">
            <v>0</v>
          </cell>
          <cell r="AB2436">
            <v>0</v>
          </cell>
        </row>
        <row r="2437">
          <cell r="A2437">
            <v>43107000</v>
          </cell>
          <cell r="B2437" t="str">
            <v>Mixed seeds</v>
          </cell>
          <cell r="I2437">
            <v>30</v>
          </cell>
          <cell r="J2437">
            <v>174</v>
          </cell>
          <cell r="K2437">
            <v>5.8</v>
          </cell>
          <cell r="L2437">
            <v>0</v>
          </cell>
          <cell r="M2437">
            <v>1.815075</v>
          </cell>
          <cell r="N2437">
            <v>0</v>
          </cell>
          <cell r="O2437">
            <v>1.9650000000000001E-2</v>
          </cell>
          <cell r="P2437">
            <v>2.9849999999999999</v>
          </cell>
          <cell r="Q2437">
            <v>8.8880999999999997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2.0249999999999999E-3</v>
          </cell>
          <cell r="Y2437">
            <v>29.980125000000001</v>
          </cell>
          <cell r="Z2437">
            <v>0</v>
          </cell>
          <cell r="AA2437">
            <v>0</v>
          </cell>
          <cell r="AB2437">
            <v>1.33159E-2</v>
          </cell>
        </row>
        <row r="2438">
          <cell r="A2438">
            <v>43108010</v>
          </cell>
          <cell r="B2438" t="str">
            <v>Chia seeds</v>
          </cell>
          <cell r="I2438">
            <v>30</v>
          </cell>
          <cell r="J2438">
            <v>160.19999999999999</v>
          </cell>
          <cell r="K2438">
            <v>5.34</v>
          </cell>
          <cell r="L2438">
            <v>0</v>
          </cell>
          <cell r="M2438">
            <v>1.0989</v>
          </cell>
          <cell r="N2438">
            <v>0</v>
          </cell>
          <cell r="O2438">
            <v>7.6499999999999999E-2</v>
          </cell>
          <cell r="P2438">
            <v>8.19</v>
          </cell>
          <cell r="Q2438">
            <v>8.6189999999999998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8.9999999999999993E-3</v>
          </cell>
          <cell r="Y2438">
            <v>29.980125000000001</v>
          </cell>
          <cell r="Z2438">
            <v>0</v>
          </cell>
          <cell r="AA2438">
            <v>0</v>
          </cell>
          <cell r="AB2438">
            <v>0</v>
          </cell>
        </row>
        <row r="2439">
          <cell r="A2439">
            <v>44201000</v>
          </cell>
          <cell r="B2439" t="str">
            <v>Carob chips</v>
          </cell>
          <cell r="I2439">
            <v>30</v>
          </cell>
          <cell r="J2439">
            <v>162</v>
          </cell>
          <cell r="K2439">
            <v>5.4</v>
          </cell>
          <cell r="L2439">
            <v>1.1399999999999999</v>
          </cell>
          <cell r="M2439">
            <v>8.7053999999999991</v>
          </cell>
          <cell r="N2439">
            <v>0</v>
          </cell>
          <cell r="O2439">
            <v>9.0899999999999995E-2</v>
          </cell>
          <cell r="P2439">
            <v>0</v>
          </cell>
          <cell r="Q2439">
            <v>8.8499999999999995E-2</v>
          </cell>
          <cell r="R2439">
            <v>0</v>
          </cell>
          <cell r="S2439">
            <v>19.221557000000001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3.2099999999999997E-2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</row>
        <row r="2440">
          <cell r="A2440">
            <v>50010000</v>
          </cell>
          <cell r="B2440" t="str">
            <v>Flour, white</v>
          </cell>
          <cell r="I2440">
            <v>30</v>
          </cell>
          <cell r="J2440">
            <v>109.2</v>
          </cell>
          <cell r="K2440">
            <v>3.64</v>
          </cell>
          <cell r="L2440">
            <v>0</v>
          </cell>
          <cell r="M2440">
            <v>4.65E-2</v>
          </cell>
          <cell r="N2440">
            <v>0</v>
          </cell>
          <cell r="O2440">
            <v>4.4999999999999997E-3</v>
          </cell>
          <cell r="P2440">
            <v>0.81</v>
          </cell>
          <cell r="Q2440">
            <v>0.1239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5.9999999999999995E-4</v>
          </cell>
          <cell r="Y2440">
            <v>0</v>
          </cell>
          <cell r="Z2440">
            <v>0</v>
          </cell>
          <cell r="AA2440">
            <v>0</v>
          </cell>
          <cell r="AB2440">
            <v>1.09561E-2</v>
          </cell>
        </row>
        <row r="2441">
          <cell r="A2441">
            <v>51000100</v>
          </cell>
          <cell r="B2441" t="str">
            <v>Bread, NS as to major flour</v>
          </cell>
          <cell r="I2441">
            <v>50</v>
          </cell>
          <cell r="J2441">
            <v>133</v>
          </cell>
          <cell r="K2441">
            <v>2.66</v>
          </cell>
          <cell r="L2441">
            <v>0</v>
          </cell>
          <cell r="M2441">
            <v>0.34899999999999998</v>
          </cell>
          <cell r="N2441">
            <v>0</v>
          </cell>
          <cell r="O2441">
            <v>7.1999999999999995E-2</v>
          </cell>
          <cell r="P2441">
            <v>1.35</v>
          </cell>
          <cell r="Q2441">
            <v>0.80100000000000005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0.245</v>
          </cell>
          <cell r="Y2441">
            <v>0</v>
          </cell>
          <cell r="Z2441">
            <v>0</v>
          </cell>
          <cell r="AA2441">
            <v>0</v>
          </cell>
          <cell r="AB2441">
            <v>1.35E-2</v>
          </cell>
        </row>
        <row r="2442">
          <cell r="A2442">
            <v>51000110</v>
          </cell>
          <cell r="B2442" t="str">
            <v>Bread, NS as to major flour, toasted</v>
          </cell>
          <cell r="I2442">
            <v>50</v>
          </cell>
          <cell r="J2442">
            <v>145</v>
          </cell>
          <cell r="K2442">
            <v>2.9</v>
          </cell>
          <cell r="L2442">
            <v>0</v>
          </cell>
          <cell r="M2442">
            <v>0.38200000000000001</v>
          </cell>
          <cell r="N2442">
            <v>0</v>
          </cell>
          <cell r="O2442">
            <v>5.9499999999999997E-2</v>
          </cell>
          <cell r="P2442">
            <v>1.45</v>
          </cell>
          <cell r="Q2442">
            <v>1.0449999999999999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0.26850000000000002</v>
          </cell>
          <cell r="Y2442">
            <v>0</v>
          </cell>
          <cell r="Z2442">
            <v>0</v>
          </cell>
          <cell r="AA2442">
            <v>0</v>
          </cell>
          <cell r="AB2442">
            <v>1.94474E-2</v>
          </cell>
        </row>
        <row r="2443">
          <cell r="A2443">
            <v>51000180</v>
          </cell>
          <cell r="B2443" t="str">
            <v>Bread, made from home recipe or purchased at a bakery, NS as to major flour</v>
          </cell>
          <cell r="I2443">
            <v>50</v>
          </cell>
          <cell r="J2443">
            <v>124.1191</v>
          </cell>
          <cell r="K2443">
            <v>2.4823819999999999</v>
          </cell>
          <cell r="L2443">
            <v>0</v>
          </cell>
          <cell r="M2443">
            <v>0.56410899999999997</v>
          </cell>
          <cell r="N2443">
            <v>0</v>
          </cell>
          <cell r="O2443">
            <v>1.55814E-2</v>
          </cell>
          <cell r="P2443">
            <v>0.78300720000000001</v>
          </cell>
          <cell r="Q2443">
            <v>0.37160929999999998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0.26110870000000003</v>
          </cell>
          <cell r="Y2443">
            <v>0</v>
          </cell>
          <cell r="Z2443">
            <v>0</v>
          </cell>
          <cell r="AA2443">
            <v>0</v>
          </cell>
          <cell r="AB2443">
            <v>8.0738900000000002E-2</v>
          </cell>
        </row>
        <row r="2444">
          <cell r="A2444">
            <v>51000190</v>
          </cell>
          <cell r="B2444" t="str">
            <v>Bread, made from home recipe or purchased at a bakery, toasted, NS as to major flour</v>
          </cell>
          <cell r="I2444">
            <v>50</v>
          </cell>
          <cell r="J2444">
            <v>124.01655</v>
          </cell>
          <cell r="K2444">
            <v>2.4803310000000001</v>
          </cell>
          <cell r="L2444">
            <v>0</v>
          </cell>
          <cell r="M2444">
            <v>0.55724340000000006</v>
          </cell>
          <cell r="N2444">
            <v>0</v>
          </cell>
          <cell r="O2444">
            <v>1.5603499999999999E-2</v>
          </cell>
          <cell r="P2444">
            <v>0.78300720000000001</v>
          </cell>
          <cell r="Q2444">
            <v>0.3709073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0.26110420000000001</v>
          </cell>
          <cell r="Y2444">
            <v>0</v>
          </cell>
          <cell r="Z2444">
            <v>0</v>
          </cell>
          <cell r="AA2444">
            <v>0</v>
          </cell>
          <cell r="AB2444">
            <v>8.0738900000000002E-2</v>
          </cell>
        </row>
        <row r="2445">
          <cell r="A2445">
            <v>51000200</v>
          </cell>
          <cell r="B2445" t="str">
            <v>Roll, NS as to major flour</v>
          </cell>
          <cell r="I2445">
            <v>50</v>
          </cell>
          <cell r="J2445">
            <v>139.5</v>
          </cell>
          <cell r="K2445">
            <v>2.79</v>
          </cell>
          <cell r="L2445">
            <v>0</v>
          </cell>
          <cell r="M2445">
            <v>0.42099999999999999</v>
          </cell>
          <cell r="N2445">
            <v>0</v>
          </cell>
          <cell r="O2445">
            <v>7.1999999999999995E-2</v>
          </cell>
          <cell r="P2445">
            <v>0.9</v>
          </cell>
          <cell r="Q2445">
            <v>0.89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0.247</v>
          </cell>
          <cell r="Y2445">
            <v>0</v>
          </cell>
          <cell r="Z2445">
            <v>0</v>
          </cell>
          <cell r="AA2445">
            <v>0</v>
          </cell>
          <cell r="AB2445">
            <v>1.35E-2</v>
          </cell>
        </row>
        <row r="2446">
          <cell r="A2446">
            <v>51000300</v>
          </cell>
          <cell r="B2446" t="str">
            <v>Roll, hard, NS as to major flour</v>
          </cell>
          <cell r="I2446">
            <v>50</v>
          </cell>
          <cell r="J2446">
            <v>146.5</v>
          </cell>
          <cell r="K2446">
            <v>2.93</v>
          </cell>
          <cell r="L2446">
            <v>0</v>
          </cell>
          <cell r="M2446">
            <v>0.30299999999999999</v>
          </cell>
          <cell r="N2446">
            <v>0</v>
          </cell>
          <cell r="O2446">
            <v>4.7500000000000001E-2</v>
          </cell>
          <cell r="P2446">
            <v>1.1499999999999999</v>
          </cell>
          <cell r="Q2446">
            <v>0.85950000000000004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0.27200000000000002</v>
          </cell>
          <cell r="Y2446">
            <v>0</v>
          </cell>
          <cell r="Z2446">
            <v>0</v>
          </cell>
          <cell r="AA2446">
            <v>0</v>
          </cell>
          <cell r="AB2446">
            <v>9.4130500000000006E-2</v>
          </cell>
        </row>
        <row r="2447">
          <cell r="A2447">
            <v>51000400</v>
          </cell>
          <cell r="B2447" t="str">
            <v>Roll, bran, NS as to type of bran</v>
          </cell>
          <cell r="I2447">
            <v>50</v>
          </cell>
          <cell r="J2447">
            <v>117.473</v>
          </cell>
          <cell r="K2447">
            <v>2.3494600000000001</v>
          </cell>
          <cell r="L2447">
            <v>0.62619999999999998</v>
          </cell>
          <cell r="M2447">
            <v>0.434668</v>
          </cell>
          <cell r="N2447">
            <v>0</v>
          </cell>
          <cell r="O2447">
            <v>8.5990000000000007E-3</v>
          </cell>
          <cell r="P2447">
            <v>1.2197</v>
          </cell>
          <cell r="Q2447">
            <v>0.90209600000000001</v>
          </cell>
          <cell r="R2447">
            <v>6.2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0.19586000000000001</v>
          </cell>
          <cell r="Y2447">
            <v>0</v>
          </cell>
          <cell r="Z2447">
            <v>0</v>
          </cell>
          <cell r="AA2447">
            <v>0</v>
          </cell>
          <cell r="AB2447">
            <v>0.1308482</v>
          </cell>
        </row>
        <row r="2448">
          <cell r="A2448">
            <v>51101000</v>
          </cell>
          <cell r="B2448" t="str">
            <v>Bread, white</v>
          </cell>
          <cell r="I2448">
            <v>50</v>
          </cell>
          <cell r="J2448">
            <v>133</v>
          </cell>
          <cell r="K2448">
            <v>2.66</v>
          </cell>
          <cell r="L2448">
            <v>0</v>
          </cell>
          <cell r="M2448">
            <v>0.34899999999999998</v>
          </cell>
          <cell r="N2448">
            <v>0</v>
          </cell>
          <cell r="O2448">
            <v>7.1999999999999995E-2</v>
          </cell>
          <cell r="P2448">
            <v>1.35</v>
          </cell>
          <cell r="Q2448">
            <v>0.80100000000000005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0.245</v>
          </cell>
          <cell r="Y2448">
            <v>0</v>
          </cell>
          <cell r="Z2448">
            <v>0</v>
          </cell>
          <cell r="AA2448">
            <v>0</v>
          </cell>
          <cell r="AB2448">
            <v>1.35E-2</v>
          </cell>
        </row>
        <row r="2449">
          <cell r="A2449">
            <v>51101010</v>
          </cell>
          <cell r="B2449" t="str">
            <v>Bread, white, toasted</v>
          </cell>
          <cell r="I2449">
            <v>50</v>
          </cell>
          <cell r="J2449">
            <v>145</v>
          </cell>
          <cell r="K2449">
            <v>2.9</v>
          </cell>
          <cell r="L2449">
            <v>0</v>
          </cell>
          <cell r="M2449">
            <v>0.38200000000000001</v>
          </cell>
          <cell r="N2449">
            <v>0</v>
          </cell>
          <cell r="O2449">
            <v>5.9499999999999997E-2</v>
          </cell>
          <cell r="P2449">
            <v>1.45</v>
          </cell>
          <cell r="Q2449">
            <v>1.0449999999999999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0.26850000000000002</v>
          </cell>
          <cell r="Y2449">
            <v>0</v>
          </cell>
          <cell r="Z2449">
            <v>0</v>
          </cell>
          <cell r="AA2449">
            <v>0</v>
          </cell>
          <cell r="AB2449">
            <v>1.9282400000000002E-2</v>
          </cell>
        </row>
        <row r="2450">
          <cell r="A2450">
            <v>51101050</v>
          </cell>
          <cell r="B2450" t="str">
            <v>Bread, white, made from home recipe or purchased at a bakery</v>
          </cell>
          <cell r="I2450">
            <v>50</v>
          </cell>
          <cell r="J2450">
            <v>124.1191</v>
          </cell>
          <cell r="K2450">
            <v>2.4823819999999999</v>
          </cell>
          <cell r="L2450">
            <v>0</v>
          </cell>
          <cell r="M2450">
            <v>0.56410899999999997</v>
          </cell>
          <cell r="N2450">
            <v>0</v>
          </cell>
          <cell r="O2450">
            <v>1.55814E-2</v>
          </cell>
          <cell r="P2450">
            <v>0.78300720000000001</v>
          </cell>
          <cell r="Q2450">
            <v>0.37160929999999998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0.26110870000000003</v>
          </cell>
          <cell r="Y2450">
            <v>0</v>
          </cell>
          <cell r="Z2450">
            <v>0</v>
          </cell>
          <cell r="AA2450">
            <v>0</v>
          </cell>
          <cell r="AB2450">
            <v>8.0738900000000002E-2</v>
          </cell>
        </row>
        <row r="2451">
          <cell r="A2451">
            <v>51101060</v>
          </cell>
          <cell r="B2451" t="str">
            <v>Bread, white, made from home recipe or purchased at a bakery, toasted</v>
          </cell>
          <cell r="I2451">
            <v>50</v>
          </cell>
          <cell r="J2451">
            <v>124.1191</v>
          </cell>
          <cell r="K2451">
            <v>2.4823819999999999</v>
          </cell>
          <cell r="L2451">
            <v>0</v>
          </cell>
          <cell r="M2451">
            <v>0.56410899999999997</v>
          </cell>
          <cell r="N2451">
            <v>0</v>
          </cell>
          <cell r="O2451">
            <v>1.55814E-2</v>
          </cell>
          <cell r="P2451">
            <v>0.78300720000000001</v>
          </cell>
          <cell r="Q2451">
            <v>0.37160929999999998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0.26110870000000003</v>
          </cell>
          <cell r="Y2451">
            <v>0</v>
          </cell>
          <cell r="Z2451">
            <v>0</v>
          </cell>
          <cell r="AA2451">
            <v>0</v>
          </cell>
          <cell r="AB2451">
            <v>8.0738900000000002E-2</v>
          </cell>
        </row>
        <row r="2452">
          <cell r="A2452">
            <v>51102010</v>
          </cell>
          <cell r="B2452" t="str">
            <v>Bread, white with whole wheat swirl</v>
          </cell>
          <cell r="I2452">
            <v>50</v>
          </cell>
          <cell r="J2452">
            <v>129.5</v>
          </cell>
          <cell r="K2452">
            <v>2.59</v>
          </cell>
          <cell r="L2452">
            <v>1.5</v>
          </cell>
          <cell r="M2452">
            <v>0.35499999999999998</v>
          </cell>
          <cell r="N2452">
            <v>0</v>
          </cell>
          <cell r="O2452">
            <v>7.6249999999999998E-2</v>
          </cell>
          <cell r="P2452">
            <v>0.67500000000000004</v>
          </cell>
          <cell r="Q2452">
            <v>0.79849999999999999</v>
          </cell>
          <cell r="R2452">
            <v>14.52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0.23624999999999999</v>
          </cell>
          <cell r="Y2452">
            <v>0</v>
          </cell>
          <cell r="Z2452">
            <v>0</v>
          </cell>
          <cell r="AA2452">
            <v>0</v>
          </cell>
          <cell r="AB2452">
            <v>1.175E-2</v>
          </cell>
        </row>
        <row r="2453">
          <cell r="A2453">
            <v>51102020</v>
          </cell>
          <cell r="B2453" t="str">
            <v>Bread, white with whole wheat swirl, toasted</v>
          </cell>
          <cell r="I2453">
            <v>50</v>
          </cell>
          <cell r="J2453">
            <v>149</v>
          </cell>
          <cell r="K2453">
            <v>2.98</v>
          </cell>
          <cell r="L2453">
            <v>1.875</v>
          </cell>
          <cell r="M2453">
            <v>0.42149999999999999</v>
          </cell>
          <cell r="N2453">
            <v>0</v>
          </cell>
          <cell r="O2453">
            <v>6.225E-2</v>
          </cell>
          <cell r="P2453">
            <v>0.72499999999999998</v>
          </cell>
          <cell r="Q2453">
            <v>0.70750000000000002</v>
          </cell>
          <cell r="R2453">
            <v>15.8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0.27550000000000002</v>
          </cell>
          <cell r="Y2453">
            <v>0</v>
          </cell>
          <cell r="Z2453">
            <v>0</v>
          </cell>
          <cell r="AA2453">
            <v>0</v>
          </cell>
          <cell r="AB2453">
            <v>3.4692199999999999E-2</v>
          </cell>
        </row>
        <row r="2454">
          <cell r="A2454">
            <v>51105010</v>
          </cell>
          <cell r="B2454" t="str">
            <v>Bread, Cuban</v>
          </cell>
          <cell r="I2454">
            <v>50</v>
          </cell>
          <cell r="J2454">
            <v>136</v>
          </cell>
          <cell r="K2454">
            <v>2.72</v>
          </cell>
          <cell r="L2454">
            <v>0</v>
          </cell>
          <cell r="M2454">
            <v>0.26450000000000001</v>
          </cell>
          <cell r="N2454">
            <v>0</v>
          </cell>
          <cell r="O2454">
            <v>2.5999999999999999E-2</v>
          </cell>
          <cell r="P2454">
            <v>1.1000000000000001</v>
          </cell>
          <cell r="Q2454">
            <v>0.42749999999999999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0.30099999999999999</v>
          </cell>
          <cell r="Y2454">
            <v>0</v>
          </cell>
          <cell r="Z2454">
            <v>0</v>
          </cell>
          <cell r="AA2454">
            <v>0</v>
          </cell>
          <cell r="AB2454">
            <v>2.5000000000000001E-3</v>
          </cell>
        </row>
        <row r="2455">
          <cell r="A2455">
            <v>51105040</v>
          </cell>
          <cell r="B2455" t="str">
            <v>Bread, Cuban, toasted</v>
          </cell>
          <cell r="I2455">
            <v>50</v>
          </cell>
          <cell r="J2455">
            <v>136</v>
          </cell>
          <cell r="K2455">
            <v>2.72</v>
          </cell>
          <cell r="L2455">
            <v>0</v>
          </cell>
          <cell r="M2455">
            <v>0.26450000000000001</v>
          </cell>
          <cell r="N2455">
            <v>0</v>
          </cell>
          <cell r="O2455">
            <v>2.5999999999999999E-2</v>
          </cell>
          <cell r="P2455">
            <v>1.1000000000000001</v>
          </cell>
          <cell r="Q2455">
            <v>0.42749999999999999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0.30099999999999999</v>
          </cell>
          <cell r="Y2455">
            <v>0</v>
          </cell>
          <cell r="Z2455">
            <v>0</v>
          </cell>
          <cell r="AA2455">
            <v>0</v>
          </cell>
          <cell r="AB2455">
            <v>2.5000000000000001E-3</v>
          </cell>
        </row>
        <row r="2456">
          <cell r="A2456">
            <v>51106010</v>
          </cell>
          <cell r="B2456" t="str">
            <v>Bread, native, water, Puerto Rican style</v>
          </cell>
          <cell r="I2456">
            <v>50</v>
          </cell>
          <cell r="J2456">
            <v>117.80249999999999</v>
          </cell>
          <cell r="K2456">
            <v>2.3560499999999998</v>
          </cell>
          <cell r="L2456">
            <v>1.11E-16</v>
          </cell>
          <cell r="M2456">
            <v>0.301014</v>
          </cell>
          <cell r="N2456">
            <v>0</v>
          </cell>
          <cell r="O2456">
            <v>1.07423E-2</v>
          </cell>
          <cell r="P2456">
            <v>0.75836999999999999</v>
          </cell>
          <cell r="Q2456">
            <v>0.31939499999999998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0.2313289</v>
          </cell>
          <cell r="Y2456">
            <v>0</v>
          </cell>
          <cell r="Z2456">
            <v>0</v>
          </cell>
          <cell r="AA2456">
            <v>0</v>
          </cell>
          <cell r="AB2456">
            <v>0.1108992</v>
          </cell>
        </row>
        <row r="2457">
          <cell r="A2457">
            <v>51107010</v>
          </cell>
          <cell r="B2457" t="str">
            <v>Bread, French or Vienna</v>
          </cell>
          <cell r="I2457">
            <v>50</v>
          </cell>
          <cell r="J2457">
            <v>136</v>
          </cell>
          <cell r="K2457">
            <v>2.72</v>
          </cell>
          <cell r="L2457">
            <v>0</v>
          </cell>
          <cell r="M2457">
            <v>0.26450000000000001</v>
          </cell>
          <cell r="N2457">
            <v>0</v>
          </cell>
          <cell r="O2457">
            <v>2.5999999999999999E-2</v>
          </cell>
          <cell r="P2457">
            <v>1.1000000000000001</v>
          </cell>
          <cell r="Q2457">
            <v>0.42749999999999999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0.30099999999999999</v>
          </cell>
          <cell r="Y2457">
            <v>0</v>
          </cell>
          <cell r="Z2457">
            <v>0</v>
          </cell>
          <cell r="AA2457">
            <v>0</v>
          </cell>
          <cell r="AB2457">
            <v>2.5000000000000001E-3</v>
          </cell>
        </row>
        <row r="2458">
          <cell r="A2458">
            <v>51107040</v>
          </cell>
          <cell r="B2458" t="str">
            <v>Bread, French or Vienna, toasted</v>
          </cell>
          <cell r="I2458">
            <v>50</v>
          </cell>
          <cell r="J2458">
            <v>159.5</v>
          </cell>
          <cell r="K2458">
            <v>3.19</v>
          </cell>
          <cell r="L2458">
            <v>0</v>
          </cell>
          <cell r="M2458">
            <v>0.251</v>
          </cell>
          <cell r="N2458">
            <v>0</v>
          </cell>
          <cell r="O2458">
            <v>2.35E-2</v>
          </cell>
          <cell r="P2458">
            <v>1.55</v>
          </cell>
          <cell r="Q2458">
            <v>0.41499999999999998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0.36</v>
          </cell>
          <cell r="Y2458">
            <v>0</v>
          </cell>
          <cell r="Z2458">
            <v>0</v>
          </cell>
          <cell r="AA2458">
            <v>0</v>
          </cell>
          <cell r="AB2458">
            <v>3.3718600000000001E-2</v>
          </cell>
        </row>
        <row r="2459">
          <cell r="A2459">
            <v>51108010</v>
          </cell>
          <cell r="B2459" t="str">
            <v>Focaccia, Italian flatbread, plain</v>
          </cell>
          <cell r="I2459">
            <v>50</v>
          </cell>
          <cell r="J2459">
            <v>124.5</v>
          </cell>
          <cell r="K2459">
            <v>2.4900000000000002</v>
          </cell>
          <cell r="L2459">
            <v>0</v>
          </cell>
          <cell r="M2459">
            <v>0.4385</v>
          </cell>
          <cell r="N2459">
            <v>0</v>
          </cell>
          <cell r="O2459">
            <v>1.7500000000000002E-2</v>
          </cell>
          <cell r="P2459">
            <v>0.9</v>
          </cell>
          <cell r="Q2459">
            <v>0.497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0.28050000000000003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</row>
        <row r="2460">
          <cell r="A2460">
            <v>51108100</v>
          </cell>
          <cell r="B2460" t="str">
            <v>Naan, Indian flatbread</v>
          </cell>
          <cell r="I2460">
            <v>50</v>
          </cell>
          <cell r="J2460">
            <v>143</v>
          </cell>
          <cell r="K2460">
            <v>2.86</v>
          </cell>
          <cell r="L2460">
            <v>1.7164873</v>
          </cell>
          <cell r="M2460">
            <v>1.4535</v>
          </cell>
          <cell r="N2460">
            <v>0</v>
          </cell>
          <cell r="O2460">
            <v>2.9499999999999998E-2</v>
          </cell>
          <cell r="P2460">
            <v>0.68351269999999997</v>
          </cell>
          <cell r="Q2460">
            <v>0.629</v>
          </cell>
          <cell r="R2460">
            <v>16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0.23350000000000001</v>
          </cell>
          <cell r="Y2460">
            <v>0</v>
          </cell>
          <cell r="Z2460">
            <v>0</v>
          </cell>
          <cell r="AA2460">
            <v>0</v>
          </cell>
          <cell r="AB2460">
            <v>3.2579999999999998E-2</v>
          </cell>
        </row>
        <row r="2461">
          <cell r="A2461">
            <v>51109010</v>
          </cell>
          <cell r="B2461" t="str">
            <v>Bread, Italian, Grecian, Armenian</v>
          </cell>
          <cell r="I2461">
            <v>50</v>
          </cell>
          <cell r="J2461">
            <v>135.5</v>
          </cell>
          <cell r="K2461">
            <v>2.71</v>
          </cell>
          <cell r="L2461">
            <v>0</v>
          </cell>
          <cell r="M2461">
            <v>0</v>
          </cell>
          <cell r="N2461">
            <v>0</v>
          </cell>
          <cell r="O2461">
            <v>3.9E-2</v>
          </cell>
          <cell r="P2461">
            <v>1.6</v>
          </cell>
          <cell r="Q2461">
            <v>0.69499999999999995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0.27500000000000002</v>
          </cell>
          <cell r="Y2461">
            <v>0</v>
          </cell>
          <cell r="Z2461">
            <v>0</v>
          </cell>
          <cell r="AA2461">
            <v>0</v>
          </cell>
          <cell r="AB2461">
            <v>2.8575900000000001E-2</v>
          </cell>
        </row>
        <row r="2462">
          <cell r="A2462">
            <v>51109040</v>
          </cell>
          <cell r="B2462" t="str">
            <v>Bread, Italian, Grecian, Armenian, toasted</v>
          </cell>
          <cell r="I2462">
            <v>50</v>
          </cell>
          <cell r="J2462">
            <v>135.5</v>
          </cell>
          <cell r="K2462">
            <v>2.71</v>
          </cell>
          <cell r="L2462">
            <v>0</v>
          </cell>
          <cell r="M2462">
            <v>0</v>
          </cell>
          <cell r="N2462">
            <v>0</v>
          </cell>
          <cell r="O2462">
            <v>3.9E-2</v>
          </cell>
          <cell r="P2462">
            <v>1.6</v>
          </cell>
          <cell r="Q2462">
            <v>0.69499999999999995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0.27500000000000002</v>
          </cell>
          <cell r="Y2462">
            <v>0</v>
          </cell>
          <cell r="Z2462">
            <v>0</v>
          </cell>
          <cell r="AA2462">
            <v>0</v>
          </cell>
          <cell r="AB2462">
            <v>2.0736000000000001E-2</v>
          </cell>
        </row>
        <row r="2463">
          <cell r="A2463">
            <v>51109100</v>
          </cell>
          <cell r="B2463" t="str">
            <v>Bread, pita</v>
          </cell>
          <cell r="I2463">
            <v>50</v>
          </cell>
          <cell r="J2463">
            <v>137.5</v>
          </cell>
          <cell r="K2463">
            <v>2.75</v>
          </cell>
          <cell r="L2463">
            <v>0</v>
          </cell>
          <cell r="M2463">
            <v>8.3000000000000004E-2</v>
          </cell>
          <cell r="N2463">
            <v>0</v>
          </cell>
          <cell r="O2463">
            <v>4.2999999999999997E-2</v>
          </cell>
          <cell r="P2463">
            <v>1.1000000000000001</v>
          </cell>
          <cell r="Q2463">
            <v>0.26750000000000002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0.26800000000000002</v>
          </cell>
          <cell r="Y2463">
            <v>0</v>
          </cell>
          <cell r="Z2463">
            <v>0</v>
          </cell>
          <cell r="AA2463">
            <v>0</v>
          </cell>
          <cell r="AB2463">
            <v>1.7084100000000001E-2</v>
          </cell>
        </row>
        <row r="2464">
          <cell r="A2464">
            <v>51109110</v>
          </cell>
          <cell r="B2464" t="str">
            <v>Bread, pita, toasted</v>
          </cell>
          <cell r="I2464">
            <v>50</v>
          </cell>
          <cell r="J2464">
            <v>137.5</v>
          </cell>
          <cell r="K2464">
            <v>2.75</v>
          </cell>
          <cell r="L2464">
            <v>0</v>
          </cell>
          <cell r="M2464">
            <v>8.3000000000000004E-2</v>
          </cell>
          <cell r="N2464">
            <v>0</v>
          </cell>
          <cell r="O2464">
            <v>4.2999999999999997E-2</v>
          </cell>
          <cell r="P2464">
            <v>1.1000000000000001</v>
          </cell>
          <cell r="Q2464">
            <v>0.26750000000000002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0.26800000000000002</v>
          </cell>
          <cell r="Y2464">
            <v>0</v>
          </cell>
          <cell r="Z2464">
            <v>0</v>
          </cell>
          <cell r="AA2464">
            <v>0</v>
          </cell>
          <cell r="AB2464">
            <v>1.8479300000000001E-2</v>
          </cell>
        </row>
        <row r="2465">
          <cell r="A2465">
            <v>51111010</v>
          </cell>
          <cell r="B2465" t="str">
            <v>Bread, cheese</v>
          </cell>
          <cell r="I2465">
            <v>50</v>
          </cell>
          <cell r="J2465">
            <v>204</v>
          </cell>
          <cell r="K2465">
            <v>4.08</v>
          </cell>
          <cell r="L2465">
            <v>8.5403900000000005E-2</v>
          </cell>
          <cell r="M2465">
            <v>3.125</v>
          </cell>
          <cell r="N2465">
            <v>0</v>
          </cell>
          <cell r="O2465">
            <v>4.4999999999999998E-2</v>
          </cell>
          <cell r="P2465">
            <v>0.96459609999999996</v>
          </cell>
          <cell r="Q2465">
            <v>4.6014999999999997</v>
          </cell>
          <cell r="R2465">
            <v>0.88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0.375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</row>
        <row r="2466">
          <cell r="A2466">
            <v>51111040</v>
          </cell>
          <cell r="B2466" t="str">
            <v>Bread, cheese, toasted</v>
          </cell>
          <cell r="I2466">
            <v>50</v>
          </cell>
          <cell r="J2466">
            <v>204</v>
          </cell>
          <cell r="K2466">
            <v>4.08</v>
          </cell>
          <cell r="L2466">
            <v>8.5403900000000005E-2</v>
          </cell>
          <cell r="M2466">
            <v>3.125</v>
          </cell>
          <cell r="N2466">
            <v>0</v>
          </cell>
          <cell r="O2466">
            <v>4.4999999999999998E-2</v>
          </cell>
          <cell r="P2466">
            <v>0.96459609999999996</v>
          </cell>
          <cell r="Q2466">
            <v>4.6014999999999997</v>
          </cell>
          <cell r="R2466">
            <v>0.88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0.375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</row>
        <row r="2467">
          <cell r="A2467">
            <v>51113010</v>
          </cell>
          <cell r="B2467" t="str">
            <v>Bread, cinnamon</v>
          </cell>
          <cell r="I2467">
            <v>50</v>
          </cell>
          <cell r="J2467">
            <v>126.5</v>
          </cell>
          <cell r="K2467">
            <v>2.5299999999999998</v>
          </cell>
          <cell r="L2467">
            <v>0</v>
          </cell>
          <cell r="M2467">
            <v>0</v>
          </cell>
          <cell r="N2467">
            <v>0</v>
          </cell>
          <cell r="O2467">
            <v>3.5499999999999997E-2</v>
          </cell>
          <cell r="P2467">
            <v>1.75</v>
          </cell>
          <cell r="Q2467">
            <v>1.7635000000000001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0.19400000000000001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</row>
        <row r="2468">
          <cell r="A2468">
            <v>51113100</v>
          </cell>
          <cell r="B2468" t="str">
            <v>Bread, cinnamon, toasted</v>
          </cell>
          <cell r="I2468">
            <v>50</v>
          </cell>
          <cell r="J2468">
            <v>145</v>
          </cell>
          <cell r="K2468">
            <v>2.9</v>
          </cell>
          <cell r="L2468">
            <v>0</v>
          </cell>
          <cell r="M2468">
            <v>0.38200000000000001</v>
          </cell>
          <cell r="N2468">
            <v>0</v>
          </cell>
          <cell r="O2468">
            <v>5.9499999999999997E-2</v>
          </cell>
          <cell r="P2468">
            <v>1.45</v>
          </cell>
          <cell r="Q2468">
            <v>1.0449999999999999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0.26850000000000002</v>
          </cell>
          <cell r="Y2468">
            <v>0</v>
          </cell>
          <cell r="Z2468">
            <v>0</v>
          </cell>
          <cell r="AA2468">
            <v>0</v>
          </cell>
          <cell r="AB2468">
            <v>1.93201E-2</v>
          </cell>
        </row>
        <row r="2469">
          <cell r="A2469">
            <v>51119010</v>
          </cell>
          <cell r="B2469" t="str">
            <v>Bread, egg, Challah</v>
          </cell>
          <cell r="I2469">
            <v>50</v>
          </cell>
          <cell r="J2469">
            <v>143.5</v>
          </cell>
          <cell r="K2469">
            <v>2.87</v>
          </cell>
          <cell r="L2469">
            <v>0</v>
          </cell>
          <cell r="M2469">
            <v>0.79649999999999999</v>
          </cell>
          <cell r="N2469">
            <v>0</v>
          </cell>
          <cell r="O2469">
            <v>4.65E-2</v>
          </cell>
          <cell r="P2469">
            <v>1.1499999999999999</v>
          </cell>
          <cell r="Q2469">
            <v>0.55300000000000005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0.19</v>
          </cell>
          <cell r="Y2469">
            <v>0</v>
          </cell>
          <cell r="Z2469">
            <v>0</v>
          </cell>
          <cell r="AA2469">
            <v>0</v>
          </cell>
          <cell r="AB2469">
            <v>0.13670959999999999</v>
          </cell>
        </row>
        <row r="2470">
          <cell r="A2470">
            <v>51119040</v>
          </cell>
          <cell r="B2470" t="str">
            <v>Bread, egg, Challah, toasted</v>
          </cell>
          <cell r="I2470">
            <v>50</v>
          </cell>
          <cell r="J2470">
            <v>157.5</v>
          </cell>
          <cell r="K2470">
            <v>3.15</v>
          </cell>
          <cell r="L2470">
            <v>0</v>
          </cell>
          <cell r="M2470">
            <v>0.80800000000000005</v>
          </cell>
          <cell r="N2470">
            <v>0</v>
          </cell>
          <cell r="O2470">
            <v>5.0999999999999997E-2</v>
          </cell>
          <cell r="P2470">
            <v>1.25</v>
          </cell>
          <cell r="Q2470">
            <v>0.57450000000000001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0.20849999999999999</v>
          </cell>
          <cell r="Y2470">
            <v>0</v>
          </cell>
          <cell r="Z2470">
            <v>0</v>
          </cell>
          <cell r="AA2470">
            <v>0</v>
          </cell>
          <cell r="AB2470">
            <v>0.20066829999999999</v>
          </cell>
        </row>
        <row r="2471">
          <cell r="A2471">
            <v>51121010</v>
          </cell>
          <cell r="B2471" t="str">
            <v>Bread, garlic</v>
          </cell>
          <cell r="I2471">
            <v>50</v>
          </cell>
          <cell r="J2471">
            <v>175</v>
          </cell>
          <cell r="K2471">
            <v>3.5</v>
          </cell>
          <cell r="L2471">
            <v>0</v>
          </cell>
          <cell r="M2471">
            <v>2.6404999999999998</v>
          </cell>
          <cell r="N2471">
            <v>0</v>
          </cell>
          <cell r="O2471">
            <v>1.35E-2</v>
          </cell>
          <cell r="P2471">
            <v>1.25</v>
          </cell>
          <cell r="Q2471">
            <v>2.7185000000000001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0.27200000000000002</v>
          </cell>
          <cell r="Y2471">
            <v>0</v>
          </cell>
          <cell r="Z2471">
            <v>0</v>
          </cell>
          <cell r="AA2471">
            <v>0</v>
          </cell>
          <cell r="AB2471">
            <v>0.12</v>
          </cell>
        </row>
        <row r="2472">
          <cell r="A2472">
            <v>51121015</v>
          </cell>
          <cell r="B2472" t="str">
            <v>Garlic bread, NFS</v>
          </cell>
          <cell r="I2472">
            <v>50</v>
          </cell>
          <cell r="J2472">
            <v>174.6507</v>
          </cell>
          <cell r="K2472">
            <v>3.4930140000000001</v>
          </cell>
          <cell r="L2472">
            <v>0</v>
          </cell>
          <cell r="M2472">
            <v>2.6352294999999999</v>
          </cell>
          <cell r="N2472">
            <v>0</v>
          </cell>
          <cell r="O2472">
            <v>1.3497E-2</v>
          </cell>
          <cell r="P2472">
            <v>1.2475050000000001</v>
          </cell>
          <cell r="Q2472">
            <v>2.7130738999999999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0.31013770000000002</v>
          </cell>
          <cell r="Y2472">
            <v>0</v>
          </cell>
          <cell r="Z2472">
            <v>0</v>
          </cell>
          <cell r="AA2472">
            <v>0</v>
          </cell>
          <cell r="AB2472">
            <v>0.11976050000000001</v>
          </cell>
        </row>
        <row r="2473">
          <cell r="A2473">
            <v>51121025</v>
          </cell>
          <cell r="B2473" t="str">
            <v>Garlic bread, from fast food / restaurant</v>
          </cell>
          <cell r="I2473">
            <v>50</v>
          </cell>
          <cell r="J2473">
            <v>174.6507</v>
          </cell>
          <cell r="K2473">
            <v>3.4930140000000001</v>
          </cell>
          <cell r="L2473">
            <v>0</v>
          </cell>
          <cell r="M2473">
            <v>2.6352294999999999</v>
          </cell>
          <cell r="N2473">
            <v>0</v>
          </cell>
          <cell r="O2473">
            <v>1.3497E-2</v>
          </cell>
          <cell r="P2473">
            <v>1.2475050000000001</v>
          </cell>
          <cell r="Q2473">
            <v>2.7130738999999999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0.31013770000000002</v>
          </cell>
          <cell r="Y2473">
            <v>0</v>
          </cell>
          <cell r="Z2473">
            <v>0</v>
          </cell>
          <cell r="AA2473">
            <v>0</v>
          </cell>
          <cell r="AB2473">
            <v>0.11976050000000001</v>
          </cell>
        </row>
        <row r="2474">
          <cell r="A2474">
            <v>51121035</v>
          </cell>
          <cell r="B2474" t="str">
            <v>Garlic bread, from frozen</v>
          </cell>
          <cell r="I2474">
            <v>50</v>
          </cell>
          <cell r="J2474">
            <v>175</v>
          </cell>
          <cell r="K2474">
            <v>3.5</v>
          </cell>
          <cell r="L2474">
            <v>0</v>
          </cell>
          <cell r="M2474">
            <v>2.6404999999999998</v>
          </cell>
          <cell r="N2474">
            <v>0</v>
          </cell>
          <cell r="O2474">
            <v>1.35E-2</v>
          </cell>
          <cell r="P2474">
            <v>1.25</v>
          </cell>
          <cell r="Q2474">
            <v>2.7185000000000001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0.27200000000000002</v>
          </cell>
          <cell r="Y2474">
            <v>0</v>
          </cell>
          <cell r="Z2474">
            <v>0</v>
          </cell>
          <cell r="AA2474">
            <v>0</v>
          </cell>
          <cell r="AB2474">
            <v>0.12</v>
          </cell>
        </row>
        <row r="2475">
          <cell r="A2475">
            <v>51121045</v>
          </cell>
          <cell r="B2475" t="str">
            <v>Garlic bread, with parmesan cheese, from fast food / restaurant</v>
          </cell>
          <cell r="I2475">
            <v>50</v>
          </cell>
          <cell r="J2475">
            <v>175.34246999999999</v>
          </cell>
          <cell r="K2475">
            <v>3.5068493999999997</v>
          </cell>
          <cell r="L2475">
            <v>0</v>
          </cell>
          <cell r="M2475">
            <v>2.7340607000000001</v>
          </cell>
          <cell r="N2475">
            <v>0</v>
          </cell>
          <cell r="O2475">
            <v>2.1579299999999999E-2</v>
          </cell>
          <cell r="P2475">
            <v>1.2230920000000001</v>
          </cell>
          <cell r="Q2475">
            <v>2.6735421000000001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0.32172020000000001</v>
          </cell>
          <cell r="Y2475">
            <v>0</v>
          </cell>
          <cell r="Z2475">
            <v>0</v>
          </cell>
          <cell r="AA2475">
            <v>0</v>
          </cell>
          <cell r="AB2475">
            <v>0.1259883</v>
          </cell>
        </row>
        <row r="2476">
          <cell r="A2476">
            <v>51121055</v>
          </cell>
          <cell r="B2476" t="str">
            <v>Garlic bread, with parmesan cheese, from frozen</v>
          </cell>
          <cell r="I2476">
            <v>50</v>
          </cell>
          <cell r="J2476">
            <v>175.68627000000001</v>
          </cell>
          <cell r="K2476">
            <v>3.5137254000000002</v>
          </cell>
          <cell r="L2476">
            <v>0</v>
          </cell>
          <cell r="M2476">
            <v>2.7394216</v>
          </cell>
          <cell r="N2476">
            <v>0</v>
          </cell>
          <cell r="O2476">
            <v>2.1597999999999999E-2</v>
          </cell>
          <cell r="P2476">
            <v>1.2254902000000001</v>
          </cell>
          <cell r="Q2476">
            <v>2.6787842999999998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0.28435290000000002</v>
          </cell>
          <cell r="Y2476">
            <v>0</v>
          </cell>
          <cell r="Z2476">
            <v>0</v>
          </cell>
          <cell r="AA2476">
            <v>0</v>
          </cell>
          <cell r="AB2476">
            <v>0.12623529999999999</v>
          </cell>
        </row>
        <row r="2477">
          <cell r="A2477">
            <v>51121065</v>
          </cell>
          <cell r="B2477" t="str">
            <v>Garlic bread, with melted cheese, from fast food / restaurant</v>
          </cell>
          <cell r="I2477">
            <v>50</v>
          </cell>
          <cell r="J2477">
            <v>169.22923</v>
          </cell>
          <cell r="K2477">
            <v>3.3845846000000002</v>
          </cell>
          <cell r="L2477">
            <v>1.11E-16</v>
          </cell>
          <cell r="M2477">
            <v>3.2367211999999999</v>
          </cell>
          <cell r="N2477">
            <v>0</v>
          </cell>
          <cell r="O2477">
            <v>8.0390600000000006E-2</v>
          </cell>
          <cell r="P2477">
            <v>0.99840260000000003</v>
          </cell>
          <cell r="Q2477">
            <v>2.2730630999999999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0.31470290000000001</v>
          </cell>
          <cell r="Y2477">
            <v>0</v>
          </cell>
          <cell r="Z2477">
            <v>0</v>
          </cell>
          <cell r="AA2477">
            <v>0</v>
          </cell>
          <cell r="AB2477">
            <v>0.16773160000000001</v>
          </cell>
        </row>
        <row r="2478">
          <cell r="A2478">
            <v>51121075</v>
          </cell>
          <cell r="B2478" t="str">
            <v>Garlic bread, with melted cheese, from frozen</v>
          </cell>
          <cell r="I2478">
            <v>50</v>
          </cell>
          <cell r="J2478">
            <v>171.41304</v>
          </cell>
          <cell r="K2478">
            <v>3.4282607999999999</v>
          </cell>
          <cell r="L2478">
            <v>0</v>
          </cell>
          <cell r="M2478">
            <v>3.0327174000000001</v>
          </cell>
          <cell r="N2478">
            <v>0</v>
          </cell>
          <cell r="O2478">
            <v>5.7195700000000002E-2</v>
          </cell>
          <cell r="P2478">
            <v>1.0869565000000001</v>
          </cell>
          <cell r="Q2478">
            <v>2.4303696000000001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0.2799565</v>
          </cell>
          <cell r="Y2478">
            <v>0</v>
          </cell>
          <cell r="Z2478">
            <v>0</v>
          </cell>
          <cell r="AA2478">
            <v>0</v>
          </cell>
          <cell r="AB2478">
            <v>0.1513043</v>
          </cell>
        </row>
        <row r="2479">
          <cell r="A2479">
            <v>51122000</v>
          </cell>
          <cell r="B2479" t="str">
            <v>Bread, reduced calorie and/or high fiber, white or NFS</v>
          </cell>
          <cell r="I2479">
            <v>50</v>
          </cell>
          <cell r="J2479">
            <v>103.5</v>
          </cell>
          <cell r="K2479">
            <v>2.0699999999999998</v>
          </cell>
          <cell r="L2479">
            <v>0</v>
          </cell>
          <cell r="M2479">
            <v>0.27450000000000002</v>
          </cell>
          <cell r="N2479">
            <v>0</v>
          </cell>
          <cell r="O2479">
            <v>4.7E-2</v>
          </cell>
          <cell r="P2479">
            <v>4.8499999999999996</v>
          </cell>
          <cell r="Q2479">
            <v>0.27950000000000003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0.23949999999999999</v>
          </cell>
          <cell r="Y2479">
            <v>0</v>
          </cell>
          <cell r="Z2479">
            <v>0</v>
          </cell>
          <cell r="AA2479">
            <v>0</v>
          </cell>
          <cell r="AB2479">
            <v>3.9399700000000003E-2</v>
          </cell>
        </row>
        <row r="2480">
          <cell r="A2480">
            <v>51122100</v>
          </cell>
          <cell r="B2480" t="str">
            <v>Bread, reduced calorie and/or high fiber, white or NFS, with fruit and/or nuts</v>
          </cell>
          <cell r="I2480">
            <v>50</v>
          </cell>
          <cell r="J2480">
            <v>110.32982</v>
          </cell>
          <cell r="K2480">
            <v>2.2065964</v>
          </cell>
          <cell r="L2480">
            <v>0.27467750000000002</v>
          </cell>
          <cell r="M2480">
            <v>0.2380496</v>
          </cell>
          <cell r="N2480">
            <v>0</v>
          </cell>
          <cell r="O2480">
            <v>4.3733599999999997E-2</v>
          </cell>
          <cell r="P2480">
            <v>4.1298997000000002</v>
          </cell>
          <cell r="Q2480">
            <v>0.2407482</v>
          </cell>
          <cell r="R2480">
            <v>0</v>
          </cell>
          <cell r="S2480">
            <v>0</v>
          </cell>
          <cell r="T2480">
            <v>7.4237149000000002</v>
          </cell>
          <cell r="U2480">
            <v>0</v>
          </cell>
          <cell r="V2480">
            <v>0</v>
          </cell>
          <cell r="W2480">
            <v>0</v>
          </cell>
          <cell r="X2480">
            <v>0.20475699999999999</v>
          </cell>
          <cell r="Y2480">
            <v>0</v>
          </cell>
          <cell r="Z2480">
            <v>0</v>
          </cell>
          <cell r="AA2480">
            <v>0</v>
          </cell>
          <cell r="AB2480">
            <v>2.8576299999999999E-2</v>
          </cell>
        </row>
        <row r="2481">
          <cell r="A2481">
            <v>51127010</v>
          </cell>
          <cell r="B2481" t="str">
            <v>Bread, potato</v>
          </cell>
          <cell r="I2481">
            <v>50</v>
          </cell>
          <cell r="J2481">
            <v>133</v>
          </cell>
          <cell r="K2481">
            <v>2.66</v>
          </cell>
          <cell r="L2481">
            <v>0</v>
          </cell>
          <cell r="M2481">
            <v>0</v>
          </cell>
          <cell r="N2481">
            <v>0</v>
          </cell>
          <cell r="O2481">
            <v>9.4E-2</v>
          </cell>
          <cell r="P2481">
            <v>3.15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0.1875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</row>
        <row r="2482">
          <cell r="A2482">
            <v>51127020</v>
          </cell>
          <cell r="B2482" t="str">
            <v>Bread, potato, toasted</v>
          </cell>
          <cell r="I2482">
            <v>50</v>
          </cell>
          <cell r="J2482">
            <v>133</v>
          </cell>
          <cell r="K2482">
            <v>2.66</v>
          </cell>
          <cell r="L2482">
            <v>0</v>
          </cell>
          <cell r="M2482">
            <v>0</v>
          </cell>
          <cell r="N2482">
            <v>0</v>
          </cell>
          <cell r="O2482">
            <v>9.4E-2</v>
          </cell>
          <cell r="P2482">
            <v>3.15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0.1875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</row>
        <row r="2483">
          <cell r="A2483">
            <v>51129010</v>
          </cell>
          <cell r="B2483" t="str">
            <v>Bread, raisin</v>
          </cell>
          <cell r="I2483">
            <v>50</v>
          </cell>
          <cell r="J2483">
            <v>134.65</v>
          </cell>
          <cell r="K2483">
            <v>2.6930000000000001</v>
          </cell>
          <cell r="L2483">
            <v>0.185</v>
          </cell>
          <cell r="M2483">
            <v>0.317</v>
          </cell>
          <cell r="N2483">
            <v>0</v>
          </cell>
          <cell r="O2483">
            <v>6.7299999999999999E-2</v>
          </cell>
          <cell r="P2483">
            <v>1.2150000000000001</v>
          </cell>
          <cell r="Q2483">
            <v>0.72275</v>
          </cell>
          <cell r="R2483">
            <v>0</v>
          </cell>
          <cell r="S2483">
            <v>0</v>
          </cell>
          <cell r="T2483">
            <v>5</v>
          </cell>
          <cell r="U2483">
            <v>0</v>
          </cell>
          <cell r="V2483">
            <v>0</v>
          </cell>
          <cell r="W2483">
            <v>0</v>
          </cell>
          <cell r="X2483">
            <v>0.22105</v>
          </cell>
          <cell r="Y2483">
            <v>0</v>
          </cell>
          <cell r="Z2483">
            <v>0</v>
          </cell>
          <cell r="AA2483">
            <v>0</v>
          </cell>
          <cell r="AB2483">
            <v>1.2149999999999999E-2</v>
          </cell>
        </row>
        <row r="2484">
          <cell r="A2484">
            <v>51129020</v>
          </cell>
          <cell r="B2484" t="str">
            <v>Bread, raisin, toasted</v>
          </cell>
          <cell r="I2484">
            <v>50</v>
          </cell>
          <cell r="J2484">
            <v>134.65</v>
          </cell>
          <cell r="K2484">
            <v>2.6930000000000001</v>
          </cell>
          <cell r="L2484">
            <v>0.185</v>
          </cell>
          <cell r="M2484">
            <v>0.317</v>
          </cell>
          <cell r="N2484">
            <v>0</v>
          </cell>
          <cell r="O2484">
            <v>6.7299999999999999E-2</v>
          </cell>
          <cell r="P2484">
            <v>1.2150000000000001</v>
          </cell>
          <cell r="Q2484">
            <v>0.72275</v>
          </cell>
          <cell r="R2484">
            <v>0</v>
          </cell>
          <cell r="S2484">
            <v>0</v>
          </cell>
          <cell r="T2484">
            <v>5</v>
          </cell>
          <cell r="U2484">
            <v>0</v>
          </cell>
          <cell r="V2484">
            <v>0</v>
          </cell>
          <cell r="W2484">
            <v>0</v>
          </cell>
          <cell r="X2484">
            <v>0.22105</v>
          </cell>
          <cell r="Y2484">
            <v>0</v>
          </cell>
          <cell r="Z2484">
            <v>0</v>
          </cell>
          <cell r="AA2484">
            <v>0</v>
          </cell>
          <cell r="AB2484">
            <v>1.2149999999999999E-2</v>
          </cell>
        </row>
        <row r="2485">
          <cell r="A2485">
            <v>51133010</v>
          </cell>
          <cell r="B2485" t="str">
            <v>Bread, sour dough</v>
          </cell>
          <cell r="I2485">
            <v>50</v>
          </cell>
          <cell r="J2485">
            <v>136</v>
          </cell>
          <cell r="K2485">
            <v>2.72</v>
          </cell>
          <cell r="L2485">
            <v>0</v>
          </cell>
          <cell r="M2485">
            <v>0.26450000000000001</v>
          </cell>
          <cell r="N2485">
            <v>0</v>
          </cell>
          <cell r="O2485">
            <v>2.5999999999999999E-2</v>
          </cell>
          <cell r="P2485">
            <v>1.1000000000000001</v>
          </cell>
          <cell r="Q2485">
            <v>0.42749999999999999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0.30099999999999999</v>
          </cell>
          <cell r="Y2485">
            <v>0</v>
          </cell>
          <cell r="Z2485">
            <v>0</v>
          </cell>
          <cell r="AA2485">
            <v>0</v>
          </cell>
          <cell r="AB2485">
            <v>2.5000000000000001E-3</v>
          </cell>
        </row>
        <row r="2486">
          <cell r="A2486">
            <v>51133020</v>
          </cell>
          <cell r="B2486" t="str">
            <v>Bread, sour dough, toasted</v>
          </cell>
          <cell r="I2486">
            <v>50</v>
          </cell>
          <cell r="J2486">
            <v>159.5</v>
          </cell>
          <cell r="K2486">
            <v>3.19</v>
          </cell>
          <cell r="L2486">
            <v>0</v>
          </cell>
          <cell r="M2486">
            <v>0.251</v>
          </cell>
          <cell r="N2486">
            <v>0</v>
          </cell>
          <cell r="O2486">
            <v>2.35E-2</v>
          </cell>
          <cell r="P2486">
            <v>1.55</v>
          </cell>
          <cell r="Q2486">
            <v>0.41499999999999998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0.36</v>
          </cell>
          <cell r="Y2486">
            <v>0</v>
          </cell>
          <cell r="Z2486">
            <v>0</v>
          </cell>
          <cell r="AA2486">
            <v>0</v>
          </cell>
          <cell r="AB2486">
            <v>2.7774500000000001E-2</v>
          </cell>
        </row>
        <row r="2487">
          <cell r="A2487">
            <v>51135000</v>
          </cell>
          <cell r="B2487" t="str">
            <v>Bread, vegetable</v>
          </cell>
          <cell r="I2487">
            <v>50</v>
          </cell>
          <cell r="J2487">
            <v>119.18165999999999</v>
          </cell>
          <cell r="K2487">
            <v>2.3836331999999998</v>
          </cell>
          <cell r="L2487">
            <v>0.1238273</v>
          </cell>
          <cell r="M2487">
            <v>0.51979359999999997</v>
          </cell>
          <cell r="N2487">
            <v>0</v>
          </cell>
          <cell r="O2487">
            <v>1.8047500000000001E-2</v>
          </cell>
          <cell r="P2487">
            <v>0.80792310000000001</v>
          </cell>
          <cell r="Q2487">
            <v>0.34959689999999999</v>
          </cell>
          <cell r="R2487">
            <v>0</v>
          </cell>
          <cell r="S2487">
            <v>0</v>
          </cell>
          <cell r="T2487">
            <v>0</v>
          </cell>
          <cell r="U2487">
            <v>3.2570860000000001</v>
          </cell>
          <cell r="V2487">
            <v>0</v>
          </cell>
          <cell r="W2487">
            <v>0</v>
          </cell>
          <cell r="X2487">
            <v>0.2407503</v>
          </cell>
          <cell r="Y2487">
            <v>0</v>
          </cell>
          <cell r="Z2487">
            <v>0</v>
          </cell>
          <cell r="AA2487">
            <v>0</v>
          </cell>
          <cell r="AB2487">
            <v>7.3873400000000006E-2</v>
          </cell>
        </row>
        <row r="2488">
          <cell r="A2488">
            <v>51135010</v>
          </cell>
          <cell r="B2488" t="str">
            <v>Bread, vegetable, toasted</v>
          </cell>
          <cell r="I2488">
            <v>50</v>
          </cell>
          <cell r="J2488">
            <v>119.08783</v>
          </cell>
          <cell r="K2488">
            <v>2.3817566000000001</v>
          </cell>
          <cell r="L2488">
            <v>0.1238273</v>
          </cell>
          <cell r="M2488">
            <v>0.51351179999999996</v>
          </cell>
          <cell r="N2488">
            <v>0</v>
          </cell>
          <cell r="O2488">
            <v>1.8067699999999999E-2</v>
          </cell>
          <cell r="P2488">
            <v>0.80792310000000001</v>
          </cell>
          <cell r="Q2488">
            <v>0.34895470000000001</v>
          </cell>
          <cell r="R2488">
            <v>0</v>
          </cell>
          <cell r="S2488">
            <v>0</v>
          </cell>
          <cell r="T2488">
            <v>0</v>
          </cell>
          <cell r="U2488">
            <v>3.2570860000000001</v>
          </cell>
          <cell r="V2488">
            <v>0</v>
          </cell>
          <cell r="W2488">
            <v>0</v>
          </cell>
          <cell r="X2488">
            <v>0.2407463</v>
          </cell>
          <cell r="Y2488">
            <v>0</v>
          </cell>
          <cell r="Z2488">
            <v>0</v>
          </cell>
          <cell r="AA2488">
            <v>0</v>
          </cell>
          <cell r="AB2488">
            <v>8.2459000000000005E-2</v>
          </cell>
        </row>
        <row r="2489">
          <cell r="A2489">
            <v>51136000</v>
          </cell>
          <cell r="B2489" t="str">
            <v>Bruschetta</v>
          </cell>
          <cell r="I2489">
            <v>50</v>
          </cell>
          <cell r="J2489">
            <v>81.677829000000003</v>
          </cell>
          <cell r="K2489">
            <v>1.63355658</v>
          </cell>
          <cell r="L2489">
            <v>0.35186669999999998</v>
          </cell>
          <cell r="M2489">
            <v>0.43671870000000002</v>
          </cell>
          <cell r="N2489">
            <v>0</v>
          </cell>
          <cell r="O2489">
            <v>1.8099899999999999E-2</v>
          </cell>
          <cell r="P2489">
            <v>0.57491669999999995</v>
          </cell>
          <cell r="Q2489">
            <v>0.60119800000000001</v>
          </cell>
          <cell r="R2489">
            <v>0</v>
          </cell>
          <cell r="S2489">
            <v>0</v>
          </cell>
          <cell r="T2489">
            <v>0</v>
          </cell>
          <cell r="U2489">
            <v>28.948879999999999</v>
          </cell>
          <cell r="V2489">
            <v>0</v>
          </cell>
          <cell r="W2489">
            <v>0</v>
          </cell>
          <cell r="X2489">
            <v>0.1090173</v>
          </cell>
          <cell r="Y2489">
            <v>0</v>
          </cell>
          <cell r="Z2489">
            <v>0</v>
          </cell>
          <cell r="AA2489">
            <v>0</v>
          </cell>
          <cell r="AB2489">
            <v>3.4780999999999999E-2</v>
          </cell>
        </row>
        <row r="2490">
          <cell r="A2490">
            <v>51140100</v>
          </cell>
          <cell r="B2490" t="str">
            <v>Bread, dough, fried</v>
          </cell>
          <cell r="I2490">
            <v>50</v>
          </cell>
          <cell r="J2490">
            <v>171.90433999999999</v>
          </cell>
          <cell r="K2490">
            <v>3.4380867999999998</v>
          </cell>
          <cell r="L2490">
            <v>-1.11E-16</v>
          </cell>
          <cell r="M2490">
            <v>2.1791675000000001</v>
          </cell>
          <cell r="N2490">
            <v>0</v>
          </cell>
          <cell r="O2490">
            <v>2.2091900000000001E-2</v>
          </cell>
          <cell r="P2490">
            <v>0.65709260000000003</v>
          </cell>
          <cell r="Q2490">
            <v>2.3704301000000001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8.0157000000000006E-2</v>
          </cell>
          <cell r="Y2490">
            <v>0</v>
          </cell>
          <cell r="Z2490">
            <v>0</v>
          </cell>
          <cell r="AA2490">
            <v>0</v>
          </cell>
          <cell r="AB2490">
            <v>1.0209619999999999</v>
          </cell>
        </row>
        <row r="2491">
          <cell r="A2491">
            <v>51150000</v>
          </cell>
          <cell r="B2491" t="str">
            <v>Roll, white, soft</v>
          </cell>
          <cell r="I2491">
            <v>50</v>
          </cell>
          <cell r="J2491">
            <v>139.5</v>
          </cell>
          <cell r="K2491">
            <v>2.79</v>
          </cell>
          <cell r="L2491">
            <v>0</v>
          </cell>
          <cell r="M2491">
            <v>0.42099999999999999</v>
          </cell>
          <cell r="N2491">
            <v>0</v>
          </cell>
          <cell r="O2491">
            <v>7.1999999999999995E-2</v>
          </cell>
          <cell r="P2491">
            <v>0.9</v>
          </cell>
          <cell r="Q2491">
            <v>0.89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0.247</v>
          </cell>
          <cell r="Y2491">
            <v>0</v>
          </cell>
          <cell r="Z2491">
            <v>0</v>
          </cell>
          <cell r="AA2491">
            <v>0</v>
          </cell>
          <cell r="AB2491">
            <v>1.35E-2</v>
          </cell>
        </row>
        <row r="2492">
          <cell r="A2492">
            <v>51150100</v>
          </cell>
          <cell r="B2492" t="str">
            <v>Roll, white, soft, toasted</v>
          </cell>
          <cell r="I2492">
            <v>50</v>
          </cell>
          <cell r="J2492">
            <v>139</v>
          </cell>
          <cell r="K2492">
            <v>2.78</v>
          </cell>
          <cell r="L2492">
            <v>0</v>
          </cell>
          <cell r="M2492">
            <v>0.4425</v>
          </cell>
          <cell r="N2492">
            <v>0</v>
          </cell>
          <cell r="O2492">
            <v>8.6499999999999994E-2</v>
          </cell>
          <cell r="P2492">
            <v>1.05</v>
          </cell>
          <cell r="Q2492">
            <v>0.79700000000000004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0.25</v>
          </cell>
          <cell r="Y2492">
            <v>0</v>
          </cell>
          <cell r="Z2492">
            <v>0</v>
          </cell>
          <cell r="AA2492">
            <v>0</v>
          </cell>
          <cell r="AB2492">
            <v>1.35E-2</v>
          </cell>
        </row>
        <row r="2493">
          <cell r="A2493">
            <v>51151060</v>
          </cell>
          <cell r="B2493" t="str">
            <v>Roll, white, soft, made from home recipe or purchased at a bakery</v>
          </cell>
          <cell r="I2493">
            <v>50</v>
          </cell>
          <cell r="J2493">
            <v>134.26781</v>
          </cell>
          <cell r="K2493">
            <v>2.6853561999999997</v>
          </cell>
          <cell r="L2493">
            <v>0</v>
          </cell>
          <cell r="M2493">
            <v>0.74189780000000005</v>
          </cell>
          <cell r="N2493">
            <v>0</v>
          </cell>
          <cell r="O2493">
            <v>2.4513799999999999E-2</v>
          </cell>
          <cell r="P2493">
            <v>0.77520250000000002</v>
          </cell>
          <cell r="Q2493">
            <v>0.84377670000000005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0.17056740000000001</v>
          </cell>
          <cell r="Y2493">
            <v>0</v>
          </cell>
          <cell r="Z2493">
            <v>0</v>
          </cell>
          <cell r="AA2493">
            <v>0</v>
          </cell>
          <cell r="AB2493">
            <v>0.41508990000000001</v>
          </cell>
        </row>
        <row r="2494">
          <cell r="A2494">
            <v>51153000</v>
          </cell>
          <cell r="B2494" t="str">
            <v>Roll, white, hard</v>
          </cell>
          <cell r="I2494">
            <v>50</v>
          </cell>
          <cell r="J2494">
            <v>146.5</v>
          </cell>
          <cell r="K2494">
            <v>2.93</v>
          </cell>
          <cell r="L2494">
            <v>0</v>
          </cell>
          <cell r="M2494">
            <v>0.30299999999999999</v>
          </cell>
          <cell r="N2494">
            <v>0</v>
          </cell>
          <cell r="O2494">
            <v>4.7500000000000001E-2</v>
          </cell>
          <cell r="P2494">
            <v>1.1499999999999999</v>
          </cell>
          <cell r="Q2494">
            <v>0.85950000000000004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0.27200000000000002</v>
          </cell>
          <cell r="Y2494">
            <v>0</v>
          </cell>
          <cell r="Z2494">
            <v>0</v>
          </cell>
          <cell r="AA2494">
            <v>0</v>
          </cell>
          <cell r="AB2494">
            <v>0.1016987</v>
          </cell>
        </row>
        <row r="2495">
          <cell r="A2495">
            <v>51154010</v>
          </cell>
          <cell r="B2495" t="str">
            <v>Roll, white, hot dog bun</v>
          </cell>
          <cell r="I2495">
            <v>50</v>
          </cell>
          <cell r="J2495">
            <v>139.5</v>
          </cell>
          <cell r="K2495">
            <v>2.79</v>
          </cell>
          <cell r="L2495">
            <v>0</v>
          </cell>
          <cell r="M2495">
            <v>0.42099999999999999</v>
          </cell>
          <cell r="N2495">
            <v>0</v>
          </cell>
          <cell r="O2495">
            <v>7.1999999999999995E-2</v>
          </cell>
          <cell r="P2495">
            <v>0.9</v>
          </cell>
          <cell r="Q2495">
            <v>0.89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0.247</v>
          </cell>
          <cell r="Y2495">
            <v>0</v>
          </cell>
          <cell r="Z2495">
            <v>0</v>
          </cell>
          <cell r="AA2495">
            <v>0</v>
          </cell>
          <cell r="AB2495">
            <v>1.35E-2</v>
          </cell>
        </row>
        <row r="2496">
          <cell r="A2496">
            <v>51154100</v>
          </cell>
          <cell r="B2496" t="str">
            <v>Roll, white, hamburger bun</v>
          </cell>
          <cell r="I2496">
            <v>50</v>
          </cell>
          <cell r="J2496">
            <v>139.5</v>
          </cell>
          <cell r="K2496">
            <v>2.79</v>
          </cell>
          <cell r="L2496">
            <v>0</v>
          </cell>
          <cell r="M2496">
            <v>0.42099999999999999</v>
          </cell>
          <cell r="N2496">
            <v>0</v>
          </cell>
          <cell r="O2496">
            <v>7.1999999999999995E-2</v>
          </cell>
          <cell r="P2496">
            <v>0.9</v>
          </cell>
          <cell r="Q2496">
            <v>0.89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0.247</v>
          </cell>
          <cell r="Y2496">
            <v>0</v>
          </cell>
          <cell r="Z2496">
            <v>0</v>
          </cell>
          <cell r="AA2496">
            <v>0</v>
          </cell>
          <cell r="AB2496">
            <v>1.35E-2</v>
          </cell>
        </row>
        <row r="2497">
          <cell r="A2497">
            <v>51154550</v>
          </cell>
          <cell r="B2497" t="str">
            <v>Roll, egg bread</v>
          </cell>
          <cell r="I2497">
            <v>50</v>
          </cell>
          <cell r="J2497">
            <v>143.5</v>
          </cell>
          <cell r="K2497">
            <v>2.87</v>
          </cell>
          <cell r="L2497">
            <v>0</v>
          </cell>
          <cell r="M2497">
            <v>0.79649999999999999</v>
          </cell>
          <cell r="N2497">
            <v>0</v>
          </cell>
          <cell r="O2497">
            <v>4.65E-2</v>
          </cell>
          <cell r="P2497">
            <v>1.1499999999999999</v>
          </cell>
          <cell r="Q2497">
            <v>0.55300000000000005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0.19</v>
          </cell>
          <cell r="Y2497">
            <v>0</v>
          </cell>
          <cell r="Z2497">
            <v>0</v>
          </cell>
          <cell r="AA2497">
            <v>0</v>
          </cell>
          <cell r="AB2497">
            <v>0.16173960000000001</v>
          </cell>
        </row>
        <row r="2498">
          <cell r="A2498">
            <v>51154600</v>
          </cell>
          <cell r="B2498" t="str">
            <v>Roll, cheese</v>
          </cell>
          <cell r="I2498">
            <v>50</v>
          </cell>
          <cell r="J2498">
            <v>157.35</v>
          </cell>
          <cell r="K2498">
            <v>3.1469999999999998</v>
          </cell>
          <cell r="L2498">
            <v>0</v>
          </cell>
          <cell r="M2498">
            <v>1.1248</v>
          </cell>
          <cell r="N2498">
            <v>0</v>
          </cell>
          <cell r="O2498">
            <v>0.1023</v>
          </cell>
          <cell r="P2498">
            <v>0.95</v>
          </cell>
          <cell r="Q2498">
            <v>1.2273000000000001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0.23815</v>
          </cell>
          <cell r="Y2498">
            <v>0</v>
          </cell>
          <cell r="Z2498">
            <v>0</v>
          </cell>
          <cell r="AA2498">
            <v>0</v>
          </cell>
          <cell r="AB2498">
            <v>2.2925000000000001E-2</v>
          </cell>
        </row>
        <row r="2499">
          <cell r="A2499">
            <v>51155000</v>
          </cell>
          <cell r="B2499" t="str">
            <v>Roll, French or Vienna</v>
          </cell>
          <cell r="I2499">
            <v>50</v>
          </cell>
          <cell r="J2499">
            <v>138.5</v>
          </cell>
          <cell r="K2499">
            <v>2.77</v>
          </cell>
          <cell r="L2499">
            <v>0</v>
          </cell>
          <cell r="M2499">
            <v>0.48099999999999998</v>
          </cell>
          <cell r="N2499">
            <v>0</v>
          </cell>
          <cell r="O2499">
            <v>4.5499999999999999E-2</v>
          </cell>
          <cell r="P2499">
            <v>1.6</v>
          </cell>
          <cell r="Q2499">
            <v>0.41699999999999998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0.28699999999999998</v>
          </cell>
          <cell r="Y2499">
            <v>0</v>
          </cell>
          <cell r="Z2499">
            <v>0</v>
          </cell>
          <cell r="AA2499">
            <v>0</v>
          </cell>
          <cell r="AB2499">
            <v>0.1270445</v>
          </cell>
        </row>
        <row r="2500">
          <cell r="A2500">
            <v>51156500</v>
          </cell>
          <cell r="B2500" t="str">
            <v>Roll, garlic</v>
          </cell>
          <cell r="I2500">
            <v>50</v>
          </cell>
          <cell r="J2500">
            <v>154.59950000000001</v>
          </cell>
          <cell r="K2500">
            <v>3.09199</v>
          </cell>
          <cell r="L2500">
            <v>5.2239000000000001E-3</v>
          </cell>
          <cell r="M2500">
            <v>0.68430100000000005</v>
          </cell>
          <cell r="N2500">
            <v>0</v>
          </cell>
          <cell r="O2500">
            <v>8.9007500000000003E-2</v>
          </cell>
          <cell r="P2500">
            <v>0.99502489999999999</v>
          </cell>
          <cell r="Q2500">
            <v>1.2488781</v>
          </cell>
          <cell r="R2500">
            <v>0</v>
          </cell>
          <cell r="S2500">
            <v>0</v>
          </cell>
          <cell r="T2500">
            <v>0</v>
          </cell>
          <cell r="U2500">
            <v>0.24875620000000001</v>
          </cell>
          <cell r="V2500">
            <v>0</v>
          </cell>
          <cell r="W2500">
            <v>0</v>
          </cell>
          <cell r="X2500">
            <v>0.23238059999999999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</row>
        <row r="2501">
          <cell r="A2501">
            <v>51157000</v>
          </cell>
          <cell r="B2501" t="str">
            <v>Roll, white, hoagie, submarine</v>
          </cell>
          <cell r="I2501">
            <v>50</v>
          </cell>
          <cell r="J2501">
            <v>139.5</v>
          </cell>
          <cell r="K2501">
            <v>2.79</v>
          </cell>
          <cell r="L2501">
            <v>0</v>
          </cell>
          <cell r="M2501">
            <v>0.42099999999999999</v>
          </cell>
          <cell r="N2501">
            <v>0</v>
          </cell>
          <cell r="O2501">
            <v>7.1999999999999995E-2</v>
          </cell>
          <cell r="P2501">
            <v>0.9</v>
          </cell>
          <cell r="Q2501">
            <v>0.89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0.247</v>
          </cell>
          <cell r="Y2501">
            <v>0</v>
          </cell>
          <cell r="Z2501">
            <v>0</v>
          </cell>
          <cell r="AA2501">
            <v>0</v>
          </cell>
          <cell r="AB2501">
            <v>1.35E-2</v>
          </cell>
        </row>
        <row r="2502">
          <cell r="A2502">
            <v>51158100</v>
          </cell>
          <cell r="B2502" t="str">
            <v>Roll, Mexican, bolillo</v>
          </cell>
          <cell r="I2502">
            <v>50</v>
          </cell>
          <cell r="J2502">
            <v>159</v>
          </cell>
          <cell r="K2502">
            <v>3.18</v>
          </cell>
          <cell r="L2502">
            <v>0</v>
          </cell>
          <cell r="M2502">
            <v>0.70050000000000001</v>
          </cell>
          <cell r="N2502">
            <v>0</v>
          </cell>
          <cell r="O2502">
            <v>2.0500000000000001E-2</v>
          </cell>
          <cell r="P2502">
            <v>1.1000000000000001</v>
          </cell>
          <cell r="Q2502">
            <v>0.51100000000000001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0.253</v>
          </cell>
          <cell r="Y2502">
            <v>0</v>
          </cell>
          <cell r="Z2502">
            <v>0</v>
          </cell>
          <cell r="AA2502">
            <v>0</v>
          </cell>
          <cell r="AB2502">
            <v>0.4345</v>
          </cell>
        </row>
        <row r="2503">
          <cell r="A2503">
            <v>51159000</v>
          </cell>
          <cell r="B2503" t="str">
            <v>Roll, sour dough</v>
          </cell>
          <cell r="I2503">
            <v>50</v>
          </cell>
          <cell r="J2503">
            <v>136</v>
          </cell>
          <cell r="K2503">
            <v>2.72</v>
          </cell>
          <cell r="L2503">
            <v>0</v>
          </cell>
          <cell r="M2503">
            <v>0.26450000000000001</v>
          </cell>
          <cell r="N2503">
            <v>0</v>
          </cell>
          <cell r="O2503">
            <v>2.5999999999999999E-2</v>
          </cell>
          <cell r="P2503">
            <v>1.1000000000000001</v>
          </cell>
          <cell r="Q2503">
            <v>0.42749999999999999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0.30099999999999999</v>
          </cell>
          <cell r="Y2503">
            <v>0</v>
          </cell>
          <cell r="Z2503">
            <v>0</v>
          </cell>
          <cell r="AA2503">
            <v>0</v>
          </cell>
          <cell r="AB2503">
            <v>2.5000000000000001E-3</v>
          </cell>
        </row>
        <row r="2504">
          <cell r="A2504">
            <v>51160000</v>
          </cell>
          <cell r="B2504" t="str">
            <v>Roll, sweet, no frosting</v>
          </cell>
          <cell r="I2504">
            <v>55</v>
          </cell>
          <cell r="J2504">
            <v>176.55</v>
          </cell>
          <cell r="K2504">
            <v>3.2100000000000004</v>
          </cell>
          <cell r="L2504">
            <v>0</v>
          </cell>
          <cell r="M2504">
            <v>1.9338</v>
          </cell>
          <cell r="N2504">
            <v>0</v>
          </cell>
          <cell r="O2504">
            <v>3.4099999999999998E-2</v>
          </cell>
          <cell r="P2504">
            <v>1.7050000000000001</v>
          </cell>
          <cell r="Q2504">
            <v>0.47025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0.13915</v>
          </cell>
          <cell r="Y2504">
            <v>0</v>
          </cell>
          <cell r="Z2504">
            <v>0</v>
          </cell>
          <cell r="AA2504">
            <v>0</v>
          </cell>
          <cell r="AB2504">
            <v>9.2399999999999996E-2</v>
          </cell>
        </row>
        <row r="2505">
          <cell r="A2505">
            <v>51160100</v>
          </cell>
          <cell r="B2505" t="str">
            <v>Roll, sweet, cinnamon bun, no frosting</v>
          </cell>
          <cell r="I2505">
            <v>55</v>
          </cell>
          <cell r="J2505">
            <v>204.6</v>
          </cell>
          <cell r="K2505">
            <v>3.7199999999999998</v>
          </cell>
          <cell r="L2505">
            <v>0.10015930000000001</v>
          </cell>
          <cell r="M2505">
            <v>1.6934499999999999</v>
          </cell>
          <cell r="N2505">
            <v>0</v>
          </cell>
          <cell r="O2505">
            <v>3.9600000000000003E-2</v>
          </cell>
          <cell r="P2505">
            <v>1.2198407</v>
          </cell>
          <cell r="Q2505">
            <v>4.11015</v>
          </cell>
          <cell r="R2505">
            <v>0</v>
          </cell>
          <cell r="S2505">
            <v>0</v>
          </cell>
          <cell r="T2505">
            <v>4.125</v>
          </cell>
          <cell r="U2505">
            <v>0</v>
          </cell>
          <cell r="V2505">
            <v>0</v>
          </cell>
          <cell r="W2505">
            <v>0</v>
          </cell>
          <cell r="X2505">
            <v>0.16719999999999999</v>
          </cell>
          <cell r="Y2505">
            <v>0</v>
          </cell>
          <cell r="Z2505">
            <v>0</v>
          </cell>
          <cell r="AA2505">
            <v>0</v>
          </cell>
          <cell r="AB2505">
            <v>1.9130765000000001</v>
          </cell>
        </row>
        <row r="2506">
          <cell r="A2506">
            <v>51160110</v>
          </cell>
          <cell r="B2506" t="str">
            <v>Roll, sweet, cinnamon bun, frosted</v>
          </cell>
          <cell r="I2506">
            <v>55</v>
          </cell>
          <cell r="J2506">
            <v>248.6</v>
          </cell>
          <cell r="K2506">
            <v>4.5199999999999996</v>
          </cell>
          <cell r="L2506">
            <v>0</v>
          </cell>
          <cell r="M2506">
            <v>6.95695</v>
          </cell>
          <cell r="N2506">
            <v>0</v>
          </cell>
          <cell r="O2506">
            <v>0.10065</v>
          </cell>
          <cell r="P2506">
            <v>0.66</v>
          </cell>
          <cell r="Q2506">
            <v>2.0217999999999998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0.16775000000000001</v>
          </cell>
          <cell r="Y2506">
            <v>0</v>
          </cell>
          <cell r="Z2506">
            <v>0</v>
          </cell>
          <cell r="AA2506">
            <v>0</v>
          </cell>
          <cell r="AB2506">
            <v>0.16225000000000001</v>
          </cell>
        </row>
        <row r="2507">
          <cell r="A2507">
            <v>51161000</v>
          </cell>
          <cell r="B2507" t="str">
            <v>Pan Dulce, with fruit, no frosting</v>
          </cell>
          <cell r="I2507">
            <v>55</v>
          </cell>
          <cell r="J2507">
            <v>204.6</v>
          </cell>
          <cell r="K2507">
            <v>3.7199999999999998</v>
          </cell>
          <cell r="L2507">
            <v>0.10015930000000001</v>
          </cell>
          <cell r="M2507">
            <v>1.6934499999999999</v>
          </cell>
          <cell r="N2507">
            <v>0</v>
          </cell>
          <cell r="O2507">
            <v>3.9600000000000003E-2</v>
          </cell>
          <cell r="P2507">
            <v>1.2198407</v>
          </cell>
          <cell r="Q2507">
            <v>4.11015</v>
          </cell>
          <cell r="R2507">
            <v>0</v>
          </cell>
          <cell r="S2507">
            <v>0</v>
          </cell>
          <cell r="T2507">
            <v>4.125</v>
          </cell>
          <cell r="U2507">
            <v>0</v>
          </cell>
          <cell r="V2507">
            <v>0</v>
          </cell>
          <cell r="W2507">
            <v>0</v>
          </cell>
          <cell r="X2507">
            <v>0.16719999999999999</v>
          </cell>
          <cell r="Y2507">
            <v>0</v>
          </cell>
          <cell r="Z2507">
            <v>0</v>
          </cell>
          <cell r="AA2507">
            <v>0</v>
          </cell>
          <cell r="AB2507">
            <v>1.889818</v>
          </cell>
        </row>
        <row r="2508">
          <cell r="A2508">
            <v>51161020</v>
          </cell>
          <cell r="B2508" t="str">
            <v>Roll, sweet, with fruit, frosted</v>
          </cell>
          <cell r="I2508">
            <v>55</v>
          </cell>
          <cell r="J2508">
            <v>208.55313000000001</v>
          </cell>
          <cell r="K2508">
            <v>3.791875090909091</v>
          </cell>
          <cell r="L2508">
            <v>8.4509399999999998E-2</v>
          </cell>
          <cell r="M2508">
            <v>1.6844266000000001</v>
          </cell>
          <cell r="N2508">
            <v>0</v>
          </cell>
          <cell r="O2508">
            <v>3.36703E-2</v>
          </cell>
          <cell r="P2508">
            <v>1.0292406000000001</v>
          </cell>
          <cell r="Q2508">
            <v>4.1512281</v>
          </cell>
          <cell r="R2508">
            <v>0</v>
          </cell>
          <cell r="S2508">
            <v>0</v>
          </cell>
          <cell r="T2508">
            <v>3.4804688000000001</v>
          </cell>
          <cell r="U2508">
            <v>0</v>
          </cell>
          <cell r="V2508">
            <v>0</v>
          </cell>
          <cell r="W2508">
            <v>0</v>
          </cell>
          <cell r="X2508">
            <v>0.15688750000000001</v>
          </cell>
          <cell r="Y2508">
            <v>0</v>
          </cell>
          <cell r="Z2508">
            <v>0</v>
          </cell>
          <cell r="AA2508">
            <v>0</v>
          </cell>
          <cell r="AB2508">
            <v>1.8576117999999999</v>
          </cell>
        </row>
        <row r="2509">
          <cell r="A2509">
            <v>51161050</v>
          </cell>
          <cell r="B2509" t="str">
            <v>Roll, sweet, frosted</v>
          </cell>
          <cell r="I2509">
            <v>55</v>
          </cell>
          <cell r="J2509">
            <v>219.91753</v>
          </cell>
          <cell r="K2509">
            <v>3.9985005454545455</v>
          </cell>
          <cell r="L2509">
            <v>7.8909300000000002E-2</v>
          </cell>
          <cell r="M2509">
            <v>1.7980444</v>
          </cell>
          <cell r="N2509">
            <v>0</v>
          </cell>
          <cell r="O2509">
            <v>3.3990399999999997E-2</v>
          </cell>
          <cell r="P2509">
            <v>1.3109211000000001</v>
          </cell>
          <cell r="Q2509">
            <v>4.6638926999999999</v>
          </cell>
          <cell r="R2509">
            <v>0</v>
          </cell>
          <cell r="S2509">
            <v>0</v>
          </cell>
          <cell r="T2509">
            <v>3.2498322000000002</v>
          </cell>
          <cell r="U2509">
            <v>0</v>
          </cell>
          <cell r="V2509">
            <v>0</v>
          </cell>
          <cell r="W2509">
            <v>0</v>
          </cell>
          <cell r="X2509">
            <v>0.14649119999999999</v>
          </cell>
          <cell r="Y2509">
            <v>3.6422121000000001</v>
          </cell>
          <cell r="Z2509">
            <v>0</v>
          </cell>
          <cell r="AA2509">
            <v>0</v>
          </cell>
          <cell r="AB2509">
            <v>1.8865814999999999</v>
          </cell>
        </row>
        <row r="2510">
          <cell r="A2510">
            <v>51161250</v>
          </cell>
          <cell r="B2510" t="str">
            <v>Pan Dulce, no topping</v>
          </cell>
          <cell r="I2510">
            <v>55</v>
          </cell>
          <cell r="J2510">
            <v>201.85</v>
          </cell>
          <cell r="K2510">
            <v>3.67</v>
          </cell>
          <cell r="L2510">
            <v>0</v>
          </cell>
          <cell r="M2510">
            <v>1.20065</v>
          </cell>
          <cell r="N2510">
            <v>0</v>
          </cell>
          <cell r="O2510">
            <v>4.7300000000000002E-2</v>
          </cell>
          <cell r="P2510">
            <v>1.2649999999999999</v>
          </cell>
          <cell r="Q2510">
            <v>0.84150000000000003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0.12540000000000001</v>
          </cell>
          <cell r="Y2510">
            <v>0</v>
          </cell>
          <cell r="Z2510">
            <v>0</v>
          </cell>
          <cell r="AA2510">
            <v>0</v>
          </cell>
          <cell r="AB2510">
            <v>0.60665000000000002</v>
          </cell>
        </row>
        <row r="2511">
          <cell r="A2511">
            <v>51161270</v>
          </cell>
          <cell r="B2511" t="str">
            <v>Pan Dulce, with sugar topping</v>
          </cell>
          <cell r="I2511">
            <v>55</v>
          </cell>
          <cell r="J2511">
            <v>205.17319000000001</v>
          </cell>
          <cell r="K2511">
            <v>3.7304216363636367</v>
          </cell>
          <cell r="L2511">
            <v>0</v>
          </cell>
          <cell r="M2511">
            <v>1.3299529000000001</v>
          </cell>
          <cell r="N2511">
            <v>0</v>
          </cell>
          <cell r="O2511">
            <v>4.6047499999999998E-2</v>
          </cell>
          <cell r="P2511">
            <v>1.1695527999999999</v>
          </cell>
          <cell r="Q2511">
            <v>1.2597339999999999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0.1288628</v>
          </cell>
          <cell r="Y2511">
            <v>0</v>
          </cell>
          <cell r="Z2511">
            <v>0</v>
          </cell>
          <cell r="AA2511">
            <v>0</v>
          </cell>
          <cell r="AB2511">
            <v>1.8007375000000001</v>
          </cell>
        </row>
        <row r="2512">
          <cell r="A2512">
            <v>51161280</v>
          </cell>
          <cell r="B2512" t="str">
            <v>Pan Dulce, with raisins and icing</v>
          </cell>
          <cell r="I2512">
            <v>55</v>
          </cell>
          <cell r="J2512">
            <v>202.31990999999999</v>
          </cell>
          <cell r="K2512">
            <v>3.6785438181818182</v>
          </cell>
          <cell r="L2512">
            <v>0.1059571</v>
          </cell>
          <cell r="M2512">
            <v>1.177287</v>
          </cell>
          <cell r="N2512">
            <v>0</v>
          </cell>
          <cell r="O2512">
            <v>4.2335100000000001E-2</v>
          </cell>
          <cell r="P2512">
            <v>1.0901225000000001</v>
          </cell>
          <cell r="Q2512">
            <v>1.1030787</v>
          </cell>
          <cell r="R2512">
            <v>0</v>
          </cell>
          <cell r="S2512">
            <v>0</v>
          </cell>
          <cell r="T2512">
            <v>2.8637044999999999</v>
          </cell>
          <cell r="U2512">
            <v>0</v>
          </cell>
          <cell r="V2512">
            <v>0</v>
          </cell>
          <cell r="W2512">
            <v>0</v>
          </cell>
          <cell r="X2512">
            <v>0.1171003</v>
          </cell>
          <cell r="Y2512">
            <v>0</v>
          </cell>
          <cell r="Z2512">
            <v>0</v>
          </cell>
          <cell r="AA2512">
            <v>0</v>
          </cell>
          <cell r="AB2512">
            <v>0.5227849</v>
          </cell>
        </row>
        <row r="2513">
          <cell r="A2513">
            <v>51165000</v>
          </cell>
          <cell r="B2513" t="str">
            <v>Coffee cake, yeast type</v>
          </cell>
          <cell r="I2513">
            <v>55</v>
          </cell>
          <cell r="J2513">
            <v>204.6</v>
          </cell>
          <cell r="K2513">
            <v>3.7199999999999998</v>
          </cell>
          <cell r="L2513">
            <v>0.10015930000000001</v>
          </cell>
          <cell r="M2513">
            <v>1.6934499999999999</v>
          </cell>
          <cell r="N2513">
            <v>0</v>
          </cell>
          <cell r="O2513">
            <v>3.9600000000000003E-2</v>
          </cell>
          <cell r="P2513">
            <v>1.2198407</v>
          </cell>
          <cell r="Q2513">
            <v>4.11015</v>
          </cell>
          <cell r="R2513">
            <v>0</v>
          </cell>
          <cell r="S2513">
            <v>0</v>
          </cell>
          <cell r="T2513">
            <v>4.125</v>
          </cell>
          <cell r="U2513">
            <v>0</v>
          </cell>
          <cell r="V2513">
            <v>0</v>
          </cell>
          <cell r="W2513">
            <v>0</v>
          </cell>
          <cell r="X2513">
            <v>0.16719999999999999</v>
          </cell>
          <cell r="Y2513">
            <v>0</v>
          </cell>
          <cell r="Z2513">
            <v>0</v>
          </cell>
          <cell r="AA2513">
            <v>0</v>
          </cell>
          <cell r="AB2513">
            <v>1.8148204999999999</v>
          </cell>
        </row>
        <row r="2514">
          <cell r="A2514">
            <v>51166000</v>
          </cell>
          <cell r="B2514" t="str">
            <v>Croissant</v>
          </cell>
          <cell r="I2514">
            <v>55</v>
          </cell>
          <cell r="J2514">
            <v>223.3</v>
          </cell>
          <cell r="K2514">
            <v>4.0600000000000005</v>
          </cell>
          <cell r="L2514">
            <v>0</v>
          </cell>
          <cell r="M2514">
            <v>6.4124499999999998</v>
          </cell>
          <cell r="N2514">
            <v>0</v>
          </cell>
          <cell r="O2514">
            <v>2.035E-2</v>
          </cell>
          <cell r="P2514">
            <v>1.43</v>
          </cell>
          <cell r="Q2514">
            <v>0.60170000000000001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0.25685000000000002</v>
          </cell>
          <cell r="Y2514">
            <v>0</v>
          </cell>
          <cell r="Z2514">
            <v>0</v>
          </cell>
          <cell r="AA2514">
            <v>0</v>
          </cell>
          <cell r="AB2514">
            <v>1.9248574000000001</v>
          </cell>
        </row>
        <row r="2515">
          <cell r="A2515">
            <v>51166100</v>
          </cell>
          <cell r="B2515" t="str">
            <v>Croissant, cheese</v>
          </cell>
          <cell r="I2515">
            <v>55</v>
          </cell>
          <cell r="J2515">
            <v>227.7</v>
          </cell>
          <cell r="K2515">
            <v>4.1399999999999997</v>
          </cell>
          <cell r="L2515">
            <v>0</v>
          </cell>
          <cell r="M2515">
            <v>5.8453999999999997</v>
          </cell>
          <cell r="N2515">
            <v>0</v>
          </cell>
          <cell r="O2515">
            <v>2.9149999999999999E-2</v>
          </cell>
          <cell r="P2515">
            <v>1.43</v>
          </cell>
          <cell r="Q2515">
            <v>1.3111999999999999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0.19855</v>
          </cell>
          <cell r="Y2515">
            <v>0</v>
          </cell>
          <cell r="Z2515">
            <v>0</v>
          </cell>
          <cell r="AA2515">
            <v>0</v>
          </cell>
          <cell r="AB2515">
            <v>1.770732</v>
          </cell>
        </row>
        <row r="2516">
          <cell r="A2516">
            <v>51166200</v>
          </cell>
          <cell r="B2516" t="str">
            <v>Croissant, chocolate</v>
          </cell>
          <cell r="I2516">
            <v>55</v>
          </cell>
          <cell r="J2516">
            <v>231.40568999999999</v>
          </cell>
          <cell r="K2516">
            <v>4.2073761818181818</v>
          </cell>
          <cell r="L2516">
            <v>0</v>
          </cell>
          <cell r="M2516">
            <v>7.0796359000000004</v>
          </cell>
          <cell r="N2516">
            <v>0</v>
          </cell>
          <cell r="O2516">
            <v>1.9802299999999998E-2</v>
          </cell>
          <cell r="P2516">
            <v>1.7914699999999999</v>
          </cell>
          <cell r="Q2516">
            <v>0.58767930000000002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0.20690140000000001</v>
          </cell>
          <cell r="Y2516">
            <v>0</v>
          </cell>
          <cell r="Z2516">
            <v>0</v>
          </cell>
          <cell r="AA2516">
            <v>0</v>
          </cell>
          <cell r="AB2516">
            <v>2.1038649999999999</v>
          </cell>
        </row>
        <row r="2517">
          <cell r="A2517">
            <v>51166500</v>
          </cell>
          <cell r="B2517" t="str">
            <v>Croissant, fruit</v>
          </cell>
          <cell r="I2517">
            <v>55</v>
          </cell>
          <cell r="J2517">
            <v>217.99791999999999</v>
          </cell>
          <cell r="K2517">
            <v>3.9635985454545453</v>
          </cell>
          <cell r="L2517">
            <v>0.28299449999999998</v>
          </cell>
          <cell r="M2517">
            <v>6.0348962999999998</v>
          </cell>
          <cell r="N2517">
            <v>0</v>
          </cell>
          <cell r="O2517">
            <v>1.9601899999999998E-2</v>
          </cell>
          <cell r="P2517">
            <v>1.3454269000000001</v>
          </cell>
          <cell r="Q2517">
            <v>0.56913939999999996</v>
          </cell>
          <cell r="R2517">
            <v>0</v>
          </cell>
          <cell r="S2517">
            <v>0</v>
          </cell>
          <cell r="T2517">
            <v>3.2528101999999999</v>
          </cell>
          <cell r="U2517">
            <v>0</v>
          </cell>
          <cell r="V2517">
            <v>0</v>
          </cell>
          <cell r="W2517">
            <v>0</v>
          </cell>
          <cell r="X2517">
            <v>0.24448929999999999</v>
          </cell>
          <cell r="Y2517">
            <v>0</v>
          </cell>
          <cell r="Z2517">
            <v>0</v>
          </cell>
          <cell r="AA2517">
            <v>0</v>
          </cell>
          <cell r="AB2517">
            <v>1.8822812</v>
          </cell>
        </row>
        <row r="2518">
          <cell r="A2518">
            <v>51167000</v>
          </cell>
          <cell r="B2518" t="str">
            <v>Brioche</v>
          </cell>
          <cell r="I2518">
            <v>55</v>
          </cell>
          <cell r="J2518">
            <v>200.31151</v>
          </cell>
          <cell r="K2518">
            <v>3.6420274545454547</v>
          </cell>
          <cell r="L2518">
            <v>0</v>
          </cell>
          <cell r="M2518">
            <v>7.5237517</v>
          </cell>
          <cell r="N2518">
            <v>0</v>
          </cell>
          <cell r="O2518">
            <v>2.0951500000000001E-2</v>
          </cell>
          <cell r="P2518">
            <v>0.70127390000000001</v>
          </cell>
          <cell r="Q2518">
            <v>0.74597559999999996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0.2112735</v>
          </cell>
          <cell r="Y2518">
            <v>0</v>
          </cell>
          <cell r="Z2518">
            <v>0</v>
          </cell>
          <cell r="AA2518">
            <v>0</v>
          </cell>
          <cell r="AB2518">
            <v>1.7875270999999999</v>
          </cell>
        </row>
        <row r="2519">
          <cell r="A2519">
            <v>51180010</v>
          </cell>
          <cell r="B2519" t="str">
            <v>Bagel</v>
          </cell>
          <cell r="I2519">
            <v>110</v>
          </cell>
          <cell r="J2519">
            <v>290.39999999999998</v>
          </cell>
          <cell r="K2519">
            <v>2.6399999999999997</v>
          </cell>
          <cell r="L2519">
            <v>0</v>
          </cell>
          <cell r="M2519">
            <v>0.39600000000000002</v>
          </cell>
          <cell r="N2519">
            <v>0</v>
          </cell>
          <cell r="O2519">
            <v>0.2409</v>
          </cell>
          <cell r="P2519">
            <v>1.76</v>
          </cell>
          <cell r="Q2519">
            <v>0.5786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0.4642</v>
          </cell>
          <cell r="Y2519">
            <v>0</v>
          </cell>
          <cell r="Z2519">
            <v>0</v>
          </cell>
          <cell r="AA2519">
            <v>0</v>
          </cell>
          <cell r="AB2519">
            <v>2.3099999999999999E-2</v>
          </cell>
        </row>
        <row r="2520">
          <cell r="A2520">
            <v>51180020</v>
          </cell>
          <cell r="B2520" t="str">
            <v>Bagel, toasted</v>
          </cell>
          <cell r="I2520">
            <v>110</v>
          </cell>
          <cell r="J2520">
            <v>316.8</v>
          </cell>
          <cell r="K2520">
            <v>2.88</v>
          </cell>
          <cell r="L2520">
            <v>0</v>
          </cell>
          <cell r="M2520">
            <v>0.31130000000000002</v>
          </cell>
          <cell r="N2520">
            <v>0</v>
          </cell>
          <cell r="O2520">
            <v>0.1089</v>
          </cell>
          <cell r="P2520">
            <v>2.86</v>
          </cell>
          <cell r="Q2520">
            <v>1.0384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0.5907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</row>
        <row r="2521">
          <cell r="A2521">
            <v>51180030</v>
          </cell>
          <cell r="B2521" t="str">
            <v>Bagel, with raisins</v>
          </cell>
          <cell r="I2521">
            <v>110</v>
          </cell>
          <cell r="J2521">
            <v>294.25</v>
          </cell>
          <cell r="K2521">
            <v>2.6749999999999998</v>
          </cell>
          <cell r="L2521">
            <v>0.40699999999999997</v>
          </cell>
          <cell r="M2521">
            <v>0.36277999999999999</v>
          </cell>
          <cell r="N2521">
            <v>0</v>
          </cell>
          <cell r="O2521">
            <v>0.22231000000000001</v>
          </cell>
          <cell r="P2521">
            <v>1.5840000000000001</v>
          </cell>
          <cell r="Q2521">
            <v>0.52481</v>
          </cell>
          <cell r="R2521">
            <v>0</v>
          </cell>
          <cell r="S2521">
            <v>0</v>
          </cell>
          <cell r="T2521">
            <v>11</v>
          </cell>
          <cell r="U2521">
            <v>0</v>
          </cell>
          <cell r="V2521">
            <v>0</v>
          </cell>
          <cell r="W2521">
            <v>0</v>
          </cell>
          <cell r="X2521">
            <v>0.41898999999999997</v>
          </cell>
          <cell r="Y2521">
            <v>0</v>
          </cell>
          <cell r="Z2521">
            <v>0</v>
          </cell>
          <cell r="AA2521">
            <v>0</v>
          </cell>
          <cell r="AB2521">
            <v>2.0789999999999999E-2</v>
          </cell>
        </row>
        <row r="2522">
          <cell r="A2522">
            <v>51180080</v>
          </cell>
          <cell r="B2522" t="str">
            <v>Bagel, with fruit other than raisins</v>
          </cell>
          <cell r="I2522">
            <v>110</v>
          </cell>
          <cell r="J2522">
            <v>266.97000000000003</v>
          </cell>
          <cell r="K2522">
            <v>2.427</v>
          </cell>
          <cell r="L2522">
            <v>0.29699999999999999</v>
          </cell>
          <cell r="M2522">
            <v>0.36223</v>
          </cell>
          <cell r="N2522">
            <v>0</v>
          </cell>
          <cell r="O2522">
            <v>0.21768999999999999</v>
          </cell>
          <cell r="P2522">
            <v>1.5840000000000001</v>
          </cell>
          <cell r="Q2522">
            <v>0.55142999999999998</v>
          </cell>
          <cell r="R2522">
            <v>0</v>
          </cell>
          <cell r="S2522">
            <v>0</v>
          </cell>
          <cell r="T2522">
            <v>11</v>
          </cell>
          <cell r="U2522">
            <v>0</v>
          </cell>
          <cell r="V2522">
            <v>0</v>
          </cell>
          <cell r="W2522">
            <v>0</v>
          </cell>
          <cell r="X2522">
            <v>0.41788999999999998</v>
          </cell>
          <cell r="Y2522">
            <v>0</v>
          </cell>
          <cell r="Z2522">
            <v>0</v>
          </cell>
          <cell r="AA2522">
            <v>0</v>
          </cell>
          <cell r="AB2522">
            <v>2.0789999999999999E-2</v>
          </cell>
        </row>
        <row r="2523">
          <cell r="A2523">
            <v>51182010</v>
          </cell>
          <cell r="B2523" t="str">
            <v>Bread stuffing</v>
          </cell>
          <cell r="I2523">
            <v>100</v>
          </cell>
          <cell r="J2523">
            <v>170.99757</v>
          </cell>
          <cell r="K2523">
            <v>1.7099757</v>
          </cell>
          <cell r="L2523">
            <v>-1.11E-16</v>
          </cell>
          <cell r="M2523">
            <v>1.6170821</v>
          </cell>
          <cell r="N2523">
            <v>0</v>
          </cell>
          <cell r="O2523">
            <v>2.87094E-2</v>
          </cell>
          <cell r="P2523">
            <v>0.8752124</v>
          </cell>
          <cell r="Q2523">
            <v>2.4125258999999999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0.4547062</v>
          </cell>
          <cell r="Y2523">
            <v>0</v>
          </cell>
          <cell r="Z2523">
            <v>0</v>
          </cell>
          <cell r="AA2523">
            <v>0</v>
          </cell>
          <cell r="AB2523">
            <v>1.3586881</v>
          </cell>
        </row>
        <row r="2524">
          <cell r="A2524">
            <v>51182020</v>
          </cell>
          <cell r="B2524" t="str">
            <v>Bread stuffing made with egg</v>
          </cell>
          <cell r="I2524">
            <v>100</v>
          </cell>
          <cell r="J2524">
            <v>191.88</v>
          </cell>
          <cell r="K2524">
            <v>1.9188000000000001</v>
          </cell>
          <cell r="L2524">
            <v>0</v>
          </cell>
          <cell r="M2524">
            <v>2.3674200000000001</v>
          </cell>
          <cell r="N2524">
            <v>0</v>
          </cell>
          <cell r="O2524">
            <v>3.1559999999999998E-2</v>
          </cell>
          <cell r="P2524">
            <v>0.752</v>
          </cell>
          <cell r="Q2524">
            <v>3.4544800000000002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0.45878000000000002</v>
          </cell>
          <cell r="Y2524">
            <v>0</v>
          </cell>
          <cell r="Z2524">
            <v>0</v>
          </cell>
          <cell r="AA2524">
            <v>0</v>
          </cell>
          <cell r="AB2524">
            <v>1.94808</v>
          </cell>
        </row>
        <row r="2525">
          <cell r="A2525">
            <v>51183990</v>
          </cell>
          <cell r="B2525" t="str">
            <v>Breadsticks, NFS</v>
          </cell>
          <cell r="I2525">
            <v>55</v>
          </cell>
          <cell r="J2525">
            <v>188.27345</v>
          </cell>
          <cell r="K2525">
            <v>3.4231536363636361</v>
          </cell>
          <cell r="L2525">
            <v>0</v>
          </cell>
          <cell r="M2525">
            <v>1.6280439</v>
          </cell>
          <cell r="N2525">
            <v>0</v>
          </cell>
          <cell r="O2525">
            <v>4.7780799999999998E-2</v>
          </cell>
          <cell r="P2525">
            <v>1.3173653000000001</v>
          </cell>
          <cell r="Q2525">
            <v>3.3812375000000001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0.33840700000000001</v>
          </cell>
          <cell r="Y2525">
            <v>0</v>
          </cell>
          <cell r="Z2525">
            <v>0</v>
          </cell>
          <cell r="AA2525">
            <v>0</v>
          </cell>
          <cell r="AB2525">
            <v>5.10479E-2</v>
          </cell>
        </row>
        <row r="2526">
          <cell r="A2526">
            <v>51184000</v>
          </cell>
          <cell r="B2526" t="str">
            <v>Breadsticks, hard, NFS</v>
          </cell>
          <cell r="I2526">
            <v>15</v>
          </cell>
          <cell r="J2526">
            <v>61.8</v>
          </cell>
          <cell r="K2526">
            <v>4.12</v>
          </cell>
          <cell r="L2526">
            <v>0</v>
          </cell>
          <cell r="M2526">
            <v>0.21149999999999999</v>
          </cell>
          <cell r="N2526">
            <v>0</v>
          </cell>
          <cell r="O2526">
            <v>3.3E-3</v>
          </cell>
          <cell r="P2526">
            <v>0.45</v>
          </cell>
          <cell r="Q2526">
            <v>0.54420000000000002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0.10695</v>
          </cell>
          <cell r="Y2526">
            <v>0</v>
          </cell>
          <cell r="Z2526">
            <v>0</v>
          </cell>
          <cell r="AA2526">
            <v>0</v>
          </cell>
          <cell r="AB2526">
            <v>4.1598099999999999E-2</v>
          </cell>
        </row>
        <row r="2527">
          <cell r="A2527">
            <v>51184010</v>
          </cell>
          <cell r="B2527" t="str">
            <v>Bread stick, soft</v>
          </cell>
          <cell r="I2527">
            <v>55</v>
          </cell>
          <cell r="J2527">
            <v>136.94999999999999</v>
          </cell>
          <cell r="K2527">
            <v>2.4899999999999998</v>
          </cell>
          <cell r="L2527">
            <v>0</v>
          </cell>
          <cell r="M2527">
            <v>0.48235</v>
          </cell>
          <cell r="N2527">
            <v>0</v>
          </cell>
          <cell r="O2527">
            <v>1.925E-2</v>
          </cell>
          <cell r="P2527">
            <v>0.99</v>
          </cell>
          <cell r="Q2527">
            <v>0.54669999999999996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0.30854999999999999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</row>
        <row r="2528">
          <cell r="A2528">
            <v>51184020</v>
          </cell>
          <cell r="B2528" t="str">
            <v>Bread stick, NS as to hard or soft</v>
          </cell>
          <cell r="I2528">
            <v>55</v>
          </cell>
          <cell r="J2528">
            <v>226.6</v>
          </cell>
          <cell r="K2528">
            <v>4.12</v>
          </cell>
          <cell r="L2528">
            <v>0</v>
          </cell>
          <cell r="M2528">
            <v>0.77549999999999997</v>
          </cell>
          <cell r="N2528">
            <v>0</v>
          </cell>
          <cell r="O2528">
            <v>1.21E-2</v>
          </cell>
          <cell r="P2528">
            <v>1.65</v>
          </cell>
          <cell r="Q2528">
            <v>1.9954000000000001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0.39215</v>
          </cell>
          <cell r="Y2528">
            <v>0</v>
          </cell>
          <cell r="Z2528">
            <v>0</v>
          </cell>
          <cell r="AA2528">
            <v>0</v>
          </cell>
          <cell r="AB2528">
            <v>0.23246810000000001</v>
          </cell>
        </row>
        <row r="2529">
          <cell r="A2529">
            <v>51184030</v>
          </cell>
          <cell r="B2529" t="str">
            <v>Bread stick, soft, prepared with garlic and parmesan cheese</v>
          </cell>
          <cell r="I2529">
            <v>55</v>
          </cell>
          <cell r="J2529">
            <v>188.65</v>
          </cell>
          <cell r="K2529">
            <v>3.43</v>
          </cell>
          <cell r="L2529">
            <v>0</v>
          </cell>
          <cell r="M2529">
            <v>1.6313</v>
          </cell>
          <cell r="N2529">
            <v>0</v>
          </cell>
          <cell r="O2529">
            <v>4.7849999999999997E-2</v>
          </cell>
          <cell r="P2529">
            <v>1.32</v>
          </cell>
          <cell r="Q2529">
            <v>3.3879999999999999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0.29644999999999999</v>
          </cell>
          <cell r="Y2529">
            <v>0</v>
          </cell>
          <cell r="Z2529">
            <v>0</v>
          </cell>
          <cell r="AA2529">
            <v>0</v>
          </cell>
          <cell r="AB2529">
            <v>5.1150000000000001E-2</v>
          </cell>
        </row>
        <row r="2530">
          <cell r="A2530">
            <v>51184210</v>
          </cell>
          <cell r="B2530" t="str">
            <v>Breadsticks, soft, from fast food / restaurant</v>
          </cell>
          <cell r="I2530">
            <v>55</v>
          </cell>
          <cell r="J2530">
            <v>188.27345</v>
          </cell>
          <cell r="K2530">
            <v>3.4231536363636361</v>
          </cell>
          <cell r="L2530">
            <v>0</v>
          </cell>
          <cell r="M2530">
            <v>1.6280439</v>
          </cell>
          <cell r="N2530">
            <v>0</v>
          </cell>
          <cell r="O2530">
            <v>4.7780799999999998E-2</v>
          </cell>
          <cell r="P2530">
            <v>1.3173653000000001</v>
          </cell>
          <cell r="Q2530">
            <v>3.3812375000000001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0.33840700000000001</v>
          </cell>
          <cell r="Y2530">
            <v>0</v>
          </cell>
          <cell r="Z2530">
            <v>0</v>
          </cell>
          <cell r="AA2530">
            <v>0</v>
          </cell>
          <cell r="AB2530">
            <v>5.10479E-2</v>
          </cell>
        </row>
        <row r="2531">
          <cell r="A2531">
            <v>51184220</v>
          </cell>
          <cell r="B2531" t="str">
            <v>Breadsticks, soft, from frozen</v>
          </cell>
          <cell r="I2531">
            <v>55</v>
          </cell>
          <cell r="J2531">
            <v>171.71</v>
          </cell>
          <cell r="K2531">
            <v>3.1220000000000003</v>
          </cell>
          <cell r="L2531">
            <v>0</v>
          </cell>
          <cell r="M2531">
            <v>1.1323399999999999</v>
          </cell>
          <cell r="N2531">
            <v>0</v>
          </cell>
          <cell r="O2531">
            <v>6.0389999999999999E-2</v>
          </cell>
          <cell r="P2531">
            <v>1.3859999999999999</v>
          </cell>
          <cell r="Q2531">
            <v>2.38524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0.28566999999999998</v>
          </cell>
          <cell r="Y2531">
            <v>0</v>
          </cell>
          <cell r="Z2531">
            <v>0</v>
          </cell>
          <cell r="AA2531">
            <v>0</v>
          </cell>
          <cell r="AB2531">
            <v>3.6630000000000003E-2</v>
          </cell>
        </row>
        <row r="2532">
          <cell r="A2532">
            <v>51184230</v>
          </cell>
          <cell r="B2532" t="str">
            <v>Breadsticks, soft, with parmesan cheese, from fast food / restaurant</v>
          </cell>
          <cell r="I2532">
            <v>55</v>
          </cell>
          <cell r="J2532">
            <v>189.10959</v>
          </cell>
          <cell r="K2532">
            <v>3.4383561818181816</v>
          </cell>
          <cell r="L2532">
            <v>0</v>
          </cell>
          <cell r="M2532">
            <v>1.7616251999999999</v>
          </cell>
          <cell r="N2532">
            <v>0</v>
          </cell>
          <cell r="O2532">
            <v>5.6026800000000002E-2</v>
          </cell>
          <cell r="P2532">
            <v>1.2915851</v>
          </cell>
          <cell r="Q2532">
            <v>3.3299862999999998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0.3512014</v>
          </cell>
          <cell r="Y2532">
            <v>0</v>
          </cell>
          <cell r="Z2532">
            <v>0</v>
          </cell>
          <cell r="AA2532">
            <v>0</v>
          </cell>
          <cell r="AB2532">
            <v>5.9477500000000003E-2</v>
          </cell>
        </row>
        <row r="2533">
          <cell r="A2533">
            <v>51184250</v>
          </cell>
          <cell r="B2533" t="str">
            <v>Breadsticks, soft, topped with melted cheese</v>
          </cell>
          <cell r="I2533">
            <v>55</v>
          </cell>
          <cell r="J2533">
            <v>183.07708</v>
          </cell>
          <cell r="K2533">
            <v>3.3286741818181818</v>
          </cell>
          <cell r="L2533">
            <v>0</v>
          </cell>
          <cell r="M2533">
            <v>2.5434204999999999</v>
          </cell>
          <cell r="N2533">
            <v>0</v>
          </cell>
          <cell r="O2533">
            <v>0.1147875</v>
          </cell>
          <cell r="P2533">
            <v>1.0543130999999999</v>
          </cell>
          <cell r="Q2533">
            <v>2.8179812000000002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0.34397670000000002</v>
          </cell>
          <cell r="Y2533">
            <v>0</v>
          </cell>
          <cell r="Z2533">
            <v>0</v>
          </cell>
          <cell r="AA2533">
            <v>0</v>
          </cell>
          <cell r="AB2533">
            <v>0.1199281</v>
          </cell>
        </row>
        <row r="2534">
          <cell r="A2534">
            <v>51184260</v>
          </cell>
          <cell r="B2534" t="str">
            <v>Breadsticks, soft, stuffed with melted cheese</v>
          </cell>
          <cell r="I2534">
            <v>55</v>
          </cell>
          <cell r="J2534">
            <v>183.07708</v>
          </cell>
          <cell r="K2534">
            <v>3.3286741818181818</v>
          </cell>
          <cell r="L2534">
            <v>0</v>
          </cell>
          <cell r="M2534">
            <v>2.5434204999999999</v>
          </cell>
          <cell r="N2534">
            <v>0</v>
          </cell>
          <cell r="O2534">
            <v>0.1147875</v>
          </cell>
          <cell r="P2534">
            <v>1.0543130999999999</v>
          </cell>
          <cell r="Q2534">
            <v>2.8179812000000002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0.34397670000000002</v>
          </cell>
          <cell r="Y2534">
            <v>0</v>
          </cell>
          <cell r="Z2534">
            <v>0</v>
          </cell>
          <cell r="AA2534">
            <v>0</v>
          </cell>
          <cell r="AB2534">
            <v>0.1199281</v>
          </cell>
        </row>
        <row r="2535">
          <cell r="A2535">
            <v>51185000</v>
          </cell>
          <cell r="B2535" t="str">
            <v>Croutons</v>
          </cell>
          <cell r="I2535">
            <v>7</v>
          </cell>
          <cell r="J2535">
            <v>32.549999999999997</v>
          </cell>
          <cell r="K2535">
            <v>4.6499999999999995</v>
          </cell>
          <cell r="L2535">
            <v>0</v>
          </cell>
          <cell r="M2535">
            <v>0.36729000000000001</v>
          </cell>
          <cell r="N2535">
            <v>0</v>
          </cell>
          <cell r="O2535">
            <v>6.7200000000000003E-3</v>
          </cell>
          <cell r="P2535">
            <v>0.35</v>
          </cell>
          <cell r="Q2535">
            <v>0.16575999999999999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7.6230000000000006E-2</v>
          </cell>
          <cell r="Y2535">
            <v>0</v>
          </cell>
          <cell r="Z2535">
            <v>0</v>
          </cell>
          <cell r="AA2535">
            <v>0</v>
          </cell>
          <cell r="AB2535">
            <v>2.0422900000000001E-2</v>
          </cell>
        </row>
        <row r="2536">
          <cell r="A2536">
            <v>51186010</v>
          </cell>
          <cell r="B2536" t="str">
            <v>Muffin, English</v>
          </cell>
          <cell r="I2536">
            <v>55</v>
          </cell>
          <cell r="J2536">
            <v>124.85</v>
          </cell>
          <cell r="K2536">
            <v>2.27</v>
          </cell>
          <cell r="L2536">
            <v>0</v>
          </cell>
          <cell r="M2536">
            <v>0.40315000000000001</v>
          </cell>
          <cell r="N2536">
            <v>0</v>
          </cell>
          <cell r="O2536">
            <v>8.9649999999999994E-2</v>
          </cell>
          <cell r="P2536">
            <v>1.925</v>
          </cell>
          <cell r="Q2536">
            <v>0.27389999999999998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0.23375000000000001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</row>
        <row r="2537">
          <cell r="A2537">
            <v>51186020</v>
          </cell>
          <cell r="B2537" t="str">
            <v>Muffin, English, toasted</v>
          </cell>
          <cell r="I2537">
            <v>55</v>
          </cell>
          <cell r="J2537">
            <v>148.5</v>
          </cell>
          <cell r="K2537">
            <v>2.7</v>
          </cell>
          <cell r="L2537">
            <v>0</v>
          </cell>
          <cell r="M2537">
            <v>0.29315000000000002</v>
          </cell>
          <cell r="N2537">
            <v>0</v>
          </cell>
          <cell r="O2537">
            <v>0.10835</v>
          </cell>
          <cell r="P2537">
            <v>1.54</v>
          </cell>
          <cell r="Q2537">
            <v>0.50654999999999994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0.26235000000000003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</row>
        <row r="2538">
          <cell r="A2538">
            <v>51186100</v>
          </cell>
          <cell r="B2538" t="str">
            <v>Muffin, English, with raisins</v>
          </cell>
          <cell r="I2538">
            <v>55</v>
          </cell>
          <cell r="J2538">
            <v>128.81</v>
          </cell>
          <cell r="K2538">
            <v>2.3420000000000001</v>
          </cell>
          <cell r="L2538">
            <v>0.20349999999999999</v>
          </cell>
          <cell r="M2538">
            <v>0.36602499999999999</v>
          </cell>
          <cell r="N2538">
            <v>0</v>
          </cell>
          <cell r="O2538">
            <v>8.3434999999999995E-2</v>
          </cell>
          <cell r="P2538">
            <v>1.7324999999999999</v>
          </cell>
          <cell r="Q2538">
            <v>0.24854499999999999</v>
          </cell>
          <cell r="R2538">
            <v>0</v>
          </cell>
          <cell r="S2538">
            <v>0</v>
          </cell>
          <cell r="T2538">
            <v>5.5</v>
          </cell>
          <cell r="U2538">
            <v>0</v>
          </cell>
          <cell r="V2538">
            <v>0</v>
          </cell>
          <cell r="W2538">
            <v>0</v>
          </cell>
          <cell r="X2538">
            <v>0.21098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</row>
        <row r="2539">
          <cell r="A2539">
            <v>51186160</v>
          </cell>
          <cell r="B2539" t="str">
            <v>Muffin, English, with fruit other than raisins</v>
          </cell>
          <cell r="I2539">
            <v>55</v>
          </cell>
          <cell r="J2539">
            <v>115.5</v>
          </cell>
          <cell r="K2539">
            <v>2.1</v>
          </cell>
          <cell r="L2539">
            <v>0.13200000000000001</v>
          </cell>
          <cell r="M2539">
            <v>0.364375</v>
          </cell>
          <cell r="N2539">
            <v>0</v>
          </cell>
          <cell r="O2539">
            <v>8.1015000000000004E-2</v>
          </cell>
          <cell r="P2539">
            <v>1.7324999999999999</v>
          </cell>
          <cell r="Q2539">
            <v>0.25453999999999999</v>
          </cell>
          <cell r="R2539">
            <v>0</v>
          </cell>
          <cell r="S2539">
            <v>0</v>
          </cell>
          <cell r="T2539">
            <v>5.5</v>
          </cell>
          <cell r="U2539">
            <v>0</v>
          </cell>
          <cell r="V2539">
            <v>0</v>
          </cell>
          <cell r="W2539">
            <v>0</v>
          </cell>
          <cell r="X2539">
            <v>0.21043000000000001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</row>
        <row r="2540">
          <cell r="A2540">
            <v>51187000</v>
          </cell>
          <cell r="B2540" t="str">
            <v>Melba toast</v>
          </cell>
          <cell r="I2540">
            <v>15</v>
          </cell>
          <cell r="J2540">
            <v>58.5</v>
          </cell>
          <cell r="K2540">
            <v>3.9</v>
          </cell>
          <cell r="L2540">
            <v>0</v>
          </cell>
          <cell r="M2540">
            <v>6.6750000000000004E-2</v>
          </cell>
          <cell r="N2540">
            <v>0</v>
          </cell>
          <cell r="O2540">
            <v>1.3950000000000001E-2</v>
          </cell>
          <cell r="P2540">
            <v>0.94499999999999995</v>
          </cell>
          <cell r="Q2540">
            <v>0.1923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8.9700000000000002E-2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</row>
        <row r="2541">
          <cell r="A2541">
            <v>51187020</v>
          </cell>
          <cell r="B2541" t="str">
            <v>Anisette toast</v>
          </cell>
          <cell r="I2541">
            <v>15</v>
          </cell>
          <cell r="J2541">
            <v>63.9</v>
          </cell>
          <cell r="K2541">
            <v>4.26</v>
          </cell>
          <cell r="L2541">
            <v>0</v>
          </cell>
          <cell r="M2541">
            <v>0.37874999999999998</v>
          </cell>
          <cell r="N2541">
            <v>0</v>
          </cell>
          <cell r="O2541">
            <v>3.0000000000000001E-3</v>
          </cell>
          <cell r="P2541">
            <v>0.375</v>
          </cell>
          <cell r="Q2541">
            <v>0.31095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3.4049999999999997E-2</v>
          </cell>
          <cell r="Y2541">
            <v>0</v>
          </cell>
          <cell r="Z2541">
            <v>0</v>
          </cell>
          <cell r="AA2541">
            <v>0</v>
          </cell>
          <cell r="AB2541">
            <v>1.8E-3</v>
          </cell>
        </row>
        <row r="2542">
          <cell r="A2542">
            <v>51188100</v>
          </cell>
          <cell r="B2542" t="str">
            <v>Pannetone</v>
          </cell>
          <cell r="I2542">
            <v>15</v>
          </cell>
          <cell r="J2542">
            <v>44.337777000000003</v>
          </cell>
          <cell r="K2542">
            <v>2.9558518</v>
          </cell>
          <cell r="L2542">
            <v>1.5851199999999999E-2</v>
          </cell>
          <cell r="M2542">
            <v>0.60249640000000004</v>
          </cell>
          <cell r="N2542">
            <v>0</v>
          </cell>
          <cell r="O2542">
            <v>6.9240999999999999E-3</v>
          </cell>
          <cell r="P2542">
            <v>0.30345699999999998</v>
          </cell>
          <cell r="Q2542">
            <v>0.1048453</v>
          </cell>
          <cell r="R2542">
            <v>0</v>
          </cell>
          <cell r="S2542">
            <v>0</v>
          </cell>
          <cell r="T2542">
            <v>0.42841030000000002</v>
          </cell>
          <cell r="U2542">
            <v>0</v>
          </cell>
          <cell r="V2542">
            <v>0</v>
          </cell>
          <cell r="W2542">
            <v>0</v>
          </cell>
          <cell r="X2542">
            <v>4.6012900000000002E-2</v>
          </cell>
          <cell r="Y2542">
            <v>0</v>
          </cell>
          <cell r="Z2542">
            <v>0</v>
          </cell>
          <cell r="AA2542">
            <v>0</v>
          </cell>
          <cell r="AB2542">
            <v>0.41872989999999999</v>
          </cell>
        </row>
        <row r="2543">
          <cell r="A2543">
            <v>51188500</v>
          </cell>
          <cell r="B2543" t="str">
            <v>Zwieback toast</v>
          </cell>
          <cell r="I2543">
            <v>15</v>
          </cell>
          <cell r="J2543">
            <v>63.9</v>
          </cell>
          <cell r="K2543">
            <v>4.26</v>
          </cell>
          <cell r="L2543">
            <v>0</v>
          </cell>
          <cell r="M2543">
            <v>0.37874999999999998</v>
          </cell>
          <cell r="N2543">
            <v>0</v>
          </cell>
          <cell r="O2543">
            <v>3.0000000000000001E-3</v>
          </cell>
          <cell r="P2543">
            <v>0.375</v>
          </cell>
          <cell r="Q2543">
            <v>0.31095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3.4049999999999997E-2</v>
          </cell>
          <cell r="Y2543">
            <v>0</v>
          </cell>
          <cell r="Z2543">
            <v>0</v>
          </cell>
          <cell r="AA2543">
            <v>0</v>
          </cell>
          <cell r="AB2543">
            <v>1.8E-3</v>
          </cell>
        </row>
        <row r="2544">
          <cell r="A2544">
            <v>51201010</v>
          </cell>
          <cell r="B2544" t="str">
            <v>Bread, whole wheat, 100%</v>
          </cell>
          <cell r="I2544">
            <v>50</v>
          </cell>
          <cell r="J2544">
            <v>126</v>
          </cell>
          <cell r="K2544">
            <v>2.52</v>
          </cell>
          <cell r="L2544">
            <v>3</v>
          </cell>
          <cell r="M2544">
            <v>0.36099999999999999</v>
          </cell>
          <cell r="N2544">
            <v>0</v>
          </cell>
          <cell r="O2544">
            <v>8.0500000000000002E-2</v>
          </cell>
          <cell r="P2544">
            <v>0</v>
          </cell>
          <cell r="Q2544">
            <v>0.79600000000000004</v>
          </cell>
          <cell r="R2544">
            <v>29.04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0.22750000000000001</v>
          </cell>
          <cell r="Y2544">
            <v>0</v>
          </cell>
          <cell r="Z2544">
            <v>0</v>
          </cell>
          <cell r="AA2544">
            <v>0</v>
          </cell>
          <cell r="AB2544">
            <v>0.01</v>
          </cell>
        </row>
        <row r="2545">
          <cell r="A2545">
            <v>51201020</v>
          </cell>
          <cell r="B2545" t="str">
            <v>Bread, whole wheat, 100%, toasted</v>
          </cell>
          <cell r="I2545">
            <v>50</v>
          </cell>
          <cell r="J2545">
            <v>153</v>
          </cell>
          <cell r="K2545">
            <v>3.06</v>
          </cell>
          <cell r="L2545">
            <v>4.5999999999999996</v>
          </cell>
          <cell r="M2545">
            <v>0.46100000000000002</v>
          </cell>
          <cell r="N2545">
            <v>0</v>
          </cell>
          <cell r="O2545">
            <v>6.5000000000000002E-2</v>
          </cell>
          <cell r="P2545">
            <v>0</v>
          </cell>
          <cell r="Q2545">
            <v>0.37</v>
          </cell>
          <cell r="R2545">
            <v>31.6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0.2465</v>
          </cell>
          <cell r="Y2545">
            <v>0</v>
          </cell>
          <cell r="Z2545">
            <v>0</v>
          </cell>
          <cell r="AA2545">
            <v>0</v>
          </cell>
          <cell r="AB2545">
            <v>0.51249999999999996</v>
          </cell>
        </row>
        <row r="2546">
          <cell r="A2546">
            <v>51201070</v>
          </cell>
          <cell r="B2546" t="str">
            <v>Bread, whole wheat, 100%, made from home recipe or purchased at bakery, toasted</v>
          </cell>
          <cell r="I2546">
            <v>50</v>
          </cell>
          <cell r="J2546">
            <v>113.85941</v>
          </cell>
          <cell r="K2546">
            <v>2.2771881999999999</v>
          </cell>
          <cell r="L2546">
            <v>2.9976653999999998</v>
          </cell>
          <cell r="M2546">
            <v>0.64359169999999999</v>
          </cell>
          <cell r="N2546">
            <v>0</v>
          </cell>
          <cell r="O2546">
            <v>2.1566399999999999E-2</v>
          </cell>
          <cell r="P2546">
            <v>0.146537</v>
          </cell>
          <cell r="Q2546">
            <v>0.49278959999999999</v>
          </cell>
          <cell r="R2546">
            <v>28.015564000000001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0.28046720000000003</v>
          </cell>
          <cell r="Y2546">
            <v>0</v>
          </cell>
          <cell r="Z2546">
            <v>0</v>
          </cell>
          <cell r="AA2546">
            <v>0</v>
          </cell>
          <cell r="AB2546">
            <v>9.8315899999999998E-2</v>
          </cell>
        </row>
        <row r="2547">
          <cell r="A2547">
            <v>51207010</v>
          </cell>
          <cell r="B2547" t="str">
            <v>Bread, sprouted wheat</v>
          </cell>
          <cell r="I2547">
            <v>50</v>
          </cell>
          <cell r="J2547">
            <v>135</v>
          </cell>
          <cell r="K2547">
            <v>2.7</v>
          </cell>
          <cell r="L2547">
            <v>1.0225629000000001</v>
          </cell>
          <cell r="M2547">
            <v>0.40150000000000002</v>
          </cell>
          <cell r="N2547">
            <v>0</v>
          </cell>
          <cell r="O2547">
            <v>6.9000000000000006E-2</v>
          </cell>
          <cell r="P2547">
            <v>1.0774371</v>
          </cell>
          <cell r="Q2547">
            <v>0.80449999999999999</v>
          </cell>
          <cell r="R2547">
            <v>7.92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0.25950000000000001</v>
          </cell>
          <cell r="Y2547">
            <v>0</v>
          </cell>
          <cell r="Z2547">
            <v>0</v>
          </cell>
          <cell r="AA2547">
            <v>0</v>
          </cell>
          <cell r="AB2547">
            <v>1.6500000000000001E-2</v>
          </cell>
        </row>
        <row r="2548">
          <cell r="A2548">
            <v>51207020</v>
          </cell>
          <cell r="B2548" t="str">
            <v>Bread, sprouted wheat, toasted</v>
          </cell>
          <cell r="I2548">
            <v>50</v>
          </cell>
          <cell r="J2548">
            <v>156.5</v>
          </cell>
          <cell r="K2548">
            <v>3.13</v>
          </cell>
          <cell r="L2548">
            <v>1.1448701999999999</v>
          </cell>
          <cell r="M2548">
            <v>0.4945</v>
          </cell>
          <cell r="N2548">
            <v>0</v>
          </cell>
          <cell r="O2548">
            <v>8.2500000000000004E-2</v>
          </cell>
          <cell r="P2548">
            <v>1.2051297999999999</v>
          </cell>
          <cell r="Q2548">
            <v>0.86</v>
          </cell>
          <cell r="R2548">
            <v>8.64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0.30049999999999999</v>
          </cell>
          <cell r="Y2548">
            <v>0</v>
          </cell>
          <cell r="Z2548">
            <v>0</v>
          </cell>
          <cell r="AA2548">
            <v>0</v>
          </cell>
          <cell r="AB2548">
            <v>2.4328800000000001E-2</v>
          </cell>
        </row>
        <row r="2549">
          <cell r="A2549">
            <v>51208100</v>
          </cell>
          <cell r="B2549" t="str">
            <v>Bagel, whole wheat, 100%, with raisins</v>
          </cell>
          <cell r="I2549">
            <v>55</v>
          </cell>
          <cell r="J2549">
            <v>140.19499999999999</v>
          </cell>
          <cell r="K2549">
            <v>2.5489999999999999</v>
          </cell>
          <cell r="L2549">
            <v>1.2502739</v>
          </cell>
          <cell r="M2549">
            <v>3.1900000000000001E-3</v>
          </cell>
          <cell r="N2549">
            <v>0</v>
          </cell>
          <cell r="O2549">
            <v>1.265E-2</v>
          </cell>
          <cell r="P2549">
            <v>0.98272610000000005</v>
          </cell>
          <cell r="Q2549">
            <v>0.46535500000000002</v>
          </cell>
          <cell r="R2549">
            <v>9.9</v>
          </cell>
          <cell r="S2549">
            <v>0</v>
          </cell>
          <cell r="T2549">
            <v>5.5</v>
          </cell>
          <cell r="U2549">
            <v>0</v>
          </cell>
          <cell r="V2549">
            <v>0</v>
          </cell>
          <cell r="W2549">
            <v>0</v>
          </cell>
          <cell r="X2549">
            <v>0.21790999999999999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</row>
        <row r="2550">
          <cell r="A2550">
            <v>51300050</v>
          </cell>
          <cell r="B2550" t="str">
            <v>Bread, whole grain white</v>
          </cell>
          <cell r="I2550">
            <v>50</v>
          </cell>
          <cell r="J2550">
            <v>119</v>
          </cell>
          <cell r="K2550">
            <v>2.38</v>
          </cell>
          <cell r="L2550">
            <v>4.4451815999999997</v>
          </cell>
          <cell r="M2550">
            <v>0.315</v>
          </cell>
          <cell r="N2550">
            <v>0</v>
          </cell>
          <cell r="O2550">
            <v>0.34200000000000003</v>
          </cell>
          <cell r="P2550">
            <v>0.15481839999999999</v>
          </cell>
          <cell r="Q2550">
            <v>0.48649999999999999</v>
          </cell>
          <cell r="R2550">
            <v>27.44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0.23899999999999999</v>
          </cell>
          <cell r="Y2550">
            <v>0</v>
          </cell>
          <cell r="Z2550">
            <v>0</v>
          </cell>
          <cell r="AA2550">
            <v>0</v>
          </cell>
          <cell r="AB2550">
            <v>1.55E-2</v>
          </cell>
        </row>
        <row r="2551">
          <cell r="A2551">
            <v>51300060</v>
          </cell>
          <cell r="B2551" t="str">
            <v>Bread, whole grain white, toasted</v>
          </cell>
          <cell r="I2551">
            <v>50</v>
          </cell>
          <cell r="J2551">
            <v>119</v>
          </cell>
          <cell r="K2551">
            <v>2.38</v>
          </cell>
          <cell r="L2551">
            <v>4.4451815999999997</v>
          </cell>
          <cell r="M2551">
            <v>0.315</v>
          </cell>
          <cell r="N2551">
            <v>0</v>
          </cell>
          <cell r="O2551">
            <v>0.34200000000000003</v>
          </cell>
          <cell r="P2551">
            <v>0.15481839999999999</v>
          </cell>
          <cell r="Q2551">
            <v>0.48649999999999999</v>
          </cell>
          <cell r="R2551">
            <v>27.44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0.23899999999999999</v>
          </cell>
          <cell r="Y2551">
            <v>0</v>
          </cell>
          <cell r="Z2551">
            <v>0</v>
          </cell>
          <cell r="AA2551">
            <v>0</v>
          </cell>
          <cell r="AB2551">
            <v>1.55E-2</v>
          </cell>
        </row>
        <row r="2552">
          <cell r="A2552">
            <v>51300100</v>
          </cell>
          <cell r="B2552" t="str">
            <v>Bagel, whole grain white</v>
          </cell>
          <cell r="I2552">
            <v>50</v>
          </cell>
          <cell r="J2552">
            <v>125</v>
          </cell>
          <cell r="K2552">
            <v>2.5</v>
          </cell>
          <cell r="L2552">
            <v>1.0691211</v>
          </cell>
          <cell r="M2552">
            <v>0</v>
          </cell>
          <cell r="N2552">
            <v>0</v>
          </cell>
          <cell r="O2552">
            <v>0.01</v>
          </cell>
          <cell r="P2552">
            <v>0.9808789</v>
          </cell>
          <cell r="Q2552">
            <v>0.46800000000000003</v>
          </cell>
          <cell r="R2552">
            <v>10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0.2195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</row>
        <row r="2553">
          <cell r="A2553">
            <v>51300110</v>
          </cell>
          <cell r="B2553" t="str">
            <v>Bread, whole wheat</v>
          </cell>
          <cell r="I2553">
            <v>50</v>
          </cell>
          <cell r="J2553">
            <v>126</v>
          </cell>
          <cell r="K2553">
            <v>2.52</v>
          </cell>
          <cell r="L2553">
            <v>3</v>
          </cell>
          <cell r="M2553">
            <v>0.36099999999999999</v>
          </cell>
          <cell r="N2553">
            <v>0</v>
          </cell>
          <cell r="O2553">
            <v>8.0500000000000002E-2</v>
          </cell>
          <cell r="P2553">
            <v>0</v>
          </cell>
          <cell r="Q2553">
            <v>0.79600000000000004</v>
          </cell>
          <cell r="R2553">
            <v>29.04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0.22750000000000001</v>
          </cell>
          <cell r="Y2553">
            <v>0</v>
          </cell>
          <cell r="Z2553">
            <v>0</v>
          </cell>
          <cell r="AA2553">
            <v>0</v>
          </cell>
          <cell r="AB2553">
            <v>0.01</v>
          </cell>
        </row>
        <row r="2554">
          <cell r="A2554">
            <v>51300120</v>
          </cell>
          <cell r="B2554" t="str">
            <v>Bread, whole wheat, toasted</v>
          </cell>
          <cell r="I2554">
            <v>50</v>
          </cell>
          <cell r="J2554">
            <v>126</v>
          </cell>
          <cell r="K2554">
            <v>2.52</v>
          </cell>
          <cell r="L2554">
            <v>3</v>
          </cell>
          <cell r="M2554">
            <v>0.36099999999999999</v>
          </cell>
          <cell r="N2554">
            <v>0</v>
          </cell>
          <cell r="O2554">
            <v>8.0500000000000002E-2</v>
          </cell>
          <cell r="P2554">
            <v>0</v>
          </cell>
          <cell r="Q2554">
            <v>0.79600000000000004</v>
          </cell>
          <cell r="R2554">
            <v>29.04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0.22750000000000001</v>
          </cell>
          <cell r="Y2554">
            <v>0</v>
          </cell>
          <cell r="Z2554">
            <v>0</v>
          </cell>
          <cell r="AA2554">
            <v>0</v>
          </cell>
          <cell r="AB2554">
            <v>0.01</v>
          </cell>
        </row>
        <row r="2555">
          <cell r="A2555">
            <v>51300140</v>
          </cell>
          <cell r="B2555" t="str">
            <v>Bread, whole wheat, made from home recipe or purchased at bakery</v>
          </cell>
          <cell r="I2555">
            <v>50</v>
          </cell>
          <cell r="J2555">
            <v>113.96876</v>
          </cell>
          <cell r="K2555">
            <v>2.2793752</v>
          </cell>
          <cell r="L2555">
            <v>2.9976653999999998</v>
          </cell>
          <cell r="M2555">
            <v>0.65108809999999995</v>
          </cell>
          <cell r="N2555">
            <v>0</v>
          </cell>
          <cell r="O2555">
            <v>2.1542800000000001E-2</v>
          </cell>
          <cell r="P2555">
            <v>0.146537</v>
          </cell>
          <cell r="Q2555">
            <v>0.49342639999999999</v>
          </cell>
          <cell r="R2555">
            <v>28.015564000000001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0.28047490000000003</v>
          </cell>
          <cell r="Y2555">
            <v>0</v>
          </cell>
          <cell r="Z2555">
            <v>0</v>
          </cell>
          <cell r="AA2555">
            <v>0</v>
          </cell>
          <cell r="AB2555">
            <v>8.6661699999999994E-2</v>
          </cell>
        </row>
        <row r="2556">
          <cell r="A2556">
            <v>51300150</v>
          </cell>
          <cell r="B2556" t="str">
            <v>Bread, whole wheat, made from home recipe or purchased at bakery, toasted</v>
          </cell>
          <cell r="I2556">
            <v>50</v>
          </cell>
          <cell r="J2556">
            <v>113.96876</v>
          </cell>
          <cell r="K2556">
            <v>2.2793752</v>
          </cell>
          <cell r="L2556">
            <v>2.9976653999999998</v>
          </cell>
          <cell r="M2556">
            <v>0.65108809999999995</v>
          </cell>
          <cell r="N2556">
            <v>0</v>
          </cell>
          <cell r="O2556">
            <v>2.1542800000000001E-2</v>
          </cell>
          <cell r="P2556">
            <v>0.146537</v>
          </cell>
          <cell r="Q2556">
            <v>0.49342639999999999</v>
          </cell>
          <cell r="R2556">
            <v>28.015564000000001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0.28047490000000003</v>
          </cell>
          <cell r="Y2556">
            <v>0</v>
          </cell>
          <cell r="Z2556">
            <v>0</v>
          </cell>
          <cell r="AA2556">
            <v>0</v>
          </cell>
          <cell r="AB2556">
            <v>8.6661699999999994E-2</v>
          </cell>
        </row>
        <row r="2557">
          <cell r="A2557">
            <v>51300175</v>
          </cell>
          <cell r="B2557" t="str">
            <v>Bread, chappatti or roti, wheat</v>
          </cell>
          <cell r="I2557">
            <v>50</v>
          </cell>
          <cell r="J2557">
            <v>149.5</v>
          </cell>
          <cell r="K2557">
            <v>2.99</v>
          </cell>
          <cell r="L2557">
            <v>3.4687347000000002</v>
          </cell>
          <cell r="M2557">
            <v>1.6555</v>
          </cell>
          <cell r="N2557">
            <v>0</v>
          </cell>
          <cell r="O2557">
            <v>1.7999999999999999E-2</v>
          </cell>
          <cell r="P2557">
            <v>1.3812652999999999</v>
          </cell>
          <cell r="Q2557">
            <v>0.3805</v>
          </cell>
          <cell r="R2557">
            <v>16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0.14899999999999999</v>
          </cell>
          <cell r="Y2557">
            <v>0</v>
          </cell>
          <cell r="Z2557">
            <v>0</v>
          </cell>
          <cell r="AA2557">
            <v>0</v>
          </cell>
          <cell r="AB2557">
            <v>1.4500000000000001E-2</v>
          </cell>
        </row>
        <row r="2558">
          <cell r="A2558">
            <v>51300180</v>
          </cell>
          <cell r="B2558" t="str">
            <v>Bread, puri, wheat</v>
          </cell>
          <cell r="I2558">
            <v>50</v>
          </cell>
          <cell r="J2558">
            <v>178.08543</v>
          </cell>
          <cell r="K2558">
            <v>3.5617086000000002</v>
          </cell>
          <cell r="L2558">
            <v>1.2479201</v>
          </cell>
          <cell r="M2558">
            <v>1.5238966</v>
          </cell>
          <cell r="N2558">
            <v>0</v>
          </cell>
          <cell r="O2558">
            <v>6.3216000000000001E-3</v>
          </cell>
          <cell r="P2558">
            <v>0.32801639999999999</v>
          </cell>
          <cell r="Q2558">
            <v>4.5680585999999996</v>
          </cell>
          <cell r="R2558">
            <v>11.662805000000001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7.6481499999999994E-2</v>
          </cell>
          <cell r="Y2558">
            <v>0</v>
          </cell>
          <cell r="Z2558">
            <v>0</v>
          </cell>
          <cell r="AA2558">
            <v>0</v>
          </cell>
          <cell r="AB2558">
            <v>0.12840199999999999</v>
          </cell>
        </row>
        <row r="2559">
          <cell r="A2559">
            <v>51300185</v>
          </cell>
          <cell r="B2559" t="str">
            <v>Bread, paratha, wheat</v>
          </cell>
          <cell r="I2559">
            <v>50</v>
          </cell>
          <cell r="J2559">
            <v>163</v>
          </cell>
          <cell r="K2559">
            <v>3.26</v>
          </cell>
          <cell r="L2559">
            <v>3.4329746000000001</v>
          </cell>
          <cell r="M2559">
            <v>2.9129999999999998</v>
          </cell>
          <cell r="N2559">
            <v>0</v>
          </cell>
          <cell r="O2559">
            <v>1.2500000000000001E-2</v>
          </cell>
          <cell r="P2559">
            <v>1.3670253999999999</v>
          </cell>
          <cell r="Q2559">
            <v>1.242</v>
          </cell>
          <cell r="R2559">
            <v>16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0.22600000000000001</v>
          </cell>
          <cell r="Y2559">
            <v>0</v>
          </cell>
          <cell r="Z2559">
            <v>0</v>
          </cell>
          <cell r="AA2559">
            <v>0</v>
          </cell>
          <cell r="AB2559">
            <v>1.7000000000000001E-2</v>
          </cell>
        </row>
        <row r="2560">
          <cell r="A2560">
            <v>51300210</v>
          </cell>
          <cell r="B2560" t="str">
            <v>Bread, whole wheat, with raisins</v>
          </cell>
          <cell r="I2560">
            <v>50</v>
          </cell>
          <cell r="J2560">
            <v>125.79282000000001</v>
          </cell>
          <cell r="K2560">
            <v>2.5158564000000001</v>
          </cell>
          <cell r="L2560">
            <v>2.6063874999999999</v>
          </cell>
          <cell r="M2560">
            <v>0.74122520000000003</v>
          </cell>
          <cell r="N2560">
            <v>0</v>
          </cell>
          <cell r="O2560">
            <v>2.52135E-2</v>
          </cell>
          <cell r="P2560">
            <v>0.36910150000000003</v>
          </cell>
          <cell r="Q2560">
            <v>0.40455150000000001</v>
          </cell>
          <cell r="R2560">
            <v>22.054931</v>
          </cell>
          <cell r="S2560">
            <v>0</v>
          </cell>
          <cell r="T2560">
            <v>6.6624271999999998</v>
          </cell>
          <cell r="U2560">
            <v>0</v>
          </cell>
          <cell r="V2560">
            <v>0</v>
          </cell>
          <cell r="W2560">
            <v>0</v>
          </cell>
          <cell r="X2560">
            <v>0.2244041</v>
          </cell>
          <cell r="Y2560">
            <v>0</v>
          </cell>
          <cell r="Z2560">
            <v>0</v>
          </cell>
          <cell r="AA2560">
            <v>0</v>
          </cell>
          <cell r="AB2560">
            <v>8.2506099999999999E-2</v>
          </cell>
        </row>
        <row r="2561">
          <cell r="A2561">
            <v>51300220</v>
          </cell>
          <cell r="B2561" t="str">
            <v>Bread, whole wheat, with raisins, toasted</v>
          </cell>
          <cell r="I2561">
            <v>50</v>
          </cell>
          <cell r="J2561">
            <v>125.79282000000001</v>
          </cell>
          <cell r="K2561">
            <v>2.5158564000000001</v>
          </cell>
          <cell r="L2561">
            <v>2.6063874999999999</v>
          </cell>
          <cell r="M2561">
            <v>0.74122520000000003</v>
          </cell>
          <cell r="N2561">
            <v>0</v>
          </cell>
          <cell r="O2561">
            <v>2.52135E-2</v>
          </cell>
          <cell r="P2561">
            <v>0.36910150000000003</v>
          </cell>
          <cell r="Q2561">
            <v>0.40455150000000001</v>
          </cell>
          <cell r="R2561">
            <v>22.054931</v>
          </cell>
          <cell r="S2561">
            <v>0</v>
          </cell>
          <cell r="T2561">
            <v>6.6624271999999998</v>
          </cell>
          <cell r="U2561">
            <v>0</v>
          </cell>
          <cell r="V2561">
            <v>0</v>
          </cell>
          <cell r="W2561">
            <v>0</v>
          </cell>
          <cell r="X2561">
            <v>0.2244041</v>
          </cell>
          <cell r="Y2561">
            <v>0</v>
          </cell>
          <cell r="Z2561">
            <v>0</v>
          </cell>
          <cell r="AA2561">
            <v>0</v>
          </cell>
          <cell r="AB2561">
            <v>8.2506099999999999E-2</v>
          </cell>
        </row>
        <row r="2562">
          <cell r="A2562">
            <v>51300300</v>
          </cell>
          <cell r="B2562" t="str">
            <v>Bread, sprouted wheat</v>
          </cell>
          <cell r="I2562">
            <v>50</v>
          </cell>
          <cell r="J2562">
            <v>94</v>
          </cell>
          <cell r="K2562">
            <v>1.88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2.65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0.23699999999999999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</row>
        <row r="2563">
          <cell r="A2563">
            <v>51300310</v>
          </cell>
          <cell r="B2563" t="str">
            <v>Bread, sprouted wheat, toasted</v>
          </cell>
          <cell r="I2563">
            <v>50</v>
          </cell>
          <cell r="J2563">
            <v>94</v>
          </cell>
          <cell r="K2563">
            <v>1.88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2.65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0.23699999999999999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</row>
        <row r="2564">
          <cell r="A2564">
            <v>51301010</v>
          </cell>
          <cell r="B2564" t="str">
            <v>Bread, wheat or cracked wheat</v>
          </cell>
          <cell r="I2564">
            <v>50</v>
          </cell>
          <cell r="J2564">
            <v>137</v>
          </cell>
          <cell r="K2564">
            <v>2.74</v>
          </cell>
          <cell r="L2564">
            <v>0.9853672</v>
          </cell>
          <cell r="M2564">
            <v>0.34849999999999998</v>
          </cell>
          <cell r="N2564">
            <v>0</v>
          </cell>
          <cell r="O2564">
            <v>6.25E-2</v>
          </cell>
          <cell r="P2564">
            <v>1.0146328</v>
          </cell>
          <cell r="Q2564">
            <v>0.8075</v>
          </cell>
          <cell r="R2564">
            <v>7.92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0.23649999999999999</v>
          </cell>
          <cell r="Y2564">
            <v>0</v>
          </cell>
          <cell r="Z2564">
            <v>0</v>
          </cell>
          <cell r="AA2564">
            <v>0</v>
          </cell>
          <cell r="AB2564">
            <v>1.6500000000000001E-2</v>
          </cell>
        </row>
        <row r="2565">
          <cell r="A2565">
            <v>51301020</v>
          </cell>
          <cell r="B2565" t="str">
            <v>Bread, wheat or cracked wheat, toasted</v>
          </cell>
          <cell r="I2565">
            <v>50</v>
          </cell>
          <cell r="J2565">
            <v>137</v>
          </cell>
          <cell r="K2565">
            <v>2.74</v>
          </cell>
          <cell r="L2565">
            <v>0.9853672</v>
          </cell>
          <cell r="M2565">
            <v>0.34849999999999998</v>
          </cell>
          <cell r="N2565">
            <v>0</v>
          </cell>
          <cell r="O2565">
            <v>6.25E-2</v>
          </cell>
          <cell r="P2565">
            <v>1.0146328</v>
          </cell>
          <cell r="Q2565">
            <v>0.8075</v>
          </cell>
          <cell r="R2565">
            <v>7.92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0.23649999999999999</v>
          </cell>
          <cell r="Y2565">
            <v>0</v>
          </cell>
          <cell r="Z2565">
            <v>0</v>
          </cell>
          <cell r="AA2565">
            <v>0</v>
          </cell>
          <cell r="AB2565">
            <v>1.6500000000000001E-2</v>
          </cell>
        </row>
        <row r="2566">
          <cell r="A2566">
            <v>51301040</v>
          </cell>
          <cell r="B2566" t="str">
            <v>Bread, wheat or cracked wheat, made from home recipe or purchased at bakery</v>
          </cell>
          <cell r="I2566">
            <v>50</v>
          </cell>
          <cell r="J2566">
            <v>121.03833</v>
          </cell>
          <cell r="K2566">
            <v>2.4207665999999999</v>
          </cell>
          <cell r="L2566">
            <v>0.94900220000000002</v>
          </cell>
          <cell r="M2566">
            <v>0.59138650000000004</v>
          </cell>
          <cell r="N2566">
            <v>0</v>
          </cell>
          <cell r="O2566">
            <v>1.7466599999999999E-2</v>
          </cell>
          <cell r="P2566">
            <v>0.62520330000000002</v>
          </cell>
          <cell r="Q2566">
            <v>0.40895880000000001</v>
          </cell>
          <cell r="R2566">
            <v>8.8691796000000007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0.2664261</v>
          </cell>
          <cell r="Y2566">
            <v>0</v>
          </cell>
          <cell r="Z2566">
            <v>0</v>
          </cell>
          <cell r="AA2566">
            <v>0</v>
          </cell>
          <cell r="AB2566">
            <v>8.2350099999999996E-2</v>
          </cell>
        </row>
        <row r="2567">
          <cell r="A2567">
            <v>51301050</v>
          </cell>
          <cell r="B2567" t="str">
            <v>Bread, wheat or cracked wheat, made from home recipe or purchased at bakery, toasted</v>
          </cell>
          <cell r="I2567">
            <v>50</v>
          </cell>
          <cell r="J2567">
            <v>121.03833</v>
          </cell>
          <cell r="K2567">
            <v>2.4207665999999999</v>
          </cell>
          <cell r="L2567">
            <v>0.94900220000000002</v>
          </cell>
          <cell r="M2567">
            <v>0.59138650000000004</v>
          </cell>
          <cell r="N2567">
            <v>0</v>
          </cell>
          <cell r="O2567">
            <v>1.7466599999999999E-2</v>
          </cell>
          <cell r="P2567">
            <v>0.62520330000000002</v>
          </cell>
          <cell r="Q2567">
            <v>0.40895880000000001</v>
          </cell>
          <cell r="R2567">
            <v>8.8691796000000007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0.2664261</v>
          </cell>
          <cell r="Y2567">
            <v>0</v>
          </cell>
          <cell r="Z2567">
            <v>0</v>
          </cell>
          <cell r="AA2567">
            <v>0</v>
          </cell>
          <cell r="AB2567">
            <v>8.2350099999999996E-2</v>
          </cell>
        </row>
        <row r="2568">
          <cell r="A2568">
            <v>51301120</v>
          </cell>
          <cell r="B2568" t="str">
            <v>Bread, wheat or cracked wheat, with raisins</v>
          </cell>
          <cell r="I2568">
            <v>50</v>
          </cell>
          <cell r="J2568">
            <v>130.94494</v>
          </cell>
          <cell r="K2568">
            <v>2.6188988000000002</v>
          </cell>
          <cell r="L2568">
            <v>0.99181730000000001</v>
          </cell>
          <cell r="M2568">
            <v>0.69020599999999999</v>
          </cell>
          <cell r="N2568">
            <v>0</v>
          </cell>
          <cell r="O2568">
            <v>2.1823200000000001E-2</v>
          </cell>
          <cell r="P2568">
            <v>0.74109800000000003</v>
          </cell>
          <cell r="Q2568">
            <v>0.34080260000000001</v>
          </cell>
          <cell r="R2568">
            <v>7.0576279</v>
          </cell>
          <cell r="S2568">
            <v>0</v>
          </cell>
          <cell r="T2568">
            <v>6.3959752999999999</v>
          </cell>
          <cell r="U2568">
            <v>0</v>
          </cell>
          <cell r="V2568">
            <v>0</v>
          </cell>
          <cell r="W2568">
            <v>0</v>
          </cell>
          <cell r="X2568">
            <v>0.21546950000000001</v>
          </cell>
          <cell r="Y2568">
            <v>0</v>
          </cell>
          <cell r="Z2568">
            <v>0</v>
          </cell>
          <cell r="AA2568">
            <v>0</v>
          </cell>
          <cell r="AB2568">
            <v>7.9206399999999996E-2</v>
          </cell>
        </row>
        <row r="2569">
          <cell r="A2569">
            <v>51301510</v>
          </cell>
          <cell r="B2569" t="str">
            <v>Bread, wheat or cracked wheat, reduced calorie and/or high fiber</v>
          </cell>
          <cell r="I2569">
            <v>50</v>
          </cell>
          <cell r="J2569">
            <v>108.5</v>
          </cell>
          <cell r="K2569">
            <v>2.17</v>
          </cell>
          <cell r="L2569">
            <v>2.7520316</v>
          </cell>
          <cell r="M2569">
            <v>0.42</v>
          </cell>
          <cell r="N2569">
            <v>0</v>
          </cell>
          <cell r="O2569">
            <v>8.1500000000000003E-2</v>
          </cell>
          <cell r="P2569">
            <v>2.7979683999999998</v>
          </cell>
          <cell r="Q2569">
            <v>0.59799999999999998</v>
          </cell>
          <cell r="R2569">
            <v>7.52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0.16600000000000001</v>
          </cell>
          <cell r="Y2569">
            <v>0</v>
          </cell>
          <cell r="Z2569">
            <v>0</v>
          </cell>
          <cell r="AA2569">
            <v>0</v>
          </cell>
          <cell r="AB2569">
            <v>2.3E-2</v>
          </cell>
        </row>
        <row r="2570">
          <cell r="A2570">
            <v>51301520</v>
          </cell>
          <cell r="B2570" t="str">
            <v>Bread, wheat or cracked wheat, reduced calorie and/or high fiber, toasted</v>
          </cell>
          <cell r="I2570">
            <v>50</v>
          </cell>
          <cell r="J2570">
            <v>108.5</v>
          </cell>
          <cell r="K2570">
            <v>2.17</v>
          </cell>
          <cell r="L2570">
            <v>2.6128597999999998</v>
          </cell>
          <cell r="M2570">
            <v>0.42</v>
          </cell>
          <cell r="N2570">
            <v>0</v>
          </cell>
          <cell r="O2570">
            <v>8.1500000000000003E-2</v>
          </cell>
          <cell r="P2570">
            <v>2.9371402</v>
          </cell>
          <cell r="Q2570">
            <v>0.59799999999999998</v>
          </cell>
          <cell r="R2570">
            <v>7.52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0.16600000000000001</v>
          </cell>
          <cell r="Y2570">
            <v>0</v>
          </cell>
          <cell r="Z2570">
            <v>0</v>
          </cell>
          <cell r="AA2570">
            <v>0</v>
          </cell>
          <cell r="AB2570">
            <v>2.3E-2</v>
          </cell>
        </row>
        <row r="2571">
          <cell r="A2571">
            <v>51301540</v>
          </cell>
          <cell r="B2571" t="str">
            <v>Bread, French or Vienna, whole wheat</v>
          </cell>
          <cell r="I2571">
            <v>50</v>
          </cell>
          <cell r="J2571">
            <v>119.5</v>
          </cell>
          <cell r="K2571">
            <v>2.39</v>
          </cell>
          <cell r="L2571">
            <v>1.5320986000000001</v>
          </cell>
          <cell r="M2571">
            <v>0</v>
          </cell>
          <cell r="N2571">
            <v>0</v>
          </cell>
          <cell r="O2571">
            <v>2.1000000000000001E-2</v>
          </cell>
          <cell r="P2571">
            <v>0.5679014</v>
          </cell>
          <cell r="Q2571">
            <v>0.28799999999999998</v>
          </cell>
          <cell r="R2571">
            <v>15.04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0.1875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</row>
        <row r="2572">
          <cell r="A2572">
            <v>51301600</v>
          </cell>
          <cell r="B2572" t="str">
            <v>Bread, pita, whole wheat</v>
          </cell>
          <cell r="I2572">
            <v>50</v>
          </cell>
          <cell r="J2572">
            <v>131</v>
          </cell>
          <cell r="K2572">
            <v>2.62</v>
          </cell>
          <cell r="L2572">
            <v>3.05</v>
          </cell>
          <cell r="M2572">
            <v>7.3499999999999996E-2</v>
          </cell>
          <cell r="N2572">
            <v>0</v>
          </cell>
          <cell r="O2572">
            <v>7.4999999999999997E-3</v>
          </cell>
          <cell r="P2572">
            <v>0</v>
          </cell>
          <cell r="Q2572">
            <v>0.3735</v>
          </cell>
          <cell r="R2572">
            <v>37.28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0.26350000000000001</v>
          </cell>
          <cell r="Y2572">
            <v>0</v>
          </cell>
          <cell r="Z2572">
            <v>0</v>
          </cell>
          <cell r="AA2572">
            <v>0</v>
          </cell>
          <cell r="AB2572">
            <v>1.4265399999999999E-2</v>
          </cell>
        </row>
        <row r="2573">
          <cell r="A2573">
            <v>51301620</v>
          </cell>
          <cell r="B2573" t="str">
            <v>Bread, pita, wheat or cracked wheat</v>
          </cell>
          <cell r="I2573">
            <v>50</v>
          </cell>
          <cell r="J2573">
            <v>131</v>
          </cell>
          <cell r="K2573">
            <v>2.62</v>
          </cell>
          <cell r="L2573">
            <v>3.05</v>
          </cell>
          <cell r="M2573">
            <v>7.3499999999999996E-2</v>
          </cell>
          <cell r="N2573">
            <v>0</v>
          </cell>
          <cell r="O2573">
            <v>7.4999999999999997E-3</v>
          </cell>
          <cell r="P2573">
            <v>0</v>
          </cell>
          <cell r="Q2573">
            <v>0.3735</v>
          </cell>
          <cell r="R2573">
            <v>37.28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0.26350000000000001</v>
          </cell>
          <cell r="Y2573">
            <v>0</v>
          </cell>
          <cell r="Z2573">
            <v>0</v>
          </cell>
          <cell r="AA2573">
            <v>0</v>
          </cell>
          <cell r="AB2573">
            <v>1.6050999999999999E-2</v>
          </cell>
        </row>
        <row r="2574">
          <cell r="A2574">
            <v>51301700</v>
          </cell>
          <cell r="B2574" t="str">
            <v>Bagel, wheat</v>
          </cell>
          <cell r="I2574">
            <v>55</v>
          </cell>
          <cell r="J2574">
            <v>137.5</v>
          </cell>
          <cell r="K2574">
            <v>2.5</v>
          </cell>
          <cell r="L2574">
            <v>1.1760332</v>
          </cell>
          <cell r="M2574">
            <v>0</v>
          </cell>
          <cell r="N2574">
            <v>0</v>
          </cell>
          <cell r="O2574">
            <v>1.0999999999999999E-2</v>
          </cell>
          <cell r="P2574">
            <v>1.0789667999999999</v>
          </cell>
          <cell r="Q2574">
            <v>0.51480000000000004</v>
          </cell>
          <cell r="R2574">
            <v>11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0.24145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</row>
        <row r="2575">
          <cell r="A2575">
            <v>51301750</v>
          </cell>
          <cell r="B2575" t="str">
            <v>Bagel, whole wheat</v>
          </cell>
          <cell r="I2575">
            <v>55</v>
          </cell>
          <cell r="J2575">
            <v>137.5</v>
          </cell>
          <cell r="K2575">
            <v>2.5</v>
          </cell>
          <cell r="L2575">
            <v>1.1760332</v>
          </cell>
          <cell r="M2575">
            <v>0</v>
          </cell>
          <cell r="N2575">
            <v>0</v>
          </cell>
          <cell r="O2575">
            <v>1.0999999999999999E-2</v>
          </cell>
          <cell r="P2575">
            <v>1.0789667999999999</v>
          </cell>
          <cell r="Q2575">
            <v>0.51480000000000004</v>
          </cell>
          <cell r="R2575">
            <v>11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0.24145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</row>
        <row r="2576">
          <cell r="A2576">
            <v>51301800</v>
          </cell>
          <cell r="B2576" t="str">
            <v>Bagel, wheat, with raisins</v>
          </cell>
          <cell r="I2576">
            <v>55</v>
          </cell>
          <cell r="J2576">
            <v>140.19499999999999</v>
          </cell>
          <cell r="K2576">
            <v>2.5489999999999999</v>
          </cell>
          <cell r="L2576">
            <v>1.2619298999999999</v>
          </cell>
          <cell r="M2576">
            <v>3.1900000000000001E-3</v>
          </cell>
          <cell r="N2576">
            <v>0</v>
          </cell>
          <cell r="O2576">
            <v>1.265E-2</v>
          </cell>
          <cell r="P2576">
            <v>0.97107010000000005</v>
          </cell>
          <cell r="Q2576">
            <v>0.46535500000000002</v>
          </cell>
          <cell r="R2576">
            <v>9.9</v>
          </cell>
          <cell r="S2576">
            <v>0</v>
          </cell>
          <cell r="T2576">
            <v>5.5</v>
          </cell>
          <cell r="U2576">
            <v>0</v>
          </cell>
          <cell r="V2576">
            <v>0</v>
          </cell>
          <cell r="W2576">
            <v>0</v>
          </cell>
          <cell r="X2576">
            <v>0.21790999999999999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</row>
        <row r="2577">
          <cell r="A2577">
            <v>51301805</v>
          </cell>
          <cell r="B2577" t="str">
            <v>Bagel, whole wheat, with raisins</v>
          </cell>
          <cell r="I2577">
            <v>55</v>
          </cell>
          <cell r="J2577">
            <v>140.19499999999999</v>
          </cell>
          <cell r="K2577">
            <v>2.5489999999999999</v>
          </cell>
          <cell r="L2577">
            <v>1.2619298999999999</v>
          </cell>
          <cell r="M2577">
            <v>3.1900000000000001E-3</v>
          </cell>
          <cell r="N2577">
            <v>0</v>
          </cell>
          <cell r="O2577">
            <v>1.265E-2</v>
          </cell>
          <cell r="P2577">
            <v>0.97107010000000005</v>
          </cell>
          <cell r="Q2577">
            <v>0.46535500000000002</v>
          </cell>
          <cell r="R2577">
            <v>9.9</v>
          </cell>
          <cell r="S2577">
            <v>0</v>
          </cell>
          <cell r="T2577">
            <v>5.5</v>
          </cell>
          <cell r="U2577">
            <v>0</v>
          </cell>
          <cell r="V2577">
            <v>0</v>
          </cell>
          <cell r="W2577">
            <v>0</v>
          </cell>
          <cell r="X2577">
            <v>0.21790999999999999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</row>
        <row r="2578">
          <cell r="A2578">
            <v>51301820</v>
          </cell>
          <cell r="B2578" t="str">
            <v>Bagel, wheat, with fruit and nuts</v>
          </cell>
          <cell r="I2578">
            <v>55</v>
          </cell>
          <cell r="J2578">
            <v>143.74250000000001</v>
          </cell>
          <cell r="K2578">
            <v>2.6135000000000002</v>
          </cell>
          <cell r="L2578">
            <v>1.3643592</v>
          </cell>
          <cell r="M2578">
            <v>7.0081000000000004E-2</v>
          </cell>
          <cell r="N2578">
            <v>0</v>
          </cell>
          <cell r="O2578">
            <v>1.2930499999999999E-2</v>
          </cell>
          <cell r="P2578">
            <v>1.0231908000000001</v>
          </cell>
          <cell r="Q2578">
            <v>0.97429200000000005</v>
          </cell>
          <cell r="R2578">
            <v>9.68</v>
          </cell>
          <cell r="S2578">
            <v>0</v>
          </cell>
          <cell r="T2578">
            <v>5.5</v>
          </cell>
          <cell r="U2578">
            <v>0</v>
          </cell>
          <cell r="V2578">
            <v>0</v>
          </cell>
          <cell r="W2578">
            <v>0</v>
          </cell>
          <cell r="X2578">
            <v>0.21379049999999999</v>
          </cell>
          <cell r="Y2578">
            <v>1.0992713000000001</v>
          </cell>
          <cell r="Z2578">
            <v>0</v>
          </cell>
          <cell r="AA2578">
            <v>0</v>
          </cell>
          <cell r="AB2578">
            <v>8.4796000000000003E-3</v>
          </cell>
        </row>
        <row r="2579">
          <cell r="A2579">
            <v>51302500</v>
          </cell>
          <cell r="B2579" t="str">
            <v>Muffin, English, wheat bran</v>
          </cell>
          <cell r="I2579">
            <v>55</v>
          </cell>
          <cell r="J2579">
            <v>122.65</v>
          </cell>
          <cell r="K2579">
            <v>2.23</v>
          </cell>
          <cell r="L2579">
            <v>1.0757129999999999</v>
          </cell>
          <cell r="M2579">
            <v>0.15784999999999999</v>
          </cell>
          <cell r="N2579">
            <v>0</v>
          </cell>
          <cell r="O2579">
            <v>9.7900000000000001E-2</v>
          </cell>
          <cell r="P2579">
            <v>1.4542870000000001</v>
          </cell>
          <cell r="Q2579">
            <v>0.4587</v>
          </cell>
          <cell r="R2579">
            <v>7.1280000000000001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0.19414999999999999</v>
          </cell>
          <cell r="Y2579">
            <v>0</v>
          </cell>
          <cell r="Z2579">
            <v>0</v>
          </cell>
          <cell r="AA2579">
            <v>0</v>
          </cell>
          <cell r="AB2579">
            <v>3.6937699999999997E-2</v>
          </cell>
        </row>
        <row r="2580">
          <cell r="A2580">
            <v>51303010</v>
          </cell>
          <cell r="B2580" t="str">
            <v>Muffin, English, wheat or cracked wheat</v>
          </cell>
          <cell r="I2580">
            <v>55</v>
          </cell>
          <cell r="J2580">
            <v>122.65</v>
          </cell>
          <cell r="K2580">
            <v>2.23</v>
          </cell>
          <cell r="L2580">
            <v>1.0757129999999999</v>
          </cell>
          <cell r="M2580">
            <v>0.15784999999999999</v>
          </cell>
          <cell r="N2580">
            <v>0</v>
          </cell>
          <cell r="O2580">
            <v>9.7900000000000001E-2</v>
          </cell>
          <cell r="P2580">
            <v>1.4542870000000001</v>
          </cell>
          <cell r="Q2580">
            <v>0.4587</v>
          </cell>
          <cell r="R2580">
            <v>7.1280000000000001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0.19414999999999999</v>
          </cell>
          <cell r="Y2580">
            <v>0</v>
          </cell>
          <cell r="Z2580">
            <v>0</v>
          </cell>
          <cell r="AA2580">
            <v>0</v>
          </cell>
          <cell r="AB2580">
            <v>1.51544E-2</v>
          </cell>
        </row>
        <row r="2581">
          <cell r="A2581">
            <v>51303030</v>
          </cell>
          <cell r="B2581" t="str">
            <v>Muffin, English, whole wheat</v>
          </cell>
          <cell r="I2581">
            <v>55</v>
          </cell>
          <cell r="J2581">
            <v>122.65</v>
          </cell>
          <cell r="K2581">
            <v>2.23</v>
          </cell>
          <cell r="L2581">
            <v>1.0757129999999999</v>
          </cell>
          <cell r="M2581">
            <v>0.15784999999999999</v>
          </cell>
          <cell r="N2581">
            <v>0</v>
          </cell>
          <cell r="O2581">
            <v>9.7900000000000001E-2</v>
          </cell>
          <cell r="P2581">
            <v>1.4542870000000001</v>
          </cell>
          <cell r="Q2581">
            <v>0.4587</v>
          </cell>
          <cell r="R2581">
            <v>7.1280000000000001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0.19414999999999999</v>
          </cell>
          <cell r="Y2581">
            <v>0</v>
          </cell>
          <cell r="Z2581">
            <v>0</v>
          </cell>
          <cell r="AA2581">
            <v>0</v>
          </cell>
          <cell r="AB2581">
            <v>1.5189100000000001E-2</v>
          </cell>
        </row>
        <row r="2582">
          <cell r="A2582">
            <v>51303050</v>
          </cell>
          <cell r="B2582" t="str">
            <v>Muffin, English, wheat or cracked wheat, with raisins</v>
          </cell>
          <cell r="I2582">
            <v>55</v>
          </cell>
          <cell r="J2582">
            <v>126.45</v>
          </cell>
          <cell r="K2582">
            <v>2.2990909090909093</v>
          </cell>
          <cell r="L2582">
            <v>1.1629210000000001</v>
          </cell>
          <cell r="M2582">
            <v>0.1464</v>
          </cell>
          <cell r="N2582">
            <v>0</v>
          </cell>
          <cell r="O2582">
            <v>9.1499999999999998E-2</v>
          </cell>
          <cell r="P2582">
            <v>1.322079</v>
          </cell>
          <cell r="Q2582">
            <v>0.41885</v>
          </cell>
          <cell r="R2582">
            <v>6.48</v>
          </cell>
          <cell r="S2582">
            <v>0</v>
          </cell>
          <cell r="T2582">
            <v>5</v>
          </cell>
          <cell r="U2582">
            <v>0</v>
          </cell>
          <cell r="V2582">
            <v>0</v>
          </cell>
          <cell r="W2582">
            <v>0</v>
          </cell>
          <cell r="X2582">
            <v>0.17705000000000001</v>
          </cell>
          <cell r="Y2582">
            <v>0</v>
          </cell>
          <cell r="Z2582">
            <v>0</v>
          </cell>
          <cell r="AA2582">
            <v>0</v>
          </cell>
          <cell r="AB2582">
            <v>3.8544700000000001E-2</v>
          </cell>
        </row>
        <row r="2583">
          <cell r="A2583">
            <v>51303070</v>
          </cell>
          <cell r="B2583" t="str">
            <v>Muffin, English, whole wheat, with raisins</v>
          </cell>
          <cell r="I2583">
            <v>55</v>
          </cell>
          <cell r="J2583">
            <v>126.45</v>
          </cell>
          <cell r="K2583">
            <v>2.2990909090909093</v>
          </cell>
          <cell r="L2583">
            <v>1.1629210000000001</v>
          </cell>
          <cell r="M2583">
            <v>0.1464</v>
          </cell>
          <cell r="N2583">
            <v>0</v>
          </cell>
          <cell r="O2583">
            <v>9.1499999999999998E-2</v>
          </cell>
          <cell r="P2583">
            <v>1.322079</v>
          </cell>
          <cell r="Q2583">
            <v>0.41885</v>
          </cell>
          <cell r="R2583">
            <v>6.48</v>
          </cell>
          <cell r="S2583">
            <v>0</v>
          </cell>
          <cell r="T2583">
            <v>5</v>
          </cell>
          <cell r="U2583">
            <v>0</v>
          </cell>
          <cell r="V2583">
            <v>0</v>
          </cell>
          <cell r="W2583">
            <v>0</v>
          </cell>
          <cell r="X2583">
            <v>0.17705000000000001</v>
          </cell>
          <cell r="Y2583">
            <v>0</v>
          </cell>
          <cell r="Z2583">
            <v>0</v>
          </cell>
          <cell r="AA2583">
            <v>0</v>
          </cell>
          <cell r="AB2583">
            <v>3.0587400000000001E-2</v>
          </cell>
        </row>
        <row r="2584">
          <cell r="A2584">
            <v>51303100</v>
          </cell>
          <cell r="B2584" t="str">
            <v>Muffin, English, whole grain white</v>
          </cell>
          <cell r="I2584">
            <v>55</v>
          </cell>
          <cell r="J2584">
            <v>122.65</v>
          </cell>
          <cell r="K2584">
            <v>2.23</v>
          </cell>
          <cell r="L2584">
            <v>1.0757129999999999</v>
          </cell>
          <cell r="M2584">
            <v>0.15784999999999999</v>
          </cell>
          <cell r="N2584">
            <v>0</v>
          </cell>
          <cell r="O2584">
            <v>9.7900000000000001E-2</v>
          </cell>
          <cell r="P2584">
            <v>1.4542870000000001</v>
          </cell>
          <cell r="Q2584">
            <v>0.4587</v>
          </cell>
          <cell r="R2584">
            <v>7.1280000000000001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0.19414999999999999</v>
          </cell>
          <cell r="Y2584">
            <v>0</v>
          </cell>
          <cell r="Z2584">
            <v>0</v>
          </cell>
          <cell r="AA2584">
            <v>0</v>
          </cell>
          <cell r="AB2584">
            <v>5.8292299999999998E-2</v>
          </cell>
        </row>
        <row r="2585">
          <cell r="A2585">
            <v>51320010</v>
          </cell>
          <cell r="B2585" t="str">
            <v>Roll, wheat or cracked wheat</v>
          </cell>
          <cell r="I2585">
            <v>50</v>
          </cell>
          <cell r="J2585">
            <v>136.5</v>
          </cell>
          <cell r="K2585">
            <v>2.73</v>
          </cell>
          <cell r="L2585">
            <v>0.90597850000000002</v>
          </cell>
          <cell r="M2585">
            <v>0.74850000000000005</v>
          </cell>
          <cell r="N2585">
            <v>0</v>
          </cell>
          <cell r="O2585">
            <v>8.7999999999999995E-2</v>
          </cell>
          <cell r="P2585">
            <v>0.9940215</v>
          </cell>
          <cell r="Q2585">
            <v>0.55349999999999999</v>
          </cell>
          <cell r="R2585">
            <v>7.52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0.26200000000000001</v>
          </cell>
          <cell r="Y2585">
            <v>0</v>
          </cell>
          <cell r="Z2585">
            <v>0</v>
          </cell>
          <cell r="AA2585">
            <v>0</v>
          </cell>
          <cell r="AB2585">
            <v>0.18208479999999999</v>
          </cell>
        </row>
        <row r="2586">
          <cell r="A2586">
            <v>51320040</v>
          </cell>
          <cell r="B2586" t="str">
            <v>Roll, wheat or cracked wheat, made from home recipe or purchased at bakery</v>
          </cell>
          <cell r="I2586">
            <v>50</v>
          </cell>
          <cell r="J2586">
            <v>127.55521</v>
          </cell>
          <cell r="K2586">
            <v>2.5511042000000002</v>
          </cell>
          <cell r="L2586">
            <v>0.96978850000000005</v>
          </cell>
          <cell r="M2586">
            <v>0.513602</v>
          </cell>
          <cell r="N2586">
            <v>0</v>
          </cell>
          <cell r="O2586">
            <v>4.5842599999999997E-2</v>
          </cell>
          <cell r="P2586">
            <v>0.48558659999999998</v>
          </cell>
          <cell r="Q2586">
            <v>1.3412980000000001</v>
          </cell>
          <cell r="R2586">
            <v>9.0634440999999999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0.22044610000000001</v>
          </cell>
          <cell r="Y2586">
            <v>0</v>
          </cell>
          <cell r="Z2586">
            <v>0</v>
          </cell>
          <cell r="AA2586">
            <v>0</v>
          </cell>
          <cell r="AB2586">
            <v>1.1094400000000001E-2</v>
          </cell>
        </row>
        <row r="2587">
          <cell r="A2587">
            <v>51320060</v>
          </cell>
          <cell r="B2587" t="str">
            <v>Roll, wheat or cracked wheat, hot dog bun</v>
          </cell>
          <cell r="I2587">
            <v>50</v>
          </cell>
          <cell r="J2587">
            <v>134.5</v>
          </cell>
          <cell r="K2587">
            <v>2.69</v>
          </cell>
          <cell r="L2587">
            <v>0.9263287</v>
          </cell>
          <cell r="M2587">
            <v>0.373</v>
          </cell>
          <cell r="N2587">
            <v>0</v>
          </cell>
          <cell r="O2587">
            <v>9.8000000000000004E-2</v>
          </cell>
          <cell r="P2587">
            <v>1.1736713000000001</v>
          </cell>
          <cell r="Q2587">
            <v>0.89800000000000002</v>
          </cell>
          <cell r="R2587">
            <v>7.04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0.23150000000000001</v>
          </cell>
          <cell r="Y2587">
            <v>0</v>
          </cell>
          <cell r="Z2587">
            <v>0</v>
          </cell>
          <cell r="AA2587">
            <v>0</v>
          </cell>
          <cell r="AB2587">
            <v>8.9999999999999993E-3</v>
          </cell>
        </row>
        <row r="2588">
          <cell r="A2588">
            <v>51320070</v>
          </cell>
          <cell r="B2588" t="str">
            <v>Roll, wheat or cracked wheat, hamburger bun</v>
          </cell>
          <cell r="I2588">
            <v>50</v>
          </cell>
          <cell r="J2588">
            <v>134.5</v>
          </cell>
          <cell r="K2588">
            <v>2.69</v>
          </cell>
          <cell r="L2588">
            <v>0.9263287</v>
          </cell>
          <cell r="M2588">
            <v>0.373</v>
          </cell>
          <cell r="N2588">
            <v>0</v>
          </cell>
          <cell r="O2588">
            <v>9.8000000000000004E-2</v>
          </cell>
          <cell r="P2588">
            <v>1.1736713000000001</v>
          </cell>
          <cell r="Q2588">
            <v>0.89800000000000002</v>
          </cell>
          <cell r="R2588">
            <v>7.04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0.23150000000000001</v>
          </cell>
          <cell r="Y2588">
            <v>0</v>
          </cell>
          <cell r="Z2588">
            <v>0</v>
          </cell>
          <cell r="AA2588">
            <v>0</v>
          </cell>
          <cell r="AB2588">
            <v>8.9999999999999993E-3</v>
          </cell>
        </row>
        <row r="2589">
          <cell r="A2589">
            <v>51320500</v>
          </cell>
          <cell r="B2589" t="str">
            <v>Roll, whole wheat</v>
          </cell>
          <cell r="I2589">
            <v>50</v>
          </cell>
          <cell r="J2589">
            <v>136.5</v>
          </cell>
          <cell r="K2589">
            <v>2.73</v>
          </cell>
          <cell r="L2589">
            <v>0.90597850000000002</v>
          </cell>
          <cell r="M2589">
            <v>0.74850000000000005</v>
          </cell>
          <cell r="N2589">
            <v>0</v>
          </cell>
          <cell r="O2589">
            <v>8.7999999999999995E-2</v>
          </cell>
          <cell r="P2589">
            <v>0.9940215</v>
          </cell>
          <cell r="Q2589">
            <v>0.55349999999999999</v>
          </cell>
          <cell r="R2589">
            <v>7.52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0.26200000000000001</v>
          </cell>
          <cell r="Y2589">
            <v>0</v>
          </cell>
          <cell r="Z2589">
            <v>0</v>
          </cell>
          <cell r="AA2589">
            <v>0</v>
          </cell>
          <cell r="AB2589">
            <v>0.18873390000000001</v>
          </cell>
        </row>
        <row r="2590">
          <cell r="A2590">
            <v>51320560</v>
          </cell>
          <cell r="B2590" t="str">
            <v>Roll, whole wheat, hamburger bun</v>
          </cell>
          <cell r="I2590">
            <v>50</v>
          </cell>
          <cell r="J2590">
            <v>134.5</v>
          </cell>
          <cell r="K2590">
            <v>2.69</v>
          </cell>
          <cell r="L2590">
            <v>2.9437568000000001</v>
          </cell>
          <cell r="M2590">
            <v>0.46050000000000002</v>
          </cell>
          <cell r="N2590">
            <v>0</v>
          </cell>
          <cell r="O2590">
            <v>9.9000000000000005E-2</v>
          </cell>
          <cell r="P2590">
            <v>0.1062432</v>
          </cell>
          <cell r="Q2590">
            <v>0.88800000000000001</v>
          </cell>
          <cell r="R2590">
            <v>26.48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0.2135</v>
          </cell>
          <cell r="Y2590">
            <v>0</v>
          </cell>
          <cell r="Z2590">
            <v>0</v>
          </cell>
          <cell r="AA2590">
            <v>0</v>
          </cell>
          <cell r="AB2590">
            <v>1.0999999999999999E-2</v>
          </cell>
        </row>
        <row r="2591">
          <cell r="A2591">
            <v>51320700</v>
          </cell>
          <cell r="B2591" t="str">
            <v>Roll, whole grain white</v>
          </cell>
          <cell r="I2591">
            <v>50</v>
          </cell>
          <cell r="J2591">
            <v>127.5</v>
          </cell>
          <cell r="K2591">
            <v>2.5499999999999998</v>
          </cell>
          <cell r="L2591">
            <v>0.82248350000000003</v>
          </cell>
          <cell r="M2591">
            <v>0.58150000000000002</v>
          </cell>
          <cell r="N2591">
            <v>0</v>
          </cell>
          <cell r="O2591">
            <v>0.11650000000000001</v>
          </cell>
          <cell r="P2591">
            <v>0.32751649999999999</v>
          </cell>
          <cell r="Q2591">
            <v>0.61050000000000004</v>
          </cell>
          <cell r="R2591">
            <v>13.52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0.25600000000000001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</row>
        <row r="2592">
          <cell r="A2592">
            <v>51320710</v>
          </cell>
          <cell r="B2592" t="str">
            <v>Roll, whole grain white, hot dog bun</v>
          </cell>
          <cell r="I2592">
            <v>50</v>
          </cell>
          <cell r="J2592">
            <v>127.5</v>
          </cell>
          <cell r="K2592">
            <v>2.5499999999999998</v>
          </cell>
          <cell r="L2592">
            <v>0.82248350000000003</v>
          </cell>
          <cell r="M2592">
            <v>0.58150000000000002</v>
          </cell>
          <cell r="N2592">
            <v>0</v>
          </cell>
          <cell r="O2592">
            <v>0.11650000000000001</v>
          </cell>
          <cell r="P2592">
            <v>0.32751649999999999</v>
          </cell>
          <cell r="Q2592">
            <v>0.61050000000000004</v>
          </cell>
          <cell r="R2592">
            <v>13.52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0.25600000000000001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</row>
        <row r="2593">
          <cell r="A2593">
            <v>51320720</v>
          </cell>
          <cell r="B2593" t="str">
            <v>Roll, whole grain white, hamburger bun</v>
          </cell>
          <cell r="I2593">
            <v>50</v>
          </cell>
          <cell r="J2593">
            <v>127.5</v>
          </cell>
          <cell r="K2593">
            <v>2.5499999999999998</v>
          </cell>
          <cell r="L2593">
            <v>0.82248350000000003</v>
          </cell>
          <cell r="M2593">
            <v>0.58150000000000002</v>
          </cell>
          <cell r="N2593">
            <v>0</v>
          </cell>
          <cell r="O2593">
            <v>0.11650000000000001</v>
          </cell>
          <cell r="P2593">
            <v>0.32751649999999999</v>
          </cell>
          <cell r="Q2593">
            <v>0.61050000000000004</v>
          </cell>
          <cell r="R2593">
            <v>13.52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0.25600000000000001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</row>
        <row r="2594">
          <cell r="A2594">
            <v>51401010</v>
          </cell>
          <cell r="B2594" t="str">
            <v>Bread, rye</v>
          </cell>
          <cell r="I2594">
            <v>50</v>
          </cell>
          <cell r="J2594">
            <v>129.5</v>
          </cell>
          <cell r="K2594">
            <v>2.59</v>
          </cell>
          <cell r="L2594">
            <v>0</v>
          </cell>
          <cell r="M2594">
            <v>0.313</v>
          </cell>
          <cell r="N2594">
            <v>0</v>
          </cell>
          <cell r="O2594">
            <v>3.6499999999999998E-2</v>
          </cell>
          <cell r="P2594">
            <v>2.9</v>
          </cell>
          <cell r="Q2594">
            <v>0.39950000000000002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0.30149999999999999</v>
          </cell>
          <cell r="Y2594">
            <v>0</v>
          </cell>
          <cell r="Z2594">
            <v>0</v>
          </cell>
          <cell r="AA2594">
            <v>0</v>
          </cell>
          <cell r="AB2594">
            <v>5.08184E-2</v>
          </cell>
        </row>
        <row r="2595">
          <cell r="A2595">
            <v>51401020</v>
          </cell>
          <cell r="B2595" t="str">
            <v>Bread, rye, toasted</v>
          </cell>
          <cell r="I2595">
            <v>50</v>
          </cell>
          <cell r="J2595">
            <v>129.5</v>
          </cell>
          <cell r="K2595">
            <v>2.59</v>
          </cell>
          <cell r="L2595">
            <v>0</v>
          </cell>
          <cell r="M2595">
            <v>0.313</v>
          </cell>
          <cell r="N2595">
            <v>0</v>
          </cell>
          <cell r="O2595">
            <v>3.6499999999999998E-2</v>
          </cell>
          <cell r="P2595">
            <v>2.9</v>
          </cell>
          <cell r="Q2595">
            <v>0.39950000000000002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0.30149999999999999</v>
          </cell>
          <cell r="Y2595">
            <v>0</v>
          </cell>
          <cell r="Z2595">
            <v>0</v>
          </cell>
          <cell r="AA2595">
            <v>0</v>
          </cell>
          <cell r="AB2595">
            <v>5.4230399999999998E-2</v>
          </cell>
        </row>
        <row r="2596">
          <cell r="A2596">
            <v>51401030</v>
          </cell>
          <cell r="B2596" t="str">
            <v>Bread, marble rye and pumpernickel</v>
          </cell>
          <cell r="I2596">
            <v>50</v>
          </cell>
          <cell r="J2596">
            <v>129.5</v>
          </cell>
          <cell r="K2596">
            <v>2.59</v>
          </cell>
          <cell r="L2596">
            <v>0</v>
          </cell>
          <cell r="M2596">
            <v>0.313</v>
          </cell>
          <cell r="N2596">
            <v>0</v>
          </cell>
          <cell r="O2596">
            <v>3.6499999999999998E-2</v>
          </cell>
          <cell r="P2596">
            <v>2.9</v>
          </cell>
          <cell r="Q2596">
            <v>0.39950000000000002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0.30149999999999999</v>
          </cell>
          <cell r="Y2596">
            <v>0</v>
          </cell>
          <cell r="Z2596">
            <v>0</v>
          </cell>
          <cell r="AA2596">
            <v>0</v>
          </cell>
          <cell r="AB2596">
            <v>4.2140799999999999E-2</v>
          </cell>
        </row>
        <row r="2597">
          <cell r="A2597">
            <v>51401040</v>
          </cell>
          <cell r="B2597" t="str">
            <v>Bread, marble rye and pumpernickel, toasted</v>
          </cell>
          <cell r="I2597">
            <v>50</v>
          </cell>
          <cell r="J2597">
            <v>142</v>
          </cell>
          <cell r="K2597">
            <v>2.84</v>
          </cell>
          <cell r="L2597">
            <v>0</v>
          </cell>
          <cell r="M2597">
            <v>0.34399999999999997</v>
          </cell>
          <cell r="N2597">
            <v>0</v>
          </cell>
          <cell r="O2597">
            <v>0.04</v>
          </cell>
          <cell r="P2597">
            <v>3.2</v>
          </cell>
          <cell r="Q2597">
            <v>0.4395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0.33200000000000002</v>
          </cell>
          <cell r="Y2597">
            <v>0</v>
          </cell>
          <cell r="Z2597">
            <v>0</v>
          </cell>
          <cell r="AA2597">
            <v>0</v>
          </cell>
          <cell r="AB2597">
            <v>5.1079699999999999E-2</v>
          </cell>
        </row>
        <row r="2598">
          <cell r="A2598">
            <v>51404010</v>
          </cell>
          <cell r="B2598" t="str">
            <v>Bread, pumpernickel</v>
          </cell>
          <cell r="I2598">
            <v>50</v>
          </cell>
          <cell r="J2598">
            <v>125</v>
          </cell>
          <cell r="K2598">
            <v>2.5</v>
          </cell>
          <cell r="L2598">
            <v>1.7213700999999999</v>
          </cell>
          <cell r="M2598">
            <v>0.2185</v>
          </cell>
          <cell r="N2598">
            <v>0</v>
          </cell>
          <cell r="O2598">
            <v>3.4000000000000002E-2</v>
          </cell>
          <cell r="P2598">
            <v>1.5286299000000001</v>
          </cell>
          <cell r="Q2598">
            <v>0.61850000000000005</v>
          </cell>
          <cell r="R2598">
            <v>9.0399999999999991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0.29799999999999999</v>
          </cell>
          <cell r="Y2598">
            <v>0</v>
          </cell>
          <cell r="Z2598">
            <v>0</v>
          </cell>
          <cell r="AA2598">
            <v>0</v>
          </cell>
          <cell r="AB2598">
            <v>2.1973800000000002E-2</v>
          </cell>
        </row>
        <row r="2599">
          <cell r="A2599">
            <v>51404020</v>
          </cell>
          <cell r="B2599" t="str">
            <v>Bread, pumpernickel, toasted</v>
          </cell>
          <cell r="I2599">
            <v>50</v>
          </cell>
          <cell r="J2599">
            <v>125</v>
          </cell>
          <cell r="K2599">
            <v>2.5</v>
          </cell>
          <cell r="L2599">
            <v>1.6398779000000001</v>
          </cell>
          <cell r="M2599">
            <v>0.2185</v>
          </cell>
          <cell r="N2599">
            <v>0</v>
          </cell>
          <cell r="O2599">
            <v>3.4000000000000002E-2</v>
          </cell>
          <cell r="P2599">
            <v>1.6101220999999999</v>
          </cell>
          <cell r="Q2599">
            <v>0.61850000000000005</v>
          </cell>
          <cell r="R2599">
            <v>9.0399999999999991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0.29799999999999999</v>
          </cell>
          <cell r="Y2599">
            <v>0</v>
          </cell>
          <cell r="Z2599">
            <v>0</v>
          </cell>
          <cell r="AA2599">
            <v>0</v>
          </cell>
          <cell r="AB2599">
            <v>2.5463199999999998E-2</v>
          </cell>
        </row>
        <row r="2600">
          <cell r="A2600">
            <v>51404500</v>
          </cell>
          <cell r="B2600" t="str">
            <v>Bagel, pumpernickel</v>
          </cell>
          <cell r="I2600">
            <v>55</v>
          </cell>
          <cell r="J2600">
            <v>137.5</v>
          </cell>
          <cell r="K2600">
            <v>2.5</v>
          </cell>
          <cell r="L2600">
            <v>1.1760332</v>
          </cell>
          <cell r="M2600">
            <v>0</v>
          </cell>
          <cell r="N2600">
            <v>0</v>
          </cell>
          <cell r="O2600">
            <v>1.0999999999999999E-2</v>
          </cell>
          <cell r="P2600">
            <v>1.0789667999999999</v>
          </cell>
          <cell r="Q2600">
            <v>0.51480000000000004</v>
          </cell>
          <cell r="R2600">
            <v>11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0.24145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</row>
        <row r="2601">
          <cell r="A2601">
            <v>51407010</v>
          </cell>
          <cell r="B2601" t="str">
            <v>Bread, black</v>
          </cell>
          <cell r="I2601">
            <v>50</v>
          </cell>
          <cell r="J2601">
            <v>125</v>
          </cell>
          <cell r="K2601">
            <v>2.5</v>
          </cell>
          <cell r="L2601">
            <v>1.7213700999999999</v>
          </cell>
          <cell r="M2601">
            <v>0.2185</v>
          </cell>
          <cell r="N2601">
            <v>0</v>
          </cell>
          <cell r="O2601">
            <v>3.4000000000000002E-2</v>
          </cell>
          <cell r="P2601">
            <v>1.5286299000000001</v>
          </cell>
          <cell r="Q2601">
            <v>0.61850000000000005</v>
          </cell>
          <cell r="R2601">
            <v>9.0399999999999991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0.29799999999999999</v>
          </cell>
          <cell r="Y2601">
            <v>0</v>
          </cell>
          <cell r="Z2601">
            <v>0</v>
          </cell>
          <cell r="AA2601">
            <v>0</v>
          </cell>
          <cell r="AB2601">
            <v>2.2393799999999998E-2</v>
          </cell>
        </row>
        <row r="2602">
          <cell r="A2602">
            <v>51420000</v>
          </cell>
          <cell r="B2602" t="str">
            <v>Roll, rye</v>
          </cell>
          <cell r="I2602">
            <v>50</v>
          </cell>
          <cell r="J2602">
            <v>129.5</v>
          </cell>
          <cell r="K2602">
            <v>2.59</v>
          </cell>
          <cell r="L2602">
            <v>0</v>
          </cell>
          <cell r="M2602">
            <v>0.313</v>
          </cell>
          <cell r="N2602">
            <v>0</v>
          </cell>
          <cell r="O2602">
            <v>3.6499999999999998E-2</v>
          </cell>
          <cell r="P2602">
            <v>2.9</v>
          </cell>
          <cell r="Q2602">
            <v>0.39950000000000002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0.30149999999999999</v>
          </cell>
          <cell r="Y2602">
            <v>0</v>
          </cell>
          <cell r="Z2602">
            <v>0</v>
          </cell>
          <cell r="AA2602">
            <v>0</v>
          </cell>
          <cell r="AB2602">
            <v>0.1095608</v>
          </cell>
        </row>
        <row r="2603">
          <cell r="A2603">
            <v>51421000</v>
          </cell>
          <cell r="B2603" t="str">
            <v>Roll, pumpernickel</v>
          </cell>
          <cell r="I2603">
            <v>50</v>
          </cell>
          <cell r="J2603">
            <v>138</v>
          </cell>
          <cell r="K2603">
            <v>2.76</v>
          </cell>
          <cell r="L2603">
            <v>0.9573237</v>
          </cell>
          <cell r="M2603">
            <v>0.2475</v>
          </cell>
          <cell r="N2603">
            <v>0</v>
          </cell>
          <cell r="O2603">
            <v>3.3500000000000002E-2</v>
          </cell>
          <cell r="P2603">
            <v>1.7426763000000001</v>
          </cell>
          <cell r="Q2603">
            <v>0.59199999999999997</v>
          </cell>
          <cell r="R2603">
            <v>5.04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0.246</v>
          </cell>
          <cell r="Y2603">
            <v>0</v>
          </cell>
          <cell r="Z2603">
            <v>0</v>
          </cell>
          <cell r="AA2603">
            <v>0</v>
          </cell>
          <cell r="AB2603">
            <v>5.8099600000000001E-2</v>
          </cell>
        </row>
        <row r="2604">
          <cell r="A2604">
            <v>51501010</v>
          </cell>
          <cell r="B2604" t="str">
            <v>Bread, oatmeal</v>
          </cell>
          <cell r="I2604">
            <v>50</v>
          </cell>
          <cell r="J2604">
            <v>134.5</v>
          </cell>
          <cell r="K2604">
            <v>2.69</v>
          </cell>
          <cell r="L2604">
            <v>1.1617782000000001</v>
          </cell>
          <cell r="M2604">
            <v>0.35149999999999998</v>
          </cell>
          <cell r="N2604">
            <v>0</v>
          </cell>
          <cell r="O2604">
            <v>3.3000000000000002E-2</v>
          </cell>
          <cell r="P2604">
            <v>0.83822180000000002</v>
          </cell>
          <cell r="Q2604">
            <v>0.85099999999999998</v>
          </cell>
          <cell r="R2604">
            <v>8.08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0.2235</v>
          </cell>
          <cell r="Y2604">
            <v>0</v>
          </cell>
          <cell r="Z2604">
            <v>0</v>
          </cell>
          <cell r="AA2604">
            <v>0</v>
          </cell>
          <cell r="AB2604">
            <v>4.02736E-2</v>
          </cell>
        </row>
        <row r="2605">
          <cell r="A2605">
            <v>51501020</v>
          </cell>
          <cell r="B2605" t="str">
            <v>Bread, oatmeal, toasted</v>
          </cell>
          <cell r="I2605">
            <v>50</v>
          </cell>
          <cell r="J2605">
            <v>134.5</v>
          </cell>
          <cell r="K2605">
            <v>2.69</v>
          </cell>
          <cell r="L2605">
            <v>1.1617782000000001</v>
          </cell>
          <cell r="M2605">
            <v>0.35149999999999998</v>
          </cell>
          <cell r="N2605">
            <v>0</v>
          </cell>
          <cell r="O2605">
            <v>3.3000000000000002E-2</v>
          </cell>
          <cell r="P2605">
            <v>0.83822180000000002</v>
          </cell>
          <cell r="Q2605">
            <v>0.85099999999999998</v>
          </cell>
          <cell r="R2605">
            <v>8.08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0.2235</v>
          </cell>
          <cell r="Y2605">
            <v>0</v>
          </cell>
          <cell r="Z2605">
            <v>0</v>
          </cell>
          <cell r="AA2605">
            <v>0</v>
          </cell>
          <cell r="AB2605">
            <v>4.4361699999999997E-2</v>
          </cell>
        </row>
        <row r="2606">
          <cell r="A2606">
            <v>51501040</v>
          </cell>
          <cell r="B2606" t="str">
            <v>Bread, oat bran</v>
          </cell>
          <cell r="I2606">
            <v>50</v>
          </cell>
          <cell r="J2606">
            <v>134.5</v>
          </cell>
          <cell r="K2606">
            <v>2.69</v>
          </cell>
          <cell r="L2606">
            <v>1.1617782000000001</v>
          </cell>
          <cell r="M2606">
            <v>0.35149999999999998</v>
          </cell>
          <cell r="N2606">
            <v>0</v>
          </cell>
          <cell r="O2606">
            <v>3.3000000000000002E-2</v>
          </cell>
          <cell r="P2606">
            <v>0.83822180000000002</v>
          </cell>
          <cell r="Q2606">
            <v>0.85099999999999998</v>
          </cell>
          <cell r="R2606">
            <v>8.08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0.2235</v>
          </cell>
          <cell r="Y2606">
            <v>0</v>
          </cell>
          <cell r="Z2606">
            <v>0</v>
          </cell>
          <cell r="AA2606">
            <v>0</v>
          </cell>
          <cell r="AB2606">
            <v>3.7901499999999998E-2</v>
          </cell>
        </row>
        <row r="2607">
          <cell r="A2607">
            <v>51501050</v>
          </cell>
          <cell r="B2607" t="str">
            <v>Bread, oat bran, toasted</v>
          </cell>
          <cell r="I2607">
            <v>50</v>
          </cell>
          <cell r="J2607">
            <v>134.5</v>
          </cell>
          <cell r="K2607">
            <v>2.69</v>
          </cell>
          <cell r="L2607">
            <v>1.1617782000000001</v>
          </cell>
          <cell r="M2607">
            <v>0.35149999999999998</v>
          </cell>
          <cell r="N2607">
            <v>0</v>
          </cell>
          <cell r="O2607">
            <v>3.3000000000000002E-2</v>
          </cell>
          <cell r="P2607">
            <v>0.83822180000000002</v>
          </cell>
          <cell r="Q2607">
            <v>0.85099999999999998</v>
          </cell>
          <cell r="R2607">
            <v>8.08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0.2235</v>
          </cell>
          <cell r="Y2607">
            <v>0</v>
          </cell>
          <cell r="Z2607">
            <v>0</v>
          </cell>
          <cell r="AA2607">
            <v>0</v>
          </cell>
          <cell r="AB2607">
            <v>3.5532599999999998E-2</v>
          </cell>
        </row>
        <row r="2608">
          <cell r="A2608">
            <v>51501080</v>
          </cell>
          <cell r="B2608" t="str">
            <v>Bagel, oat bran</v>
          </cell>
          <cell r="I2608">
            <v>55</v>
          </cell>
          <cell r="J2608">
            <v>137.5</v>
          </cell>
          <cell r="K2608">
            <v>2.5</v>
          </cell>
          <cell r="L2608">
            <v>1.1760332</v>
          </cell>
          <cell r="M2608">
            <v>0</v>
          </cell>
          <cell r="N2608">
            <v>0</v>
          </cell>
          <cell r="O2608">
            <v>1.0999999999999999E-2</v>
          </cell>
          <cell r="P2608">
            <v>1.0789667999999999</v>
          </cell>
          <cell r="Q2608">
            <v>0.51480000000000004</v>
          </cell>
          <cell r="R2608">
            <v>11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0.24145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</row>
        <row r="2609">
          <cell r="A2609">
            <v>51502010</v>
          </cell>
          <cell r="B2609" t="str">
            <v>Roll, oatmeal</v>
          </cell>
          <cell r="I2609">
            <v>50</v>
          </cell>
          <cell r="J2609">
            <v>134.5</v>
          </cell>
          <cell r="K2609">
            <v>2.69</v>
          </cell>
          <cell r="L2609">
            <v>1.1617782000000001</v>
          </cell>
          <cell r="M2609">
            <v>0.35149999999999998</v>
          </cell>
          <cell r="N2609">
            <v>0</v>
          </cell>
          <cell r="O2609">
            <v>3.3000000000000002E-2</v>
          </cell>
          <cell r="P2609">
            <v>0.83822180000000002</v>
          </cell>
          <cell r="Q2609">
            <v>0.85099999999999998</v>
          </cell>
          <cell r="R2609">
            <v>8.08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0.2235</v>
          </cell>
          <cell r="Y2609">
            <v>0</v>
          </cell>
          <cell r="Z2609">
            <v>0</v>
          </cell>
          <cell r="AA2609">
            <v>0</v>
          </cell>
          <cell r="AB2609">
            <v>0.15875819999999999</v>
          </cell>
        </row>
        <row r="2610">
          <cell r="A2610">
            <v>51601010</v>
          </cell>
          <cell r="B2610" t="str">
            <v>Bread, multigrain, toasted</v>
          </cell>
          <cell r="I2610">
            <v>50</v>
          </cell>
          <cell r="J2610">
            <v>132.5</v>
          </cell>
          <cell r="K2610">
            <v>2.65</v>
          </cell>
          <cell r="L2610">
            <v>3.3572158999999999</v>
          </cell>
          <cell r="M2610">
            <v>0.436</v>
          </cell>
          <cell r="N2610">
            <v>0</v>
          </cell>
          <cell r="O2610">
            <v>5.1499999999999997E-2</v>
          </cell>
          <cell r="P2610">
            <v>0.34278409999999998</v>
          </cell>
          <cell r="Q2610">
            <v>0.93600000000000005</v>
          </cell>
          <cell r="R2610">
            <v>21.84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0.1905</v>
          </cell>
          <cell r="Y2610">
            <v>0.49612499999999998</v>
          </cell>
          <cell r="Z2610">
            <v>0</v>
          </cell>
          <cell r="AA2610">
            <v>0</v>
          </cell>
          <cell r="AB2610">
            <v>0</v>
          </cell>
        </row>
        <row r="2611">
          <cell r="A2611">
            <v>51601020</v>
          </cell>
          <cell r="B2611" t="str">
            <v>Bread, multigrain</v>
          </cell>
          <cell r="I2611">
            <v>50</v>
          </cell>
          <cell r="J2611">
            <v>132.5</v>
          </cell>
          <cell r="K2611">
            <v>2.65</v>
          </cell>
          <cell r="L2611">
            <v>3.3572158999999999</v>
          </cell>
          <cell r="M2611">
            <v>0.436</v>
          </cell>
          <cell r="N2611">
            <v>0</v>
          </cell>
          <cell r="O2611">
            <v>5.1499999999999997E-2</v>
          </cell>
          <cell r="P2611">
            <v>0.34278409999999998</v>
          </cell>
          <cell r="Q2611">
            <v>0.93600000000000005</v>
          </cell>
          <cell r="R2611">
            <v>21.84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0.1905</v>
          </cell>
          <cell r="Y2611">
            <v>0.49612499999999998</v>
          </cell>
          <cell r="Z2611">
            <v>0</v>
          </cell>
          <cell r="AA2611">
            <v>0</v>
          </cell>
          <cell r="AB2611">
            <v>0</v>
          </cell>
        </row>
        <row r="2612">
          <cell r="A2612">
            <v>51601210</v>
          </cell>
          <cell r="B2612" t="str">
            <v>Bread, multigrain, with raisins</v>
          </cell>
          <cell r="I2612">
            <v>50</v>
          </cell>
          <cell r="J2612">
            <v>134.19999999999999</v>
          </cell>
          <cell r="K2612">
            <v>2.6839999999999997</v>
          </cell>
          <cell r="L2612">
            <v>3.2064943000000001</v>
          </cell>
          <cell r="M2612">
            <v>0.39529999999999998</v>
          </cell>
          <cell r="N2612">
            <v>0</v>
          </cell>
          <cell r="O2612">
            <v>4.8849999999999998E-2</v>
          </cell>
          <cell r="P2612">
            <v>0.30850569999999999</v>
          </cell>
          <cell r="Q2612">
            <v>0.84424999999999994</v>
          </cell>
          <cell r="R2612">
            <v>19.655999999999999</v>
          </cell>
          <cell r="S2612">
            <v>0</v>
          </cell>
          <cell r="T2612">
            <v>5</v>
          </cell>
          <cell r="U2612">
            <v>0</v>
          </cell>
          <cell r="V2612">
            <v>0</v>
          </cell>
          <cell r="W2612">
            <v>0</v>
          </cell>
          <cell r="X2612">
            <v>0.17199999999999999</v>
          </cell>
          <cell r="Y2612">
            <v>0.44651249999999998</v>
          </cell>
          <cell r="Z2612">
            <v>0</v>
          </cell>
          <cell r="AA2612">
            <v>0</v>
          </cell>
          <cell r="AB2612">
            <v>0</v>
          </cell>
        </row>
        <row r="2613">
          <cell r="A2613">
            <v>51620000</v>
          </cell>
          <cell r="B2613" t="str">
            <v>Roll, multigrain</v>
          </cell>
          <cell r="I2613">
            <v>50</v>
          </cell>
          <cell r="J2613">
            <v>131.5</v>
          </cell>
          <cell r="K2613">
            <v>2.63</v>
          </cell>
          <cell r="L2613">
            <v>0</v>
          </cell>
          <cell r="M2613">
            <v>0.69499999999999995</v>
          </cell>
          <cell r="N2613">
            <v>0</v>
          </cell>
          <cell r="O2613">
            <v>4.7500000000000001E-2</v>
          </cell>
          <cell r="P2613">
            <v>1.9</v>
          </cell>
          <cell r="Q2613">
            <v>0.57650000000000001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0.22900000000000001</v>
          </cell>
          <cell r="Y2613">
            <v>0</v>
          </cell>
          <cell r="Z2613">
            <v>0</v>
          </cell>
          <cell r="AA2613">
            <v>0</v>
          </cell>
          <cell r="AB2613">
            <v>0.14386789999999999</v>
          </cell>
        </row>
        <row r="2614">
          <cell r="A2614">
            <v>51620030</v>
          </cell>
          <cell r="B2614" t="str">
            <v>Roll, multigrain, hamburger bun</v>
          </cell>
          <cell r="I2614">
            <v>50</v>
          </cell>
          <cell r="J2614">
            <v>131.5</v>
          </cell>
          <cell r="K2614">
            <v>2.63</v>
          </cell>
          <cell r="L2614">
            <v>0</v>
          </cell>
          <cell r="M2614">
            <v>0.69499999999999995</v>
          </cell>
          <cell r="N2614">
            <v>0</v>
          </cell>
          <cell r="O2614">
            <v>4.7500000000000001E-2</v>
          </cell>
          <cell r="P2614">
            <v>1.9</v>
          </cell>
          <cell r="Q2614">
            <v>0.57650000000000001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0.22900000000000001</v>
          </cell>
          <cell r="Y2614">
            <v>0</v>
          </cell>
          <cell r="Z2614">
            <v>0</v>
          </cell>
          <cell r="AA2614">
            <v>0</v>
          </cell>
          <cell r="AB2614">
            <v>8.6272600000000005E-2</v>
          </cell>
        </row>
        <row r="2615">
          <cell r="A2615">
            <v>51630000</v>
          </cell>
          <cell r="B2615" t="str">
            <v>Bagel, multigrain</v>
          </cell>
          <cell r="I2615">
            <v>55</v>
          </cell>
          <cell r="J2615">
            <v>137.5</v>
          </cell>
          <cell r="K2615">
            <v>2.5</v>
          </cell>
          <cell r="L2615">
            <v>1.1760332</v>
          </cell>
          <cell r="M2615">
            <v>0</v>
          </cell>
          <cell r="N2615">
            <v>0</v>
          </cell>
          <cell r="O2615">
            <v>1.0999999999999999E-2</v>
          </cell>
          <cell r="P2615">
            <v>1.0789667999999999</v>
          </cell>
          <cell r="Q2615">
            <v>0.51480000000000004</v>
          </cell>
          <cell r="R2615">
            <v>11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0.24145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</row>
        <row r="2616">
          <cell r="A2616">
            <v>51630100</v>
          </cell>
          <cell r="B2616" t="str">
            <v>Bagel, multigrain, with raisins</v>
          </cell>
          <cell r="I2616">
            <v>55</v>
          </cell>
          <cell r="J2616">
            <v>140.19499999999999</v>
          </cell>
          <cell r="K2616">
            <v>2.5489999999999999</v>
          </cell>
          <cell r="L2616">
            <v>1.2619298999999999</v>
          </cell>
          <cell r="M2616">
            <v>3.1900000000000001E-3</v>
          </cell>
          <cell r="N2616">
            <v>0</v>
          </cell>
          <cell r="O2616">
            <v>1.265E-2</v>
          </cell>
          <cell r="P2616">
            <v>0.97107010000000005</v>
          </cell>
          <cell r="Q2616">
            <v>0.46535500000000002</v>
          </cell>
          <cell r="R2616">
            <v>9.9</v>
          </cell>
          <cell r="S2616">
            <v>0</v>
          </cell>
          <cell r="T2616">
            <v>5.5</v>
          </cell>
          <cell r="U2616">
            <v>0</v>
          </cell>
          <cell r="V2616">
            <v>0</v>
          </cell>
          <cell r="W2616">
            <v>0</v>
          </cell>
          <cell r="X2616">
            <v>0.21790999999999999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</row>
        <row r="2617">
          <cell r="A2617">
            <v>51630200</v>
          </cell>
          <cell r="B2617" t="str">
            <v>Muffin, English, multigrain</v>
          </cell>
          <cell r="I2617">
            <v>55</v>
          </cell>
          <cell r="J2617">
            <v>122.65</v>
          </cell>
          <cell r="K2617">
            <v>2.23</v>
          </cell>
          <cell r="L2617">
            <v>1.0757129999999999</v>
          </cell>
          <cell r="M2617">
            <v>0.15784999999999999</v>
          </cell>
          <cell r="N2617">
            <v>0</v>
          </cell>
          <cell r="O2617">
            <v>9.7900000000000001E-2</v>
          </cell>
          <cell r="P2617">
            <v>1.4542870000000001</v>
          </cell>
          <cell r="Q2617">
            <v>0.4587</v>
          </cell>
          <cell r="R2617">
            <v>7.1280000000000001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0.19414999999999999</v>
          </cell>
          <cell r="Y2617">
            <v>0</v>
          </cell>
          <cell r="Z2617">
            <v>0</v>
          </cell>
          <cell r="AA2617">
            <v>0</v>
          </cell>
          <cell r="AB2617">
            <v>1.8789400000000001E-2</v>
          </cell>
        </row>
        <row r="2618">
          <cell r="A2618">
            <v>51805010</v>
          </cell>
          <cell r="B2618" t="str">
            <v>Bread, sunflower meal</v>
          </cell>
          <cell r="I2618">
            <v>50</v>
          </cell>
          <cell r="J2618">
            <v>139.98186000000001</v>
          </cell>
          <cell r="K2618">
            <v>2.7996372000000003</v>
          </cell>
          <cell r="L2618">
            <v>0</v>
          </cell>
          <cell r="M2618">
            <v>0.72127980000000003</v>
          </cell>
          <cell r="N2618">
            <v>0</v>
          </cell>
          <cell r="O2618">
            <v>1.77942E-2</v>
          </cell>
          <cell r="P2618">
            <v>1.1153215000000001</v>
          </cell>
          <cell r="Q2618">
            <v>1.4295831999999999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0.23686219999999999</v>
          </cell>
          <cell r="Y2618">
            <v>4.7212794999999996</v>
          </cell>
          <cell r="Z2618">
            <v>0</v>
          </cell>
          <cell r="AA2618">
            <v>0</v>
          </cell>
          <cell r="AB2618">
            <v>7.3109999999999994E-2</v>
          </cell>
        </row>
        <row r="2619">
          <cell r="A2619">
            <v>51806010</v>
          </cell>
          <cell r="B2619" t="str">
            <v>Bread, rice</v>
          </cell>
          <cell r="I2619">
            <v>50</v>
          </cell>
          <cell r="J2619">
            <v>124</v>
          </cell>
          <cell r="K2619">
            <v>2.48</v>
          </cell>
          <cell r="L2619">
            <v>2.15</v>
          </cell>
          <cell r="M2619">
            <v>0.48849999999999999</v>
          </cell>
          <cell r="N2619">
            <v>0</v>
          </cell>
          <cell r="O2619">
            <v>6.9000000000000006E-2</v>
          </cell>
          <cell r="P2619">
            <v>0</v>
          </cell>
          <cell r="Q2619">
            <v>0.25800000000000001</v>
          </cell>
          <cell r="R2619">
            <v>18.239999999999998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0.2235</v>
          </cell>
          <cell r="Y2619">
            <v>0</v>
          </cell>
          <cell r="Z2619">
            <v>0</v>
          </cell>
          <cell r="AA2619">
            <v>0</v>
          </cell>
          <cell r="AB2619">
            <v>5.0000000000000001E-3</v>
          </cell>
        </row>
        <row r="2620">
          <cell r="A2620">
            <v>51806020</v>
          </cell>
          <cell r="B2620" t="str">
            <v>Bread, rice, toasted</v>
          </cell>
          <cell r="I2620">
            <v>50</v>
          </cell>
          <cell r="J2620">
            <v>132</v>
          </cell>
          <cell r="K2620">
            <v>2.64</v>
          </cell>
          <cell r="L2620">
            <v>0.29161969999999998</v>
          </cell>
          <cell r="M2620">
            <v>0.38550000000000001</v>
          </cell>
          <cell r="N2620">
            <v>0</v>
          </cell>
          <cell r="O2620">
            <v>3.7499999999999999E-2</v>
          </cell>
          <cell r="P2620">
            <v>2.3583802999999999</v>
          </cell>
          <cell r="Q2620">
            <v>0.95650000000000002</v>
          </cell>
          <cell r="R2620">
            <v>1.52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0.14599999999999999</v>
          </cell>
          <cell r="Y2620">
            <v>0</v>
          </cell>
          <cell r="Z2620">
            <v>0</v>
          </cell>
          <cell r="AA2620">
            <v>0</v>
          </cell>
          <cell r="AB2620">
            <v>5.0000000000000001E-3</v>
          </cell>
        </row>
        <row r="2621">
          <cell r="A2621">
            <v>51807000</v>
          </cell>
          <cell r="B2621" t="str">
            <v>Injera, Ethiopian bread</v>
          </cell>
          <cell r="I2621">
            <v>50</v>
          </cell>
          <cell r="J2621">
            <v>40.263911</v>
          </cell>
          <cell r="K2621">
            <v>0.80527822000000004</v>
          </cell>
          <cell r="L2621">
            <v>1.1445190999999999</v>
          </cell>
          <cell r="M2621">
            <v>8.1302799999999995E-2</v>
          </cell>
          <cell r="N2621">
            <v>0</v>
          </cell>
          <cell r="O2621">
            <v>6.0079E-3</v>
          </cell>
          <cell r="P2621">
            <v>0.10307429999999999</v>
          </cell>
          <cell r="Q2621">
            <v>0.1086797</v>
          </cell>
          <cell r="R2621">
            <v>11.445190999999999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0.1053877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</row>
        <row r="2622">
          <cell r="A2622">
            <v>51808000</v>
          </cell>
          <cell r="B2622" t="str">
            <v>Bread, gluten free</v>
          </cell>
          <cell r="I2622">
            <v>50</v>
          </cell>
          <cell r="J2622">
            <v>124</v>
          </cell>
          <cell r="K2622">
            <v>2.48</v>
          </cell>
          <cell r="L2622">
            <v>2.15</v>
          </cell>
          <cell r="M2622">
            <v>0.48849999999999999</v>
          </cell>
          <cell r="N2622">
            <v>0</v>
          </cell>
          <cell r="O2622">
            <v>6.9000000000000006E-2</v>
          </cell>
          <cell r="P2622">
            <v>0</v>
          </cell>
          <cell r="Q2622">
            <v>0.25800000000000001</v>
          </cell>
          <cell r="R2622">
            <v>18.239999999999998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0.2235</v>
          </cell>
          <cell r="Y2622">
            <v>0</v>
          </cell>
          <cell r="Z2622">
            <v>0</v>
          </cell>
          <cell r="AA2622">
            <v>0</v>
          </cell>
          <cell r="AB2622">
            <v>5.0000000000000001E-3</v>
          </cell>
        </row>
        <row r="2623">
          <cell r="A2623">
            <v>51808010</v>
          </cell>
          <cell r="B2623" t="str">
            <v>Bread, gluten free, toasted</v>
          </cell>
          <cell r="I2623">
            <v>50</v>
          </cell>
          <cell r="J2623">
            <v>124</v>
          </cell>
          <cell r="K2623">
            <v>2.48</v>
          </cell>
          <cell r="L2623">
            <v>2.15</v>
          </cell>
          <cell r="M2623">
            <v>0.48849999999999999</v>
          </cell>
          <cell r="N2623">
            <v>0</v>
          </cell>
          <cell r="O2623">
            <v>6.9000000000000006E-2</v>
          </cell>
          <cell r="P2623">
            <v>0</v>
          </cell>
          <cell r="Q2623">
            <v>0.25800000000000001</v>
          </cell>
          <cell r="R2623">
            <v>18.239999999999998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0.2235</v>
          </cell>
          <cell r="Y2623">
            <v>0</v>
          </cell>
          <cell r="Z2623">
            <v>0</v>
          </cell>
          <cell r="AA2623">
            <v>0</v>
          </cell>
          <cell r="AB2623">
            <v>5.0000000000000001E-3</v>
          </cell>
        </row>
        <row r="2624">
          <cell r="A2624">
            <v>51808100</v>
          </cell>
          <cell r="B2624" t="str">
            <v>Roll, gluten free</v>
          </cell>
          <cell r="I2624">
            <v>50</v>
          </cell>
          <cell r="J2624">
            <v>119.5</v>
          </cell>
          <cell r="K2624">
            <v>2.39</v>
          </cell>
          <cell r="L2624">
            <v>2.2813100999999998</v>
          </cell>
          <cell r="M2624">
            <v>0.1075</v>
          </cell>
          <cell r="N2624">
            <v>0</v>
          </cell>
          <cell r="O2624">
            <v>0.09</v>
          </cell>
          <cell r="P2624">
            <v>0.26868989999999998</v>
          </cell>
          <cell r="Q2624">
            <v>0.31850000000000001</v>
          </cell>
          <cell r="R2624">
            <v>17.04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0.29649999999999999</v>
          </cell>
          <cell r="Y2624">
            <v>0</v>
          </cell>
          <cell r="Z2624">
            <v>0</v>
          </cell>
          <cell r="AA2624">
            <v>0</v>
          </cell>
          <cell r="AB2624">
            <v>4.0000000000000001E-3</v>
          </cell>
        </row>
        <row r="2625">
          <cell r="A2625">
            <v>52101000</v>
          </cell>
          <cell r="B2625" t="str">
            <v>Biscuit, baking powder or buttermilk type, NS as to made from mix, refrigerated dough, or home recipe</v>
          </cell>
          <cell r="I2625">
            <v>55</v>
          </cell>
          <cell r="J2625">
            <v>185.9</v>
          </cell>
          <cell r="K2625">
            <v>3.38</v>
          </cell>
          <cell r="L2625">
            <v>0</v>
          </cell>
          <cell r="M2625">
            <v>0.92179999999999995</v>
          </cell>
          <cell r="N2625">
            <v>0</v>
          </cell>
          <cell r="O2625">
            <v>2.6950000000000002E-2</v>
          </cell>
          <cell r="P2625">
            <v>0.71499999999999997</v>
          </cell>
          <cell r="Q2625">
            <v>2.2978999999999998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0.5181</v>
          </cell>
          <cell r="Y2625">
            <v>0</v>
          </cell>
          <cell r="Z2625">
            <v>0</v>
          </cell>
          <cell r="AA2625">
            <v>0</v>
          </cell>
          <cell r="AB2625">
            <v>0.51190829999999998</v>
          </cell>
        </row>
        <row r="2626">
          <cell r="A2626">
            <v>52101040</v>
          </cell>
          <cell r="B2626" t="str">
            <v>Crumpet</v>
          </cell>
          <cell r="I2626">
            <v>55</v>
          </cell>
          <cell r="J2626">
            <v>106.08704</v>
          </cell>
          <cell r="K2626">
            <v>1.9288552727272728</v>
          </cell>
          <cell r="L2626">
            <v>-1.2200000000000001E-16</v>
          </cell>
          <cell r="M2626">
            <v>0.86890389999999995</v>
          </cell>
          <cell r="N2626">
            <v>0</v>
          </cell>
          <cell r="O2626">
            <v>2.89786E-2</v>
          </cell>
          <cell r="P2626">
            <v>0.93</v>
          </cell>
          <cell r="Q2626">
            <v>0.41098170000000001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0.26468000000000003</v>
          </cell>
          <cell r="Y2626">
            <v>0</v>
          </cell>
          <cell r="Z2626">
            <v>0</v>
          </cell>
          <cell r="AA2626">
            <v>0</v>
          </cell>
          <cell r="AB2626">
            <v>0.59282029999999997</v>
          </cell>
        </row>
        <row r="2627">
          <cell r="A2627">
            <v>52101100</v>
          </cell>
          <cell r="B2627" t="str">
            <v>Biscuit, baking powder or buttermilk type, made from mix</v>
          </cell>
          <cell r="I2627">
            <v>55</v>
          </cell>
          <cell r="J2627">
            <v>151.62608</v>
          </cell>
          <cell r="K2627">
            <v>2.7568378181818183</v>
          </cell>
          <cell r="L2627">
            <v>0</v>
          </cell>
          <cell r="M2627">
            <v>1.5737927</v>
          </cell>
          <cell r="N2627">
            <v>0</v>
          </cell>
          <cell r="O2627">
            <v>8.5042400000000004E-2</v>
          </cell>
          <cell r="P2627">
            <v>0.68868879999999999</v>
          </cell>
          <cell r="Q2627">
            <v>0.68204880000000001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0.42835069999999997</v>
          </cell>
          <cell r="Y2627">
            <v>0</v>
          </cell>
          <cell r="Z2627">
            <v>0</v>
          </cell>
          <cell r="AA2627">
            <v>0</v>
          </cell>
          <cell r="AB2627">
            <v>0.52350419999999998</v>
          </cell>
        </row>
        <row r="2628">
          <cell r="A2628">
            <v>52102040</v>
          </cell>
          <cell r="B2628" t="str">
            <v>Biscuit, baking powder or buttermilk type, made from refrigerated dough</v>
          </cell>
          <cell r="I2628">
            <v>55</v>
          </cell>
          <cell r="J2628">
            <v>178.2</v>
          </cell>
          <cell r="K2628">
            <v>3.2399999999999998</v>
          </cell>
          <cell r="L2628">
            <v>0</v>
          </cell>
          <cell r="M2628">
            <v>3.0327000000000002</v>
          </cell>
          <cell r="N2628">
            <v>0</v>
          </cell>
          <cell r="O2628">
            <v>1.485E-2</v>
          </cell>
          <cell r="P2628">
            <v>1.54</v>
          </cell>
          <cell r="Q2628">
            <v>1.4783999999999999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0.55110000000000003</v>
          </cell>
          <cell r="Y2628">
            <v>0</v>
          </cell>
          <cell r="Z2628">
            <v>0</v>
          </cell>
          <cell r="AA2628">
            <v>0</v>
          </cell>
          <cell r="AB2628">
            <v>0.1232</v>
          </cell>
        </row>
        <row r="2629">
          <cell r="A2629">
            <v>52103000</v>
          </cell>
          <cell r="B2629" t="str">
            <v>Biscuit, baking powder or buttermilk type, commercially baked</v>
          </cell>
          <cell r="I2629">
            <v>55</v>
          </cell>
          <cell r="J2629">
            <v>203.5</v>
          </cell>
          <cell r="K2629">
            <v>3.7</v>
          </cell>
          <cell r="L2629">
            <v>0</v>
          </cell>
          <cell r="M2629">
            <v>6.4916499999999999</v>
          </cell>
          <cell r="N2629">
            <v>0</v>
          </cell>
          <cell r="O2629">
            <v>3.85E-2</v>
          </cell>
          <cell r="P2629">
            <v>1.375</v>
          </cell>
          <cell r="Q2629">
            <v>1.2094499999999999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0.53844999999999998</v>
          </cell>
          <cell r="Y2629">
            <v>0</v>
          </cell>
          <cell r="Z2629">
            <v>0</v>
          </cell>
          <cell r="AA2629">
            <v>0</v>
          </cell>
          <cell r="AB2629">
            <v>0.1144</v>
          </cell>
        </row>
        <row r="2630">
          <cell r="A2630">
            <v>52104010</v>
          </cell>
          <cell r="B2630" t="str">
            <v>Biscuit, baking powder or buttermilk type, made from home recipe</v>
          </cell>
          <cell r="I2630">
            <v>55</v>
          </cell>
          <cell r="J2630">
            <v>171.40209999999999</v>
          </cell>
          <cell r="K2630">
            <v>3.1164018181818181</v>
          </cell>
          <cell r="L2630">
            <v>0</v>
          </cell>
          <cell r="M2630">
            <v>2.0927123000000001</v>
          </cell>
          <cell r="N2630">
            <v>0</v>
          </cell>
          <cell r="O2630">
            <v>0.1131481</v>
          </cell>
          <cell r="P2630">
            <v>0.71973549999999997</v>
          </cell>
          <cell r="Q2630">
            <v>2.1676785000000001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0.27966760000000002</v>
          </cell>
          <cell r="Y2630">
            <v>0</v>
          </cell>
          <cell r="Z2630">
            <v>0</v>
          </cell>
          <cell r="AA2630">
            <v>0</v>
          </cell>
          <cell r="AB2630">
            <v>0.96109529999999999</v>
          </cell>
        </row>
        <row r="2631">
          <cell r="A2631">
            <v>52104040</v>
          </cell>
          <cell r="B2631" t="str">
            <v>Biscuit, whole wheat</v>
          </cell>
          <cell r="I2631">
            <v>55</v>
          </cell>
          <cell r="J2631">
            <v>144.08912000000001</v>
          </cell>
          <cell r="K2631">
            <v>2.6198021818181818</v>
          </cell>
          <cell r="L2631">
            <v>2.9490246999999998</v>
          </cell>
          <cell r="M2631">
            <v>1.4799853999999999</v>
          </cell>
          <cell r="N2631">
            <v>0</v>
          </cell>
          <cell r="O2631">
            <v>0.11210879999999999</v>
          </cell>
          <cell r="P2631">
            <v>2.6413000000000001E-3</v>
          </cell>
          <cell r="Q2631">
            <v>1.5832109000000001</v>
          </cell>
          <cell r="R2631">
            <v>27.560979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0.41712690000000002</v>
          </cell>
          <cell r="Y2631">
            <v>0</v>
          </cell>
          <cell r="Z2631">
            <v>0</v>
          </cell>
          <cell r="AA2631">
            <v>0</v>
          </cell>
          <cell r="AB2631">
            <v>0.58768410000000004</v>
          </cell>
        </row>
        <row r="2632">
          <cell r="A2632">
            <v>52104100</v>
          </cell>
          <cell r="B2632" t="str">
            <v>Biscuit, cheese</v>
          </cell>
          <cell r="I2632">
            <v>55</v>
          </cell>
          <cell r="J2632">
            <v>190.09845999999999</v>
          </cell>
          <cell r="K2632">
            <v>3.4563356363636362</v>
          </cell>
          <cell r="L2632">
            <v>1.221E-16</v>
          </cell>
          <cell r="M2632">
            <v>2.0153728000000002</v>
          </cell>
          <cell r="N2632">
            <v>0</v>
          </cell>
          <cell r="O2632">
            <v>6.8998299999999999E-2</v>
          </cell>
          <cell r="P2632">
            <v>0.63230299999999995</v>
          </cell>
          <cell r="Q2632">
            <v>2.1225187000000001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0.49971579999999999</v>
          </cell>
          <cell r="Y2632">
            <v>0</v>
          </cell>
          <cell r="Z2632">
            <v>0</v>
          </cell>
          <cell r="AA2632">
            <v>0</v>
          </cell>
          <cell r="AB2632">
            <v>0.59146960000000004</v>
          </cell>
        </row>
        <row r="2633">
          <cell r="A2633">
            <v>52104200</v>
          </cell>
          <cell r="B2633" t="str">
            <v>Biscuit, cinnamon-raisin</v>
          </cell>
          <cell r="I2633">
            <v>55</v>
          </cell>
          <cell r="J2633">
            <v>167.00924000000001</v>
          </cell>
          <cell r="K2633">
            <v>3.0365316363636365</v>
          </cell>
          <cell r="L2633">
            <v>0.21181269999999999</v>
          </cell>
          <cell r="M2633">
            <v>1.4963978</v>
          </cell>
          <cell r="N2633">
            <v>0</v>
          </cell>
          <cell r="O2633">
            <v>2.8699300000000001E-2</v>
          </cell>
          <cell r="P2633">
            <v>0.64199980000000001</v>
          </cell>
          <cell r="Q2633">
            <v>1.7187541</v>
          </cell>
          <cell r="R2633">
            <v>0</v>
          </cell>
          <cell r="S2633">
            <v>0</v>
          </cell>
          <cell r="T2633">
            <v>5.7246674999999998</v>
          </cell>
          <cell r="U2633">
            <v>0</v>
          </cell>
          <cell r="V2633">
            <v>0</v>
          </cell>
          <cell r="W2633">
            <v>0</v>
          </cell>
          <cell r="X2633">
            <v>0.39838200000000001</v>
          </cell>
          <cell r="Y2633">
            <v>0</v>
          </cell>
          <cell r="Z2633">
            <v>0</v>
          </cell>
          <cell r="AA2633">
            <v>0</v>
          </cell>
          <cell r="AB2633">
            <v>0.7657775</v>
          </cell>
        </row>
        <row r="2634">
          <cell r="A2634">
            <v>52105100</v>
          </cell>
          <cell r="B2634" t="str">
            <v>Scone</v>
          </cell>
          <cell r="I2634">
            <v>55</v>
          </cell>
          <cell r="J2634">
            <v>170.72463999999999</v>
          </cell>
          <cell r="K2634">
            <v>3.1040843636363635</v>
          </cell>
          <cell r="L2634">
            <v>0</v>
          </cell>
          <cell r="M2634">
            <v>2.1234025999999999</v>
          </cell>
          <cell r="N2634">
            <v>0</v>
          </cell>
          <cell r="O2634">
            <v>9.0934600000000004E-2</v>
          </cell>
          <cell r="P2634">
            <v>0.69830400000000004</v>
          </cell>
          <cell r="Q2634">
            <v>1.6170287999999999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0.32771850000000002</v>
          </cell>
          <cell r="Y2634">
            <v>0</v>
          </cell>
          <cell r="Z2634">
            <v>0</v>
          </cell>
          <cell r="AA2634">
            <v>0</v>
          </cell>
          <cell r="AB2634">
            <v>0.80540330000000004</v>
          </cell>
        </row>
        <row r="2635">
          <cell r="A2635">
            <v>52105200</v>
          </cell>
          <cell r="B2635" t="str">
            <v>Scone, with fruit</v>
          </cell>
          <cell r="I2635">
            <v>55</v>
          </cell>
          <cell r="J2635">
            <v>170.17688000000001</v>
          </cell>
          <cell r="K2635">
            <v>3.0941250909090909</v>
          </cell>
          <cell r="L2635">
            <v>0.21418980000000001</v>
          </cell>
          <cell r="M2635">
            <v>1.9064047</v>
          </cell>
          <cell r="N2635">
            <v>0</v>
          </cell>
          <cell r="O2635">
            <v>8.4212899999999993E-2</v>
          </cell>
          <cell r="P2635">
            <v>0.62445360000000005</v>
          </cell>
          <cell r="Q2635">
            <v>1.4548928000000001</v>
          </cell>
          <cell r="R2635">
            <v>0</v>
          </cell>
          <cell r="S2635">
            <v>0</v>
          </cell>
          <cell r="T2635">
            <v>5.7889135999999999</v>
          </cell>
          <cell r="U2635">
            <v>0</v>
          </cell>
          <cell r="V2635">
            <v>0</v>
          </cell>
          <cell r="W2635">
            <v>0</v>
          </cell>
          <cell r="X2635">
            <v>0.29390490000000002</v>
          </cell>
          <cell r="Y2635">
            <v>0</v>
          </cell>
          <cell r="Z2635">
            <v>0</v>
          </cell>
          <cell r="AA2635">
            <v>0</v>
          </cell>
          <cell r="AB2635">
            <v>0.72435229999999995</v>
          </cell>
        </row>
        <row r="2636">
          <cell r="A2636">
            <v>52201000</v>
          </cell>
          <cell r="B2636" t="str">
            <v>Cornbread, prepared from mix</v>
          </cell>
          <cell r="I2636">
            <v>55</v>
          </cell>
          <cell r="J2636">
            <v>181.5</v>
          </cell>
          <cell r="K2636">
            <v>3.3</v>
          </cell>
          <cell r="L2636">
            <v>0</v>
          </cell>
          <cell r="M2636">
            <v>2.0526</v>
          </cell>
          <cell r="N2636">
            <v>0</v>
          </cell>
          <cell r="O2636">
            <v>7.4249999999999997E-2</v>
          </cell>
          <cell r="P2636">
            <v>1.2649999999999999</v>
          </cell>
          <cell r="Q2636">
            <v>1.07965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0.32945000000000002</v>
          </cell>
          <cell r="Y2636">
            <v>0</v>
          </cell>
          <cell r="Z2636">
            <v>0</v>
          </cell>
          <cell r="AA2636">
            <v>0</v>
          </cell>
          <cell r="AB2636">
            <v>0.1232</v>
          </cell>
        </row>
        <row r="2637">
          <cell r="A2637">
            <v>52202060</v>
          </cell>
          <cell r="B2637" t="str">
            <v>Cornbread, made from home recipe</v>
          </cell>
          <cell r="I2637">
            <v>55</v>
          </cell>
          <cell r="J2637">
            <v>139.88569000000001</v>
          </cell>
          <cell r="K2637">
            <v>2.5433761818181821</v>
          </cell>
          <cell r="L2637">
            <v>0</v>
          </cell>
          <cell r="M2637">
            <v>0.91619530000000005</v>
          </cell>
          <cell r="N2637">
            <v>0</v>
          </cell>
          <cell r="O2637">
            <v>9.9074599999999999E-2</v>
          </cell>
          <cell r="P2637">
            <v>0.75531009999999998</v>
          </cell>
          <cell r="Q2637">
            <v>1.6936963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0.24228050000000001</v>
          </cell>
          <cell r="Y2637">
            <v>0</v>
          </cell>
          <cell r="Z2637">
            <v>0</v>
          </cell>
          <cell r="AA2637">
            <v>0</v>
          </cell>
          <cell r="AB2637">
            <v>5.1436799999999998E-2</v>
          </cell>
        </row>
        <row r="2638">
          <cell r="A2638">
            <v>52204000</v>
          </cell>
          <cell r="B2638" t="str">
            <v>Cornbread stuffing</v>
          </cell>
          <cell r="I2638">
            <v>100</v>
          </cell>
          <cell r="J2638">
            <v>179</v>
          </cell>
          <cell r="K2638">
            <v>1.79</v>
          </cell>
          <cell r="L2638">
            <v>0</v>
          </cell>
          <cell r="M2638">
            <v>1.7549999999999999</v>
          </cell>
          <cell r="N2638">
            <v>0</v>
          </cell>
          <cell r="O2638">
            <v>2.5999999999999999E-2</v>
          </cell>
          <cell r="P2638">
            <v>2.9</v>
          </cell>
          <cell r="Q2638">
            <v>2.706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0.52600000000000002</v>
          </cell>
          <cell r="Y2638">
            <v>0</v>
          </cell>
          <cell r="Z2638">
            <v>0</v>
          </cell>
          <cell r="AA2638">
            <v>0</v>
          </cell>
          <cell r="AB2638">
            <v>0.34301520000000002</v>
          </cell>
        </row>
        <row r="2639">
          <cell r="A2639">
            <v>52206010</v>
          </cell>
          <cell r="B2639" t="str">
            <v>Cornbread muffin, stick, round</v>
          </cell>
          <cell r="I2639">
            <v>110</v>
          </cell>
          <cell r="J2639">
            <v>335.5</v>
          </cell>
          <cell r="K2639">
            <v>3.05</v>
          </cell>
          <cell r="L2639">
            <v>0</v>
          </cell>
          <cell r="M2639">
            <v>1.4894000000000001</v>
          </cell>
          <cell r="N2639">
            <v>0</v>
          </cell>
          <cell r="O2639">
            <v>8.14E-2</v>
          </cell>
          <cell r="P2639">
            <v>3.74</v>
          </cell>
          <cell r="Q2639">
            <v>3.5365000000000002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0.51370000000000005</v>
          </cell>
          <cell r="Y2639">
            <v>0</v>
          </cell>
          <cell r="Z2639">
            <v>0</v>
          </cell>
          <cell r="AA2639">
            <v>0</v>
          </cell>
          <cell r="AB2639">
            <v>0.65698489999999998</v>
          </cell>
        </row>
        <row r="2640">
          <cell r="A2640">
            <v>52206060</v>
          </cell>
          <cell r="B2640" t="str">
            <v>Cornbread muffin, stick, round, made from home recipe</v>
          </cell>
          <cell r="I2640">
            <v>110</v>
          </cell>
          <cell r="J2640">
            <v>279.77139</v>
          </cell>
          <cell r="K2640">
            <v>2.5433762727272726</v>
          </cell>
          <cell r="L2640">
            <v>0</v>
          </cell>
          <cell r="M2640">
            <v>1.8323906999999999</v>
          </cell>
          <cell r="N2640">
            <v>0</v>
          </cell>
          <cell r="O2640">
            <v>0.1981493</v>
          </cell>
          <cell r="P2640">
            <v>1.5106202</v>
          </cell>
          <cell r="Q2640">
            <v>3.3873926000000001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0.48456090000000002</v>
          </cell>
          <cell r="Y2640">
            <v>0</v>
          </cell>
          <cell r="Z2640">
            <v>0</v>
          </cell>
          <cell r="AA2640">
            <v>0</v>
          </cell>
          <cell r="AB2640">
            <v>0.10851429999999999</v>
          </cell>
        </row>
        <row r="2641">
          <cell r="A2641">
            <v>52208010</v>
          </cell>
          <cell r="B2641" t="str">
            <v>Corn pone, baked</v>
          </cell>
          <cell r="I2641">
            <v>55</v>
          </cell>
          <cell r="J2641">
            <v>98.822113999999999</v>
          </cell>
          <cell r="K2641">
            <v>1.796765709090909</v>
          </cell>
          <cell r="L2641">
            <v>0</v>
          </cell>
          <cell r="M2641">
            <v>0.44835770000000003</v>
          </cell>
          <cell r="N2641">
            <v>0</v>
          </cell>
          <cell r="O2641">
            <v>5.2113800000000002E-2</v>
          </cell>
          <cell r="P2641">
            <v>0.89000679999999999</v>
          </cell>
          <cell r="Q2641">
            <v>0.63653320000000002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0.20211290000000001</v>
          </cell>
          <cell r="Y2641">
            <v>0</v>
          </cell>
          <cell r="Z2641">
            <v>0</v>
          </cell>
          <cell r="AA2641">
            <v>0</v>
          </cell>
          <cell r="AB2641">
            <v>0.20987</v>
          </cell>
        </row>
        <row r="2642">
          <cell r="A2642">
            <v>52208760</v>
          </cell>
          <cell r="B2642" t="str">
            <v>Gordita/sope shell, plain, no filling</v>
          </cell>
          <cell r="I2642">
            <v>30</v>
          </cell>
          <cell r="J2642">
            <v>78.144208000000006</v>
          </cell>
          <cell r="K2642">
            <v>2.6048069333333337</v>
          </cell>
          <cell r="L2642">
            <v>0</v>
          </cell>
          <cell r="M2642">
            <v>0.72175049999999996</v>
          </cell>
          <cell r="N2642">
            <v>0</v>
          </cell>
          <cell r="O2642">
            <v>2.85369E-2</v>
          </cell>
          <cell r="P2642">
            <v>0.70723049999999998</v>
          </cell>
          <cell r="Q2642">
            <v>1.5704612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8.5113400000000006E-2</v>
          </cell>
          <cell r="Y2642">
            <v>0</v>
          </cell>
          <cell r="Z2642">
            <v>0</v>
          </cell>
          <cell r="AA2642">
            <v>0</v>
          </cell>
          <cell r="AB2642">
            <v>0.18038489999999999</v>
          </cell>
        </row>
        <row r="2643">
          <cell r="A2643">
            <v>52209010</v>
          </cell>
          <cell r="B2643" t="str">
            <v>Hush puppy</v>
          </cell>
          <cell r="I2643">
            <v>55</v>
          </cell>
          <cell r="J2643">
            <v>162.80000000000001</v>
          </cell>
          <cell r="K2643">
            <v>2.9600000000000004</v>
          </cell>
          <cell r="L2643">
            <v>0</v>
          </cell>
          <cell r="M2643">
            <v>1.4415500000000001</v>
          </cell>
          <cell r="N2643">
            <v>0</v>
          </cell>
          <cell r="O2643">
            <v>5.5E-2</v>
          </cell>
          <cell r="P2643">
            <v>1.595</v>
          </cell>
          <cell r="Q2643">
            <v>0.96909999999999996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0.44714999999999999</v>
          </cell>
          <cell r="Y2643">
            <v>0</v>
          </cell>
          <cell r="Z2643">
            <v>0</v>
          </cell>
          <cell r="AA2643">
            <v>0</v>
          </cell>
          <cell r="AB2643">
            <v>1.49105</v>
          </cell>
        </row>
        <row r="2644">
          <cell r="A2644">
            <v>52215000</v>
          </cell>
          <cell r="B2644" t="str">
            <v>Tortilla, NFS</v>
          </cell>
          <cell r="I2644">
            <v>55</v>
          </cell>
          <cell r="J2644">
            <v>144.1</v>
          </cell>
          <cell r="K2644">
            <v>2.62</v>
          </cell>
          <cell r="L2644">
            <v>0</v>
          </cell>
          <cell r="M2644">
            <v>0.92867500000000003</v>
          </cell>
          <cell r="N2644">
            <v>0</v>
          </cell>
          <cell r="O2644">
            <v>6.2425000000000001E-2</v>
          </cell>
          <cell r="P2644">
            <v>2.6949999999999998</v>
          </cell>
          <cell r="Q2644">
            <v>1.0199750000000001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0.21477499999999999</v>
          </cell>
          <cell r="Y2644">
            <v>0</v>
          </cell>
          <cell r="Z2644">
            <v>0</v>
          </cell>
          <cell r="AA2644">
            <v>0</v>
          </cell>
          <cell r="AB2644">
            <v>0.1946843</v>
          </cell>
        </row>
        <row r="2645">
          <cell r="A2645">
            <v>52215100</v>
          </cell>
          <cell r="B2645" t="str">
            <v>Tortilla, corn</v>
          </cell>
          <cell r="I2645">
            <v>55</v>
          </cell>
          <cell r="J2645">
            <v>119.9</v>
          </cell>
          <cell r="K2645">
            <v>2.1800000000000002</v>
          </cell>
          <cell r="L2645">
            <v>0</v>
          </cell>
          <cell r="M2645">
            <v>0.24915000000000001</v>
          </cell>
          <cell r="N2645">
            <v>0</v>
          </cell>
          <cell r="O2645">
            <v>4.4549999999999999E-2</v>
          </cell>
          <cell r="P2645">
            <v>3.4649999999999999</v>
          </cell>
          <cell r="Q2645">
            <v>0.78044999999999998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2.4750000000000001E-2</v>
          </cell>
          <cell r="Y2645">
            <v>0</v>
          </cell>
          <cell r="Z2645">
            <v>0</v>
          </cell>
          <cell r="AA2645">
            <v>0</v>
          </cell>
          <cell r="AB2645">
            <v>2.51188E-2</v>
          </cell>
        </row>
        <row r="2646">
          <cell r="A2646">
            <v>52215200</v>
          </cell>
          <cell r="B2646" t="str">
            <v>Tortilla, flour</v>
          </cell>
          <cell r="I2646">
            <v>55</v>
          </cell>
          <cell r="J2646">
            <v>168.3</v>
          </cell>
          <cell r="K2646">
            <v>3.06</v>
          </cell>
          <cell r="L2646">
            <v>0</v>
          </cell>
          <cell r="M2646">
            <v>1.6082000000000001</v>
          </cell>
          <cell r="N2646">
            <v>0</v>
          </cell>
          <cell r="O2646">
            <v>8.0299999999999996E-2</v>
          </cell>
          <cell r="P2646">
            <v>1.925</v>
          </cell>
          <cell r="Q2646">
            <v>1.2595000000000001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0.40479999999999999</v>
          </cell>
          <cell r="Y2646">
            <v>0</v>
          </cell>
          <cell r="Z2646">
            <v>0</v>
          </cell>
          <cell r="AA2646">
            <v>0</v>
          </cell>
          <cell r="AB2646">
            <v>2.86E-2</v>
          </cell>
        </row>
        <row r="2647">
          <cell r="A2647">
            <v>52215260</v>
          </cell>
          <cell r="B2647" t="str">
            <v>Tortilla, whole wheat</v>
          </cell>
          <cell r="I2647">
            <v>55</v>
          </cell>
          <cell r="J2647">
            <v>170.5</v>
          </cell>
          <cell r="K2647">
            <v>3.1</v>
          </cell>
          <cell r="L2647">
            <v>5.39</v>
          </cell>
          <cell r="M2647">
            <v>2.6829000000000001</v>
          </cell>
          <cell r="N2647">
            <v>0</v>
          </cell>
          <cell r="O2647">
            <v>0.13420000000000001</v>
          </cell>
          <cell r="P2647">
            <v>0</v>
          </cell>
          <cell r="Q2647">
            <v>0.54559999999999997</v>
          </cell>
          <cell r="R2647">
            <v>37.4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0.28160000000000002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</row>
        <row r="2648">
          <cell r="A2648">
            <v>52215300</v>
          </cell>
          <cell r="B2648" t="str">
            <v>Taco shell, corn</v>
          </cell>
          <cell r="I2648">
            <v>30</v>
          </cell>
          <cell r="J2648">
            <v>142.80000000000001</v>
          </cell>
          <cell r="K2648">
            <v>4.7600000000000007</v>
          </cell>
          <cell r="L2648">
            <v>0</v>
          </cell>
          <cell r="M2648">
            <v>2.1315</v>
          </cell>
          <cell r="N2648">
            <v>0</v>
          </cell>
          <cell r="O2648">
            <v>0.03</v>
          </cell>
          <cell r="P2648">
            <v>2.0099999999999998</v>
          </cell>
          <cell r="Q2648">
            <v>1.6485000000000001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9.7199999999999995E-2</v>
          </cell>
          <cell r="Y2648">
            <v>0</v>
          </cell>
          <cell r="Z2648">
            <v>0</v>
          </cell>
          <cell r="AA2648">
            <v>0</v>
          </cell>
          <cell r="AB2648">
            <v>5.16E-2</v>
          </cell>
        </row>
        <row r="2649">
          <cell r="A2649">
            <v>52215350</v>
          </cell>
          <cell r="B2649" t="str">
            <v>Taco shell, flour</v>
          </cell>
          <cell r="I2649">
            <v>30</v>
          </cell>
          <cell r="J2649">
            <v>119.48571</v>
          </cell>
          <cell r="K2649">
            <v>3.9828570000000001</v>
          </cell>
          <cell r="L2649">
            <v>0</v>
          </cell>
          <cell r="M2649">
            <v>1.9336639</v>
          </cell>
          <cell r="N2649">
            <v>0</v>
          </cell>
          <cell r="O2649">
            <v>3.6854600000000001E-2</v>
          </cell>
          <cell r="P2649">
            <v>0.8823529</v>
          </cell>
          <cell r="Q2649">
            <v>1.9231336000000001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0.18573780000000001</v>
          </cell>
          <cell r="Y2649">
            <v>0</v>
          </cell>
          <cell r="Z2649">
            <v>0</v>
          </cell>
          <cell r="AA2649">
            <v>0</v>
          </cell>
          <cell r="AB2649">
            <v>0.64365380000000005</v>
          </cell>
        </row>
        <row r="2650">
          <cell r="A2650">
            <v>52220110</v>
          </cell>
          <cell r="B2650" t="str">
            <v>Arepa Dominicana</v>
          </cell>
          <cell r="I2650">
            <v>55</v>
          </cell>
          <cell r="J2650">
            <v>121.85758</v>
          </cell>
          <cell r="K2650">
            <v>2.2155923636363637</v>
          </cell>
          <cell r="L2650">
            <v>0</v>
          </cell>
          <cell r="M2650">
            <v>4.1431053999999996</v>
          </cell>
          <cell r="N2650">
            <v>0</v>
          </cell>
          <cell r="O2650">
            <v>3.62805E-2</v>
          </cell>
          <cell r="P2650">
            <v>1.0830379000000001</v>
          </cell>
          <cell r="Q2650">
            <v>0.67771400000000004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0.18388699999999999</v>
          </cell>
          <cell r="Y2650">
            <v>0</v>
          </cell>
          <cell r="Z2650">
            <v>0</v>
          </cell>
          <cell r="AA2650">
            <v>0</v>
          </cell>
          <cell r="AB2650">
            <v>0.23348920000000001</v>
          </cell>
        </row>
        <row r="2651">
          <cell r="A2651">
            <v>52301000</v>
          </cell>
          <cell r="B2651" t="str">
            <v>Muffin, NFS</v>
          </cell>
          <cell r="I2651">
            <v>110</v>
          </cell>
          <cell r="J2651">
            <v>412.5</v>
          </cell>
          <cell r="K2651">
            <v>3.75</v>
          </cell>
          <cell r="L2651">
            <v>0.13018450000000001</v>
          </cell>
          <cell r="M2651">
            <v>3.1284000000000001</v>
          </cell>
          <cell r="N2651">
            <v>0</v>
          </cell>
          <cell r="O2651">
            <v>4.8399999999999999E-2</v>
          </cell>
          <cell r="P2651">
            <v>1.0798155</v>
          </cell>
          <cell r="Q2651">
            <v>8.9132999999999996</v>
          </cell>
          <cell r="R2651">
            <v>0</v>
          </cell>
          <cell r="S2651">
            <v>0</v>
          </cell>
          <cell r="T2651">
            <v>11.164999999999999</v>
          </cell>
          <cell r="U2651">
            <v>0</v>
          </cell>
          <cell r="V2651">
            <v>0</v>
          </cell>
          <cell r="W2651">
            <v>0</v>
          </cell>
          <cell r="X2651">
            <v>0.36959999999999998</v>
          </cell>
          <cell r="Y2651">
            <v>0</v>
          </cell>
          <cell r="Z2651">
            <v>0</v>
          </cell>
          <cell r="AA2651">
            <v>0</v>
          </cell>
          <cell r="AB2651">
            <v>0.22</v>
          </cell>
        </row>
        <row r="2652">
          <cell r="A2652">
            <v>52302010</v>
          </cell>
          <cell r="B2652" t="str">
            <v>Muffin, fruit</v>
          </cell>
          <cell r="I2652">
            <v>110</v>
          </cell>
          <cell r="J2652">
            <v>412.5</v>
          </cell>
          <cell r="K2652">
            <v>3.75</v>
          </cell>
          <cell r="L2652">
            <v>0.13018450000000001</v>
          </cell>
          <cell r="M2652">
            <v>3.1284000000000001</v>
          </cell>
          <cell r="N2652">
            <v>0</v>
          </cell>
          <cell r="O2652">
            <v>4.8399999999999999E-2</v>
          </cell>
          <cell r="P2652">
            <v>1.0798155</v>
          </cell>
          <cell r="Q2652">
            <v>8.9132999999999996</v>
          </cell>
          <cell r="R2652">
            <v>0</v>
          </cell>
          <cell r="S2652">
            <v>0</v>
          </cell>
          <cell r="T2652">
            <v>11.164999999999999</v>
          </cell>
          <cell r="U2652">
            <v>0</v>
          </cell>
          <cell r="V2652">
            <v>0</v>
          </cell>
          <cell r="W2652">
            <v>0</v>
          </cell>
          <cell r="X2652">
            <v>0.36959999999999998</v>
          </cell>
          <cell r="Y2652">
            <v>0</v>
          </cell>
          <cell r="Z2652">
            <v>0</v>
          </cell>
          <cell r="AA2652">
            <v>0</v>
          </cell>
          <cell r="AB2652">
            <v>0.22</v>
          </cell>
        </row>
        <row r="2653">
          <cell r="A2653">
            <v>52302020</v>
          </cell>
          <cell r="B2653" t="str">
            <v>Muffin, fruit, low fat</v>
          </cell>
          <cell r="I2653">
            <v>110</v>
          </cell>
          <cell r="J2653">
            <v>280.5</v>
          </cell>
          <cell r="K2653">
            <v>2.5499999999999998</v>
          </cell>
          <cell r="L2653">
            <v>0.35560920000000001</v>
          </cell>
          <cell r="M2653">
            <v>1.7039</v>
          </cell>
          <cell r="N2653">
            <v>0</v>
          </cell>
          <cell r="O2653">
            <v>3.85E-2</v>
          </cell>
          <cell r="P2653">
            <v>4.2643908000000001</v>
          </cell>
          <cell r="Q2653">
            <v>1.4993000000000001</v>
          </cell>
          <cell r="R2653">
            <v>0</v>
          </cell>
          <cell r="S2653">
            <v>0</v>
          </cell>
          <cell r="T2653">
            <v>7.9749999999999996</v>
          </cell>
          <cell r="U2653">
            <v>0</v>
          </cell>
          <cell r="V2653">
            <v>0</v>
          </cell>
          <cell r="W2653">
            <v>0</v>
          </cell>
          <cell r="X2653">
            <v>0.45429999999999998</v>
          </cell>
          <cell r="Y2653">
            <v>0</v>
          </cell>
          <cell r="Z2653">
            <v>0</v>
          </cell>
          <cell r="AA2653">
            <v>0</v>
          </cell>
          <cell r="AB2653">
            <v>1.0494E-3</v>
          </cell>
        </row>
        <row r="2654">
          <cell r="A2654">
            <v>52302500</v>
          </cell>
          <cell r="B2654" t="str">
            <v>Muffin, chocolate chip</v>
          </cell>
          <cell r="I2654">
            <v>110</v>
          </cell>
          <cell r="J2654">
            <v>375.48991999999998</v>
          </cell>
          <cell r="K2654">
            <v>3.4135447272727273</v>
          </cell>
          <cell r="L2654">
            <v>-2.4400000000000002E-16</v>
          </cell>
          <cell r="M2654">
            <v>5.0992635000000002</v>
          </cell>
          <cell r="N2654">
            <v>0</v>
          </cell>
          <cell r="O2654">
            <v>0.1364329</v>
          </cell>
          <cell r="P2654">
            <v>1.6607063</v>
          </cell>
          <cell r="Q2654">
            <v>4.9465123000000002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0.29275580000000001</v>
          </cell>
          <cell r="Y2654">
            <v>0</v>
          </cell>
          <cell r="Z2654">
            <v>0</v>
          </cell>
          <cell r="AA2654">
            <v>0</v>
          </cell>
          <cell r="AB2654">
            <v>0.8307213</v>
          </cell>
        </row>
        <row r="2655">
          <cell r="A2655">
            <v>52302600</v>
          </cell>
          <cell r="B2655" t="str">
            <v>Muffin, chocolate</v>
          </cell>
          <cell r="I2655">
            <v>110</v>
          </cell>
          <cell r="J2655">
            <v>368.57918000000001</v>
          </cell>
          <cell r="K2655">
            <v>3.3507198181818181</v>
          </cell>
          <cell r="L2655">
            <v>0</v>
          </cell>
          <cell r="M2655">
            <v>4.3956236000000004</v>
          </cell>
          <cell r="N2655">
            <v>0</v>
          </cell>
          <cell r="O2655">
            <v>0.15209500000000001</v>
          </cell>
          <cell r="P2655">
            <v>1.7913268</v>
          </cell>
          <cell r="Q2655">
            <v>5.4180286000000004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0.32499159999999999</v>
          </cell>
          <cell r="Y2655">
            <v>0</v>
          </cell>
          <cell r="Z2655">
            <v>0</v>
          </cell>
          <cell r="AA2655">
            <v>0</v>
          </cell>
          <cell r="AB2655">
            <v>0.72477789999999997</v>
          </cell>
        </row>
        <row r="2656">
          <cell r="A2656">
            <v>52303010</v>
          </cell>
          <cell r="B2656" t="str">
            <v>Muffin, whole wheat</v>
          </cell>
          <cell r="I2656">
            <v>110</v>
          </cell>
          <cell r="J2656">
            <v>335.11090000000002</v>
          </cell>
          <cell r="K2656">
            <v>3.0464627272727274</v>
          </cell>
          <cell r="L2656">
            <v>3.3503333</v>
          </cell>
          <cell r="M2656">
            <v>2.854708</v>
          </cell>
          <cell r="N2656">
            <v>0</v>
          </cell>
          <cell r="O2656">
            <v>0.161888</v>
          </cell>
          <cell r="P2656">
            <v>3.6007999999999999E-3</v>
          </cell>
          <cell r="Q2656">
            <v>6.5019703</v>
          </cell>
          <cell r="R2656">
            <v>31.311526000000001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0.3761002</v>
          </cell>
          <cell r="Y2656">
            <v>0</v>
          </cell>
          <cell r="Z2656">
            <v>0</v>
          </cell>
          <cell r="AA2656">
            <v>0</v>
          </cell>
          <cell r="AB2656">
            <v>0.75881750000000003</v>
          </cell>
        </row>
        <row r="2657">
          <cell r="A2657">
            <v>52304000</v>
          </cell>
          <cell r="B2657" t="str">
            <v>Muffin, whole grain</v>
          </cell>
          <cell r="I2657">
            <v>110</v>
          </cell>
          <cell r="J2657">
            <v>340.9599</v>
          </cell>
          <cell r="K2657">
            <v>3.0996354545454547</v>
          </cell>
          <cell r="L2657">
            <v>1.1080717</v>
          </cell>
          <cell r="M2657">
            <v>2.8012248</v>
          </cell>
          <cell r="N2657">
            <v>0</v>
          </cell>
          <cell r="O2657">
            <v>0.1567335</v>
          </cell>
          <cell r="P2657">
            <v>0.58604500000000004</v>
          </cell>
          <cell r="Q2657">
            <v>6.3008782999999999</v>
          </cell>
          <cell r="R2657">
            <v>10.35581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0.37318259999999998</v>
          </cell>
          <cell r="Y2657">
            <v>0</v>
          </cell>
          <cell r="Z2657">
            <v>0</v>
          </cell>
          <cell r="AA2657">
            <v>0</v>
          </cell>
          <cell r="AB2657">
            <v>0.1180566</v>
          </cell>
        </row>
        <row r="2658">
          <cell r="A2658">
            <v>52304010</v>
          </cell>
          <cell r="B2658" t="str">
            <v>Muffin, wheat bran</v>
          </cell>
          <cell r="I2658">
            <v>110</v>
          </cell>
          <cell r="J2658">
            <v>236.58241000000001</v>
          </cell>
          <cell r="K2658">
            <v>2.1507491818181821</v>
          </cell>
          <cell r="L2658">
            <v>0</v>
          </cell>
          <cell r="M2658">
            <v>3.2994333</v>
          </cell>
          <cell r="N2658">
            <v>0</v>
          </cell>
          <cell r="O2658">
            <v>9.9515300000000001E-2</v>
          </cell>
          <cell r="P2658">
            <v>2.6845623999999999</v>
          </cell>
          <cell r="Q2658">
            <v>0.77634749999999997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0.23596030000000001</v>
          </cell>
          <cell r="Y2658">
            <v>0</v>
          </cell>
          <cell r="Z2658">
            <v>0</v>
          </cell>
          <cell r="AA2658">
            <v>0</v>
          </cell>
          <cell r="AB2658">
            <v>0.13338069999999999</v>
          </cell>
        </row>
        <row r="2659">
          <cell r="A2659">
            <v>52304040</v>
          </cell>
          <cell r="B2659" t="str">
            <v>Muffin, bran with fruit, lowfat</v>
          </cell>
          <cell r="I2659">
            <v>110</v>
          </cell>
          <cell r="J2659">
            <v>193.72774999999999</v>
          </cell>
          <cell r="K2659">
            <v>1.7611613636363634</v>
          </cell>
          <cell r="L2659">
            <v>1.2797936999999999</v>
          </cell>
          <cell r="M2659">
            <v>0.45693040000000001</v>
          </cell>
          <cell r="N2659">
            <v>0</v>
          </cell>
          <cell r="O2659">
            <v>6.8215399999999995E-2</v>
          </cell>
          <cell r="P2659">
            <v>1.7364274</v>
          </cell>
          <cell r="Q2659">
            <v>0.4756264</v>
          </cell>
          <cell r="R2659">
            <v>7.7818718000000002</v>
          </cell>
          <cell r="S2659">
            <v>0</v>
          </cell>
          <cell r="T2659">
            <v>17.233778999999998</v>
          </cell>
          <cell r="U2659">
            <v>0</v>
          </cell>
          <cell r="V2659">
            <v>0</v>
          </cell>
          <cell r="W2659">
            <v>0</v>
          </cell>
          <cell r="X2659">
            <v>0.50493779999999999</v>
          </cell>
          <cell r="Y2659">
            <v>0</v>
          </cell>
          <cell r="Z2659">
            <v>0</v>
          </cell>
          <cell r="AA2659">
            <v>0</v>
          </cell>
          <cell r="AB2659">
            <v>0.25570589999999999</v>
          </cell>
        </row>
        <row r="2660">
          <cell r="A2660">
            <v>52304100</v>
          </cell>
          <cell r="B2660" t="str">
            <v>Muffin, oatmeal</v>
          </cell>
          <cell r="I2660">
            <v>110</v>
          </cell>
          <cell r="J2660">
            <v>342.60727000000003</v>
          </cell>
          <cell r="K2660">
            <v>3.1146115454545455</v>
          </cell>
          <cell r="L2660">
            <v>0.82294789999999995</v>
          </cell>
          <cell r="M2660">
            <v>2.9446910000000002</v>
          </cell>
          <cell r="N2660">
            <v>0</v>
          </cell>
          <cell r="O2660">
            <v>0.16278219999999999</v>
          </cell>
          <cell r="P2660">
            <v>0.56953509999999996</v>
          </cell>
          <cell r="Q2660">
            <v>6.5852126000000002</v>
          </cell>
          <cell r="R2660">
            <v>8.1479990999999998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0.3869282</v>
          </cell>
          <cell r="Y2660">
            <v>0</v>
          </cell>
          <cell r="Z2660">
            <v>0</v>
          </cell>
          <cell r="AA2660">
            <v>0</v>
          </cell>
          <cell r="AB2660">
            <v>0.30879380000000001</v>
          </cell>
        </row>
        <row r="2661">
          <cell r="A2661">
            <v>52304150</v>
          </cell>
          <cell r="B2661" t="str">
            <v>Muffin, oat bran</v>
          </cell>
          <cell r="I2661">
            <v>110</v>
          </cell>
          <cell r="J2661">
            <v>297</v>
          </cell>
          <cell r="K2661">
            <v>2.7</v>
          </cell>
          <cell r="L2661">
            <v>0</v>
          </cell>
          <cell r="M2661">
            <v>1.1957</v>
          </cell>
          <cell r="N2661">
            <v>0</v>
          </cell>
          <cell r="O2661">
            <v>6.93E-2</v>
          </cell>
          <cell r="P2661">
            <v>5.0599999999999996</v>
          </cell>
          <cell r="Q2661">
            <v>4.5419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0.43230000000000002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</row>
        <row r="2662">
          <cell r="A2662">
            <v>52306010</v>
          </cell>
          <cell r="B2662" t="str">
            <v>Muffin, plain</v>
          </cell>
          <cell r="I2662">
            <v>110</v>
          </cell>
          <cell r="J2662">
            <v>348.15915999999999</v>
          </cell>
          <cell r="K2662">
            <v>3.1650832727272724</v>
          </cell>
          <cell r="L2662">
            <v>0</v>
          </cell>
          <cell r="M2662">
            <v>2.5140804999999999</v>
          </cell>
          <cell r="N2662">
            <v>0</v>
          </cell>
          <cell r="O2662">
            <v>0.1545744</v>
          </cell>
          <cell r="P2662">
            <v>0.79526640000000004</v>
          </cell>
          <cell r="Q2662">
            <v>5.6425339000000001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0.3430511</v>
          </cell>
          <cell r="Y2662">
            <v>0</v>
          </cell>
          <cell r="Z2662">
            <v>0</v>
          </cell>
          <cell r="AA2662">
            <v>0</v>
          </cell>
          <cell r="AB2662">
            <v>0.47063300000000002</v>
          </cell>
        </row>
        <row r="2663">
          <cell r="A2663">
            <v>52306500</v>
          </cell>
          <cell r="B2663" t="str">
            <v>Muffin, pumpkin</v>
          </cell>
          <cell r="I2663">
            <v>110</v>
          </cell>
          <cell r="J2663">
            <v>283.77174000000002</v>
          </cell>
          <cell r="K2663">
            <v>2.579743090909091</v>
          </cell>
          <cell r="L2663">
            <v>0.66094869999999994</v>
          </cell>
          <cell r="M2663">
            <v>2.0264536</v>
          </cell>
          <cell r="N2663">
            <v>0</v>
          </cell>
          <cell r="O2663">
            <v>0.12847330000000001</v>
          </cell>
          <cell r="P2663">
            <v>0.63049200000000005</v>
          </cell>
          <cell r="Q2663">
            <v>4.4768537999999998</v>
          </cell>
          <cell r="R2663">
            <v>0</v>
          </cell>
          <cell r="S2663">
            <v>0</v>
          </cell>
          <cell r="T2663">
            <v>0</v>
          </cell>
          <cell r="U2663">
            <v>22.791333999999999</v>
          </cell>
          <cell r="V2663">
            <v>0</v>
          </cell>
          <cell r="W2663">
            <v>0</v>
          </cell>
          <cell r="X2663">
            <v>0.27311249999999998</v>
          </cell>
          <cell r="Y2663">
            <v>0</v>
          </cell>
          <cell r="Z2663">
            <v>0</v>
          </cell>
          <cell r="AA2663">
            <v>0</v>
          </cell>
          <cell r="AB2663">
            <v>6.3262399999999996E-2</v>
          </cell>
        </row>
        <row r="2664">
          <cell r="A2664">
            <v>52306550</v>
          </cell>
          <cell r="B2664" t="str">
            <v>Muffin, zucchini</v>
          </cell>
          <cell r="I2664">
            <v>110</v>
          </cell>
          <cell r="J2664">
            <v>284.16269999999997</v>
          </cell>
          <cell r="K2664">
            <v>2.5832972727272723</v>
          </cell>
          <cell r="L2664">
            <v>0.21367169999999999</v>
          </cell>
          <cell r="M2664">
            <v>2.0436762000000002</v>
          </cell>
          <cell r="N2664">
            <v>0</v>
          </cell>
          <cell r="O2664">
            <v>0.12796759999999999</v>
          </cell>
          <cell r="P2664">
            <v>0.64078829999999998</v>
          </cell>
          <cell r="Q2664">
            <v>4.5659326</v>
          </cell>
          <cell r="R2664">
            <v>0</v>
          </cell>
          <cell r="S2664">
            <v>0</v>
          </cell>
          <cell r="T2664">
            <v>0</v>
          </cell>
          <cell r="U2664">
            <v>21.367172</v>
          </cell>
          <cell r="V2664">
            <v>0</v>
          </cell>
          <cell r="W2664">
            <v>0</v>
          </cell>
          <cell r="X2664">
            <v>0.27812379999999998</v>
          </cell>
          <cell r="Y2664">
            <v>0</v>
          </cell>
          <cell r="Z2664">
            <v>0</v>
          </cell>
          <cell r="AA2664">
            <v>0</v>
          </cell>
          <cell r="AB2664">
            <v>9.9822499999999995E-2</v>
          </cell>
        </row>
        <row r="2665">
          <cell r="A2665">
            <v>52306700</v>
          </cell>
          <cell r="B2665" t="str">
            <v>Muffin, carrot</v>
          </cell>
          <cell r="I2665">
            <v>110</v>
          </cell>
          <cell r="J2665">
            <v>290.55664000000002</v>
          </cell>
          <cell r="K2665">
            <v>2.6414240000000002</v>
          </cell>
          <cell r="L2665">
            <v>0.5854163</v>
          </cell>
          <cell r="M2665">
            <v>2.0439645</v>
          </cell>
          <cell r="N2665">
            <v>0</v>
          </cell>
          <cell r="O2665">
            <v>0.13209399999999999</v>
          </cell>
          <cell r="P2665">
            <v>0.64410990000000001</v>
          </cell>
          <cell r="Q2665">
            <v>4.5945182999999998</v>
          </cell>
          <cell r="R2665">
            <v>0</v>
          </cell>
          <cell r="S2665">
            <v>0</v>
          </cell>
          <cell r="T2665">
            <v>0</v>
          </cell>
          <cell r="U2665">
            <v>20.907724000000002</v>
          </cell>
          <cell r="V2665">
            <v>0</v>
          </cell>
          <cell r="W2665">
            <v>0</v>
          </cell>
          <cell r="X2665">
            <v>0.29227360000000002</v>
          </cell>
          <cell r="Y2665">
            <v>0</v>
          </cell>
          <cell r="Z2665">
            <v>0</v>
          </cell>
          <cell r="AA2665">
            <v>0</v>
          </cell>
          <cell r="AB2665">
            <v>6.8920800000000004E-2</v>
          </cell>
        </row>
        <row r="2666">
          <cell r="A2666">
            <v>52401000</v>
          </cell>
          <cell r="B2666" t="str">
            <v>Bread, Boston Brown</v>
          </cell>
          <cell r="I2666">
            <v>55</v>
          </cell>
          <cell r="J2666">
            <v>150.69999999999999</v>
          </cell>
          <cell r="K2666">
            <v>2.7399999999999998</v>
          </cell>
          <cell r="L2666">
            <v>1.083904</v>
          </cell>
          <cell r="M2666">
            <v>0.38335000000000002</v>
          </cell>
          <cell r="N2666">
            <v>0</v>
          </cell>
          <cell r="O2666">
            <v>6.8750000000000006E-2</v>
          </cell>
          <cell r="P2666">
            <v>1.116096</v>
          </cell>
          <cell r="Q2666">
            <v>0.88824999999999998</v>
          </cell>
          <cell r="R2666">
            <v>8.7119999999999997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0.26014999999999999</v>
          </cell>
          <cell r="Y2666">
            <v>0</v>
          </cell>
          <cell r="Z2666">
            <v>0</v>
          </cell>
          <cell r="AA2666">
            <v>0</v>
          </cell>
          <cell r="AB2666">
            <v>1.8149999999999999E-2</v>
          </cell>
        </row>
        <row r="2667">
          <cell r="A2667">
            <v>52403000</v>
          </cell>
          <cell r="B2667" t="str">
            <v>Bread, nut</v>
          </cell>
          <cell r="I2667">
            <v>55</v>
          </cell>
          <cell r="J2667">
            <v>185.24509</v>
          </cell>
          <cell r="K2667">
            <v>3.3680925454545454</v>
          </cell>
          <cell r="L2667">
            <v>0</v>
          </cell>
          <cell r="M2667">
            <v>1.3840977000000001</v>
          </cell>
          <cell r="N2667">
            <v>0</v>
          </cell>
          <cell r="O2667">
            <v>7.5880400000000001E-2</v>
          </cell>
          <cell r="P2667">
            <v>0.59537609999999996</v>
          </cell>
          <cell r="Q2667">
            <v>4.2122563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0.161274</v>
          </cell>
          <cell r="Y2667">
            <v>3.3061883000000001</v>
          </cell>
          <cell r="Z2667">
            <v>0</v>
          </cell>
          <cell r="AA2667">
            <v>0</v>
          </cell>
          <cell r="AB2667">
            <v>0.18054600000000001</v>
          </cell>
        </row>
        <row r="2668">
          <cell r="A2668">
            <v>52404060</v>
          </cell>
          <cell r="B2668" t="str">
            <v>Bread, pumpkin</v>
          </cell>
          <cell r="I2668">
            <v>55</v>
          </cell>
          <cell r="J2668">
            <v>141.88587000000001</v>
          </cell>
          <cell r="K2668">
            <v>2.579743090909091</v>
          </cell>
          <cell r="L2668">
            <v>0.3304743</v>
          </cell>
          <cell r="M2668">
            <v>1.0132268</v>
          </cell>
          <cell r="N2668">
            <v>0</v>
          </cell>
          <cell r="O2668">
            <v>6.4236600000000005E-2</v>
          </cell>
          <cell r="P2668">
            <v>0.31524600000000003</v>
          </cell>
          <cell r="Q2668">
            <v>2.2384268999999999</v>
          </cell>
          <cell r="R2668">
            <v>0</v>
          </cell>
          <cell r="S2668">
            <v>0</v>
          </cell>
          <cell r="T2668">
            <v>0</v>
          </cell>
          <cell r="U2668">
            <v>11.395667</v>
          </cell>
          <cell r="V2668">
            <v>0</v>
          </cell>
          <cell r="W2668">
            <v>0</v>
          </cell>
          <cell r="X2668">
            <v>0.13655629999999999</v>
          </cell>
          <cell r="Y2668">
            <v>0</v>
          </cell>
          <cell r="Z2668">
            <v>0</v>
          </cell>
          <cell r="AA2668">
            <v>0</v>
          </cell>
          <cell r="AB2668">
            <v>2.8530799999999999E-2</v>
          </cell>
        </row>
        <row r="2669">
          <cell r="A2669">
            <v>52405010</v>
          </cell>
          <cell r="B2669" t="str">
            <v>Bread, fruit</v>
          </cell>
          <cell r="I2669">
            <v>55</v>
          </cell>
          <cell r="J2669">
            <v>171.43098000000001</v>
          </cell>
          <cell r="K2669">
            <v>3.1169269090909091</v>
          </cell>
          <cell r="L2669">
            <v>0.1449367</v>
          </cell>
          <cell r="M2669">
            <v>1.2500567</v>
          </cell>
          <cell r="N2669">
            <v>0</v>
          </cell>
          <cell r="O2669">
            <v>6.8468299999999996E-2</v>
          </cell>
          <cell r="P2669">
            <v>0.53503210000000001</v>
          </cell>
          <cell r="Q2669">
            <v>3.7893951000000001</v>
          </cell>
          <cell r="R2669">
            <v>0</v>
          </cell>
          <cell r="S2669">
            <v>0</v>
          </cell>
          <cell r="T2669">
            <v>5.5744901000000002</v>
          </cell>
          <cell r="U2669">
            <v>0</v>
          </cell>
          <cell r="V2669">
            <v>0</v>
          </cell>
          <cell r="W2669">
            <v>0</v>
          </cell>
          <cell r="X2669">
            <v>0.144984</v>
          </cell>
          <cell r="Y2669">
            <v>2.9710917000000001</v>
          </cell>
          <cell r="Z2669">
            <v>0</v>
          </cell>
          <cell r="AA2669">
            <v>0</v>
          </cell>
          <cell r="AB2669">
            <v>0.16422419999999999</v>
          </cell>
        </row>
        <row r="2670">
          <cell r="A2670">
            <v>52407000</v>
          </cell>
          <cell r="B2670" t="str">
            <v>Bread, zucchini</v>
          </cell>
          <cell r="I2670">
            <v>55</v>
          </cell>
          <cell r="J2670">
            <v>142.08134999999999</v>
          </cell>
          <cell r="K2670">
            <v>2.5832972727272723</v>
          </cell>
          <cell r="L2670">
            <v>0.1068359</v>
          </cell>
          <cell r="M2670">
            <v>1.0218381000000001</v>
          </cell>
          <cell r="N2670">
            <v>0</v>
          </cell>
          <cell r="O2670">
            <v>6.3983799999999993E-2</v>
          </cell>
          <cell r="P2670">
            <v>0.32039410000000001</v>
          </cell>
          <cell r="Q2670">
            <v>2.2829663</v>
          </cell>
          <cell r="R2670">
            <v>0</v>
          </cell>
          <cell r="S2670">
            <v>0</v>
          </cell>
          <cell r="T2670">
            <v>0</v>
          </cell>
          <cell r="U2670">
            <v>10.683586</v>
          </cell>
          <cell r="V2670">
            <v>0</v>
          </cell>
          <cell r="W2670">
            <v>0</v>
          </cell>
          <cell r="X2670">
            <v>0.13906189999999999</v>
          </cell>
          <cell r="Y2670">
            <v>0</v>
          </cell>
          <cell r="Z2670">
            <v>0</v>
          </cell>
          <cell r="AA2670">
            <v>0</v>
          </cell>
          <cell r="AB2670">
            <v>4.9546800000000002E-2</v>
          </cell>
        </row>
        <row r="2671">
          <cell r="A2671">
            <v>52408000</v>
          </cell>
          <cell r="B2671" t="str">
            <v>Bread, Irish soda</v>
          </cell>
          <cell r="I2671">
            <v>55</v>
          </cell>
          <cell r="J2671">
            <v>153.62345999999999</v>
          </cell>
          <cell r="K2671">
            <v>2.7931538181818181</v>
          </cell>
          <cell r="L2671">
            <v>0.44564510000000002</v>
          </cell>
          <cell r="M2671">
            <v>2.661454</v>
          </cell>
          <cell r="N2671">
            <v>0</v>
          </cell>
          <cell r="O2671">
            <v>5.2839299999999999E-2</v>
          </cell>
          <cell r="P2671">
            <v>0.60901669999999997</v>
          </cell>
          <cell r="Q2671">
            <v>0.31534329999999999</v>
          </cell>
          <cell r="R2671">
            <v>0</v>
          </cell>
          <cell r="S2671">
            <v>0</v>
          </cell>
          <cell r="T2671">
            <v>12.044463</v>
          </cell>
          <cell r="U2671">
            <v>0</v>
          </cell>
          <cell r="V2671">
            <v>0</v>
          </cell>
          <cell r="W2671">
            <v>0</v>
          </cell>
          <cell r="X2671">
            <v>0.25299440000000001</v>
          </cell>
          <cell r="Y2671">
            <v>0</v>
          </cell>
          <cell r="Z2671">
            <v>0</v>
          </cell>
          <cell r="AA2671">
            <v>0</v>
          </cell>
          <cell r="AB2671">
            <v>0.15610160000000001</v>
          </cell>
        </row>
        <row r="2672">
          <cell r="A2672">
            <v>53100050</v>
          </cell>
          <cell r="B2672" t="str">
            <v>Cake batter, raw, chocolate</v>
          </cell>
          <cell r="I2672">
            <v>125</v>
          </cell>
          <cell r="J2672">
            <v>362.15089</v>
          </cell>
          <cell r="K2672">
            <v>2.89720712</v>
          </cell>
          <cell r="L2672">
            <v>-2.7799999999999998E-16</v>
          </cell>
          <cell r="M2672">
            <v>3.2461414</v>
          </cell>
          <cell r="N2672">
            <v>0</v>
          </cell>
          <cell r="O2672">
            <v>9.6156800000000001E-2</v>
          </cell>
          <cell r="P2672">
            <v>1.4500796</v>
          </cell>
          <cell r="Q2672">
            <v>5.8506017000000003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0.51360490000000003</v>
          </cell>
          <cell r="Y2672">
            <v>0</v>
          </cell>
          <cell r="Z2672">
            <v>0</v>
          </cell>
          <cell r="AA2672">
            <v>0</v>
          </cell>
          <cell r="AB2672">
            <v>0.52394260000000004</v>
          </cell>
        </row>
        <row r="2673">
          <cell r="A2673">
            <v>53100100</v>
          </cell>
          <cell r="B2673" t="str">
            <v>Cake or cupcake, NS as to type</v>
          </cell>
          <cell r="I2673">
            <v>80</v>
          </cell>
          <cell r="J2673">
            <v>311.2</v>
          </cell>
          <cell r="K2673">
            <v>3.8899999999999997</v>
          </cell>
          <cell r="L2673">
            <v>0</v>
          </cell>
          <cell r="M2673">
            <v>4.7336</v>
          </cell>
          <cell r="N2673">
            <v>0</v>
          </cell>
          <cell r="O2673">
            <v>2.4E-2</v>
          </cell>
          <cell r="P2673">
            <v>1.76</v>
          </cell>
          <cell r="Q2673">
            <v>3.6976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0.27839999999999998</v>
          </cell>
          <cell r="Y2673">
            <v>0</v>
          </cell>
          <cell r="Z2673">
            <v>0</v>
          </cell>
          <cell r="AA2673">
            <v>0</v>
          </cell>
          <cell r="AB2673">
            <v>1.0544</v>
          </cell>
        </row>
        <row r="2674">
          <cell r="A2674">
            <v>53101100</v>
          </cell>
          <cell r="B2674" t="str">
            <v>Cake, angel food, without icing or filling</v>
          </cell>
          <cell r="I2674">
            <v>55</v>
          </cell>
          <cell r="J2674">
            <v>141.35</v>
          </cell>
          <cell r="K2674">
            <v>2.57</v>
          </cell>
          <cell r="L2674">
            <v>0</v>
          </cell>
          <cell r="M2674">
            <v>2.3650000000000001E-2</v>
          </cell>
          <cell r="N2674">
            <v>0</v>
          </cell>
          <cell r="O2674">
            <v>4.6199999999999998E-2</v>
          </cell>
          <cell r="P2674">
            <v>0.11</v>
          </cell>
          <cell r="Q2674">
            <v>6.8199999999999997E-2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0.28105000000000002</v>
          </cell>
          <cell r="Y2674">
            <v>0</v>
          </cell>
          <cell r="Z2674">
            <v>0</v>
          </cell>
          <cell r="AA2674">
            <v>0</v>
          </cell>
          <cell r="AB2674">
            <v>5.2783999999999999E-3</v>
          </cell>
        </row>
        <row r="2675">
          <cell r="A2675">
            <v>53101200</v>
          </cell>
          <cell r="B2675" t="str">
            <v>Cake, angel food, with icing or filling</v>
          </cell>
          <cell r="I2675">
            <v>80</v>
          </cell>
          <cell r="J2675">
            <v>247.83331999999999</v>
          </cell>
          <cell r="K2675">
            <v>3.0979164999999997</v>
          </cell>
          <cell r="L2675">
            <v>-1.1099999999999999E-17</v>
          </cell>
          <cell r="M2675">
            <v>3.2234365999999999</v>
          </cell>
          <cell r="N2675">
            <v>0</v>
          </cell>
          <cell r="O2675">
            <v>4.3091600000000001E-2</v>
          </cell>
          <cell r="P2675">
            <v>9.8217200000000005E-2</v>
          </cell>
          <cell r="Q2675">
            <v>0.25059759999999998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0.29162090000000002</v>
          </cell>
          <cell r="Y2675">
            <v>0</v>
          </cell>
          <cell r="Z2675">
            <v>0</v>
          </cell>
          <cell r="AA2675">
            <v>0</v>
          </cell>
          <cell r="AB2675">
            <v>0.20435300000000001</v>
          </cell>
        </row>
        <row r="2676">
          <cell r="A2676">
            <v>53101250</v>
          </cell>
          <cell r="B2676" t="str">
            <v>Cake, angel food, with fruit and icing or filling</v>
          </cell>
          <cell r="I2676">
            <v>80</v>
          </cell>
          <cell r="J2676">
            <v>155.7244</v>
          </cell>
          <cell r="K2676">
            <v>1.946555</v>
          </cell>
          <cell r="L2676">
            <v>0.46545449999999999</v>
          </cell>
          <cell r="M2676">
            <v>1.2937095000000001</v>
          </cell>
          <cell r="N2676">
            <v>0</v>
          </cell>
          <cell r="O2676">
            <v>5.1347799999999999E-2</v>
          </cell>
          <cell r="P2676">
            <v>9.1253600000000004E-2</v>
          </cell>
          <cell r="Q2676">
            <v>0.16843939999999999</v>
          </cell>
          <cell r="R2676">
            <v>0</v>
          </cell>
          <cell r="S2676">
            <v>0</v>
          </cell>
          <cell r="T2676">
            <v>23.272727</v>
          </cell>
          <cell r="U2676">
            <v>0</v>
          </cell>
          <cell r="V2676">
            <v>0</v>
          </cell>
          <cell r="W2676">
            <v>0</v>
          </cell>
          <cell r="X2676">
            <v>0.23413970000000001</v>
          </cell>
          <cell r="Y2676">
            <v>0</v>
          </cell>
          <cell r="Z2676">
            <v>0</v>
          </cell>
          <cell r="AA2676">
            <v>0</v>
          </cell>
          <cell r="AB2676">
            <v>5.8273800000000001E-2</v>
          </cell>
        </row>
        <row r="2677">
          <cell r="A2677">
            <v>53102100</v>
          </cell>
          <cell r="B2677" t="str">
            <v>Cake or cupcake, applesauce, without icing or filling</v>
          </cell>
          <cell r="I2677">
            <v>80</v>
          </cell>
          <cell r="J2677">
            <v>293.60919999999999</v>
          </cell>
          <cell r="K2677">
            <v>3.670115</v>
          </cell>
          <cell r="L2677">
            <v>0.25541979999999997</v>
          </cell>
          <cell r="M2677">
            <v>2.3580576999999998</v>
          </cell>
          <cell r="N2677">
            <v>0</v>
          </cell>
          <cell r="O2677">
            <v>1.70878E-2</v>
          </cell>
          <cell r="P2677">
            <v>0.97667210000000004</v>
          </cell>
          <cell r="Q2677">
            <v>8.3755194999999993</v>
          </cell>
          <cell r="R2677">
            <v>0</v>
          </cell>
          <cell r="S2677">
            <v>0</v>
          </cell>
          <cell r="T2677">
            <v>20.158586</v>
          </cell>
          <cell r="U2677">
            <v>0</v>
          </cell>
          <cell r="V2677">
            <v>0</v>
          </cell>
          <cell r="W2677">
            <v>0</v>
          </cell>
          <cell r="X2677">
            <v>0.1476922</v>
          </cell>
          <cell r="Y2677">
            <v>6.6732190999999998</v>
          </cell>
          <cell r="Z2677">
            <v>0</v>
          </cell>
          <cell r="AA2677">
            <v>0</v>
          </cell>
          <cell r="AB2677">
            <v>0.63052240000000004</v>
          </cell>
        </row>
        <row r="2678">
          <cell r="A2678">
            <v>53102200</v>
          </cell>
          <cell r="B2678" t="str">
            <v>Cake or cupcake, applesauce, with icing or filling</v>
          </cell>
          <cell r="I2678">
            <v>80</v>
          </cell>
          <cell r="J2678">
            <v>315.73505</v>
          </cell>
          <cell r="K2678">
            <v>3.9466881250000001</v>
          </cell>
          <cell r="L2678">
            <v>0.16664019999999999</v>
          </cell>
          <cell r="M2678">
            <v>6.3792625000000003</v>
          </cell>
          <cell r="N2678">
            <v>0</v>
          </cell>
          <cell r="O2678">
            <v>2.07659E-2</v>
          </cell>
          <cell r="P2678">
            <v>0.63719720000000002</v>
          </cell>
          <cell r="Q2678">
            <v>5.7746331</v>
          </cell>
          <cell r="R2678">
            <v>0</v>
          </cell>
          <cell r="S2678">
            <v>0</v>
          </cell>
          <cell r="T2678">
            <v>13.1518</v>
          </cell>
          <cell r="U2678">
            <v>0</v>
          </cell>
          <cell r="V2678">
            <v>0</v>
          </cell>
          <cell r="W2678">
            <v>0</v>
          </cell>
          <cell r="X2678">
            <v>0.16224859999999999</v>
          </cell>
          <cell r="Y2678">
            <v>4.3537201000000003</v>
          </cell>
          <cell r="Z2678">
            <v>0</v>
          </cell>
          <cell r="AA2678">
            <v>0</v>
          </cell>
          <cell r="AB2678">
            <v>0.588364</v>
          </cell>
        </row>
        <row r="2679">
          <cell r="A2679">
            <v>53102600</v>
          </cell>
          <cell r="B2679" t="str">
            <v>Cake or cupcake, banana, without icing or filling</v>
          </cell>
          <cell r="I2679">
            <v>80</v>
          </cell>
          <cell r="J2679">
            <v>305.41016999999999</v>
          </cell>
          <cell r="K2679">
            <v>3.817627125</v>
          </cell>
          <cell r="L2679">
            <v>0.50408109999999995</v>
          </cell>
          <cell r="M2679">
            <v>2.4493757999999999</v>
          </cell>
          <cell r="N2679">
            <v>0</v>
          </cell>
          <cell r="O2679">
            <v>1.79501E-2</v>
          </cell>
          <cell r="P2679">
            <v>1.0082312</v>
          </cell>
          <cell r="Q2679">
            <v>8.6484445999999995</v>
          </cell>
          <cell r="R2679">
            <v>0</v>
          </cell>
          <cell r="S2679">
            <v>0</v>
          </cell>
          <cell r="T2679">
            <v>19.387734999999999</v>
          </cell>
          <cell r="U2679">
            <v>0</v>
          </cell>
          <cell r="V2679">
            <v>0</v>
          </cell>
          <cell r="W2679">
            <v>0</v>
          </cell>
          <cell r="X2679">
            <v>0.15221899999999999</v>
          </cell>
          <cell r="Y2679">
            <v>6.8888501</v>
          </cell>
          <cell r="Z2679">
            <v>0</v>
          </cell>
          <cell r="AA2679">
            <v>0</v>
          </cell>
          <cell r="AB2679">
            <v>0.16430449999999999</v>
          </cell>
        </row>
        <row r="2680">
          <cell r="A2680">
            <v>53102700</v>
          </cell>
          <cell r="B2680" t="str">
            <v>Cake or cupcake, banana, with icing or filling</v>
          </cell>
          <cell r="I2680">
            <v>80</v>
          </cell>
          <cell r="J2680">
            <v>323.80995000000001</v>
          </cell>
          <cell r="K2680">
            <v>4.0476243749999998</v>
          </cell>
          <cell r="L2680">
            <v>0.32521830000000002</v>
          </cell>
          <cell r="M2680">
            <v>6.5220095999999996</v>
          </cell>
          <cell r="N2680">
            <v>0</v>
          </cell>
          <cell r="O2680">
            <v>2.1399000000000001E-2</v>
          </cell>
          <cell r="P2680">
            <v>0.65048110000000003</v>
          </cell>
          <cell r="Q2680">
            <v>5.8964946999999999</v>
          </cell>
          <cell r="R2680">
            <v>0</v>
          </cell>
          <cell r="S2680">
            <v>0</v>
          </cell>
          <cell r="T2680">
            <v>12.508397</v>
          </cell>
          <cell r="U2680">
            <v>0</v>
          </cell>
          <cell r="V2680">
            <v>0</v>
          </cell>
          <cell r="W2680">
            <v>0</v>
          </cell>
          <cell r="X2680">
            <v>0.1654727</v>
          </cell>
          <cell r="Y2680">
            <v>4.4444835999999999</v>
          </cell>
          <cell r="Z2680">
            <v>0</v>
          </cell>
          <cell r="AA2680">
            <v>0</v>
          </cell>
          <cell r="AB2680">
            <v>0.28162179999999998</v>
          </cell>
        </row>
        <row r="2681">
          <cell r="A2681">
            <v>53102800</v>
          </cell>
          <cell r="B2681" t="str">
            <v>Cake or cupcake, Black Forest</v>
          </cell>
          <cell r="I2681">
            <v>80</v>
          </cell>
          <cell r="J2681">
            <v>211.2</v>
          </cell>
          <cell r="K2681">
            <v>2.6399999999999997</v>
          </cell>
          <cell r="L2681">
            <v>0.1014852</v>
          </cell>
          <cell r="M2681">
            <v>4.0528000000000004</v>
          </cell>
          <cell r="N2681">
            <v>0</v>
          </cell>
          <cell r="O2681">
            <v>3.8399999999999997E-2</v>
          </cell>
          <cell r="P2681">
            <v>0.29851480000000002</v>
          </cell>
          <cell r="Q2681">
            <v>1.8720000000000001</v>
          </cell>
          <cell r="R2681">
            <v>0</v>
          </cell>
          <cell r="S2681">
            <v>0</v>
          </cell>
          <cell r="T2681">
            <v>8.68</v>
          </cell>
          <cell r="U2681">
            <v>0</v>
          </cell>
          <cell r="V2681">
            <v>0</v>
          </cell>
          <cell r="W2681">
            <v>0</v>
          </cell>
          <cell r="X2681">
            <v>0.13120000000000001</v>
          </cell>
          <cell r="Y2681">
            <v>0</v>
          </cell>
          <cell r="Z2681">
            <v>0</v>
          </cell>
          <cell r="AA2681">
            <v>0</v>
          </cell>
          <cell r="AB2681">
            <v>0.48787459999999999</v>
          </cell>
        </row>
        <row r="2682">
          <cell r="A2682">
            <v>53103000</v>
          </cell>
          <cell r="B2682" t="str">
            <v>Cake, Boston cream pie</v>
          </cell>
          <cell r="I2682">
            <v>80</v>
          </cell>
          <cell r="J2682">
            <v>201.6</v>
          </cell>
          <cell r="K2682">
            <v>2.52</v>
          </cell>
          <cell r="L2682">
            <v>0</v>
          </cell>
          <cell r="M2682">
            <v>1.956</v>
          </cell>
          <cell r="N2682">
            <v>0</v>
          </cell>
          <cell r="O2682">
            <v>1.84E-2</v>
          </cell>
          <cell r="P2682">
            <v>1.1200000000000001</v>
          </cell>
          <cell r="Q2682">
            <v>0.80720000000000003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0.20319999999999999</v>
          </cell>
          <cell r="Y2682">
            <v>0</v>
          </cell>
          <cell r="Z2682">
            <v>0</v>
          </cell>
          <cell r="AA2682">
            <v>0</v>
          </cell>
          <cell r="AB2682">
            <v>0.54018529999999998</v>
          </cell>
        </row>
        <row r="2683">
          <cell r="A2683">
            <v>53104100</v>
          </cell>
          <cell r="B2683" t="str">
            <v>Cake or cupcake, carrot, without icing or filling</v>
          </cell>
          <cell r="I2683">
            <v>80</v>
          </cell>
          <cell r="J2683">
            <v>297.52974999999998</v>
          </cell>
          <cell r="K2683">
            <v>3.7191218749999999</v>
          </cell>
          <cell r="L2683">
            <v>0.53366720000000001</v>
          </cell>
          <cell r="M2683">
            <v>2.4478585000000002</v>
          </cell>
          <cell r="N2683">
            <v>0</v>
          </cell>
          <cell r="O2683">
            <v>2.3362299999999999E-2</v>
          </cell>
          <cell r="P2683">
            <v>1.0136904</v>
          </cell>
          <cell r="Q2683">
            <v>8.7033427999999997</v>
          </cell>
          <cell r="R2683">
            <v>0</v>
          </cell>
          <cell r="S2683">
            <v>0</v>
          </cell>
          <cell r="T2683">
            <v>0</v>
          </cell>
          <cell r="U2683">
            <v>19.059542</v>
          </cell>
          <cell r="V2683">
            <v>0</v>
          </cell>
          <cell r="W2683">
            <v>0</v>
          </cell>
          <cell r="X2683">
            <v>0.16599939999999999</v>
          </cell>
          <cell r="Y2683">
            <v>6.9261508000000003</v>
          </cell>
          <cell r="Z2683">
            <v>0</v>
          </cell>
          <cell r="AA2683">
            <v>0</v>
          </cell>
          <cell r="AB2683">
            <v>7.2422100000000003E-2</v>
          </cell>
        </row>
        <row r="2684">
          <cell r="A2684">
            <v>53104260</v>
          </cell>
          <cell r="B2684" t="str">
            <v>Cake or cupcake, carrot, with icing or filling</v>
          </cell>
          <cell r="I2684">
            <v>80</v>
          </cell>
          <cell r="J2684">
            <v>318.79964000000001</v>
          </cell>
          <cell r="K2684">
            <v>3.9849955000000001</v>
          </cell>
          <cell r="L2684">
            <v>0.34364610000000001</v>
          </cell>
          <cell r="M2684">
            <v>6.5352325000000002</v>
          </cell>
          <cell r="N2684">
            <v>0</v>
          </cell>
          <cell r="O2684">
            <v>2.4896100000000001E-2</v>
          </cell>
          <cell r="P2684">
            <v>0.65274909999999997</v>
          </cell>
          <cell r="Q2684">
            <v>5.9222504000000002</v>
          </cell>
          <cell r="R2684">
            <v>0</v>
          </cell>
          <cell r="S2684">
            <v>0</v>
          </cell>
          <cell r="T2684">
            <v>0</v>
          </cell>
          <cell r="U2684">
            <v>12.273076</v>
          </cell>
          <cell r="V2684">
            <v>0</v>
          </cell>
          <cell r="W2684">
            <v>0</v>
          </cell>
          <cell r="X2684">
            <v>0.17439250000000001</v>
          </cell>
          <cell r="Y2684">
            <v>4.4599799999999998</v>
          </cell>
          <cell r="Z2684">
            <v>0</v>
          </cell>
          <cell r="AA2684">
            <v>0</v>
          </cell>
          <cell r="AB2684">
            <v>0.23840549999999999</v>
          </cell>
        </row>
        <row r="2685">
          <cell r="A2685">
            <v>53104400</v>
          </cell>
          <cell r="B2685" t="str">
            <v>Cake or cupcake, coconut, with icing or filling</v>
          </cell>
          <cell r="I2685">
            <v>80</v>
          </cell>
          <cell r="J2685">
            <v>284.8</v>
          </cell>
          <cell r="K2685">
            <v>3.56</v>
          </cell>
          <cell r="L2685">
            <v>0</v>
          </cell>
          <cell r="M2685">
            <v>3.1175999999999999</v>
          </cell>
          <cell r="N2685">
            <v>0</v>
          </cell>
          <cell r="O2685">
            <v>7.1999999999999995E-2</v>
          </cell>
          <cell r="P2685">
            <v>0.8</v>
          </cell>
          <cell r="Q2685">
            <v>1.7296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0.22720000000000001</v>
          </cell>
          <cell r="Y2685">
            <v>0</v>
          </cell>
          <cell r="Z2685">
            <v>0</v>
          </cell>
          <cell r="AA2685">
            <v>0</v>
          </cell>
          <cell r="AB2685">
            <v>0.51555859999999998</v>
          </cell>
        </row>
        <row r="2686">
          <cell r="A2686">
            <v>53104500</v>
          </cell>
          <cell r="B2686" t="str">
            <v>Cheesecake</v>
          </cell>
          <cell r="I2686">
            <v>125</v>
          </cell>
          <cell r="J2686">
            <v>401.25</v>
          </cell>
          <cell r="K2686">
            <v>3.21</v>
          </cell>
          <cell r="L2686">
            <v>0.1500447</v>
          </cell>
          <cell r="M2686">
            <v>12.401249999999999</v>
          </cell>
          <cell r="N2686">
            <v>0</v>
          </cell>
          <cell r="O2686">
            <v>6.3750000000000001E-2</v>
          </cell>
          <cell r="P2686">
            <v>0.34995530000000002</v>
          </cell>
          <cell r="Q2686">
            <v>2.0024999999999999</v>
          </cell>
          <cell r="R2686">
            <v>1.4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0.54749999999999999</v>
          </cell>
          <cell r="Y2686">
            <v>0</v>
          </cell>
          <cell r="Z2686">
            <v>0</v>
          </cell>
          <cell r="AA2686">
            <v>0</v>
          </cell>
          <cell r="AB2686">
            <v>1.3343332000000001</v>
          </cell>
        </row>
        <row r="2687">
          <cell r="A2687">
            <v>53104550</v>
          </cell>
          <cell r="B2687" t="str">
            <v>Cheesecake with fruit</v>
          </cell>
          <cell r="I2687">
            <v>125</v>
          </cell>
          <cell r="J2687">
            <v>261.70742999999999</v>
          </cell>
          <cell r="K2687">
            <v>2.0936594399999997</v>
          </cell>
          <cell r="L2687">
            <v>1.0577783999999999</v>
          </cell>
          <cell r="M2687">
            <v>7.6181749999999999</v>
          </cell>
          <cell r="N2687">
            <v>0</v>
          </cell>
          <cell r="O2687">
            <v>4.68504E-2</v>
          </cell>
          <cell r="P2687">
            <v>0.21477560000000001</v>
          </cell>
          <cell r="Q2687">
            <v>1.3038215</v>
          </cell>
          <cell r="R2687">
            <v>0.85921219999999998</v>
          </cell>
          <cell r="S2687">
            <v>0</v>
          </cell>
          <cell r="T2687">
            <v>48.284624999999998</v>
          </cell>
          <cell r="U2687">
            <v>0</v>
          </cell>
          <cell r="V2687">
            <v>0</v>
          </cell>
          <cell r="W2687">
            <v>0</v>
          </cell>
          <cell r="X2687">
            <v>0.33649620000000002</v>
          </cell>
          <cell r="Y2687">
            <v>0</v>
          </cell>
          <cell r="Z2687">
            <v>0</v>
          </cell>
          <cell r="AA2687">
            <v>0</v>
          </cell>
          <cell r="AB2687">
            <v>0.82442349999999998</v>
          </cell>
        </row>
        <row r="2688">
          <cell r="A2688">
            <v>53104600</v>
          </cell>
          <cell r="B2688" t="str">
            <v>Cheesecake, chocolate</v>
          </cell>
          <cell r="I2688">
            <v>125</v>
          </cell>
          <cell r="J2688">
            <v>420.87963000000002</v>
          </cell>
          <cell r="K2688">
            <v>3.36703704</v>
          </cell>
          <cell r="L2688">
            <v>0.1352255</v>
          </cell>
          <cell r="M2688">
            <v>13.367793000000001</v>
          </cell>
          <cell r="N2688">
            <v>0</v>
          </cell>
          <cell r="O2688">
            <v>6.1404300000000002E-2</v>
          </cell>
          <cell r="P2688">
            <v>1.0437869</v>
          </cell>
          <cell r="Q2688">
            <v>1.9239815</v>
          </cell>
          <cell r="R2688">
            <v>1.2617284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0.494784</v>
          </cell>
          <cell r="Y2688">
            <v>0</v>
          </cell>
          <cell r="Z2688">
            <v>0</v>
          </cell>
          <cell r="AA2688">
            <v>0</v>
          </cell>
          <cell r="AB2688">
            <v>1.6847181</v>
          </cell>
        </row>
        <row r="2689">
          <cell r="A2689">
            <v>53105270</v>
          </cell>
          <cell r="B2689" t="str">
            <v>Cake or cupcake, chocolate, devil's food or fudge, with icing or filling</v>
          </cell>
          <cell r="I2689">
            <v>80</v>
          </cell>
          <cell r="J2689">
            <v>311.2</v>
          </cell>
          <cell r="K2689">
            <v>3.8899999999999997</v>
          </cell>
          <cell r="L2689">
            <v>0</v>
          </cell>
          <cell r="M2689">
            <v>4.7336</v>
          </cell>
          <cell r="N2689">
            <v>0</v>
          </cell>
          <cell r="O2689">
            <v>2.4E-2</v>
          </cell>
          <cell r="P2689">
            <v>1.76</v>
          </cell>
          <cell r="Q2689">
            <v>3.6976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0.27839999999999998</v>
          </cell>
          <cell r="Y2689">
            <v>0</v>
          </cell>
          <cell r="Z2689">
            <v>0</v>
          </cell>
          <cell r="AA2689">
            <v>0</v>
          </cell>
          <cell r="AB2689">
            <v>1.0544</v>
          </cell>
        </row>
        <row r="2690">
          <cell r="A2690">
            <v>53105275</v>
          </cell>
          <cell r="B2690" t="str">
            <v>Cake or cupcake, chocolate, devil's food or fudge, without icing or filling</v>
          </cell>
          <cell r="I2690">
            <v>80</v>
          </cell>
          <cell r="J2690">
            <v>231.77656999999999</v>
          </cell>
          <cell r="K2690">
            <v>2.897207125</v>
          </cell>
          <cell r="L2690">
            <v>-1.7800000000000001E-16</v>
          </cell>
          <cell r="M2690">
            <v>2.0775304999999999</v>
          </cell>
          <cell r="N2690">
            <v>0</v>
          </cell>
          <cell r="O2690">
            <v>6.1540299999999999E-2</v>
          </cell>
          <cell r="P2690">
            <v>0.92805090000000001</v>
          </cell>
          <cell r="Q2690">
            <v>3.7443851000000001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0.32870719999999998</v>
          </cell>
          <cell r="Y2690">
            <v>0</v>
          </cell>
          <cell r="Z2690">
            <v>0</v>
          </cell>
          <cell r="AA2690">
            <v>0</v>
          </cell>
          <cell r="AB2690">
            <v>0.32102609999999998</v>
          </cell>
        </row>
        <row r="2691">
          <cell r="A2691">
            <v>53105300</v>
          </cell>
          <cell r="B2691" t="str">
            <v>Cake or cupcake, German chocolate, with icing or filling</v>
          </cell>
          <cell r="I2691">
            <v>80</v>
          </cell>
          <cell r="J2691">
            <v>320.77118999999999</v>
          </cell>
          <cell r="K2691">
            <v>4.0096398749999995</v>
          </cell>
          <cell r="L2691">
            <v>0</v>
          </cell>
          <cell r="M2691">
            <v>5.5106659000000002</v>
          </cell>
          <cell r="N2691">
            <v>0</v>
          </cell>
          <cell r="O2691">
            <v>2.50925E-2</v>
          </cell>
          <cell r="P2691">
            <v>2.1697506999999998</v>
          </cell>
          <cell r="Q2691">
            <v>4.6634149999999996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0.26682549999999999</v>
          </cell>
          <cell r="Y2691">
            <v>2.657518</v>
          </cell>
          <cell r="Z2691">
            <v>0</v>
          </cell>
          <cell r="AA2691">
            <v>0</v>
          </cell>
          <cell r="AB2691">
            <v>0.96977290000000005</v>
          </cell>
        </row>
        <row r="2692">
          <cell r="A2692">
            <v>53105500</v>
          </cell>
          <cell r="B2692" t="str">
            <v>Cake, chocolate, with icing, diet</v>
          </cell>
          <cell r="I2692">
            <v>80</v>
          </cell>
          <cell r="J2692">
            <v>327.2</v>
          </cell>
          <cell r="K2692">
            <v>4.09</v>
          </cell>
          <cell r="L2692">
            <v>0</v>
          </cell>
          <cell r="M2692">
            <v>4.4560000000000004</v>
          </cell>
          <cell r="N2692">
            <v>0</v>
          </cell>
          <cell r="O2692">
            <v>0.1192</v>
          </cell>
          <cell r="P2692">
            <v>11.92</v>
          </cell>
          <cell r="Q2692">
            <v>2.4272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0.38640000000000002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</row>
        <row r="2693">
          <cell r="A2693">
            <v>53106500</v>
          </cell>
          <cell r="B2693" t="str">
            <v>Cake, cream, without icing or topping</v>
          </cell>
          <cell r="I2693">
            <v>80</v>
          </cell>
          <cell r="J2693">
            <v>239.80251000000001</v>
          </cell>
          <cell r="K2693">
            <v>2.9975313750000003</v>
          </cell>
          <cell r="L2693">
            <v>0</v>
          </cell>
          <cell r="M2693">
            <v>3.3587582999999999</v>
          </cell>
          <cell r="N2693">
            <v>0</v>
          </cell>
          <cell r="O2693">
            <v>5.7592699999999997E-2</v>
          </cell>
          <cell r="P2693">
            <v>0.247144</v>
          </cell>
          <cell r="Q2693">
            <v>3.0149537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0.32125359999999997</v>
          </cell>
          <cell r="Y2693">
            <v>0</v>
          </cell>
          <cell r="Z2693">
            <v>0</v>
          </cell>
          <cell r="AA2693">
            <v>0</v>
          </cell>
          <cell r="AB2693">
            <v>0.43954539999999998</v>
          </cell>
        </row>
        <row r="2694">
          <cell r="A2694">
            <v>53108200</v>
          </cell>
          <cell r="B2694" t="str">
            <v>Snack cake, chocolate, with icing or filling</v>
          </cell>
          <cell r="I2694">
            <v>80</v>
          </cell>
          <cell r="J2694">
            <v>319.2</v>
          </cell>
          <cell r="K2694">
            <v>3.9899999999999998</v>
          </cell>
          <cell r="L2694">
            <v>0</v>
          </cell>
          <cell r="M2694">
            <v>3.9072</v>
          </cell>
          <cell r="N2694">
            <v>0</v>
          </cell>
          <cell r="O2694">
            <v>9.2799999999999994E-2</v>
          </cell>
          <cell r="P2694">
            <v>2.56</v>
          </cell>
          <cell r="Q2694">
            <v>1.4576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0.2656</v>
          </cell>
          <cell r="Y2694">
            <v>0</v>
          </cell>
          <cell r="Z2694">
            <v>0</v>
          </cell>
          <cell r="AA2694">
            <v>0</v>
          </cell>
          <cell r="AB2694">
            <v>0.49093609999999999</v>
          </cell>
        </row>
        <row r="2695">
          <cell r="A2695">
            <v>53109200</v>
          </cell>
          <cell r="B2695" t="str">
            <v>Snack cake, not chocolate, with icing or filling</v>
          </cell>
          <cell r="I2695">
            <v>80</v>
          </cell>
          <cell r="J2695">
            <v>299.2</v>
          </cell>
          <cell r="K2695">
            <v>3.7399999999999998</v>
          </cell>
          <cell r="L2695">
            <v>0</v>
          </cell>
          <cell r="M2695">
            <v>3.3111999999999999</v>
          </cell>
          <cell r="N2695">
            <v>0</v>
          </cell>
          <cell r="O2695">
            <v>1.9199999999999998E-2</v>
          </cell>
          <cell r="P2695">
            <v>0.8</v>
          </cell>
          <cell r="Q2695">
            <v>1.488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0.376</v>
          </cell>
          <cell r="Y2695">
            <v>0</v>
          </cell>
          <cell r="Z2695">
            <v>0</v>
          </cell>
          <cell r="AA2695">
            <v>0</v>
          </cell>
          <cell r="AB2695">
            <v>1.2968</v>
          </cell>
        </row>
        <row r="2696">
          <cell r="A2696">
            <v>53109220</v>
          </cell>
          <cell r="B2696" t="str">
            <v>Snack cake, not chocolate, with icing or filling, reduced fat and calories</v>
          </cell>
          <cell r="I2696">
            <v>80</v>
          </cell>
          <cell r="J2696">
            <v>324</v>
          </cell>
          <cell r="K2696">
            <v>4.05</v>
          </cell>
          <cell r="L2696">
            <v>0</v>
          </cell>
          <cell r="M2696">
            <v>2.9704000000000002</v>
          </cell>
          <cell r="N2696">
            <v>0</v>
          </cell>
          <cell r="O2696">
            <v>0.1784</v>
          </cell>
          <cell r="P2696">
            <v>11.92</v>
          </cell>
          <cell r="Q2696">
            <v>2.3952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0.25280000000000002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</row>
        <row r="2697">
          <cell r="A2697">
            <v>53110000</v>
          </cell>
          <cell r="B2697" t="str">
            <v>Cake, fruit cake, light or dark, holiday type cake</v>
          </cell>
          <cell r="I2697">
            <v>125</v>
          </cell>
          <cell r="J2697">
            <v>405</v>
          </cell>
          <cell r="K2697">
            <v>3.24</v>
          </cell>
          <cell r="L2697">
            <v>0.46931929999999999</v>
          </cell>
          <cell r="M2697">
            <v>1.31</v>
          </cell>
          <cell r="N2697">
            <v>0</v>
          </cell>
          <cell r="O2697">
            <v>4.1250000000000002E-2</v>
          </cell>
          <cell r="P2697">
            <v>4.1556806999999996</v>
          </cell>
          <cell r="Q2697">
            <v>4.1537499999999996</v>
          </cell>
          <cell r="R2697">
            <v>0</v>
          </cell>
          <cell r="S2697">
            <v>0</v>
          </cell>
          <cell r="T2697">
            <v>10.875</v>
          </cell>
          <cell r="U2697">
            <v>0</v>
          </cell>
          <cell r="V2697">
            <v>0</v>
          </cell>
          <cell r="W2697">
            <v>0</v>
          </cell>
          <cell r="X2697">
            <v>0.12625</v>
          </cell>
          <cell r="Y2697">
            <v>7.4418749999999996</v>
          </cell>
          <cell r="Z2697">
            <v>0</v>
          </cell>
          <cell r="AA2697">
            <v>0</v>
          </cell>
          <cell r="AB2697">
            <v>0.45521299999999998</v>
          </cell>
        </row>
        <row r="2698">
          <cell r="A2698">
            <v>53111000</v>
          </cell>
          <cell r="B2698" t="str">
            <v>Cake or cupcake, gingerbread</v>
          </cell>
          <cell r="I2698">
            <v>80</v>
          </cell>
          <cell r="J2698">
            <v>197.31531000000001</v>
          </cell>
          <cell r="K2698">
            <v>2.466441375</v>
          </cell>
          <cell r="L2698">
            <v>0</v>
          </cell>
          <cell r="M2698">
            <v>1.6675742</v>
          </cell>
          <cell r="N2698">
            <v>0</v>
          </cell>
          <cell r="O2698">
            <v>4.4715100000000001E-2</v>
          </cell>
          <cell r="P2698">
            <v>0.73820620000000003</v>
          </cell>
          <cell r="Q2698">
            <v>0.88430120000000001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0.2940468</v>
          </cell>
          <cell r="Y2698">
            <v>0</v>
          </cell>
          <cell r="Z2698">
            <v>0</v>
          </cell>
          <cell r="AA2698">
            <v>0</v>
          </cell>
          <cell r="AB2698">
            <v>0.6497233</v>
          </cell>
        </row>
        <row r="2699">
          <cell r="A2699">
            <v>53112000</v>
          </cell>
          <cell r="B2699" t="str">
            <v>Cake, ice cream and cake roll, chocolate</v>
          </cell>
          <cell r="I2699">
            <v>80</v>
          </cell>
          <cell r="J2699">
            <v>250.58453</v>
          </cell>
          <cell r="K2699">
            <v>3.132306625</v>
          </cell>
          <cell r="L2699">
            <v>0</v>
          </cell>
          <cell r="M2699">
            <v>5.0243544</v>
          </cell>
          <cell r="N2699">
            <v>0</v>
          </cell>
          <cell r="O2699">
            <v>5.6639099999999998E-2</v>
          </cell>
          <cell r="P2699">
            <v>1.2604219000000001</v>
          </cell>
          <cell r="Q2699">
            <v>2.308773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0.18914210000000001</v>
          </cell>
          <cell r="Y2699">
            <v>0</v>
          </cell>
          <cell r="Z2699">
            <v>0</v>
          </cell>
          <cell r="AA2699">
            <v>0</v>
          </cell>
          <cell r="AB2699">
            <v>0.61543740000000002</v>
          </cell>
        </row>
        <row r="2700">
          <cell r="A2700">
            <v>53112100</v>
          </cell>
          <cell r="B2700" t="str">
            <v>Cake, ice cream and cake roll, not chocolate</v>
          </cell>
          <cell r="I2700">
            <v>80</v>
          </cell>
          <cell r="J2700">
            <v>251.51841999999999</v>
          </cell>
          <cell r="K2700">
            <v>3.1439802499999998</v>
          </cell>
          <cell r="L2700">
            <v>0</v>
          </cell>
          <cell r="M2700">
            <v>3.6323826000000001</v>
          </cell>
          <cell r="N2700">
            <v>0</v>
          </cell>
          <cell r="O2700">
            <v>7.1581400000000003E-2</v>
          </cell>
          <cell r="P2700">
            <v>0.37322080000000002</v>
          </cell>
          <cell r="Q2700">
            <v>3.1287335999999999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0.15225320000000001</v>
          </cell>
          <cell r="Y2700">
            <v>0</v>
          </cell>
          <cell r="Z2700">
            <v>0</v>
          </cell>
          <cell r="AA2700">
            <v>0</v>
          </cell>
          <cell r="AB2700">
            <v>0.58056050000000003</v>
          </cell>
        </row>
        <row r="2701">
          <cell r="A2701">
            <v>53113000</v>
          </cell>
          <cell r="B2701" t="str">
            <v>Cake, jelly roll</v>
          </cell>
          <cell r="I2701">
            <v>80</v>
          </cell>
          <cell r="J2701">
            <v>239.73555999999999</v>
          </cell>
          <cell r="K2701">
            <v>2.9966944999999998</v>
          </cell>
          <cell r="L2701">
            <v>0.1955556</v>
          </cell>
          <cell r="M2701">
            <v>1.7579184999999999</v>
          </cell>
          <cell r="N2701">
            <v>0</v>
          </cell>
          <cell r="O2701">
            <v>4.5771199999999998E-2</v>
          </cell>
          <cell r="P2701">
            <v>0.21968360000000001</v>
          </cell>
          <cell r="Q2701">
            <v>2.6066254999999998</v>
          </cell>
          <cell r="R2701">
            <v>0</v>
          </cell>
          <cell r="S2701">
            <v>0</v>
          </cell>
          <cell r="T2701">
            <v>8.5489777999999994</v>
          </cell>
          <cell r="U2701">
            <v>0</v>
          </cell>
          <cell r="V2701">
            <v>0</v>
          </cell>
          <cell r="W2701">
            <v>0</v>
          </cell>
          <cell r="X2701">
            <v>0.29053649999999998</v>
          </cell>
          <cell r="Y2701">
            <v>0</v>
          </cell>
          <cell r="Z2701">
            <v>0</v>
          </cell>
          <cell r="AA2701">
            <v>0</v>
          </cell>
          <cell r="AB2701">
            <v>0.16650180000000001</v>
          </cell>
        </row>
        <row r="2702">
          <cell r="A2702">
            <v>53114000</v>
          </cell>
          <cell r="B2702" t="str">
            <v>Cake or cupcake, lemon, without icing or filling</v>
          </cell>
          <cell r="I2702">
            <v>80</v>
          </cell>
          <cell r="J2702">
            <v>244.68858</v>
          </cell>
          <cell r="K2702">
            <v>3.0586072500000001</v>
          </cell>
          <cell r="L2702">
            <v>0</v>
          </cell>
          <cell r="M2702">
            <v>2.2578952000000001</v>
          </cell>
          <cell r="N2702">
            <v>0</v>
          </cell>
          <cell r="O2702">
            <v>5.4277300000000001E-2</v>
          </cell>
          <cell r="P2702">
            <v>0.28245029999999999</v>
          </cell>
          <cell r="Q2702">
            <v>3.3513757000000002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0.36623270000000002</v>
          </cell>
          <cell r="Y2702">
            <v>0</v>
          </cell>
          <cell r="Z2702">
            <v>0</v>
          </cell>
          <cell r="AA2702">
            <v>0</v>
          </cell>
          <cell r="AB2702">
            <v>0.74801130000000005</v>
          </cell>
        </row>
        <row r="2703">
          <cell r="A2703">
            <v>53114100</v>
          </cell>
          <cell r="B2703" t="str">
            <v>Cake or cupcake, lemon, with icing or filling</v>
          </cell>
          <cell r="I2703">
            <v>80</v>
          </cell>
          <cell r="J2703">
            <v>266.37749000000002</v>
          </cell>
          <cell r="K2703">
            <v>3.3297186250000004</v>
          </cell>
          <cell r="L2703">
            <v>2.2199999999999999E-17</v>
          </cell>
          <cell r="M2703">
            <v>4.1203029999999998</v>
          </cell>
          <cell r="N2703">
            <v>0</v>
          </cell>
          <cell r="O2703">
            <v>3.8998600000000001E-2</v>
          </cell>
          <cell r="P2703">
            <v>0.19528889999999999</v>
          </cell>
          <cell r="Q2703">
            <v>2.4687774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0.28568450000000001</v>
          </cell>
          <cell r="Y2703">
            <v>0</v>
          </cell>
          <cell r="Z2703">
            <v>0</v>
          </cell>
          <cell r="AA2703">
            <v>0</v>
          </cell>
          <cell r="AB2703">
            <v>0.4606053</v>
          </cell>
        </row>
        <row r="2704">
          <cell r="A2704">
            <v>53115100</v>
          </cell>
          <cell r="B2704" t="str">
            <v>Cake or cupcake, marble, without icing or filling</v>
          </cell>
          <cell r="I2704">
            <v>80</v>
          </cell>
          <cell r="J2704">
            <v>238.23257000000001</v>
          </cell>
          <cell r="K2704">
            <v>2.9779071250000002</v>
          </cell>
          <cell r="L2704">
            <v>-8.8799999999999996E-17</v>
          </cell>
          <cell r="M2704">
            <v>2.1677127999999999</v>
          </cell>
          <cell r="N2704">
            <v>0</v>
          </cell>
          <cell r="O2704">
            <v>5.7908800000000003E-2</v>
          </cell>
          <cell r="P2704">
            <v>0.60525059999999997</v>
          </cell>
          <cell r="Q2704">
            <v>3.5478803999999999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0.3474699</v>
          </cell>
          <cell r="Y2704">
            <v>0</v>
          </cell>
          <cell r="Z2704">
            <v>0</v>
          </cell>
          <cell r="AA2704">
            <v>0</v>
          </cell>
          <cell r="AB2704">
            <v>0.4979828</v>
          </cell>
        </row>
        <row r="2705">
          <cell r="A2705">
            <v>53115200</v>
          </cell>
          <cell r="B2705" t="str">
            <v>Cake or cupcake, marble, with icing or filling</v>
          </cell>
          <cell r="I2705">
            <v>80</v>
          </cell>
          <cell r="J2705">
            <v>312</v>
          </cell>
          <cell r="K2705">
            <v>3.9</v>
          </cell>
          <cell r="L2705">
            <v>0</v>
          </cell>
          <cell r="M2705">
            <v>3.5411999999999999</v>
          </cell>
          <cell r="N2705">
            <v>0</v>
          </cell>
          <cell r="O2705">
            <v>3.6799999999999999E-2</v>
          </cell>
          <cell r="P2705">
            <v>1</v>
          </cell>
          <cell r="Q2705">
            <v>4.4000000000000004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0.24679999999999999</v>
          </cell>
          <cell r="Y2705">
            <v>0</v>
          </cell>
          <cell r="Z2705">
            <v>0</v>
          </cell>
          <cell r="AA2705">
            <v>0</v>
          </cell>
          <cell r="AB2705">
            <v>0.65726739999999995</v>
          </cell>
        </row>
        <row r="2706">
          <cell r="A2706">
            <v>53115310</v>
          </cell>
          <cell r="B2706" t="str">
            <v>Cake or cupcake, nut, without icing or filling</v>
          </cell>
          <cell r="I2706">
            <v>80</v>
          </cell>
          <cell r="J2706">
            <v>279.50250999999997</v>
          </cell>
          <cell r="K2706">
            <v>3.4937813749999997</v>
          </cell>
          <cell r="L2706">
            <v>0</v>
          </cell>
          <cell r="M2706">
            <v>2.5882583000000001</v>
          </cell>
          <cell r="N2706">
            <v>0</v>
          </cell>
          <cell r="O2706">
            <v>5.7292700000000002E-2</v>
          </cell>
          <cell r="P2706">
            <v>0.91714399999999996</v>
          </cell>
          <cell r="Q2706">
            <v>7.6498537000000004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0.32065359999999998</v>
          </cell>
          <cell r="Y2706">
            <v>9.9933750000000003</v>
          </cell>
          <cell r="Z2706">
            <v>0</v>
          </cell>
          <cell r="AA2706">
            <v>0</v>
          </cell>
          <cell r="AB2706">
            <v>0.39384039999999998</v>
          </cell>
        </row>
        <row r="2707">
          <cell r="A2707">
            <v>53115320</v>
          </cell>
          <cell r="B2707" t="str">
            <v>Cake or cupcake, nut, with icing or filling</v>
          </cell>
          <cell r="I2707">
            <v>80</v>
          </cell>
          <cell r="J2707">
            <v>281.46703000000002</v>
          </cell>
          <cell r="K2707">
            <v>3.5183378750000003</v>
          </cell>
          <cell r="L2707">
            <v>-8.8799999999999996E-17</v>
          </cell>
          <cell r="M2707">
            <v>3.0998483999999999</v>
          </cell>
          <cell r="N2707">
            <v>0</v>
          </cell>
          <cell r="O2707">
            <v>3.93026E-2</v>
          </cell>
          <cell r="P2707">
            <v>0.65414470000000002</v>
          </cell>
          <cell r="Q2707">
            <v>4.3493487000000002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0.2764026</v>
          </cell>
          <cell r="Y2707">
            <v>3.5437500000000002</v>
          </cell>
          <cell r="Z2707">
            <v>0</v>
          </cell>
          <cell r="AA2707">
            <v>0</v>
          </cell>
          <cell r="AB2707">
            <v>0.45899040000000002</v>
          </cell>
        </row>
        <row r="2708">
          <cell r="A2708">
            <v>53115410</v>
          </cell>
          <cell r="B2708" t="str">
            <v>Cake or cupcake, oatmeal</v>
          </cell>
          <cell r="I2708">
            <v>80</v>
          </cell>
          <cell r="J2708">
            <v>273.45440000000002</v>
          </cell>
          <cell r="K2708">
            <v>3.4181800000000004</v>
          </cell>
          <cell r="L2708">
            <v>0.57147000000000003</v>
          </cell>
          <cell r="M2708">
            <v>2.2222057999999998</v>
          </cell>
          <cell r="N2708">
            <v>0</v>
          </cell>
          <cell r="O2708">
            <v>1.4363799999999999E-2</v>
          </cell>
          <cell r="P2708">
            <v>0.45047939999999997</v>
          </cell>
          <cell r="Q2708">
            <v>2.6546004999999999</v>
          </cell>
          <cell r="R2708">
            <v>2.1835106999999998</v>
          </cell>
          <cell r="S2708">
            <v>0</v>
          </cell>
          <cell r="T2708">
            <v>9.4847414000000008</v>
          </cell>
          <cell r="U2708">
            <v>0</v>
          </cell>
          <cell r="V2708">
            <v>0</v>
          </cell>
          <cell r="W2708">
            <v>0</v>
          </cell>
          <cell r="X2708">
            <v>0.19351840000000001</v>
          </cell>
          <cell r="Y2708">
            <v>0</v>
          </cell>
          <cell r="Z2708">
            <v>0</v>
          </cell>
          <cell r="AA2708">
            <v>0</v>
          </cell>
          <cell r="AB2708">
            <v>1.2514474</v>
          </cell>
        </row>
        <row r="2709">
          <cell r="A2709">
            <v>53115450</v>
          </cell>
          <cell r="B2709" t="str">
            <v>Cake or cupcake, peanut butter</v>
          </cell>
          <cell r="I2709">
            <v>80</v>
          </cell>
          <cell r="J2709">
            <v>290.81265000000002</v>
          </cell>
          <cell r="K2709">
            <v>3.6351581250000002</v>
          </cell>
          <cell r="L2709">
            <v>0</v>
          </cell>
          <cell r="M2709">
            <v>3.5476627000000001</v>
          </cell>
          <cell r="N2709">
            <v>0</v>
          </cell>
          <cell r="O2709">
            <v>3.5659099999999999E-2</v>
          </cell>
          <cell r="P2709">
            <v>0.75445209999999996</v>
          </cell>
          <cell r="Q2709">
            <v>3.3453092999999998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0.28443869999999999</v>
          </cell>
          <cell r="Y2709">
            <v>5.9762845999999996</v>
          </cell>
          <cell r="Z2709">
            <v>0</v>
          </cell>
          <cell r="AA2709">
            <v>0</v>
          </cell>
          <cell r="AB2709">
            <v>0.72265869999999999</v>
          </cell>
        </row>
        <row r="2710">
          <cell r="A2710">
            <v>53116000</v>
          </cell>
          <cell r="B2710" t="str">
            <v>Cake, pound, without icing or filling</v>
          </cell>
          <cell r="I2710">
            <v>80</v>
          </cell>
          <cell r="J2710">
            <v>282.39999999999998</v>
          </cell>
          <cell r="K2710">
            <v>3.53</v>
          </cell>
          <cell r="L2710">
            <v>0</v>
          </cell>
          <cell r="M2710">
            <v>3.8488000000000002</v>
          </cell>
          <cell r="N2710">
            <v>0</v>
          </cell>
          <cell r="O2710">
            <v>3.7600000000000001E-2</v>
          </cell>
          <cell r="P2710">
            <v>0.48</v>
          </cell>
          <cell r="Q2710">
            <v>2.7351999999999999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0.30159999999999998</v>
          </cell>
          <cell r="Y2710">
            <v>0</v>
          </cell>
          <cell r="Z2710">
            <v>0</v>
          </cell>
          <cell r="AA2710">
            <v>0</v>
          </cell>
          <cell r="AB2710">
            <v>0.15359999999999999</v>
          </cell>
        </row>
        <row r="2711">
          <cell r="A2711">
            <v>53116020</v>
          </cell>
          <cell r="B2711" t="str">
            <v>Cake, pound, with icing or filling</v>
          </cell>
          <cell r="I2711">
            <v>80</v>
          </cell>
          <cell r="J2711">
            <v>299.71044000000001</v>
          </cell>
          <cell r="K2711">
            <v>3.7463804999999999</v>
          </cell>
          <cell r="L2711">
            <v>0</v>
          </cell>
          <cell r="M2711">
            <v>3.3595804</v>
          </cell>
          <cell r="N2711">
            <v>0</v>
          </cell>
          <cell r="O2711">
            <v>2.5882200000000001E-2</v>
          </cell>
          <cell r="P2711">
            <v>0.32021139999999998</v>
          </cell>
          <cell r="Q2711">
            <v>3.9421368999999999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0.25020130000000002</v>
          </cell>
          <cell r="Y2711">
            <v>0</v>
          </cell>
          <cell r="Z2711">
            <v>0</v>
          </cell>
          <cell r="AA2711">
            <v>0</v>
          </cell>
          <cell r="AB2711">
            <v>0.10246760000000001</v>
          </cell>
        </row>
        <row r="2712">
          <cell r="A2712">
            <v>53116270</v>
          </cell>
          <cell r="B2712" t="str">
            <v>Cake, pound, chocolate</v>
          </cell>
          <cell r="I2712">
            <v>80</v>
          </cell>
          <cell r="J2712">
            <v>298.24847</v>
          </cell>
          <cell r="K2712">
            <v>3.7281058749999998</v>
          </cell>
          <cell r="L2712">
            <v>1.7759999999999999E-16</v>
          </cell>
          <cell r="M2712">
            <v>5.4634719</v>
          </cell>
          <cell r="N2712">
            <v>0</v>
          </cell>
          <cell r="O2712">
            <v>3.5728099999999999E-2</v>
          </cell>
          <cell r="P2712">
            <v>1.1413928</v>
          </cell>
          <cell r="Q2712">
            <v>2.4290875000000001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0.2559265</v>
          </cell>
          <cell r="Y2712">
            <v>0</v>
          </cell>
          <cell r="Z2712">
            <v>0</v>
          </cell>
          <cell r="AA2712">
            <v>0</v>
          </cell>
          <cell r="AB2712">
            <v>0.9322916</v>
          </cell>
        </row>
        <row r="2713">
          <cell r="A2713">
            <v>53116500</v>
          </cell>
          <cell r="B2713" t="str">
            <v>Cake or cupcake, pumpkin, without icing or filling</v>
          </cell>
          <cell r="I2713">
            <v>80</v>
          </cell>
          <cell r="J2713">
            <v>278.76056999999997</v>
          </cell>
          <cell r="K2713">
            <v>3.4845071249999995</v>
          </cell>
          <cell r="L2713">
            <v>0.66727300000000001</v>
          </cell>
          <cell r="M2713">
            <v>2.3161987000000002</v>
          </cell>
          <cell r="N2713">
            <v>0</v>
          </cell>
          <cell r="O2713">
            <v>2.1948499999999999E-2</v>
          </cell>
          <cell r="P2713">
            <v>0.94798780000000005</v>
          </cell>
          <cell r="Q2713">
            <v>8.1218305999999991</v>
          </cell>
          <cell r="R2713">
            <v>0</v>
          </cell>
          <cell r="S2713">
            <v>0</v>
          </cell>
          <cell r="T2713">
            <v>0</v>
          </cell>
          <cell r="U2713">
            <v>23.009412000000001</v>
          </cell>
          <cell r="V2713">
            <v>0</v>
          </cell>
          <cell r="W2713">
            <v>0</v>
          </cell>
          <cell r="X2713">
            <v>0.14409189999999999</v>
          </cell>
          <cell r="Y2713">
            <v>6.4772306000000004</v>
          </cell>
          <cell r="Z2713">
            <v>0</v>
          </cell>
          <cell r="AA2713">
            <v>0</v>
          </cell>
          <cell r="AB2713">
            <v>0.185831</v>
          </cell>
        </row>
        <row r="2714">
          <cell r="A2714">
            <v>53116510</v>
          </cell>
          <cell r="B2714" t="str">
            <v>Cake or cupcake, pumpkin, with icing or filling</v>
          </cell>
          <cell r="I2714">
            <v>80</v>
          </cell>
          <cell r="J2714">
            <v>305.51931000000002</v>
          </cell>
          <cell r="K2714">
            <v>3.8189913750000004</v>
          </cell>
          <cell r="L2714">
            <v>0.43983</v>
          </cell>
          <cell r="M2714">
            <v>6.2738259999999997</v>
          </cell>
          <cell r="N2714">
            <v>0</v>
          </cell>
          <cell r="O2714">
            <v>2.3898699999999998E-2</v>
          </cell>
          <cell r="P2714">
            <v>0.62486189999999997</v>
          </cell>
          <cell r="Q2714">
            <v>5.6577649000000001</v>
          </cell>
          <cell r="R2714">
            <v>0</v>
          </cell>
          <cell r="S2714">
            <v>0</v>
          </cell>
          <cell r="T2714">
            <v>0</v>
          </cell>
          <cell r="U2714">
            <v>15.166551999999999</v>
          </cell>
          <cell r="V2714">
            <v>0</v>
          </cell>
          <cell r="W2714">
            <v>0</v>
          </cell>
          <cell r="X2714">
            <v>0.15959370000000001</v>
          </cell>
          <cell r="Y2714">
            <v>4.2694377000000001</v>
          </cell>
          <cell r="Z2714">
            <v>0</v>
          </cell>
          <cell r="AA2714">
            <v>0</v>
          </cell>
          <cell r="AB2714">
            <v>0.40761550000000002</v>
          </cell>
        </row>
        <row r="2715">
          <cell r="A2715">
            <v>53116600</v>
          </cell>
          <cell r="B2715" t="str">
            <v>Cake, rice flour, without icing or filling</v>
          </cell>
          <cell r="I2715">
            <v>125</v>
          </cell>
          <cell r="J2715">
            <v>288.56675000000001</v>
          </cell>
          <cell r="K2715">
            <v>2.3085340000000003</v>
          </cell>
          <cell r="L2715">
            <v>0</v>
          </cell>
          <cell r="M2715">
            <v>7.6456426000000004</v>
          </cell>
          <cell r="N2715">
            <v>0</v>
          </cell>
          <cell r="O2715">
            <v>0.2047882</v>
          </cell>
          <cell r="P2715">
            <v>1.4006037</v>
          </cell>
          <cell r="Q2715">
            <v>0.16255539999999999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0.3348254</v>
          </cell>
          <cell r="Y2715">
            <v>0</v>
          </cell>
          <cell r="Z2715">
            <v>0</v>
          </cell>
          <cell r="AA2715">
            <v>0</v>
          </cell>
          <cell r="AB2715">
            <v>0.2304196</v>
          </cell>
        </row>
        <row r="2716">
          <cell r="A2716">
            <v>53116650</v>
          </cell>
          <cell r="B2716" t="str">
            <v>Cake, Quezadilla, El Salvadorian style</v>
          </cell>
          <cell r="I2716">
            <v>80</v>
          </cell>
          <cell r="J2716">
            <v>293.60000000000002</v>
          </cell>
          <cell r="K2716">
            <v>3.6700000000000004</v>
          </cell>
          <cell r="L2716">
            <v>0</v>
          </cell>
          <cell r="M2716">
            <v>1.7464</v>
          </cell>
          <cell r="N2716">
            <v>0</v>
          </cell>
          <cell r="O2716">
            <v>6.88E-2</v>
          </cell>
          <cell r="P2716">
            <v>1.84</v>
          </cell>
          <cell r="Q2716">
            <v>1.224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0.18240000000000001</v>
          </cell>
          <cell r="Y2716">
            <v>0</v>
          </cell>
          <cell r="Z2716">
            <v>0</v>
          </cell>
          <cell r="AA2716">
            <v>0</v>
          </cell>
          <cell r="AB2716">
            <v>0.88239999999999996</v>
          </cell>
        </row>
        <row r="2717">
          <cell r="A2717">
            <v>53117100</v>
          </cell>
          <cell r="B2717" t="str">
            <v>Cake or cupcake, spice, without icing or filling</v>
          </cell>
          <cell r="I2717">
            <v>80</v>
          </cell>
          <cell r="J2717">
            <v>293.60919999999999</v>
          </cell>
          <cell r="K2717">
            <v>3.670115</v>
          </cell>
          <cell r="L2717">
            <v>0.25541979999999997</v>
          </cell>
          <cell r="M2717">
            <v>2.3580576999999998</v>
          </cell>
          <cell r="N2717">
            <v>0</v>
          </cell>
          <cell r="O2717">
            <v>1.70878E-2</v>
          </cell>
          <cell r="P2717">
            <v>0.97667210000000004</v>
          </cell>
          <cell r="Q2717">
            <v>8.3755194999999993</v>
          </cell>
          <cell r="R2717">
            <v>0</v>
          </cell>
          <cell r="S2717">
            <v>0</v>
          </cell>
          <cell r="T2717">
            <v>20.158586</v>
          </cell>
          <cell r="U2717">
            <v>0</v>
          </cell>
          <cell r="V2717">
            <v>0</v>
          </cell>
          <cell r="W2717">
            <v>0</v>
          </cell>
          <cell r="X2717">
            <v>0.1476922</v>
          </cell>
          <cell r="Y2717">
            <v>6.6732190999999998</v>
          </cell>
          <cell r="Z2717">
            <v>0</v>
          </cell>
          <cell r="AA2717">
            <v>0</v>
          </cell>
          <cell r="AB2717">
            <v>0.38959349999999998</v>
          </cell>
        </row>
        <row r="2718">
          <cell r="A2718">
            <v>53117200</v>
          </cell>
          <cell r="B2718" t="str">
            <v>Cake or cupcake, spice, with icing or filling</v>
          </cell>
          <cell r="I2718">
            <v>80</v>
          </cell>
          <cell r="J2718">
            <v>315.73505</v>
          </cell>
          <cell r="K2718">
            <v>3.9466881250000001</v>
          </cell>
          <cell r="L2718">
            <v>0.16664019999999999</v>
          </cell>
          <cell r="M2718">
            <v>6.3792625000000003</v>
          </cell>
          <cell r="N2718">
            <v>0</v>
          </cell>
          <cell r="O2718">
            <v>2.07659E-2</v>
          </cell>
          <cell r="P2718">
            <v>0.63719720000000002</v>
          </cell>
          <cell r="Q2718">
            <v>5.7746331</v>
          </cell>
          <cell r="R2718">
            <v>0</v>
          </cell>
          <cell r="S2718">
            <v>0</v>
          </cell>
          <cell r="T2718">
            <v>13.1518</v>
          </cell>
          <cell r="U2718">
            <v>0</v>
          </cell>
          <cell r="V2718">
            <v>0</v>
          </cell>
          <cell r="W2718">
            <v>0</v>
          </cell>
          <cell r="X2718">
            <v>0.16224859999999999</v>
          </cell>
          <cell r="Y2718">
            <v>4.3537201000000003</v>
          </cell>
          <cell r="Z2718">
            <v>0</v>
          </cell>
          <cell r="AA2718">
            <v>0</v>
          </cell>
          <cell r="AB2718">
            <v>0.5203624</v>
          </cell>
        </row>
        <row r="2719">
          <cell r="A2719">
            <v>53118100</v>
          </cell>
          <cell r="B2719" t="str">
            <v>Cake, sponge, without icing or filling</v>
          </cell>
          <cell r="I2719">
            <v>55</v>
          </cell>
          <cell r="J2719">
            <v>159.5</v>
          </cell>
          <cell r="K2719">
            <v>2.9</v>
          </cell>
          <cell r="L2719">
            <v>0</v>
          </cell>
          <cell r="M2719">
            <v>0.44109999999999999</v>
          </cell>
          <cell r="N2719">
            <v>0</v>
          </cell>
          <cell r="O2719">
            <v>3.85E-2</v>
          </cell>
          <cell r="P2719">
            <v>0.27500000000000002</v>
          </cell>
          <cell r="Q2719">
            <v>0.24640000000000001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0.34265000000000001</v>
          </cell>
          <cell r="Y2719">
            <v>0</v>
          </cell>
          <cell r="Z2719">
            <v>0</v>
          </cell>
          <cell r="AA2719">
            <v>0</v>
          </cell>
          <cell r="AB2719">
            <v>3.2848200000000001E-2</v>
          </cell>
        </row>
        <row r="2720">
          <cell r="A2720">
            <v>53118200</v>
          </cell>
          <cell r="B2720" t="str">
            <v>Cake, sponge, with icing or filling</v>
          </cell>
          <cell r="I2720">
            <v>80</v>
          </cell>
          <cell r="J2720">
            <v>269.35014000000001</v>
          </cell>
          <cell r="K2720">
            <v>3.3668767500000003</v>
          </cell>
          <cell r="L2720">
            <v>0</v>
          </cell>
          <cell r="M2720">
            <v>1.2753852999999999</v>
          </cell>
          <cell r="N2720">
            <v>0</v>
          </cell>
          <cell r="O2720">
            <v>3.6449500000000003E-2</v>
          </cell>
          <cell r="P2720">
            <v>0.25410100000000002</v>
          </cell>
          <cell r="Q2720">
            <v>2.5477604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0.37030069999999998</v>
          </cell>
          <cell r="Y2720">
            <v>0</v>
          </cell>
          <cell r="Z2720">
            <v>0</v>
          </cell>
          <cell r="AA2720">
            <v>0</v>
          </cell>
          <cell r="AB2720">
            <v>0.25271090000000002</v>
          </cell>
        </row>
        <row r="2721">
          <cell r="A2721">
            <v>53118300</v>
          </cell>
          <cell r="B2721" t="str">
            <v>Cake, sponge, chocolate</v>
          </cell>
          <cell r="I2721">
            <v>55</v>
          </cell>
          <cell r="J2721">
            <v>180.96539000000001</v>
          </cell>
          <cell r="K2721">
            <v>3.2902798181818182</v>
          </cell>
          <cell r="L2721">
            <v>0</v>
          </cell>
          <cell r="M2721">
            <v>1.388787</v>
          </cell>
          <cell r="N2721">
            <v>0</v>
          </cell>
          <cell r="O2721">
            <v>2.6062100000000001E-2</v>
          </cell>
          <cell r="P2721">
            <v>0.35524450000000002</v>
          </cell>
          <cell r="Q2721">
            <v>0.60308660000000003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0.25438110000000003</v>
          </cell>
          <cell r="Y2721">
            <v>0</v>
          </cell>
          <cell r="Z2721">
            <v>0</v>
          </cell>
          <cell r="AA2721">
            <v>0</v>
          </cell>
          <cell r="AB2721">
            <v>0.32862659999999999</v>
          </cell>
        </row>
        <row r="2722">
          <cell r="A2722">
            <v>53118410</v>
          </cell>
          <cell r="B2722" t="str">
            <v>Rum cake, without icing</v>
          </cell>
          <cell r="I2722">
            <v>80</v>
          </cell>
          <cell r="J2722">
            <v>282.39999999999998</v>
          </cell>
          <cell r="K2722">
            <v>3.53</v>
          </cell>
          <cell r="L2722">
            <v>0</v>
          </cell>
          <cell r="M2722">
            <v>3.8488000000000002</v>
          </cell>
          <cell r="N2722">
            <v>0</v>
          </cell>
          <cell r="O2722">
            <v>3.7600000000000001E-2</v>
          </cell>
          <cell r="P2722">
            <v>0.48</v>
          </cell>
          <cell r="Q2722">
            <v>2.7351999999999999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0.30159999999999998</v>
          </cell>
          <cell r="Y2722">
            <v>0</v>
          </cell>
          <cell r="Z2722">
            <v>0</v>
          </cell>
          <cell r="AA2722">
            <v>0</v>
          </cell>
          <cell r="AB2722">
            <v>0.15359999999999999</v>
          </cell>
        </row>
        <row r="2723">
          <cell r="A2723">
            <v>53118500</v>
          </cell>
          <cell r="B2723" t="str">
            <v>Cake, torte</v>
          </cell>
          <cell r="I2723">
            <v>80</v>
          </cell>
          <cell r="J2723">
            <v>190.63833</v>
          </cell>
          <cell r="K2723">
            <v>2.3829791249999999</v>
          </cell>
          <cell r="L2723">
            <v>0.37734679999999998</v>
          </cell>
          <cell r="M2723">
            <v>2.5043103000000002</v>
          </cell>
          <cell r="N2723">
            <v>0</v>
          </cell>
          <cell r="O2723">
            <v>4.5927200000000001E-2</v>
          </cell>
          <cell r="P2723">
            <v>0.1840638</v>
          </cell>
          <cell r="Q2723">
            <v>2.2746715000000002</v>
          </cell>
          <cell r="R2723">
            <v>0</v>
          </cell>
          <cell r="S2723">
            <v>0</v>
          </cell>
          <cell r="T2723">
            <v>18.867339000000001</v>
          </cell>
          <cell r="U2723">
            <v>0</v>
          </cell>
          <cell r="V2723">
            <v>0</v>
          </cell>
          <cell r="W2723">
            <v>0</v>
          </cell>
          <cell r="X2723">
            <v>0.23946210000000001</v>
          </cell>
          <cell r="Y2723">
            <v>0</v>
          </cell>
          <cell r="Z2723">
            <v>0</v>
          </cell>
          <cell r="AA2723">
            <v>0</v>
          </cell>
          <cell r="AB2723">
            <v>0.37965789999999999</v>
          </cell>
        </row>
        <row r="2724">
          <cell r="A2724">
            <v>53118550</v>
          </cell>
          <cell r="B2724" t="str">
            <v>Cake, tres leche</v>
          </cell>
          <cell r="I2724">
            <v>125</v>
          </cell>
          <cell r="J2724">
            <v>334.16118</v>
          </cell>
          <cell r="K2724">
            <v>2.67328944</v>
          </cell>
          <cell r="L2724">
            <v>0</v>
          </cell>
          <cell r="M2724">
            <v>6.2880818999999999</v>
          </cell>
          <cell r="N2724">
            <v>0</v>
          </cell>
          <cell r="O2724">
            <v>0.228521</v>
          </cell>
          <cell r="P2724">
            <v>0.37836379999999997</v>
          </cell>
          <cell r="Q2724">
            <v>0.74447160000000001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0.19982800000000001</v>
          </cell>
          <cell r="Y2724">
            <v>0</v>
          </cell>
          <cell r="Z2724">
            <v>0</v>
          </cell>
          <cell r="AA2724">
            <v>0</v>
          </cell>
          <cell r="AB2724">
            <v>0.42611120000000002</v>
          </cell>
        </row>
        <row r="2725">
          <cell r="A2725">
            <v>53119000</v>
          </cell>
          <cell r="B2725" t="str">
            <v>Cake, pineapple, upside down</v>
          </cell>
          <cell r="I2725">
            <v>125</v>
          </cell>
          <cell r="J2725">
            <v>372.04858000000002</v>
          </cell>
          <cell r="K2725">
            <v>2.9763886400000001</v>
          </cell>
          <cell r="L2725">
            <v>0.34473670000000001</v>
          </cell>
          <cell r="M2725">
            <v>9.9515943</v>
          </cell>
          <cell r="N2725">
            <v>0</v>
          </cell>
          <cell r="O2725">
            <v>7.6343400000000006E-2</v>
          </cell>
          <cell r="P2725">
            <v>0.66062799999999999</v>
          </cell>
          <cell r="Q2725">
            <v>1.4970483999999999</v>
          </cell>
          <cell r="R2725">
            <v>0</v>
          </cell>
          <cell r="S2725">
            <v>0</v>
          </cell>
          <cell r="T2725">
            <v>26.518204999999998</v>
          </cell>
          <cell r="U2725">
            <v>0</v>
          </cell>
          <cell r="V2725">
            <v>0</v>
          </cell>
          <cell r="W2725">
            <v>0</v>
          </cell>
          <cell r="X2725">
            <v>0.1931881</v>
          </cell>
          <cell r="Y2725">
            <v>3.0665022999999998</v>
          </cell>
          <cell r="Z2725">
            <v>0</v>
          </cell>
          <cell r="AA2725">
            <v>0</v>
          </cell>
          <cell r="AB2725">
            <v>0.80556050000000001</v>
          </cell>
        </row>
        <row r="2726">
          <cell r="A2726">
            <v>53120270</v>
          </cell>
          <cell r="B2726" t="str">
            <v>Cake or cupcake, white, with icing or filling</v>
          </cell>
          <cell r="I2726">
            <v>80</v>
          </cell>
          <cell r="J2726">
            <v>312.8</v>
          </cell>
          <cell r="K2726">
            <v>3.91</v>
          </cell>
          <cell r="L2726">
            <v>0</v>
          </cell>
          <cell r="M2726">
            <v>2.3488000000000002</v>
          </cell>
          <cell r="N2726">
            <v>0</v>
          </cell>
          <cell r="O2726">
            <v>4.9599999999999998E-2</v>
          </cell>
          <cell r="P2726">
            <v>0.24</v>
          </cell>
          <cell r="Q2726">
            <v>5.1024000000000003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0.2152</v>
          </cell>
          <cell r="Y2726">
            <v>0</v>
          </cell>
          <cell r="Z2726">
            <v>0</v>
          </cell>
          <cell r="AA2726">
            <v>0</v>
          </cell>
          <cell r="AB2726">
            <v>0.87195800000000001</v>
          </cell>
        </row>
        <row r="2727">
          <cell r="A2727">
            <v>53120275</v>
          </cell>
          <cell r="B2727" t="str">
            <v>Cake or cupcake, white, without icing or filling</v>
          </cell>
          <cell r="I2727">
            <v>80</v>
          </cell>
          <cell r="J2727">
            <v>234.22051999999999</v>
          </cell>
          <cell r="K2727">
            <v>2.9277565000000001</v>
          </cell>
          <cell r="L2727">
            <v>0</v>
          </cell>
          <cell r="M2727">
            <v>1.7368364999999999</v>
          </cell>
          <cell r="N2727">
            <v>0</v>
          </cell>
          <cell r="O2727">
            <v>3.4894500000000002E-2</v>
          </cell>
          <cell r="P2727">
            <v>0.30520989999999998</v>
          </cell>
          <cell r="Q2727">
            <v>2.6348231000000002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0.30617660000000002</v>
          </cell>
          <cell r="Y2727">
            <v>0</v>
          </cell>
          <cell r="Z2727">
            <v>0</v>
          </cell>
          <cell r="AA2727">
            <v>0</v>
          </cell>
          <cell r="AB2727">
            <v>0.47477970000000003</v>
          </cell>
        </row>
        <row r="2728">
          <cell r="A2728">
            <v>53121270</v>
          </cell>
          <cell r="B2728" t="str">
            <v>Cake or cupcake, yellow, with icing or filling</v>
          </cell>
          <cell r="I2728">
            <v>80</v>
          </cell>
          <cell r="J2728">
            <v>303.2</v>
          </cell>
          <cell r="K2728">
            <v>3.79</v>
          </cell>
          <cell r="L2728">
            <v>0</v>
          </cell>
          <cell r="M2728">
            <v>4.6344000000000003</v>
          </cell>
          <cell r="N2728">
            <v>0</v>
          </cell>
          <cell r="O2728">
            <v>2.5600000000000001E-2</v>
          </cell>
          <cell r="P2728">
            <v>1.2</v>
          </cell>
          <cell r="Q2728">
            <v>3.7824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0.248</v>
          </cell>
          <cell r="Y2728">
            <v>0</v>
          </cell>
          <cell r="Z2728">
            <v>0</v>
          </cell>
          <cell r="AA2728">
            <v>0</v>
          </cell>
          <cell r="AB2728">
            <v>1.0504</v>
          </cell>
        </row>
        <row r="2729">
          <cell r="A2729">
            <v>53121275</v>
          </cell>
          <cell r="B2729" t="str">
            <v>Cake or cupcake, yellow, without icing or filling</v>
          </cell>
          <cell r="I2729">
            <v>80</v>
          </cell>
          <cell r="J2729">
            <v>244.68858</v>
          </cell>
          <cell r="K2729">
            <v>3.0586072500000001</v>
          </cell>
          <cell r="L2729">
            <v>0</v>
          </cell>
          <cell r="M2729">
            <v>2.2578952000000001</v>
          </cell>
          <cell r="N2729">
            <v>0</v>
          </cell>
          <cell r="O2729">
            <v>5.4277300000000001E-2</v>
          </cell>
          <cell r="P2729">
            <v>0.28245029999999999</v>
          </cell>
          <cell r="Q2729">
            <v>3.3513757000000002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0.36623270000000002</v>
          </cell>
          <cell r="Y2729">
            <v>0</v>
          </cell>
          <cell r="Z2729">
            <v>0</v>
          </cell>
          <cell r="AA2729">
            <v>0</v>
          </cell>
          <cell r="AB2729">
            <v>0.41119660000000002</v>
          </cell>
        </row>
        <row r="2730">
          <cell r="A2730">
            <v>53122080</v>
          </cell>
          <cell r="B2730" t="str">
            <v>Cake, shortcake, biscuit type, with fruit</v>
          </cell>
          <cell r="I2730">
            <v>125</v>
          </cell>
          <cell r="J2730">
            <v>244.20874000000001</v>
          </cell>
          <cell r="K2730">
            <v>1.9536699200000001</v>
          </cell>
          <cell r="L2730">
            <v>0.92854139999999996</v>
          </cell>
          <cell r="M2730">
            <v>5.9680076</v>
          </cell>
          <cell r="N2730">
            <v>0</v>
          </cell>
          <cell r="O2730">
            <v>0.17217879999999999</v>
          </cell>
          <cell r="P2730">
            <v>0.90622130000000001</v>
          </cell>
          <cell r="Q2730">
            <v>0.56798309999999996</v>
          </cell>
          <cell r="R2730">
            <v>0</v>
          </cell>
          <cell r="S2730">
            <v>0</v>
          </cell>
          <cell r="T2730">
            <v>46.427070000000001</v>
          </cell>
          <cell r="U2730">
            <v>0</v>
          </cell>
          <cell r="V2730">
            <v>0</v>
          </cell>
          <cell r="W2730">
            <v>0</v>
          </cell>
          <cell r="X2730">
            <v>0.4842534</v>
          </cell>
          <cell r="Y2730">
            <v>0</v>
          </cell>
          <cell r="Z2730">
            <v>0</v>
          </cell>
          <cell r="AA2730">
            <v>0</v>
          </cell>
          <cell r="AB2730">
            <v>0.65413619999999995</v>
          </cell>
        </row>
        <row r="2731">
          <cell r="A2731">
            <v>53123070</v>
          </cell>
          <cell r="B2731" t="str">
            <v>Cake, shortcake, sponge type, with whipped cream and fruit</v>
          </cell>
          <cell r="I2731">
            <v>80</v>
          </cell>
          <cell r="J2731">
            <v>180.36675</v>
          </cell>
          <cell r="K2731">
            <v>2.2545843749999999</v>
          </cell>
          <cell r="L2731">
            <v>0.3925747</v>
          </cell>
          <cell r="M2731">
            <v>1.4836868000000001</v>
          </cell>
          <cell r="N2731">
            <v>0</v>
          </cell>
          <cell r="O2731">
            <v>4.6688599999999997E-2</v>
          </cell>
          <cell r="P2731">
            <v>0.2550444</v>
          </cell>
          <cell r="Q2731">
            <v>0.32286680000000001</v>
          </cell>
          <cell r="R2731">
            <v>0</v>
          </cell>
          <cell r="S2731">
            <v>0</v>
          </cell>
          <cell r="T2731">
            <v>19.628733</v>
          </cell>
          <cell r="U2731">
            <v>0</v>
          </cell>
          <cell r="V2731">
            <v>0</v>
          </cell>
          <cell r="W2731">
            <v>0</v>
          </cell>
          <cell r="X2731">
            <v>0.3186176</v>
          </cell>
          <cell r="Y2731">
            <v>0</v>
          </cell>
          <cell r="Z2731">
            <v>0</v>
          </cell>
          <cell r="AA2731">
            <v>0</v>
          </cell>
          <cell r="AB2731">
            <v>9.1986700000000005E-2</v>
          </cell>
        </row>
        <row r="2732">
          <cell r="A2732">
            <v>53123080</v>
          </cell>
          <cell r="B2732" t="str">
            <v>Cake, shortcake, sponge type, with fruit</v>
          </cell>
          <cell r="I2732">
            <v>80</v>
          </cell>
          <cell r="J2732">
            <v>177.66077000000001</v>
          </cell>
          <cell r="K2732">
            <v>2.2207596250000003</v>
          </cell>
          <cell r="L2732">
            <v>0.4346738</v>
          </cell>
          <cell r="M2732">
            <v>0.4562216</v>
          </cell>
          <cell r="N2732">
            <v>0</v>
          </cell>
          <cell r="O2732">
            <v>4.3030600000000002E-2</v>
          </cell>
          <cell r="P2732">
            <v>0.28239500000000001</v>
          </cell>
          <cell r="Q2732">
            <v>0.2867131</v>
          </cell>
          <cell r="R2732">
            <v>0</v>
          </cell>
          <cell r="S2732">
            <v>0</v>
          </cell>
          <cell r="T2732">
            <v>21.733691</v>
          </cell>
          <cell r="U2732">
            <v>0</v>
          </cell>
          <cell r="V2732">
            <v>0</v>
          </cell>
          <cell r="W2732">
            <v>0</v>
          </cell>
          <cell r="X2732">
            <v>0.35209940000000001</v>
          </cell>
          <cell r="Y2732">
            <v>0</v>
          </cell>
          <cell r="Z2732">
            <v>0</v>
          </cell>
          <cell r="AA2732">
            <v>0</v>
          </cell>
          <cell r="AB2732">
            <v>3.38182E-2</v>
          </cell>
        </row>
        <row r="2733">
          <cell r="A2733">
            <v>53123500</v>
          </cell>
          <cell r="B2733" t="str">
            <v>Cake, shortcake, with whipped topping and fruit, diet</v>
          </cell>
          <cell r="I2733">
            <v>125</v>
          </cell>
          <cell r="J2733">
            <v>251.75465</v>
          </cell>
          <cell r="K2733">
            <v>2.0140372000000002</v>
          </cell>
          <cell r="L2733">
            <v>0.84201199999999998</v>
          </cell>
          <cell r="M2733">
            <v>2.8086460999999998</v>
          </cell>
          <cell r="N2733">
            <v>0</v>
          </cell>
          <cell r="O2733">
            <v>6.7528500000000005E-2</v>
          </cell>
          <cell r="P2733">
            <v>0.3140926</v>
          </cell>
          <cell r="Q2733">
            <v>0.48378680000000002</v>
          </cell>
          <cell r="R2733">
            <v>0</v>
          </cell>
          <cell r="S2733">
            <v>0</v>
          </cell>
          <cell r="T2733">
            <v>42.100597999999998</v>
          </cell>
          <cell r="U2733">
            <v>0</v>
          </cell>
          <cell r="V2733">
            <v>0</v>
          </cell>
          <cell r="W2733">
            <v>0</v>
          </cell>
          <cell r="X2733">
            <v>0.39314450000000001</v>
          </cell>
          <cell r="Y2733">
            <v>0</v>
          </cell>
          <cell r="Z2733">
            <v>0</v>
          </cell>
          <cell r="AA2733">
            <v>0</v>
          </cell>
          <cell r="AB2733">
            <v>0.18246570000000001</v>
          </cell>
        </row>
        <row r="2734">
          <cell r="A2734">
            <v>53124110</v>
          </cell>
          <cell r="B2734" t="str">
            <v>Cake or cupcake, zucchini</v>
          </cell>
          <cell r="I2734">
            <v>80</v>
          </cell>
          <cell r="J2734">
            <v>314.46917999999999</v>
          </cell>
          <cell r="K2734">
            <v>3.93086475</v>
          </cell>
          <cell r="L2734">
            <v>0.13810790000000001</v>
          </cell>
          <cell r="M2734">
            <v>6.5090051999999998</v>
          </cell>
          <cell r="N2734">
            <v>0</v>
          </cell>
          <cell r="O2734">
            <v>2.26424E-2</v>
          </cell>
          <cell r="P2734">
            <v>0.65002939999999998</v>
          </cell>
          <cell r="Q2734">
            <v>5.8944494000000001</v>
          </cell>
          <cell r="R2734">
            <v>0</v>
          </cell>
          <cell r="S2734">
            <v>0</v>
          </cell>
          <cell r="T2734">
            <v>0</v>
          </cell>
          <cell r="U2734">
            <v>12.555265</v>
          </cell>
          <cell r="V2734">
            <v>0</v>
          </cell>
          <cell r="W2734">
            <v>0</v>
          </cell>
          <cell r="X2734">
            <v>0.16548389999999999</v>
          </cell>
          <cell r="Y2734">
            <v>4.4413971999999999</v>
          </cell>
          <cell r="Z2734">
            <v>0</v>
          </cell>
          <cell r="AA2734">
            <v>0</v>
          </cell>
          <cell r="AB2734">
            <v>0.23741219999999999</v>
          </cell>
        </row>
        <row r="2735">
          <cell r="A2735">
            <v>53200100</v>
          </cell>
          <cell r="B2735" t="str">
            <v>Cookie, batter or dough, raw</v>
          </cell>
          <cell r="I2735">
            <v>30</v>
          </cell>
          <cell r="J2735">
            <v>129.43928</v>
          </cell>
          <cell r="K2735">
            <v>4.3146426666666668</v>
          </cell>
          <cell r="L2735">
            <v>-3.33E-17</v>
          </cell>
          <cell r="M2735">
            <v>1.2951948</v>
          </cell>
          <cell r="N2735">
            <v>0</v>
          </cell>
          <cell r="O2735">
            <v>1.6039299999999999E-2</v>
          </cell>
          <cell r="P2735">
            <v>0.26031559999999998</v>
          </cell>
          <cell r="Q2735">
            <v>1.9823512999999999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0.16047400000000001</v>
          </cell>
          <cell r="Y2735">
            <v>0</v>
          </cell>
          <cell r="Z2735">
            <v>0</v>
          </cell>
          <cell r="AA2735">
            <v>0</v>
          </cell>
          <cell r="AB2735">
            <v>1.1514439999999999</v>
          </cell>
        </row>
        <row r="2736">
          <cell r="A2736">
            <v>53201000</v>
          </cell>
          <cell r="B2736" t="str">
            <v>Cookie, NFS</v>
          </cell>
          <cell r="I2736">
            <v>30</v>
          </cell>
          <cell r="J2736">
            <v>147.6</v>
          </cell>
          <cell r="K2736">
            <v>4.92</v>
          </cell>
          <cell r="L2736">
            <v>0</v>
          </cell>
          <cell r="M2736">
            <v>2.4272999999999998</v>
          </cell>
          <cell r="N2736">
            <v>0</v>
          </cell>
          <cell r="O2736">
            <v>6.3E-3</v>
          </cell>
          <cell r="P2736">
            <v>0.6</v>
          </cell>
          <cell r="Q2736">
            <v>2.5251000000000001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9.3299999999999994E-2</v>
          </cell>
          <cell r="Y2736">
            <v>0</v>
          </cell>
          <cell r="Z2736">
            <v>0</v>
          </cell>
          <cell r="AA2736">
            <v>0</v>
          </cell>
          <cell r="AB2736">
            <v>0.20519999999999999</v>
          </cell>
        </row>
        <row r="2737">
          <cell r="A2737">
            <v>53202000</v>
          </cell>
          <cell r="B2737" t="str">
            <v>Cookie, almond</v>
          </cell>
          <cell r="I2737">
            <v>30</v>
          </cell>
          <cell r="J2737">
            <v>154.19999999999999</v>
          </cell>
          <cell r="K2737">
            <v>5.14</v>
          </cell>
          <cell r="L2737">
            <v>0</v>
          </cell>
          <cell r="M2737">
            <v>2.4315000000000002</v>
          </cell>
          <cell r="N2737">
            <v>0</v>
          </cell>
          <cell r="O2737">
            <v>3.8999999999999998E-3</v>
          </cell>
          <cell r="P2737">
            <v>0.39</v>
          </cell>
          <cell r="Q2737">
            <v>2.4977999999999998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0.10589999999999999</v>
          </cell>
          <cell r="Y2737">
            <v>0</v>
          </cell>
          <cell r="Z2737">
            <v>0</v>
          </cell>
          <cell r="AA2737">
            <v>0</v>
          </cell>
          <cell r="AB2737">
            <v>0.2142</v>
          </cell>
        </row>
        <row r="2738">
          <cell r="A2738">
            <v>53203000</v>
          </cell>
          <cell r="B2738" t="str">
            <v>Cookie, applesauce</v>
          </cell>
          <cell r="I2738">
            <v>30</v>
          </cell>
          <cell r="J2738">
            <v>135</v>
          </cell>
          <cell r="K2738">
            <v>4.5</v>
          </cell>
          <cell r="L2738">
            <v>0.34438340000000001</v>
          </cell>
          <cell r="M2738">
            <v>1.3556999999999999</v>
          </cell>
          <cell r="N2738">
            <v>0</v>
          </cell>
          <cell r="O2738">
            <v>1.11E-2</v>
          </cell>
          <cell r="P2738">
            <v>0.49561660000000002</v>
          </cell>
          <cell r="Q2738">
            <v>0.76290000000000002</v>
          </cell>
          <cell r="R2738">
            <v>2.8319999999999999</v>
          </cell>
          <cell r="S2738">
            <v>0</v>
          </cell>
          <cell r="T2738">
            <v>1.35</v>
          </cell>
          <cell r="U2738">
            <v>0</v>
          </cell>
          <cell r="V2738">
            <v>0</v>
          </cell>
          <cell r="W2738">
            <v>0</v>
          </cell>
          <cell r="X2738">
            <v>0.1149</v>
          </cell>
          <cell r="Y2738">
            <v>0</v>
          </cell>
          <cell r="Z2738">
            <v>0</v>
          </cell>
          <cell r="AA2738">
            <v>0</v>
          </cell>
          <cell r="AB2738">
            <v>0.10220940000000001</v>
          </cell>
        </row>
        <row r="2739">
          <cell r="A2739">
            <v>53203500</v>
          </cell>
          <cell r="B2739" t="str">
            <v>Cookie, biscotti</v>
          </cell>
          <cell r="I2739">
            <v>30</v>
          </cell>
          <cell r="J2739">
            <v>104.34932999999999</v>
          </cell>
          <cell r="K2739">
            <v>3.4783109999999997</v>
          </cell>
          <cell r="L2739">
            <v>0</v>
          </cell>
          <cell r="M2739">
            <v>0.36491020000000002</v>
          </cell>
          <cell r="N2739">
            <v>0</v>
          </cell>
          <cell r="O2739">
            <v>3.17425E-2</v>
          </cell>
          <cell r="P2739">
            <v>0.3992503</v>
          </cell>
          <cell r="Q2739">
            <v>0.85037379999999996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7.5138999999999997E-2</v>
          </cell>
          <cell r="Y2739">
            <v>6.3672400000000004E-2</v>
          </cell>
          <cell r="Z2739">
            <v>0</v>
          </cell>
          <cell r="AA2739">
            <v>0</v>
          </cell>
          <cell r="AB2739">
            <v>7.8917100000000004E-2</v>
          </cell>
        </row>
        <row r="2740">
          <cell r="A2740">
            <v>53204000</v>
          </cell>
          <cell r="B2740" t="str">
            <v>Cookie, brownie, NS as to icing</v>
          </cell>
          <cell r="I2740">
            <v>40</v>
          </cell>
          <cell r="J2740">
            <v>162</v>
          </cell>
          <cell r="K2740">
            <v>4.05</v>
          </cell>
          <cell r="L2740">
            <v>0</v>
          </cell>
          <cell r="M2740">
            <v>1.694</v>
          </cell>
          <cell r="N2740">
            <v>0</v>
          </cell>
          <cell r="O2740">
            <v>1.1599999999999999E-2</v>
          </cell>
          <cell r="P2740">
            <v>0.84</v>
          </cell>
          <cell r="Q2740">
            <v>0.90359999999999996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0.1144</v>
          </cell>
          <cell r="Y2740">
            <v>0</v>
          </cell>
          <cell r="Z2740">
            <v>0</v>
          </cell>
          <cell r="AA2740">
            <v>0</v>
          </cell>
          <cell r="AB2740">
            <v>0.19687550000000001</v>
          </cell>
        </row>
        <row r="2741">
          <cell r="A2741">
            <v>53204010</v>
          </cell>
          <cell r="B2741" t="str">
            <v>Cookie, brownie, without icing</v>
          </cell>
          <cell r="I2741">
            <v>40</v>
          </cell>
          <cell r="J2741">
            <v>162</v>
          </cell>
          <cell r="K2741">
            <v>4.05</v>
          </cell>
          <cell r="L2741">
            <v>0</v>
          </cell>
          <cell r="M2741">
            <v>1.694</v>
          </cell>
          <cell r="N2741">
            <v>0</v>
          </cell>
          <cell r="O2741">
            <v>1.1599999999999999E-2</v>
          </cell>
          <cell r="P2741">
            <v>0.84</v>
          </cell>
          <cell r="Q2741">
            <v>0.90359999999999996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0.1144</v>
          </cell>
          <cell r="Y2741">
            <v>0</v>
          </cell>
          <cell r="Z2741">
            <v>0</v>
          </cell>
          <cell r="AA2741">
            <v>0</v>
          </cell>
          <cell r="AB2741">
            <v>0.24580289999999999</v>
          </cell>
        </row>
        <row r="2742">
          <cell r="A2742">
            <v>53204100</v>
          </cell>
          <cell r="B2742" t="str">
            <v>Cookie, brownie, with icing or filling</v>
          </cell>
          <cell r="I2742">
            <v>40</v>
          </cell>
          <cell r="J2742">
            <v>160.39006000000001</v>
          </cell>
          <cell r="K2742">
            <v>4.0097515000000001</v>
          </cell>
          <cell r="L2742">
            <v>0</v>
          </cell>
          <cell r="M2742">
            <v>1.9538036999999999</v>
          </cell>
          <cell r="N2742">
            <v>0</v>
          </cell>
          <cell r="O2742">
            <v>7.3739000000000001E-3</v>
          </cell>
          <cell r="P2742">
            <v>0.59850930000000002</v>
          </cell>
          <cell r="Q2742">
            <v>0.89695899999999995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9.3672000000000005E-2</v>
          </cell>
          <cell r="Y2742">
            <v>0</v>
          </cell>
          <cell r="Z2742">
            <v>0</v>
          </cell>
          <cell r="AA2742">
            <v>0</v>
          </cell>
          <cell r="AB2742">
            <v>0.38249909999999998</v>
          </cell>
        </row>
        <row r="2743">
          <cell r="A2743">
            <v>53204840</v>
          </cell>
          <cell r="B2743" t="str">
            <v>Cookie, brownie, reduced fat, NS as to icing</v>
          </cell>
          <cell r="I2743">
            <v>40</v>
          </cell>
          <cell r="J2743">
            <v>138</v>
          </cell>
          <cell r="K2743">
            <v>3.45</v>
          </cell>
          <cell r="L2743">
            <v>0</v>
          </cell>
          <cell r="M2743">
            <v>1.1064000000000001</v>
          </cell>
          <cell r="N2743">
            <v>0</v>
          </cell>
          <cell r="O2743">
            <v>0</v>
          </cell>
          <cell r="P2743">
            <v>4.4400000000000004</v>
          </cell>
          <cell r="Q2743">
            <v>1.0324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0.11600000000000001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</row>
        <row r="2744">
          <cell r="A2744">
            <v>53205250</v>
          </cell>
          <cell r="B2744" t="str">
            <v>Cookie, butterscotch, brownie</v>
          </cell>
          <cell r="I2744">
            <v>40</v>
          </cell>
          <cell r="J2744">
            <v>162</v>
          </cell>
          <cell r="K2744">
            <v>4.05</v>
          </cell>
          <cell r="L2744">
            <v>0</v>
          </cell>
          <cell r="M2744">
            <v>1.694</v>
          </cell>
          <cell r="N2744">
            <v>0</v>
          </cell>
          <cell r="O2744">
            <v>1.1599999999999999E-2</v>
          </cell>
          <cell r="P2744">
            <v>0.84</v>
          </cell>
          <cell r="Q2744">
            <v>0.90359999999999996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0.1144</v>
          </cell>
          <cell r="Y2744">
            <v>0</v>
          </cell>
          <cell r="Z2744">
            <v>0</v>
          </cell>
          <cell r="AA2744">
            <v>0</v>
          </cell>
          <cell r="AB2744">
            <v>0.26441150000000002</v>
          </cell>
        </row>
        <row r="2745">
          <cell r="A2745">
            <v>53205260</v>
          </cell>
          <cell r="B2745" t="str">
            <v>Cookie, bar, with chocolate</v>
          </cell>
          <cell r="I2745">
            <v>40</v>
          </cell>
          <cell r="J2745">
            <v>196.8</v>
          </cell>
          <cell r="K2745">
            <v>4.92</v>
          </cell>
          <cell r="L2745">
            <v>0</v>
          </cell>
          <cell r="M2745">
            <v>3.2364000000000002</v>
          </cell>
          <cell r="N2745">
            <v>0</v>
          </cell>
          <cell r="O2745">
            <v>8.3999999999999995E-3</v>
          </cell>
          <cell r="P2745">
            <v>0.8</v>
          </cell>
          <cell r="Q2745">
            <v>3.3668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0.1244</v>
          </cell>
          <cell r="Y2745">
            <v>0</v>
          </cell>
          <cell r="Z2745">
            <v>0</v>
          </cell>
          <cell r="AA2745">
            <v>0</v>
          </cell>
          <cell r="AB2745">
            <v>0.27360000000000001</v>
          </cell>
        </row>
        <row r="2746">
          <cell r="A2746">
            <v>53206000</v>
          </cell>
          <cell r="B2746" t="str">
            <v>Cookie, chocolate chip</v>
          </cell>
          <cell r="I2746">
            <v>30</v>
          </cell>
          <cell r="J2746">
            <v>147.6</v>
          </cell>
          <cell r="K2746">
            <v>4.92</v>
          </cell>
          <cell r="L2746">
            <v>0</v>
          </cell>
          <cell r="M2746">
            <v>2.4272999999999998</v>
          </cell>
          <cell r="N2746">
            <v>0</v>
          </cell>
          <cell r="O2746">
            <v>6.3E-3</v>
          </cell>
          <cell r="P2746">
            <v>0.6</v>
          </cell>
          <cell r="Q2746">
            <v>2.5251000000000001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9.3299999999999994E-2</v>
          </cell>
          <cell r="Y2746">
            <v>0</v>
          </cell>
          <cell r="Z2746">
            <v>0</v>
          </cell>
          <cell r="AA2746">
            <v>0</v>
          </cell>
          <cell r="AB2746">
            <v>0.20519999999999999</v>
          </cell>
        </row>
        <row r="2747">
          <cell r="A2747">
            <v>53206020</v>
          </cell>
          <cell r="B2747" t="str">
            <v>Cookie, chocolate chip, made from home recipe or purchased at a bakery</v>
          </cell>
          <cell r="I2747">
            <v>30</v>
          </cell>
          <cell r="J2747">
            <v>138.06345999999999</v>
          </cell>
          <cell r="K2747">
            <v>4.6021153333333329</v>
          </cell>
          <cell r="L2747">
            <v>0</v>
          </cell>
          <cell r="M2747">
            <v>3.6585122999999999</v>
          </cell>
          <cell r="N2747">
            <v>0</v>
          </cell>
          <cell r="O2747">
            <v>1.19302E-2</v>
          </cell>
          <cell r="P2747">
            <v>0.75683449999999997</v>
          </cell>
          <cell r="Q2747">
            <v>1.8814417000000001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7.9236100000000004E-2</v>
          </cell>
          <cell r="Y2747">
            <v>3.4485237999999998</v>
          </cell>
          <cell r="Z2747">
            <v>0</v>
          </cell>
          <cell r="AA2747">
            <v>0</v>
          </cell>
          <cell r="AB2747">
            <v>0.2294737</v>
          </cell>
        </row>
        <row r="2748">
          <cell r="A2748">
            <v>53206030</v>
          </cell>
          <cell r="B2748" t="str">
            <v>Cookie, chocolate chip, reduced fat</v>
          </cell>
          <cell r="I2748">
            <v>30</v>
          </cell>
          <cell r="J2748">
            <v>135.30000000000001</v>
          </cell>
          <cell r="K2748">
            <v>4.5100000000000007</v>
          </cell>
          <cell r="L2748">
            <v>0</v>
          </cell>
          <cell r="M2748">
            <v>1.7886</v>
          </cell>
          <cell r="N2748">
            <v>0</v>
          </cell>
          <cell r="O2748">
            <v>0</v>
          </cell>
          <cell r="P2748">
            <v>0.9</v>
          </cell>
          <cell r="Q2748">
            <v>1.6922999999999999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0.12540000000000001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</row>
        <row r="2749">
          <cell r="A2749">
            <v>53206100</v>
          </cell>
          <cell r="B2749" t="str">
            <v>Cookie, chocolate chip sandwich</v>
          </cell>
          <cell r="I2749">
            <v>30</v>
          </cell>
          <cell r="J2749">
            <v>127.5</v>
          </cell>
          <cell r="K2749">
            <v>4.25</v>
          </cell>
          <cell r="L2749">
            <v>0</v>
          </cell>
          <cell r="M2749">
            <v>1.7645999999999999</v>
          </cell>
          <cell r="N2749">
            <v>0</v>
          </cell>
          <cell r="O2749">
            <v>0</v>
          </cell>
          <cell r="P2749">
            <v>0</v>
          </cell>
          <cell r="Q2749">
            <v>1.9178999999999999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8.3699999999999997E-2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</row>
        <row r="2750">
          <cell r="A2750">
            <v>53206500</v>
          </cell>
          <cell r="B2750" t="str">
            <v>Cookie, chocolate, made with rice cereal</v>
          </cell>
          <cell r="I2750">
            <v>30</v>
          </cell>
          <cell r="J2750">
            <v>132</v>
          </cell>
          <cell r="K2750">
            <v>4.4000000000000004</v>
          </cell>
          <cell r="L2750">
            <v>0</v>
          </cell>
          <cell r="M2750">
            <v>3.387</v>
          </cell>
          <cell r="N2750">
            <v>0</v>
          </cell>
          <cell r="O2750">
            <v>9.5999999999999992E-3</v>
          </cell>
          <cell r="P2750">
            <v>0.48</v>
          </cell>
          <cell r="Q2750">
            <v>0.90390000000000004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6.3E-2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</row>
        <row r="2751">
          <cell r="A2751">
            <v>53206550</v>
          </cell>
          <cell r="B2751" t="str">
            <v>Cookie, chocolate, made with oatmeal and coconut, no bake</v>
          </cell>
          <cell r="I2751">
            <v>30</v>
          </cell>
          <cell r="J2751">
            <v>135</v>
          </cell>
          <cell r="K2751">
            <v>4.5</v>
          </cell>
          <cell r="L2751">
            <v>0.34438340000000001</v>
          </cell>
          <cell r="M2751">
            <v>1.3556999999999999</v>
          </cell>
          <cell r="N2751">
            <v>0</v>
          </cell>
          <cell r="O2751">
            <v>1.11E-2</v>
          </cell>
          <cell r="P2751">
            <v>0.49561660000000002</v>
          </cell>
          <cell r="Q2751">
            <v>0.76290000000000002</v>
          </cell>
          <cell r="R2751">
            <v>2.8319999999999999</v>
          </cell>
          <cell r="S2751">
            <v>0</v>
          </cell>
          <cell r="T2751">
            <v>1.35</v>
          </cell>
          <cell r="U2751">
            <v>0</v>
          </cell>
          <cell r="V2751">
            <v>0</v>
          </cell>
          <cell r="W2751">
            <v>0</v>
          </cell>
          <cell r="X2751">
            <v>0.1149</v>
          </cell>
          <cell r="Y2751">
            <v>0</v>
          </cell>
          <cell r="Z2751">
            <v>0</v>
          </cell>
          <cell r="AA2751">
            <v>0</v>
          </cell>
          <cell r="AB2751">
            <v>0.13983580000000001</v>
          </cell>
        </row>
        <row r="2752">
          <cell r="A2752">
            <v>53207000</v>
          </cell>
          <cell r="B2752" t="str">
            <v>Cookie, chocolate or fudge</v>
          </cell>
          <cell r="I2752">
            <v>30</v>
          </cell>
          <cell r="J2752">
            <v>129.9</v>
          </cell>
          <cell r="K2752">
            <v>4.33</v>
          </cell>
          <cell r="L2752">
            <v>0</v>
          </cell>
          <cell r="M2752">
            <v>1.2723</v>
          </cell>
          <cell r="N2752">
            <v>0</v>
          </cell>
          <cell r="O2752">
            <v>9.2999999999999992E-3</v>
          </cell>
          <cell r="P2752">
            <v>1.02</v>
          </cell>
          <cell r="Q2752">
            <v>1.2459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0.17399999999999999</v>
          </cell>
          <cell r="Y2752">
            <v>0</v>
          </cell>
          <cell r="Z2752">
            <v>0</v>
          </cell>
          <cell r="AA2752">
            <v>0</v>
          </cell>
          <cell r="AB2752">
            <v>8.6009500000000003E-2</v>
          </cell>
        </row>
        <row r="2753">
          <cell r="A2753">
            <v>53207050</v>
          </cell>
          <cell r="B2753" t="str">
            <v>Cookie, chocolate, with chocolate filling or coating, fat free</v>
          </cell>
          <cell r="I2753">
            <v>30</v>
          </cell>
          <cell r="J2753">
            <v>135.30000000000001</v>
          </cell>
          <cell r="K2753">
            <v>4.5100000000000007</v>
          </cell>
          <cell r="L2753">
            <v>0</v>
          </cell>
          <cell r="M2753">
            <v>1.7886</v>
          </cell>
          <cell r="N2753">
            <v>0</v>
          </cell>
          <cell r="O2753">
            <v>0</v>
          </cell>
          <cell r="P2753">
            <v>0.9</v>
          </cell>
          <cell r="Q2753">
            <v>1.6922999999999999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0.12540000000000001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</row>
        <row r="2754">
          <cell r="A2754">
            <v>53208000</v>
          </cell>
          <cell r="B2754" t="str">
            <v>Cookie, marshmallow, chocolate-covered</v>
          </cell>
          <cell r="I2754">
            <v>30</v>
          </cell>
          <cell r="J2754">
            <v>126.3</v>
          </cell>
          <cell r="K2754">
            <v>4.21</v>
          </cell>
          <cell r="L2754">
            <v>0</v>
          </cell>
          <cell r="M2754">
            <v>1.4166000000000001</v>
          </cell>
          <cell r="N2754">
            <v>0</v>
          </cell>
          <cell r="O2754">
            <v>1.38E-2</v>
          </cell>
          <cell r="P2754">
            <v>0.6</v>
          </cell>
          <cell r="Q2754">
            <v>0.58289999999999997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5.6399999999999999E-2</v>
          </cell>
          <cell r="Y2754">
            <v>0</v>
          </cell>
          <cell r="Z2754">
            <v>0</v>
          </cell>
          <cell r="AA2754">
            <v>0</v>
          </cell>
          <cell r="AB2754">
            <v>0.31263049999999998</v>
          </cell>
        </row>
        <row r="2755">
          <cell r="A2755">
            <v>53208200</v>
          </cell>
          <cell r="B2755" t="str">
            <v>Cookie, marshmallow pie, chocolate covered</v>
          </cell>
          <cell r="I2755">
            <v>30</v>
          </cell>
          <cell r="J2755">
            <v>126.3</v>
          </cell>
          <cell r="K2755">
            <v>4.21</v>
          </cell>
          <cell r="L2755">
            <v>0</v>
          </cell>
          <cell r="M2755">
            <v>1.4166000000000001</v>
          </cell>
          <cell r="N2755">
            <v>0</v>
          </cell>
          <cell r="O2755">
            <v>1.38E-2</v>
          </cell>
          <cell r="P2755">
            <v>0.6</v>
          </cell>
          <cell r="Q2755">
            <v>0.58289999999999997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5.6399999999999999E-2</v>
          </cell>
          <cell r="Y2755">
            <v>0</v>
          </cell>
          <cell r="Z2755">
            <v>0</v>
          </cell>
          <cell r="AA2755">
            <v>0</v>
          </cell>
          <cell r="AB2755">
            <v>0.31255349999999998</v>
          </cell>
        </row>
        <row r="2756">
          <cell r="A2756">
            <v>53209005</v>
          </cell>
          <cell r="B2756" t="str">
            <v>Cookie, chocolate, with icing or coating</v>
          </cell>
          <cell r="I2756">
            <v>30</v>
          </cell>
          <cell r="J2756">
            <v>152.1</v>
          </cell>
          <cell r="K2756">
            <v>5.0699999999999994</v>
          </cell>
          <cell r="L2756">
            <v>0</v>
          </cell>
          <cell r="M2756">
            <v>4.95</v>
          </cell>
          <cell r="N2756">
            <v>0</v>
          </cell>
          <cell r="O2756">
            <v>4.4999999999999997E-3</v>
          </cell>
          <cell r="P2756">
            <v>0.69</v>
          </cell>
          <cell r="Q2756">
            <v>1.08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0.114</v>
          </cell>
          <cell r="Y2756">
            <v>0</v>
          </cell>
          <cell r="Z2756">
            <v>0</v>
          </cell>
          <cell r="AA2756">
            <v>0</v>
          </cell>
          <cell r="AB2756">
            <v>0.111</v>
          </cell>
        </row>
        <row r="2757">
          <cell r="A2757">
            <v>53209010</v>
          </cell>
          <cell r="B2757" t="str">
            <v>Cookie, sugar wafer, chocolate-covered</v>
          </cell>
          <cell r="I2757">
            <v>30</v>
          </cell>
          <cell r="J2757">
            <v>157.80000000000001</v>
          </cell>
          <cell r="K2757">
            <v>5.2600000000000007</v>
          </cell>
          <cell r="L2757">
            <v>0</v>
          </cell>
          <cell r="M2757">
            <v>5.1722999999999999</v>
          </cell>
          <cell r="N2757">
            <v>0</v>
          </cell>
          <cell r="O2757">
            <v>0</v>
          </cell>
          <cell r="P2757">
            <v>1.02</v>
          </cell>
          <cell r="Q2757">
            <v>1.2527999999999999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4.1399999999999999E-2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</row>
        <row r="2758">
          <cell r="A2758">
            <v>53209015</v>
          </cell>
          <cell r="B2758" t="str">
            <v>Cookie, chocolate sandwich</v>
          </cell>
          <cell r="I2758">
            <v>30</v>
          </cell>
          <cell r="J2758">
            <v>139.19999999999999</v>
          </cell>
          <cell r="K2758">
            <v>4.6399999999999997</v>
          </cell>
          <cell r="L2758">
            <v>0</v>
          </cell>
          <cell r="M2758">
            <v>1.6947000000000001</v>
          </cell>
          <cell r="N2758">
            <v>0</v>
          </cell>
          <cell r="O2758">
            <v>6.3E-3</v>
          </cell>
          <cell r="P2758">
            <v>0.87</v>
          </cell>
          <cell r="Q2758">
            <v>1.0683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0.1164</v>
          </cell>
          <cell r="Y2758">
            <v>0</v>
          </cell>
          <cell r="Z2758">
            <v>0</v>
          </cell>
          <cell r="AA2758">
            <v>0</v>
          </cell>
          <cell r="AB2758">
            <v>3.3599999999999998E-2</v>
          </cell>
        </row>
        <row r="2759">
          <cell r="A2759">
            <v>53209020</v>
          </cell>
          <cell r="B2759" t="str">
            <v>Cookie, chocolate sandwich, reduced fat</v>
          </cell>
          <cell r="I2759">
            <v>30</v>
          </cell>
          <cell r="J2759">
            <v>130.80000000000001</v>
          </cell>
          <cell r="K2759">
            <v>4.3600000000000003</v>
          </cell>
          <cell r="L2759">
            <v>0</v>
          </cell>
          <cell r="M2759">
            <v>0.88229999999999997</v>
          </cell>
          <cell r="N2759">
            <v>0</v>
          </cell>
          <cell r="O2759">
            <v>0</v>
          </cell>
          <cell r="P2759">
            <v>0.87</v>
          </cell>
          <cell r="Q2759">
            <v>1.0275000000000001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0.14130000000000001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</row>
        <row r="2760">
          <cell r="A2760">
            <v>53209100</v>
          </cell>
          <cell r="B2760" t="str">
            <v>Cookie, chocolate, sandwich, with extra filling</v>
          </cell>
          <cell r="I2760">
            <v>30</v>
          </cell>
          <cell r="J2760">
            <v>149.1</v>
          </cell>
          <cell r="K2760">
            <v>4.97</v>
          </cell>
          <cell r="L2760">
            <v>0</v>
          </cell>
          <cell r="M2760">
            <v>1.6362000000000001</v>
          </cell>
          <cell r="N2760">
            <v>0</v>
          </cell>
          <cell r="O2760">
            <v>4.7999999999999996E-3</v>
          </cell>
          <cell r="P2760">
            <v>0.81</v>
          </cell>
          <cell r="Q2760">
            <v>0.74129999999999996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0.1053</v>
          </cell>
          <cell r="Y2760">
            <v>0</v>
          </cell>
          <cell r="Z2760">
            <v>0</v>
          </cell>
          <cell r="AA2760">
            <v>0</v>
          </cell>
          <cell r="AB2760">
            <v>2.5476000000000001</v>
          </cell>
        </row>
        <row r="2761">
          <cell r="A2761">
            <v>53209500</v>
          </cell>
          <cell r="B2761" t="str">
            <v>Cookie, chocolate and vanilla sandwich</v>
          </cell>
          <cell r="I2761">
            <v>30</v>
          </cell>
          <cell r="J2761">
            <v>139.19999999999999</v>
          </cell>
          <cell r="K2761">
            <v>4.6399999999999997</v>
          </cell>
          <cell r="L2761">
            <v>0</v>
          </cell>
          <cell r="M2761">
            <v>1.6947000000000001</v>
          </cell>
          <cell r="N2761">
            <v>0</v>
          </cell>
          <cell r="O2761">
            <v>6.3E-3</v>
          </cell>
          <cell r="P2761">
            <v>0.87</v>
          </cell>
          <cell r="Q2761">
            <v>1.0683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0.1164</v>
          </cell>
          <cell r="Y2761">
            <v>0</v>
          </cell>
          <cell r="Z2761">
            <v>0</v>
          </cell>
          <cell r="AA2761">
            <v>0</v>
          </cell>
          <cell r="AB2761">
            <v>3.3599999999999998E-2</v>
          </cell>
        </row>
        <row r="2762">
          <cell r="A2762">
            <v>53210000</v>
          </cell>
          <cell r="B2762" t="str">
            <v>Cookie, chocolate wafer</v>
          </cell>
          <cell r="I2762">
            <v>30</v>
          </cell>
          <cell r="J2762">
            <v>129.9</v>
          </cell>
          <cell r="K2762">
            <v>4.33</v>
          </cell>
          <cell r="L2762">
            <v>0</v>
          </cell>
          <cell r="M2762">
            <v>1.2723</v>
          </cell>
          <cell r="N2762">
            <v>0</v>
          </cell>
          <cell r="O2762">
            <v>9.2999999999999992E-3</v>
          </cell>
          <cell r="P2762">
            <v>1.02</v>
          </cell>
          <cell r="Q2762">
            <v>1.2459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0.17399999999999999</v>
          </cell>
          <cell r="Y2762">
            <v>0</v>
          </cell>
          <cell r="Z2762">
            <v>0</v>
          </cell>
          <cell r="AA2762">
            <v>0</v>
          </cell>
          <cell r="AB2762">
            <v>0.11396340000000001</v>
          </cell>
        </row>
        <row r="2763">
          <cell r="A2763">
            <v>53210900</v>
          </cell>
          <cell r="B2763" t="str">
            <v>Cookie, graham cracker with chocolate and marshmallow</v>
          </cell>
          <cell r="I2763">
            <v>30</v>
          </cell>
          <cell r="J2763">
            <v>139.44166999999999</v>
          </cell>
          <cell r="K2763">
            <v>4.6480556666666661</v>
          </cell>
          <cell r="L2763">
            <v>0.2192847</v>
          </cell>
          <cell r="M2763">
            <v>2.9893277999999999</v>
          </cell>
          <cell r="N2763">
            <v>0</v>
          </cell>
          <cell r="O2763">
            <v>3.6511099999999998E-2</v>
          </cell>
          <cell r="P2763">
            <v>0.63571529999999998</v>
          </cell>
          <cell r="Q2763">
            <v>0.73640559999999999</v>
          </cell>
          <cell r="R2763">
            <v>2.7222222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6.0694400000000003E-2</v>
          </cell>
          <cell r="Y2763">
            <v>0</v>
          </cell>
          <cell r="Z2763">
            <v>0</v>
          </cell>
          <cell r="AA2763">
            <v>0</v>
          </cell>
          <cell r="AB2763">
            <v>0.19733310000000001</v>
          </cell>
        </row>
        <row r="2764">
          <cell r="A2764">
            <v>53215500</v>
          </cell>
          <cell r="B2764" t="str">
            <v>Cookie, coconut</v>
          </cell>
          <cell r="I2764">
            <v>30</v>
          </cell>
          <cell r="J2764">
            <v>138</v>
          </cell>
          <cell r="K2764">
            <v>4.5999999999999996</v>
          </cell>
          <cell r="L2764">
            <v>0</v>
          </cell>
          <cell r="M2764">
            <v>6.0297000000000001</v>
          </cell>
          <cell r="N2764">
            <v>0</v>
          </cell>
          <cell r="O2764">
            <v>1.5E-3</v>
          </cell>
          <cell r="P2764">
            <v>1.53</v>
          </cell>
          <cell r="Q2764">
            <v>0.24299999999999999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7.2300000000000003E-2</v>
          </cell>
          <cell r="Y2764">
            <v>0</v>
          </cell>
          <cell r="Z2764">
            <v>0</v>
          </cell>
          <cell r="AA2764">
            <v>0</v>
          </cell>
          <cell r="AB2764">
            <v>1.0533499999999999E-2</v>
          </cell>
        </row>
        <row r="2765">
          <cell r="A2765">
            <v>53220000</v>
          </cell>
          <cell r="B2765" t="str">
            <v>Cookie, fruit-filled bar</v>
          </cell>
          <cell r="I2765">
            <v>30</v>
          </cell>
          <cell r="J2765">
            <v>104.4</v>
          </cell>
          <cell r="K2765">
            <v>3.48</v>
          </cell>
          <cell r="L2765">
            <v>0.30927640000000001</v>
          </cell>
          <cell r="M2765">
            <v>0.33689999999999998</v>
          </cell>
          <cell r="N2765">
            <v>0</v>
          </cell>
          <cell r="O2765">
            <v>1.9199999999999998E-2</v>
          </cell>
          <cell r="P2765">
            <v>1.0707236</v>
          </cell>
          <cell r="Q2765">
            <v>0.83160000000000001</v>
          </cell>
          <cell r="R2765">
            <v>0</v>
          </cell>
          <cell r="S2765">
            <v>0</v>
          </cell>
          <cell r="T2765">
            <v>7.2</v>
          </cell>
          <cell r="U2765">
            <v>0</v>
          </cell>
          <cell r="V2765">
            <v>0</v>
          </cell>
          <cell r="W2765">
            <v>0</v>
          </cell>
          <cell r="X2765">
            <v>0.105</v>
          </cell>
          <cell r="Y2765">
            <v>0</v>
          </cell>
          <cell r="Z2765">
            <v>0</v>
          </cell>
          <cell r="AA2765">
            <v>0</v>
          </cell>
          <cell r="AB2765">
            <v>2.1769199999999999E-2</v>
          </cell>
        </row>
        <row r="2766">
          <cell r="A2766">
            <v>53220030</v>
          </cell>
          <cell r="B2766" t="str">
            <v>Cookie, fig bar</v>
          </cell>
          <cell r="I2766">
            <v>30</v>
          </cell>
          <cell r="J2766">
            <v>104.4</v>
          </cell>
          <cell r="K2766">
            <v>3.48</v>
          </cell>
          <cell r="L2766">
            <v>0.30927640000000001</v>
          </cell>
          <cell r="M2766">
            <v>0.33689999999999998</v>
          </cell>
          <cell r="N2766">
            <v>0</v>
          </cell>
          <cell r="O2766">
            <v>1.9199999999999998E-2</v>
          </cell>
          <cell r="P2766">
            <v>1.0707236</v>
          </cell>
          <cell r="Q2766">
            <v>0.83160000000000001</v>
          </cell>
          <cell r="R2766">
            <v>0</v>
          </cell>
          <cell r="S2766">
            <v>0</v>
          </cell>
          <cell r="T2766">
            <v>7.2</v>
          </cell>
          <cell r="U2766">
            <v>0</v>
          </cell>
          <cell r="V2766">
            <v>0</v>
          </cell>
          <cell r="W2766">
            <v>0</v>
          </cell>
          <cell r="X2766">
            <v>0.105</v>
          </cell>
          <cell r="Y2766">
            <v>0</v>
          </cell>
          <cell r="Z2766">
            <v>0</v>
          </cell>
          <cell r="AA2766">
            <v>0</v>
          </cell>
          <cell r="AB2766">
            <v>2.1918799999999999E-2</v>
          </cell>
        </row>
        <row r="2767">
          <cell r="A2767">
            <v>53220040</v>
          </cell>
          <cell r="B2767" t="str">
            <v>Cookie, fig bar, fat free</v>
          </cell>
          <cell r="I2767">
            <v>30</v>
          </cell>
          <cell r="J2767">
            <v>104.4</v>
          </cell>
          <cell r="K2767">
            <v>3.48</v>
          </cell>
          <cell r="L2767">
            <v>0.30927640000000001</v>
          </cell>
          <cell r="M2767">
            <v>0.33689999999999998</v>
          </cell>
          <cell r="N2767">
            <v>0</v>
          </cell>
          <cell r="O2767">
            <v>1.9199999999999998E-2</v>
          </cell>
          <cell r="P2767">
            <v>1.0707236</v>
          </cell>
          <cell r="Q2767">
            <v>0.83160000000000001</v>
          </cell>
          <cell r="R2767">
            <v>0</v>
          </cell>
          <cell r="S2767">
            <v>0</v>
          </cell>
          <cell r="T2767">
            <v>7.2</v>
          </cell>
          <cell r="U2767">
            <v>0</v>
          </cell>
          <cell r="V2767">
            <v>0</v>
          </cell>
          <cell r="W2767">
            <v>0</v>
          </cell>
          <cell r="X2767">
            <v>0.105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</row>
        <row r="2768">
          <cell r="A2768">
            <v>53222010</v>
          </cell>
          <cell r="B2768" t="str">
            <v>Cookie, fortune</v>
          </cell>
          <cell r="I2768">
            <v>30</v>
          </cell>
          <cell r="J2768">
            <v>113.4</v>
          </cell>
          <cell r="K2768">
            <v>3.7800000000000002</v>
          </cell>
          <cell r="L2768">
            <v>0</v>
          </cell>
          <cell r="M2768">
            <v>0.20069999999999999</v>
          </cell>
          <cell r="N2768">
            <v>0</v>
          </cell>
          <cell r="O2768">
            <v>3.5999999999999999E-3</v>
          </cell>
          <cell r="P2768">
            <v>0.48</v>
          </cell>
          <cell r="Q2768">
            <v>0.13980000000000001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9.2999999999999992E-3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</row>
        <row r="2769">
          <cell r="A2769">
            <v>53222020</v>
          </cell>
          <cell r="B2769" t="str">
            <v>Cookie, cone shell, ice cream type, wafer or cake</v>
          </cell>
          <cell r="I2769">
            <v>5</v>
          </cell>
          <cell r="J2769">
            <v>20.85</v>
          </cell>
          <cell r="K2769">
            <v>4.17</v>
          </cell>
          <cell r="L2769">
            <v>0</v>
          </cell>
          <cell r="M2769">
            <v>6.1100000000000002E-2</v>
          </cell>
          <cell r="N2769">
            <v>0</v>
          </cell>
          <cell r="O2769">
            <v>1.25E-3</v>
          </cell>
          <cell r="P2769">
            <v>0.15</v>
          </cell>
          <cell r="Q2769">
            <v>0.16320000000000001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1.2800000000000001E-2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</row>
        <row r="2770">
          <cell r="A2770">
            <v>53223000</v>
          </cell>
          <cell r="B2770" t="str">
            <v>Cookie, gingersnaps</v>
          </cell>
          <cell r="I2770">
            <v>30</v>
          </cell>
          <cell r="J2770">
            <v>124.8</v>
          </cell>
          <cell r="K2770">
            <v>4.16</v>
          </cell>
          <cell r="L2770">
            <v>0</v>
          </cell>
          <cell r="M2770">
            <v>0.73529999999999995</v>
          </cell>
          <cell r="N2770">
            <v>0</v>
          </cell>
          <cell r="O2770">
            <v>2.3099999999999999E-2</v>
          </cell>
          <cell r="P2770">
            <v>0.66</v>
          </cell>
          <cell r="Q2770">
            <v>0.41160000000000002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0.15029999999999999</v>
          </cell>
          <cell r="Y2770">
            <v>0</v>
          </cell>
          <cell r="Z2770">
            <v>0</v>
          </cell>
          <cell r="AA2770">
            <v>0</v>
          </cell>
          <cell r="AB2770">
            <v>0.1138348</v>
          </cell>
        </row>
        <row r="2771">
          <cell r="A2771">
            <v>53224000</v>
          </cell>
          <cell r="B2771" t="str">
            <v>Cookie, ladyfinger</v>
          </cell>
          <cell r="I2771">
            <v>30</v>
          </cell>
          <cell r="J2771">
            <v>109.5</v>
          </cell>
          <cell r="K2771">
            <v>3.65</v>
          </cell>
          <cell r="L2771">
            <v>0</v>
          </cell>
          <cell r="M2771">
            <v>0.92069999999999996</v>
          </cell>
          <cell r="N2771">
            <v>0</v>
          </cell>
          <cell r="O2771">
            <v>1.41E-2</v>
          </cell>
          <cell r="P2771">
            <v>0.3</v>
          </cell>
          <cell r="Q2771">
            <v>0.42659999999999998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4.41E-2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</row>
        <row r="2772">
          <cell r="A2772">
            <v>53224250</v>
          </cell>
          <cell r="B2772" t="str">
            <v>Cookie, lemon bar</v>
          </cell>
          <cell r="I2772">
            <v>30</v>
          </cell>
          <cell r="J2772">
            <v>113.94484</v>
          </cell>
          <cell r="K2772">
            <v>3.7981613333333333</v>
          </cell>
          <cell r="L2772">
            <v>4.4803000000000004E-3</v>
          </cell>
          <cell r="M2772">
            <v>0.98720470000000005</v>
          </cell>
          <cell r="N2772">
            <v>0</v>
          </cell>
          <cell r="O2772">
            <v>1.09756E-2</v>
          </cell>
          <cell r="P2772">
            <v>0.21377689999999999</v>
          </cell>
          <cell r="Q2772">
            <v>1.4412278999999999</v>
          </cell>
          <cell r="R2772">
            <v>0</v>
          </cell>
          <cell r="S2772">
            <v>0</v>
          </cell>
          <cell r="T2772">
            <v>1.4934361</v>
          </cell>
          <cell r="U2772">
            <v>0</v>
          </cell>
          <cell r="V2772">
            <v>0</v>
          </cell>
          <cell r="W2772">
            <v>0</v>
          </cell>
          <cell r="X2772">
            <v>5.9689800000000001E-2</v>
          </cell>
          <cell r="Y2772">
            <v>0</v>
          </cell>
          <cell r="Z2772">
            <v>0</v>
          </cell>
          <cell r="AA2772">
            <v>0</v>
          </cell>
          <cell r="AB2772">
            <v>0.81098009999999998</v>
          </cell>
        </row>
        <row r="2773">
          <cell r="A2773">
            <v>53225000</v>
          </cell>
          <cell r="B2773" t="str">
            <v>Cookie, macaroon</v>
          </cell>
          <cell r="I2773">
            <v>30</v>
          </cell>
          <cell r="J2773">
            <v>138</v>
          </cell>
          <cell r="K2773">
            <v>4.5999999999999996</v>
          </cell>
          <cell r="L2773">
            <v>0</v>
          </cell>
          <cell r="M2773">
            <v>6.0297000000000001</v>
          </cell>
          <cell r="N2773">
            <v>0</v>
          </cell>
          <cell r="O2773">
            <v>1.5E-3</v>
          </cell>
          <cell r="P2773">
            <v>1.53</v>
          </cell>
          <cell r="Q2773">
            <v>0.24299999999999999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7.2300000000000003E-2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</row>
        <row r="2774">
          <cell r="A2774">
            <v>53226000</v>
          </cell>
          <cell r="B2774" t="str">
            <v>Cookie, marshmallow, with coconut</v>
          </cell>
          <cell r="I2774">
            <v>30</v>
          </cell>
          <cell r="J2774">
            <v>126.3</v>
          </cell>
          <cell r="K2774">
            <v>4.21</v>
          </cell>
          <cell r="L2774">
            <v>0</v>
          </cell>
          <cell r="M2774">
            <v>1.4166000000000001</v>
          </cell>
          <cell r="N2774">
            <v>0</v>
          </cell>
          <cell r="O2774">
            <v>1.38E-2</v>
          </cell>
          <cell r="P2774">
            <v>0.6</v>
          </cell>
          <cell r="Q2774">
            <v>0.58289999999999997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5.6399999999999999E-2</v>
          </cell>
          <cell r="Y2774">
            <v>0</v>
          </cell>
          <cell r="Z2774">
            <v>0</v>
          </cell>
          <cell r="AA2774">
            <v>0</v>
          </cell>
          <cell r="AB2774">
            <v>0.31274059999999998</v>
          </cell>
        </row>
        <row r="2775">
          <cell r="A2775">
            <v>53226500</v>
          </cell>
          <cell r="B2775" t="str">
            <v>Cookie, marshmallow, with rice cereal, no bake</v>
          </cell>
          <cell r="I2775">
            <v>30</v>
          </cell>
          <cell r="J2775">
            <v>124.2</v>
          </cell>
          <cell r="K2775">
            <v>4.1399999999999997</v>
          </cell>
          <cell r="L2775">
            <v>0</v>
          </cell>
          <cell r="M2775">
            <v>0.42</v>
          </cell>
          <cell r="N2775">
            <v>0</v>
          </cell>
          <cell r="O2775">
            <v>8.9999999999999998E-4</v>
          </cell>
          <cell r="P2775">
            <v>0</v>
          </cell>
          <cell r="Q2775">
            <v>1.53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0.1053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</row>
        <row r="2776">
          <cell r="A2776">
            <v>53226550</v>
          </cell>
          <cell r="B2776" t="str">
            <v>Cookie, marshmallow, with rice cereal and chocolate chips</v>
          </cell>
          <cell r="I2776">
            <v>30</v>
          </cell>
          <cell r="J2776">
            <v>130.5</v>
          </cell>
          <cell r="K2776">
            <v>4.3499999999999996</v>
          </cell>
          <cell r="L2776">
            <v>0</v>
          </cell>
          <cell r="M2776">
            <v>3.4091999999999998</v>
          </cell>
          <cell r="N2776">
            <v>0</v>
          </cell>
          <cell r="O2776">
            <v>0</v>
          </cell>
          <cell r="P2776">
            <v>0</v>
          </cell>
          <cell r="Q2776">
            <v>0.53190000000000004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0.1023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</row>
        <row r="2777">
          <cell r="A2777">
            <v>53230000</v>
          </cell>
          <cell r="B2777" t="str">
            <v>Cookie, molasses</v>
          </cell>
          <cell r="I2777">
            <v>30</v>
          </cell>
          <cell r="J2777">
            <v>129</v>
          </cell>
          <cell r="K2777">
            <v>4.3</v>
          </cell>
          <cell r="L2777">
            <v>0</v>
          </cell>
          <cell r="M2777">
            <v>0.96360000000000001</v>
          </cell>
          <cell r="N2777">
            <v>0</v>
          </cell>
          <cell r="O2777">
            <v>2.2200000000000001E-2</v>
          </cell>
          <cell r="P2777">
            <v>0.3</v>
          </cell>
          <cell r="Q2777">
            <v>0.51870000000000005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0.13769999999999999</v>
          </cell>
          <cell r="Y2777">
            <v>0</v>
          </cell>
          <cell r="Z2777">
            <v>0</v>
          </cell>
          <cell r="AA2777">
            <v>0</v>
          </cell>
          <cell r="AB2777">
            <v>0.19736909999999999</v>
          </cell>
        </row>
        <row r="2778">
          <cell r="A2778">
            <v>53231400</v>
          </cell>
          <cell r="B2778" t="str">
            <v>Cookie, multigrain, high fiber</v>
          </cell>
          <cell r="I2778">
            <v>30</v>
          </cell>
          <cell r="J2778">
            <v>139.19999999999999</v>
          </cell>
          <cell r="K2778">
            <v>4.6399999999999997</v>
          </cell>
          <cell r="L2778">
            <v>0.93</v>
          </cell>
          <cell r="M2778">
            <v>3.8069999999999999</v>
          </cell>
          <cell r="N2778">
            <v>0</v>
          </cell>
          <cell r="O2778">
            <v>1.7999999999999999E-2</v>
          </cell>
          <cell r="P2778">
            <v>0</v>
          </cell>
          <cell r="Q2778">
            <v>0.49020000000000002</v>
          </cell>
          <cell r="R2778">
            <v>16.414650000000002</v>
          </cell>
          <cell r="S2778">
            <v>0</v>
          </cell>
          <cell r="T2778">
            <v>0.67500000000000004</v>
          </cell>
          <cell r="U2778">
            <v>0</v>
          </cell>
          <cell r="V2778">
            <v>0</v>
          </cell>
          <cell r="W2778">
            <v>0</v>
          </cell>
          <cell r="X2778">
            <v>7.5300000000000006E-2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</row>
        <row r="2779">
          <cell r="A2779">
            <v>53233000</v>
          </cell>
          <cell r="B2779" t="str">
            <v>Cookie, oatmeal</v>
          </cell>
          <cell r="I2779">
            <v>30</v>
          </cell>
          <cell r="J2779">
            <v>135</v>
          </cell>
          <cell r="K2779">
            <v>4.5</v>
          </cell>
          <cell r="L2779">
            <v>0.34438340000000001</v>
          </cell>
          <cell r="M2779">
            <v>1.3556999999999999</v>
          </cell>
          <cell r="N2779">
            <v>0</v>
          </cell>
          <cell r="O2779">
            <v>1.11E-2</v>
          </cell>
          <cell r="P2779">
            <v>0.49561660000000002</v>
          </cell>
          <cell r="Q2779">
            <v>0.76290000000000002</v>
          </cell>
          <cell r="R2779">
            <v>2.8319999999999999</v>
          </cell>
          <cell r="S2779">
            <v>0</v>
          </cell>
          <cell r="T2779">
            <v>1.35</v>
          </cell>
          <cell r="U2779">
            <v>0</v>
          </cell>
          <cell r="V2779">
            <v>0</v>
          </cell>
          <cell r="W2779">
            <v>0</v>
          </cell>
          <cell r="X2779">
            <v>0.1149</v>
          </cell>
          <cell r="Y2779">
            <v>0</v>
          </cell>
          <cell r="Z2779">
            <v>0</v>
          </cell>
          <cell r="AA2779">
            <v>0</v>
          </cell>
          <cell r="AB2779">
            <v>0.34613739999999998</v>
          </cell>
        </row>
        <row r="2780">
          <cell r="A2780">
            <v>53233010</v>
          </cell>
          <cell r="B2780" t="str">
            <v>Cookie, oatmeal, with raisins</v>
          </cell>
          <cell r="I2780">
            <v>30</v>
          </cell>
          <cell r="J2780">
            <v>135</v>
          </cell>
          <cell r="K2780">
            <v>4.5</v>
          </cell>
          <cell r="L2780">
            <v>0.34438340000000001</v>
          </cell>
          <cell r="M2780">
            <v>1.3556999999999999</v>
          </cell>
          <cell r="N2780">
            <v>0</v>
          </cell>
          <cell r="O2780">
            <v>1.11E-2</v>
          </cell>
          <cell r="P2780">
            <v>0.49561660000000002</v>
          </cell>
          <cell r="Q2780">
            <v>0.76290000000000002</v>
          </cell>
          <cell r="R2780">
            <v>2.8319999999999999</v>
          </cell>
          <cell r="S2780">
            <v>0</v>
          </cell>
          <cell r="T2780">
            <v>1.35</v>
          </cell>
          <cell r="U2780">
            <v>0</v>
          </cell>
          <cell r="V2780">
            <v>0</v>
          </cell>
          <cell r="W2780">
            <v>0</v>
          </cell>
          <cell r="X2780">
            <v>0.1149</v>
          </cell>
          <cell r="Y2780">
            <v>0</v>
          </cell>
          <cell r="Z2780">
            <v>0</v>
          </cell>
          <cell r="AA2780">
            <v>0</v>
          </cell>
          <cell r="AB2780">
            <v>0.3264784</v>
          </cell>
        </row>
        <row r="2781">
          <cell r="A2781">
            <v>53233040</v>
          </cell>
          <cell r="B2781" t="str">
            <v>Cookie, oatmeal, reduced fat, NS as to raisins</v>
          </cell>
          <cell r="I2781">
            <v>30</v>
          </cell>
          <cell r="J2781">
            <v>109.5</v>
          </cell>
          <cell r="K2781">
            <v>3.65</v>
          </cell>
          <cell r="L2781">
            <v>2.2998642999999999</v>
          </cell>
          <cell r="M2781">
            <v>1.2270000000000001</v>
          </cell>
          <cell r="N2781">
            <v>0</v>
          </cell>
          <cell r="O2781">
            <v>0</v>
          </cell>
          <cell r="P2781">
            <v>2.5301357000000002</v>
          </cell>
          <cell r="Q2781">
            <v>0.68069999999999997</v>
          </cell>
          <cell r="R2781">
            <v>2.8319999999999999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0.1686</v>
          </cell>
          <cell r="Y2781">
            <v>0</v>
          </cell>
          <cell r="Z2781">
            <v>0</v>
          </cell>
          <cell r="AA2781">
            <v>0</v>
          </cell>
          <cell r="AB2781">
            <v>0</v>
          </cell>
        </row>
        <row r="2782">
          <cell r="A2782">
            <v>53233050</v>
          </cell>
          <cell r="B2782" t="str">
            <v>Cookie, oatmeal sandwich, with creme filling</v>
          </cell>
          <cell r="I2782">
            <v>30</v>
          </cell>
          <cell r="J2782">
            <v>119.4</v>
          </cell>
          <cell r="K2782">
            <v>3.98</v>
          </cell>
          <cell r="L2782">
            <v>0.31196659999999998</v>
          </cell>
          <cell r="M2782">
            <v>1.5678000000000001</v>
          </cell>
          <cell r="N2782">
            <v>0</v>
          </cell>
          <cell r="O2782">
            <v>0</v>
          </cell>
          <cell r="P2782">
            <v>0.46803339999999999</v>
          </cell>
          <cell r="Q2782">
            <v>2.2302</v>
          </cell>
          <cell r="R2782">
            <v>1.68</v>
          </cell>
          <cell r="S2782">
            <v>0</v>
          </cell>
          <cell r="T2782">
            <v>0.67500000000000004</v>
          </cell>
          <cell r="U2782">
            <v>0</v>
          </cell>
          <cell r="V2782">
            <v>0</v>
          </cell>
          <cell r="W2782">
            <v>0</v>
          </cell>
          <cell r="X2782">
            <v>0.13320000000000001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</row>
        <row r="2783">
          <cell r="A2783">
            <v>53233060</v>
          </cell>
          <cell r="B2783" t="str">
            <v>Cookie, oatmeal, with chocolate chips</v>
          </cell>
          <cell r="I2783">
            <v>30</v>
          </cell>
          <cell r="J2783">
            <v>137.13559000000001</v>
          </cell>
          <cell r="K2783">
            <v>4.5711863333333334</v>
          </cell>
          <cell r="L2783">
            <v>0.26266529999999999</v>
          </cell>
          <cell r="M2783">
            <v>2.2975677999999999</v>
          </cell>
          <cell r="N2783">
            <v>0</v>
          </cell>
          <cell r="O2783">
            <v>1.0744099999999999E-2</v>
          </cell>
          <cell r="P2783">
            <v>0.79801270000000002</v>
          </cell>
          <cell r="Q2783">
            <v>0.65063899999999997</v>
          </cell>
          <cell r="R2783">
            <v>2.16</v>
          </cell>
          <cell r="S2783">
            <v>0</v>
          </cell>
          <cell r="T2783">
            <v>1.0296609999999999</v>
          </cell>
          <cell r="U2783">
            <v>0</v>
          </cell>
          <cell r="V2783">
            <v>0</v>
          </cell>
          <cell r="W2783">
            <v>0</v>
          </cell>
          <cell r="X2783">
            <v>8.84186E-2</v>
          </cell>
          <cell r="Y2783">
            <v>0</v>
          </cell>
          <cell r="Z2783">
            <v>0</v>
          </cell>
          <cell r="AA2783">
            <v>0</v>
          </cell>
          <cell r="AB2783">
            <v>0.40821429999999997</v>
          </cell>
        </row>
        <row r="2784">
          <cell r="A2784">
            <v>53233100</v>
          </cell>
          <cell r="B2784" t="str">
            <v>Cookie, oatmeal, with chocolate and peanut butter, no bake</v>
          </cell>
          <cell r="I2784">
            <v>30</v>
          </cell>
          <cell r="J2784">
            <v>135</v>
          </cell>
          <cell r="K2784">
            <v>4.5</v>
          </cell>
          <cell r="L2784">
            <v>0.34438340000000001</v>
          </cell>
          <cell r="M2784">
            <v>1.3556999999999999</v>
          </cell>
          <cell r="N2784">
            <v>0</v>
          </cell>
          <cell r="O2784">
            <v>1.11E-2</v>
          </cell>
          <cell r="P2784">
            <v>0.49561660000000002</v>
          </cell>
          <cell r="Q2784">
            <v>0.76290000000000002</v>
          </cell>
          <cell r="R2784">
            <v>2.8319999999999999</v>
          </cell>
          <cell r="S2784">
            <v>0</v>
          </cell>
          <cell r="T2784">
            <v>1.35</v>
          </cell>
          <cell r="U2784">
            <v>0</v>
          </cell>
          <cell r="V2784">
            <v>0</v>
          </cell>
          <cell r="W2784">
            <v>0</v>
          </cell>
          <cell r="X2784">
            <v>0.1149</v>
          </cell>
          <cell r="Y2784">
            <v>0</v>
          </cell>
          <cell r="Z2784">
            <v>0</v>
          </cell>
          <cell r="AA2784">
            <v>0</v>
          </cell>
          <cell r="AB2784">
            <v>0.24487500000000001</v>
          </cell>
        </row>
        <row r="2785">
          <cell r="A2785">
            <v>53234000</v>
          </cell>
          <cell r="B2785" t="str">
            <v>Cookie, peanut butter</v>
          </cell>
          <cell r="I2785">
            <v>30</v>
          </cell>
          <cell r="J2785">
            <v>141.9</v>
          </cell>
          <cell r="K2785">
            <v>4.7300000000000004</v>
          </cell>
          <cell r="L2785">
            <v>0</v>
          </cell>
          <cell r="M2785">
            <v>2.0253000000000001</v>
          </cell>
          <cell r="N2785">
            <v>0</v>
          </cell>
          <cell r="O2785">
            <v>1.23E-2</v>
          </cell>
          <cell r="P2785">
            <v>0.63</v>
          </cell>
          <cell r="Q2785">
            <v>1.083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0.1389</v>
          </cell>
          <cell r="Y2785">
            <v>7.3568249999999997</v>
          </cell>
          <cell r="Z2785">
            <v>0</v>
          </cell>
          <cell r="AA2785">
            <v>0</v>
          </cell>
          <cell r="AB2785">
            <v>0.375</v>
          </cell>
        </row>
        <row r="2786">
          <cell r="A2786">
            <v>53234100</v>
          </cell>
          <cell r="B2786" t="str">
            <v>Cookie, peanut butter, with chocolate</v>
          </cell>
          <cell r="I2786">
            <v>30</v>
          </cell>
          <cell r="J2786">
            <v>142.39831000000001</v>
          </cell>
          <cell r="K2786">
            <v>4.7466103333333338</v>
          </cell>
          <cell r="L2786">
            <v>0</v>
          </cell>
          <cell r="M2786">
            <v>2.8082796999999999</v>
          </cell>
          <cell r="N2786">
            <v>0</v>
          </cell>
          <cell r="O2786">
            <v>1.1659299999999999E-2</v>
          </cell>
          <cell r="P2786">
            <v>0.90050850000000005</v>
          </cell>
          <cell r="Q2786">
            <v>0.89478310000000005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0.1067237</v>
          </cell>
          <cell r="Y2786">
            <v>5.6111376999999996</v>
          </cell>
          <cell r="Z2786">
            <v>0</v>
          </cell>
          <cell r="AA2786">
            <v>0</v>
          </cell>
          <cell r="AB2786">
            <v>0.28601690000000002</v>
          </cell>
        </row>
        <row r="2787">
          <cell r="A2787">
            <v>53234250</v>
          </cell>
          <cell r="B2787" t="str">
            <v>Cookie, peanut butter with rice cereal, no bake</v>
          </cell>
          <cell r="I2787">
            <v>30</v>
          </cell>
          <cell r="J2787">
            <v>124.2</v>
          </cell>
          <cell r="K2787">
            <v>4.1399999999999997</v>
          </cell>
          <cell r="L2787">
            <v>0</v>
          </cell>
          <cell r="M2787">
            <v>0.42</v>
          </cell>
          <cell r="N2787">
            <v>0</v>
          </cell>
          <cell r="O2787">
            <v>8.9999999999999998E-4</v>
          </cell>
          <cell r="P2787">
            <v>0</v>
          </cell>
          <cell r="Q2787">
            <v>1.53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0.1053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</row>
        <row r="2788">
          <cell r="A2788">
            <v>53235000</v>
          </cell>
          <cell r="B2788" t="str">
            <v>Cookie, peanut butter sandwich</v>
          </cell>
          <cell r="I2788">
            <v>30</v>
          </cell>
          <cell r="J2788">
            <v>143.4</v>
          </cell>
          <cell r="K2788">
            <v>4.78</v>
          </cell>
          <cell r="L2788">
            <v>0</v>
          </cell>
          <cell r="M2788">
            <v>1.4984999999999999</v>
          </cell>
          <cell r="N2788">
            <v>0</v>
          </cell>
          <cell r="O2788">
            <v>1.5900000000000001E-2</v>
          </cell>
          <cell r="P2788">
            <v>0.56999999999999995</v>
          </cell>
          <cell r="Q2788">
            <v>1.1385000000000001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0.1104</v>
          </cell>
          <cell r="Y2788">
            <v>6.1661250000000001</v>
          </cell>
          <cell r="Z2788">
            <v>0</v>
          </cell>
          <cell r="AA2788">
            <v>0</v>
          </cell>
          <cell r="AB2788">
            <v>0.1168907</v>
          </cell>
        </row>
        <row r="2789">
          <cell r="A2789">
            <v>53235500</v>
          </cell>
          <cell r="B2789" t="str">
            <v>Cookie, with peanut butter filling, chocolate-coated</v>
          </cell>
          <cell r="I2789">
            <v>30</v>
          </cell>
          <cell r="J2789">
            <v>168.6</v>
          </cell>
          <cell r="K2789">
            <v>5.62</v>
          </cell>
          <cell r="L2789">
            <v>0</v>
          </cell>
          <cell r="M2789">
            <v>5.76</v>
          </cell>
          <cell r="N2789">
            <v>0</v>
          </cell>
          <cell r="O2789">
            <v>1.0500000000000001E-2</v>
          </cell>
          <cell r="P2789">
            <v>1.05</v>
          </cell>
          <cell r="Q2789">
            <v>1.89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0.1113</v>
          </cell>
          <cell r="Y2789">
            <v>6.7679999999999998</v>
          </cell>
          <cell r="Z2789">
            <v>0</v>
          </cell>
          <cell r="AA2789">
            <v>0</v>
          </cell>
          <cell r="AB2789">
            <v>8.1000000000000003E-2</v>
          </cell>
        </row>
        <row r="2790">
          <cell r="A2790">
            <v>53235600</v>
          </cell>
          <cell r="B2790" t="str">
            <v>Cookie, Pfeffernusse</v>
          </cell>
          <cell r="I2790">
            <v>30</v>
          </cell>
          <cell r="J2790">
            <v>150.6</v>
          </cell>
          <cell r="K2790">
            <v>5.0199999999999996</v>
          </cell>
          <cell r="L2790">
            <v>0</v>
          </cell>
          <cell r="M2790">
            <v>1.8318000000000001</v>
          </cell>
          <cell r="N2790">
            <v>0</v>
          </cell>
          <cell r="O2790">
            <v>1.0500000000000001E-2</v>
          </cell>
          <cell r="P2790">
            <v>0.54</v>
          </cell>
          <cell r="Q2790">
            <v>0.96989999999999998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0.15720000000000001</v>
          </cell>
          <cell r="Y2790">
            <v>0</v>
          </cell>
          <cell r="Z2790">
            <v>0</v>
          </cell>
          <cell r="AA2790">
            <v>0</v>
          </cell>
          <cell r="AB2790">
            <v>0.2142</v>
          </cell>
        </row>
        <row r="2791">
          <cell r="A2791">
            <v>53236000</v>
          </cell>
          <cell r="B2791" t="str">
            <v>Cookie, Pizzelle</v>
          </cell>
          <cell r="I2791">
            <v>30</v>
          </cell>
          <cell r="J2791">
            <v>125.1</v>
          </cell>
          <cell r="K2791">
            <v>4.17</v>
          </cell>
          <cell r="L2791">
            <v>0</v>
          </cell>
          <cell r="M2791">
            <v>0.36659999999999998</v>
          </cell>
          <cell r="N2791">
            <v>0</v>
          </cell>
          <cell r="O2791">
            <v>7.4999999999999997E-3</v>
          </cell>
          <cell r="P2791">
            <v>0.9</v>
          </cell>
          <cell r="Q2791">
            <v>0.97919999999999996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7.6799999999999993E-2</v>
          </cell>
          <cell r="Y2791">
            <v>0</v>
          </cell>
          <cell r="Z2791">
            <v>0</v>
          </cell>
          <cell r="AA2791">
            <v>0</v>
          </cell>
          <cell r="AB2791">
            <v>8.8843500000000006E-2</v>
          </cell>
        </row>
        <row r="2792">
          <cell r="A2792">
            <v>53236100</v>
          </cell>
          <cell r="B2792" t="str">
            <v>Cookie, pumpkin</v>
          </cell>
          <cell r="I2792">
            <v>30</v>
          </cell>
          <cell r="J2792">
            <v>135</v>
          </cell>
          <cell r="K2792">
            <v>4.5</v>
          </cell>
          <cell r="L2792">
            <v>0.34438340000000001</v>
          </cell>
          <cell r="M2792">
            <v>1.3556999999999999</v>
          </cell>
          <cell r="N2792">
            <v>0</v>
          </cell>
          <cell r="O2792">
            <v>1.11E-2</v>
          </cell>
          <cell r="P2792">
            <v>0.49561660000000002</v>
          </cell>
          <cell r="Q2792">
            <v>0.76290000000000002</v>
          </cell>
          <cell r="R2792">
            <v>2.8319999999999999</v>
          </cell>
          <cell r="S2792">
            <v>0</v>
          </cell>
          <cell r="T2792">
            <v>1.35</v>
          </cell>
          <cell r="U2792">
            <v>0</v>
          </cell>
          <cell r="V2792">
            <v>0</v>
          </cell>
          <cell r="W2792">
            <v>0</v>
          </cell>
          <cell r="X2792">
            <v>0.1149</v>
          </cell>
          <cell r="Y2792">
            <v>0</v>
          </cell>
          <cell r="Z2792">
            <v>0</v>
          </cell>
          <cell r="AA2792">
            <v>0</v>
          </cell>
          <cell r="AB2792">
            <v>0.25889069999999997</v>
          </cell>
        </row>
        <row r="2793">
          <cell r="A2793">
            <v>53237000</v>
          </cell>
          <cell r="B2793" t="str">
            <v>Cookie, raisin</v>
          </cell>
          <cell r="I2793">
            <v>30</v>
          </cell>
          <cell r="J2793">
            <v>120.3</v>
          </cell>
          <cell r="K2793">
            <v>4.01</v>
          </cell>
          <cell r="L2793">
            <v>8.1700300000000003E-2</v>
          </cell>
          <cell r="M2793">
            <v>1.038</v>
          </cell>
          <cell r="N2793">
            <v>0</v>
          </cell>
          <cell r="O2793">
            <v>1.38E-2</v>
          </cell>
          <cell r="P2793">
            <v>0.27829969999999998</v>
          </cell>
          <cell r="Q2793">
            <v>0.52680000000000005</v>
          </cell>
          <cell r="R2793">
            <v>0</v>
          </cell>
          <cell r="S2793">
            <v>0</v>
          </cell>
          <cell r="T2793">
            <v>6.3</v>
          </cell>
          <cell r="U2793">
            <v>0</v>
          </cell>
          <cell r="V2793">
            <v>0</v>
          </cell>
          <cell r="W2793">
            <v>0</v>
          </cell>
          <cell r="X2793">
            <v>0.12540000000000001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</row>
        <row r="2794">
          <cell r="A2794">
            <v>53237010</v>
          </cell>
          <cell r="B2794" t="str">
            <v>Cookie, raisin sandwich, cream-filled</v>
          </cell>
          <cell r="I2794">
            <v>30</v>
          </cell>
          <cell r="J2794">
            <v>119.4</v>
          </cell>
          <cell r="K2794">
            <v>3.98</v>
          </cell>
          <cell r="L2794">
            <v>0.31196659999999998</v>
          </cell>
          <cell r="M2794">
            <v>1.5678000000000001</v>
          </cell>
          <cell r="N2794">
            <v>0</v>
          </cell>
          <cell r="O2794">
            <v>0</v>
          </cell>
          <cell r="P2794">
            <v>0.46803339999999999</v>
          </cell>
          <cell r="Q2794">
            <v>2.2302</v>
          </cell>
          <cell r="R2794">
            <v>1.68</v>
          </cell>
          <cell r="S2794">
            <v>0</v>
          </cell>
          <cell r="T2794">
            <v>0.67500000000000004</v>
          </cell>
          <cell r="U2794">
            <v>0</v>
          </cell>
          <cell r="V2794">
            <v>0</v>
          </cell>
          <cell r="W2794">
            <v>0</v>
          </cell>
          <cell r="X2794">
            <v>0.13320000000000001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</row>
        <row r="2795">
          <cell r="A2795">
            <v>53237500</v>
          </cell>
          <cell r="B2795" t="str">
            <v>Cookie, rum ball (no-bake)</v>
          </cell>
          <cell r="I2795">
            <v>30</v>
          </cell>
          <cell r="J2795">
            <v>154.19999999999999</v>
          </cell>
          <cell r="K2795">
            <v>5.14</v>
          </cell>
          <cell r="L2795">
            <v>0</v>
          </cell>
          <cell r="M2795">
            <v>2.4315000000000002</v>
          </cell>
          <cell r="N2795">
            <v>0</v>
          </cell>
          <cell r="O2795">
            <v>3.8999999999999998E-3</v>
          </cell>
          <cell r="P2795">
            <v>0.39</v>
          </cell>
          <cell r="Q2795">
            <v>2.4977999999999998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0.10589999999999999</v>
          </cell>
          <cell r="Y2795">
            <v>0</v>
          </cell>
          <cell r="Z2795">
            <v>0</v>
          </cell>
          <cell r="AA2795">
            <v>0</v>
          </cell>
          <cell r="AB2795">
            <v>0.2142</v>
          </cell>
        </row>
        <row r="2796">
          <cell r="A2796">
            <v>53238000</v>
          </cell>
          <cell r="B2796" t="str">
            <v>Cookie, sandwich-type, not chocolate or vanilla</v>
          </cell>
          <cell r="I2796">
            <v>30</v>
          </cell>
          <cell r="J2796">
            <v>144.9</v>
          </cell>
          <cell r="K2796">
            <v>4.83</v>
          </cell>
          <cell r="L2796">
            <v>0</v>
          </cell>
          <cell r="M2796">
            <v>0.89370000000000005</v>
          </cell>
          <cell r="N2796">
            <v>0</v>
          </cell>
          <cell r="O2796">
            <v>8.0999999999999996E-3</v>
          </cell>
          <cell r="P2796">
            <v>0.45</v>
          </cell>
          <cell r="Q2796">
            <v>2.2652999999999999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0.1047</v>
          </cell>
          <cell r="Y2796">
            <v>0</v>
          </cell>
          <cell r="Z2796">
            <v>0</v>
          </cell>
          <cell r="AA2796">
            <v>0</v>
          </cell>
          <cell r="AB2796">
            <v>0.3013866</v>
          </cell>
        </row>
        <row r="2797">
          <cell r="A2797">
            <v>53239000</v>
          </cell>
          <cell r="B2797" t="str">
            <v>Cookie, shortbread</v>
          </cell>
          <cell r="I2797">
            <v>30</v>
          </cell>
          <cell r="J2797">
            <v>154.19999999999999</v>
          </cell>
          <cell r="K2797">
            <v>5.14</v>
          </cell>
          <cell r="L2797">
            <v>0</v>
          </cell>
          <cell r="M2797">
            <v>2.4315000000000002</v>
          </cell>
          <cell r="N2797">
            <v>0</v>
          </cell>
          <cell r="O2797">
            <v>3.8999999999999998E-3</v>
          </cell>
          <cell r="P2797">
            <v>0.39</v>
          </cell>
          <cell r="Q2797">
            <v>2.4977999999999998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0.10589999999999999</v>
          </cell>
          <cell r="Y2797">
            <v>0</v>
          </cell>
          <cell r="Z2797">
            <v>0</v>
          </cell>
          <cell r="AA2797">
            <v>0</v>
          </cell>
          <cell r="AB2797">
            <v>0.2142</v>
          </cell>
        </row>
        <row r="2798">
          <cell r="A2798">
            <v>53239010</v>
          </cell>
          <cell r="B2798" t="str">
            <v>Cookie, shortbread, reduced fat</v>
          </cell>
          <cell r="I2798">
            <v>30</v>
          </cell>
          <cell r="J2798">
            <v>135.30000000000001</v>
          </cell>
          <cell r="K2798">
            <v>4.5100000000000007</v>
          </cell>
          <cell r="L2798">
            <v>0</v>
          </cell>
          <cell r="M2798">
            <v>1.4081999999999999</v>
          </cell>
          <cell r="N2798">
            <v>0</v>
          </cell>
          <cell r="O2798">
            <v>3.8999999999999998E-3</v>
          </cell>
          <cell r="P2798">
            <v>0.39</v>
          </cell>
          <cell r="Q2798">
            <v>1.8170999999999999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0.17130000000000001</v>
          </cell>
          <cell r="Y2798">
            <v>0</v>
          </cell>
          <cell r="Z2798">
            <v>0</v>
          </cell>
          <cell r="AA2798">
            <v>0</v>
          </cell>
          <cell r="AB2798">
            <v>0.14099999999999999</v>
          </cell>
        </row>
        <row r="2799">
          <cell r="A2799">
            <v>53239050</v>
          </cell>
          <cell r="B2799" t="str">
            <v>Cookie, shortbread, with icing or filling</v>
          </cell>
          <cell r="I2799">
            <v>30</v>
          </cell>
          <cell r="J2799">
            <v>154.40176</v>
          </cell>
          <cell r="K2799">
            <v>5.1467253333333334</v>
          </cell>
          <cell r="L2799">
            <v>1.332E-16</v>
          </cell>
          <cell r="M2799">
            <v>3.0641389000000001</v>
          </cell>
          <cell r="N2799">
            <v>0</v>
          </cell>
          <cell r="O2799">
            <v>4.8900999999999997E-3</v>
          </cell>
          <cell r="P2799">
            <v>0.63879220000000003</v>
          </cell>
          <cell r="Q2799">
            <v>2.1999051000000001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8.4879399999999994E-2</v>
          </cell>
          <cell r="Y2799">
            <v>0</v>
          </cell>
          <cell r="Z2799">
            <v>0</v>
          </cell>
          <cell r="AA2799">
            <v>0</v>
          </cell>
          <cell r="AB2799">
            <v>0.43511080000000002</v>
          </cell>
        </row>
        <row r="2800">
          <cell r="A2800">
            <v>53239100</v>
          </cell>
          <cell r="B2800" t="str">
            <v>Pocky</v>
          </cell>
          <cell r="I2800">
            <v>30</v>
          </cell>
          <cell r="J2800">
            <v>134.1</v>
          </cell>
          <cell r="K2800">
            <v>4.47</v>
          </cell>
          <cell r="L2800">
            <v>0</v>
          </cell>
          <cell r="M2800">
            <v>3.7751999999999999</v>
          </cell>
          <cell r="N2800">
            <v>0</v>
          </cell>
          <cell r="O2800">
            <v>1.4999999999999999E-2</v>
          </cell>
          <cell r="P2800">
            <v>1.5</v>
          </cell>
          <cell r="Q2800">
            <v>2.0150999999999999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6.3899999999999998E-2</v>
          </cell>
          <cell r="Y2800">
            <v>0</v>
          </cell>
          <cell r="Z2800">
            <v>0</v>
          </cell>
          <cell r="AA2800">
            <v>0</v>
          </cell>
          <cell r="AB2800">
            <v>0.13475019999999999</v>
          </cell>
        </row>
        <row r="2801">
          <cell r="A2801">
            <v>53240000</v>
          </cell>
          <cell r="B2801" t="str">
            <v>Cookie, animal</v>
          </cell>
          <cell r="I2801">
            <v>30</v>
          </cell>
          <cell r="J2801">
            <v>133.80000000000001</v>
          </cell>
          <cell r="K2801">
            <v>4.46</v>
          </cell>
          <cell r="L2801">
            <v>0</v>
          </cell>
          <cell r="M2801">
            <v>1.0388999999999999</v>
          </cell>
          <cell r="N2801">
            <v>0</v>
          </cell>
          <cell r="O2801">
            <v>1.29E-2</v>
          </cell>
          <cell r="P2801">
            <v>0.33</v>
          </cell>
          <cell r="Q2801">
            <v>0.56189999999999996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0.1221</v>
          </cell>
          <cell r="Y2801">
            <v>0</v>
          </cell>
          <cell r="Z2801">
            <v>0</v>
          </cell>
          <cell r="AA2801">
            <v>0</v>
          </cell>
          <cell r="AB2801">
            <v>8.4934300000000004E-2</v>
          </cell>
        </row>
        <row r="2802">
          <cell r="A2802">
            <v>53240010</v>
          </cell>
          <cell r="B2802" t="str">
            <v>Cookie, animal, with frosting or icing</v>
          </cell>
          <cell r="I2802">
            <v>30</v>
          </cell>
          <cell r="J2802">
            <v>152.69999999999999</v>
          </cell>
          <cell r="K2802">
            <v>5.09</v>
          </cell>
          <cell r="L2802">
            <v>0</v>
          </cell>
          <cell r="M2802">
            <v>4.8600000000000003</v>
          </cell>
          <cell r="N2802">
            <v>0</v>
          </cell>
          <cell r="O2802">
            <v>1.8E-3</v>
          </cell>
          <cell r="P2802">
            <v>0.27</v>
          </cell>
          <cell r="Q2802">
            <v>1.35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7.7100000000000002E-2</v>
          </cell>
          <cell r="Y2802">
            <v>0</v>
          </cell>
          <cell r="Z2802">
            <v>0</v>
          </cell>
          <cell r="AA2802">
            <v>0</v>
          </cell>
          <cell r="AB2802">
            <v>0.1545</v>
          </cell>
        </row>
        <row r="2803">
          <cell r="A2803">
            <v>53241500</v>
          </cell>
          <cell r="B2803" t="str">
            <v>Cookie, butter or sugar</v>
          </cell>
          <cell r="I2803">
            <v>30</v>
          </cell>
          <cell r="J2803">
            <v>139.19999999999999</v>
          </cell>
          <cell r="K2803">
            <v>4.6399999999999997</v>
          </cell>
          <cell r="L2803">
            <v>0</v>
          </cell>
          <cell r="M2803">
            <v>2.2997999999999998</v>
          </cell>
          <cell r="N2803">
            <v>0</v>
          </cell>
          <cell r="O2803">
            <v>1.0500000000000001E-2</v>
          </cell>
          <cell r="P2803">
            <v>0.39</v>
          </cell>
          <cell r="Q2803">
            <v>1.1237999999999999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0.11550000000000001</v>
          </cell>
          <cell r="Y2803">
            <v>0</v>
          </cell>
          <cell r="Z2803">
            <v>0</v>
          </cell>
          <cell r="AA2803">
            <v>0</v>
          </cell>
          <cell r="AB2803">
            <v>0.14699999999999999</v>
          </cell>
        </row>
        <row r="2804">
          <cell r="A2804">
            <v>53241510</v>
          </cell>
          <cell r="B2804" t="str">
            <v>Marie biscuit</v>
          </cell>
          <cell r="I2804">
            <v>30</v>
          </cell>
          <cell r="J2804">
            <v>121.8</v>
          </cell>
          <cell r="K2804">
            <v>4.0599999999999996</v>
          </cell>
          <cell r="L2804">
            <v>0</v>
          </cell>
          <cell r="M2804">
            <v>1.5872999999999999</v>
          </cell>
          <cell r="N2804">
            <v>0</v>
          </cell>
          <cell r="O2804">
            <v>0</v>
          </cell>
          <cell r="P2804">
            <v>1.05</v>
          </cell>
          <cell r="Q2804">
            <v>0.501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0.111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</row>
        <row r="2805">
          <cell r="A2805">
            <v>53241600</v>
          </cell>
          <cell r="B2805" t="str">
            <v>Cookie, butter or sugar, with fruit and/or nuts</v>
          </cell>
          <cell r="I2805">
            <v>30</v>
          </cell>
          <cell r="J2805">
            <v>139.67175</v>
          </cell>
          <cell r="K2805">
            <v>4.6557250000000003</v>
          </cell>
          <cell r="L2805">
            <v>0.11966540000000001</v>
          </cell>
          <cell r="M2805">
            <v>2.8279428000000002</v>
          </cell>
          <cell r="N2805">
            <v>0</v>
          </cell>
          <cell r="O2805">
            <v>1.1226E-2</v>
          </cell>
          <cell r="P2805">
            <v>0.3720446</v>
          </cell>
          <cell r="Q2805">
            <v>1.5004025999999999</v>
          </cell>
          <cell r="R2805">
            <v>0</v>
          </cell>
          <cell r="S2805">
            <v>0</v>
          </cell>
          <cell r="T2805">
            <v>3.2342007000000002</v>
          </cell>
          <cell r="U2805">
            <v>0</v>
          </cell>
          <cell r="V2805">
            <v>0</v>
          </cell>
          <cell r="W2805">
            <v>0</v>
          </cell>
          <cell r="X2805">
            <v>6.8340899999999996E-2</v>
          </cell>
          <cell r="Y2805">
            <v>2.6748067</v>
          </cell>
          <cell r="Z2805">
            <v>0</v>
          </cell>
          <cell r="AA2805">
            <v>0</v>
          </cell>
          <cell r="AB2805">
            <v>5.1971700000000003E-2</v>
          </cell>
        </row>
        <row r="2806">
          <cell r="A2806">
            <v>53242000</v>
          </cell>
          <cell r="B2806" t="str">
            <v>Cookie, sugar wafer</v>
          </cell>
          <cell r="I2806">
            <v>30</v>
          </cell>
          <cell r="J2806">
            <v>150.6</v>
          </cell>
          <cell r="K2806">
            <v>5.0199999999999996</v>
          </cell>
          <cell r="L2806">
            <v>0</v>
          </cell>
          <cell r="M2806">
            <v>3.5697000000000001</v>
          </cell>
          <cell r="N2806">
            <v>0</v>
          </cell>
          <cell r="O2806">
            <v>8.0999999999999996E-3</v>
          </cell>
          <cell r="P2806">
            <v>0.48</v>
          </cell>
          <cell r="Q2806">
            <v>0.79530000000000001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3.09E-2</v>
          </cell>
          <cell r="Y2806">
            <v>0</v>
          </cell>
          <cell r="Z2806">
            <v>0</v>
          </cell>
          <cell r="AA2806">
            <v>0</v>
          </cell>
          <cell r="AB2806">
            <v>6.93E-2</v>
          </cell>
        </row>
        <row r="2807">
          <cell r="A2807">
            <v>53242500</v>
          </cell>
          <cell r="B2807" t="str">
            <v>Cookie, toffee bar</v>
          </cell>
          <cell r="I2807">
            <v>30</v>
          </cell>
          <cell r="J2807">
            <v>147</v>
          </cell>
          <cell r="K2807">
            <v>4.9000000000000004</v>
          </cell>
          <cell r="L2807">
            <v>0</v>
          </cell>
          <cell r="M2807">
            <v>2.3351999999999999</v>
          </cell>
          <cell r="N2807">
            <v>0</v>
          </cell>
          <cell r="O2807">
            <v>6.3E-3</v>
          </cell>
          <cell r="P2807">
            <v>0.6</v>
          </cell>
          <cell r="Q2807">
            <v>2.5085999999999999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9.2100000000000001E-2</v>
          </cell>
          <cell r="Y2807">
            <v>0</v>
          </cell>
          <cell r="Z2807">
            <v>0</v>
          </cell>
          <cell r="AA2807">
            <v>0</v>
          </cell>
          <cell r="AB2807">
            <v>0.20519999999999999</v>
          </cell>
        </row>
        <row r="2808">
          <cell r="A2808">
            <v>53243000</v>
          </cell>
          <cell r="B2808" t="str">
            <v>Cookie, vanilla sandwich</v>
          </cell>
          <cell r="I2808">
            <v>30</v>
          </cell>
          <cell r="J2808">
            <v>144.9</v>
          </cell>
          <cell r="K2808">
            <v>4.83</v>
          </cell>
          <cell r="L2808">
            <v>0</v>
          </cell>
          <cell r="M2808">
            <v>0.89370000000000005</v>
          </cell>
          <cell r="N2808">
            <v>0</v>
          </cell>
          <cell r="O2808">
            <v>8.0999999999999996E-3</v>
          </cell>
          <cell r="P2808">
            <v>0.45</v>
          </cell>
          <cell r="Q2808">
            <v>2.2652999999999999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0.1047</v>
          </cell>
          <cell r="Y2808">
            <v>0</v>
          </cell>
          <cell r="Z2808">
            <v>0</v>
          </cell>
          <cell r="AA2808">
            <v>0</v>
          </cell>
          <cell r="AB2808">
            <v>0.30144019999999999</v>
          </cell>
        </row>
        <row r="2809">
          <cell r="A2809">
            <v>53243010</v>
          </cell>
          <cell r="B2809" t="str">
            <v>Cookie, vanilla sandwich, extra filling</v>
          </cell>
          <cell r="I2809">
            <v>30</v>
          </cell>
          <cell r="J2809">
            <v>149.1</v>
          </cell>
          <cell r="K2809">
            <v>4.97</v>
          </cell>
          <cell r="L2809">
            <v>0</v>
          </cell>
          <cell r="M2809">
            <v>1.6362000000000001</v>
          </cell>
          <cell r="N2809">
            <v>0</v>
          </cell>
          <cell r="O2809">
            <v>4.7999999999999996E-3</v>
          </cell>
          <cell r="P2809">
            <v>0.81</v>
          </cell>
          <cell r="Q2809">
            <v>0.74129999999999996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0.1053</v>
          </cell>
          <cell r="Y2809">
            <v>0</v>
          </cell>
          <cell r="Z2809">
            <v>0</v>
          </cell>
          <cell r="AA2809">
            <v>0</v>
          </cell>
          <cell r="AB2809">
            <v>2.5476000000000001</v>
          </cell>
        </row>
        <row r="2810">
          <cell r="A2810">
            <v>53243050</v>
          </cell>
          <cell r="B2810" t="str">
            <v>Cookie, vanilla sandwich, reduced fat</v>
          </cell>
          <cell r="I2810">
            <v>30</v>
          </cell>
          <cell r="J2810">
            <v>126.9</v>
          </cell>
          <cell r="K2810">
            <v>4.2300000000000004</v>
          </cell>
          <cell r="L2810">
            <v>0</v>
          </cell>
          <cell r="M2810">
            <v>0.95250000000000001</v>
          </cell>
          <cell r="N2810">
            <v>0</v>
          </cell>
          <cell r="O2810">
            <v>1.26E-2</v>
          </cell>
          <cell r="P2810">
            <v>0.63</v>
          </cell>
          <cell r="Q2810">
            <v>0.33539999999999998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0.1062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</row>
        <row r="2811">
          <cell r="A2811">
            <v>53244010</v>
          </cell>
          <cell r="B2811" t="str">
            <v>Cookie, butter or sugar, with chocolate icing or filling</v>
          </cell>
          <cell r="I2811">
            <v>30</v>
          </cell>
          <cell r="J2811">
            <v>150.9</v>
          </cell>
          <cell r="K2811">
            <v>5.03</v>
          </cell>
          <cell r="L2811">
            <v>0</v>
          </cell>
          <cell r="M2811">
            <v>4.4400000000000004</v>
          </cell>
          <cell r="N2811">
            <v>0</v>
          </cell>
          <cell r="O2811">
            <v>5.7000000000000002E-3</v>
          </cell>
          <cell r="P2811">
            <v>0.56999999999999995</v>
          </cell>
          <cell r="Q2811">
            <v>1.53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0.10440000000000001</v>
          </cell>
          <cell r="Y2811">
            <v>0</v>
          </cell>
          <cell r="Z2811">
            <v>0</v>
          </cell>
          <cell r="AA2811">
            <v>0</v>
          </cell>
          <cell r="AB2811">
            <v>0.14699999999999999</v>
          </cell>
        </row>
        <row r="2812">
          <cell r="A2812">
            <v>53244020</v>
          </cell>
          <cell r="B2812" t="str">
            <v>Cookie, butter or sugar, with icing or filling other than chocolate</v>
          </cell>
          <cell r="I2812">
            <v>30</v>
          </cell>
          <cell r="J2812">
            <v>128.96834000000001</v>
          </cell>
          <cell r="K2812">
            <v>4.2989446666666673</v>
          </cell>
          <cell r="L2812">
            <v>0</v>
          </cell>
          <cell r="M2812">
            <v>2.0553385</v>
          </cell>
          <cell r="N2812">
            <v>0</v>
          </cell>
          <cell r="O2812">
            <v>6.3058000000000003E-3</v>
          </cell>
          <cell r="P2812">
            <v>0.1281698</v>
          </cell>
          <cell r="Q2812">
            <v>0.75782159999999998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6.1074499999999997E-2</v>
          </cell>
          <cell r="Y2812">
            <v>0</v>
          </cell>
          <cell r="Z2812">
            <v>0</v>
          </cell>
          <cell r="AA2812">
            <v>0</v>
          </cell>
          <cell r="AB2812">
            <v>8.3256200000000002E-2</v>
          </cell>
        </row>
        <row r="2813">
          <cell r="A2813">
            <v>53247000</v>
          </cell>
          <cell r="B2813" t="str">
            <v>Cookie, vanilla wafer</v>
          </cell>
          <cell r="I2813">
            <v>30</v>
          </cell>
          <cell r="J2813">
            <v>136.5</v>
          </cell>
          <cell r="K2813">
            <v>4.55</v>
          </cell>
          <cell r="L2813">
            <v>0</v>
          </cell>
          <cell r="M2813">
            <v>1.2735000000000001</v>
          </cell>
          <cell r="N2813">
            <v>0</v>
          </cell>
          <cell r="O2813">
            <v>1.0800000000000001E-2</v>
          </cell>
          <cell r="P2813">
            <v>0.48</v>
          </cell>
          <cell r="Q2813">
            <v>2.0213999999999999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9.7500000000000003E-2</v>
          </cell>
          <cell r="Y2813">
            <v>0</v>
          </cell>
          <cell r="Z2813">
            <v>0</v>
          </cell>
          <cell r="AA2813">
            <v>0</v>
          </cell>
          <cell r="AB2813">
            <v>0.18</v>
          </cell>
        </row>
        <row r="2814">
          <cell r="A2814">
            <v>53247050</v>
          </cell>
          <cell r="B2814" t="str">
            <v>Cookie, vanilla wafer, reduced fat</v>
          </cell>
          <cell r="I2814">
            <v>30</v>
          </cell>
          <cell r="J2814">
            <v>132.30000000000001</v>
          </cell>
          <cell r="K2814">
            <v>4.41</v>
          </cell>
          <cell r="L2814">
            <v>0</v>
          </cell>
          <cell r="M2814">
            <v>1.1514</v>
          </cell>
          <cell r="N2814">
            <v>0</v>
          </cell>
          <cell r="O2814">
            <v>1.44E-2</v>
          </cell>
          <cell r="P2814">
            <v>0.56999999999999995</v>
          </cell>
          <cell r="Q2814">
            <v>1.1660999999999999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0.1164</v>
          </cell>
          <cell r="Y2814">
            <v>0</v>
          </cell>
          <cell r="Z2814">
            <v>0</v>
          </cell>
          <cell r="AA2814">
            <v>0</v>
          </cell>
          <cell r="AB2814">
            <v>0.14105609999999999</v>
          </cell>
        </row>
        <row r="2815">
          <cell r="A2815">
            <v>53247500</v>
          </cell>
          <cell r="B2815" t="str">
            <v>Cookie, vanilla with caramel, coconut, and chocolate coating</v>
          </cell>
          <cell r="I2815">
            <v>30</v>
          </cell>
          <cell r="J2815">
            <v>146.69999999999999</v>
          </cell>
          <cell r="K2815">
            <v>4.8899999999999997</v>
          </cell>
          <cell r="L2815">
            <v>0</v>
          </cell>
          <cell r="M2815">
            <v>5.31</v>
          </cell>
          <cell r="N2815">
            <v>0</v>
          </cell>
          <cell r="O2815">
            <v>1.2E-2</v>
          </cell>
          <cell r="P2815">
            <v>1.32</v>
          </cell>
          <cell r="Q2815">
            <v>1.1100000000000001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5.4600000000000003E-2</v>
          </cell>
          <cell r="Y2815">
            <v>0</v>
          </cell>
          <cell r="Z2815">
            <v>0</v>
          </cell>
          <cell r="AA2815">
            <v>0</v>
          </cell>
          <cell r="AB2815">
            <v>0.06</v>
          </cell>
        </row>
        <row r="2816">
          <cell r="A2816">
            <v>53251100</v>
          </cell>
          <cell r="B2816" t="str">
            <v>Cookie, rugelach</v>
          </cell>
          <cell r="I2816">
            <v>30</v>
          </cell>
          <cell r="J2816">
            <v>104.4</v>
          </cell>
          <cell r="K2816">
            <v>3.48</v>
          </cell>
          <cell r="L2816">
            <v>0.29609350000000001</v>
          </cell>
          <cell r="M2816">
            <v>0.33689999999999998</v>
          </cell>
          <cell r="N2816">
            <v>0</v>
          </cell>
          <cell r="O2816">
            <v>1.9199999999999998E-2</v>
          </cell>
          <cell r="P2816">
            <v>1.0839065000000001</v>
          </cell>
          <cell r="Q2816">
            <v>0.83160000000000001</v>
          </cell>
          <cell r="R2816">
            <v>0</v>
          </cell>
          <cell r="S2816">
            <v>0</v>
          </cell>
          <cell r="T2816">
            <v>7.2</v>
          </cell>
          <cell r="U2816">
            <v>0</v>
          </cell>
          <cell r="V2816">
            <v>0</v>
          </cell>
          <cell r="W2816">
            <v>0</v>
          </cell>
          <cell r="X2816">
            <v>0.105</v>
          </cell>
          <cell r="Y2816">
            <v>0</v>
          </cell>
          <cell r="Z2816">
            <v>0</v>
          </cell>
          <cell r="AA2816">
            <v>0</v>
          </cell>
          <cell r="AB2816">
            <v>0.18921689999999999</v>
          </cell>
        </row>
        <row r="2817">
          <cell r="A2817">
            <v>53260030</v>
          </cell>
          <cell r="B2817" t="str">
            <v>Cookie, chocolate chip, sugar free</v>
          </cell>
          <cell r="I2817">
            <v>30</v>
          </cell>
          <cell r="J2817">
            <v>135</v>
          </cell>
          <cell r="K2817">
            <v>4.5</v>
          </cell>
          <cell r="L2817">
            <v>0</v>
          </cell>
          <cell r="M2817">
            <v>1.2548999999999999</v>
          </cell>
          <cell r="N2817">
            <v>0</v>
          </cell>
          <cell r="O2817">
            <v>1.38E-2</v>
          </cell>
          <cell r="P2817">
            <v>0.48</v>
          </cell>
          <cell r="Q2817">
            <v>1.5105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7.3200000000000001E-2</v>
          </cell>
          <cell r="Y2817">
            <v>0</v>
          </cell>
          <cell r="Z2817">
            <v>0</v>
          </cell>
          <cell r="AA2817">
            <v>0</v>
          </cell>
          <cell r="AB2817">
            <v>0.2362195</v>
          </cell>
        </row>
        <row r="2818">
          <cell r="A2818">
            <v>53260200</v>
          </cell>
          <cell r="B2818" t="str">
            <v>Cookie, oatmeal, sugar free</v>
          </cell>
          <cell r="I2818">
            <v>30</v>
          </cell>
          <cell r="J2818">
            <v>134.69999999999999</v>
          </cell>
          <cell r="K2818">
            <v>4.4899999999999993</v>
          </cell>
          <cell r="L2818">
            <v>0.31312119999999999</v>
          </cell>
          <cell r="M2818">
            <v>0.80789999999999995</v>
          </cell>
          <cell r="N2818">
            <v>0</v>
          </cell>
          <cell r="O2818">
            <v>1.6199999999999999E-2</v>
          </cell>
          <cell r="P2818">
            <v>0.55687880000000001</v>
          </cell>
          <cell r="Q2818">
            <v>2.0352000000000001</v>
          </cell>
          <cell r="R2818">
            <v>1.8720000000000001</v>
          </cell>
          <cell r="S2818">
            <v>0</v>
          </cell>
          <cell r="T2818">
            <v>2.0249999999999999</v>
          </cell>
          <cell r="U2818">
            <v>0</v>
          </cell>
          <cell r="V2818">
            <v>0</v>
          </cell>
          <cell r="W2818">
            <v>0</v>
          </cell>
          <cell r="X2818">
            <v>8.1900000000000001E-2</v>
          </cell>
          <cell r="Y2818">
            <v>0</v>
          </cell>
          <cell r="Z2818">
            <v>0</v>
          </cell>
          <cell r="AA2818">
            <v>0</v>
          </cell>
          <cell r="AB2818">
            <v>0.25079990000000002</v>
          </cell>
        </row>
        <row r="2819">
          <cell r="A2819">
            <v>53260300</v>
          </cell>
          <cell r="B2819" t="str">
            <v>Cookie, sandwich, sugar free</v>
          </cell>
          <cell r="I2819">
            <v>30</v>
          </cell>
          <cell r="J2819">
            <v>138.30000000000001</v>
          </cell>
          <cell r="K2819">
            <v>4.6100000000000003</v>
          </cell>
          <cell r="L2819">
            <v>0</v>
          </cell>
          <cell r="M2819">
            <v>1.1976</v>
          </cell>
          <cell r="N2819">
            <v>0</v>
          </cell>
          <cell r="O2819">
            <v>2.9399999999999999E-2</v>
          </cell>
          <cell r="P2819">
            <v>1.23</v>
          </cell>
          <cell r="Q2819">
            <v>2.3757000000000001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0.1026</v>
          </cell>
          <cell r="Y2819">
            <v>0</v>
          </cell>
          <cell r="Z2819">
            <v>0</v>
          </cell>
          <cell r="AA2819">
            <v>0</v>
          </cell>
          <cell r="AB2819">
            <v>0.33977099999999999</v>
          </cell>
        </row>
        <row r="2820">
          <cell r="A2820">
            <v>53260400</v>
          </cell>
          <cell r="B2820" t="str">
            <v>Cookie, sugar or plain, sugar free</v>
          </cell>
          <cell r="I2820">
            <v>30</v>
          </cell>
          <cell r="J2820">
            <v>156.9</v>
          </cell>
          <cell r="K2820">
            <v>5.23</v>
          </cell>
          <cell r="L2820">
            <v>0</v>
          </cell>
          <cell r="M2820">
            <v>2.5863</v>
          </cell>
          <cell r="N2820">
            <v>0</v>
          </cell>
          <cell r="O2820">
            <v>0</v>
          </cell>
          <cell r="P2820">
            <v>1.02</v>
          </cell>
          <cell r="Q2820">
            <v>3.4458000000000002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0.13439999999999999</v>
          </cell>
          <cell r="Y2820">
            <v>4.5599999999999996</v>
          </cell>
          <cell r="Z2820">
            <v>0</v>
          </cell>
          <cell r="AA2820">
            <v>0</v>
          </cell>
          <cell r="AB2820">
            <v>0</v>
          </cell>
        </row>
        <row r="2821">
          <cell r="A2821">
            <v>53260500</v>
          </cell>
          <cell r="B2821" t="str">
            <v>Cookie, sugar wafer, sugar free</v>
          </cell>
          <cell r="I2821">
            <v>30</v>
          </cell>
          <cell r="J2821">
            <v>159.30000000000001</v>
          </cell>
          <cell r="K2821">
            <v>5.3100000000000005</v>
          </cell>
          <cell r="L2821">
            <v>0</v>
          </cell>
          <cell r="M2821">
            <v>1.2770999999999999</v>
          </cell>
          <cell r="N2821">
            <v>0</v>
          </cell>
          <cell r="O2821">
            <v>0</v>
          </cell>
          <cell r="P2821">
            <v>4.29</v>
          </cell>
          <cell r="Q2821">
            <v>3.2244000000000002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2.1299999999999999E-2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</row>
        <row r="2822">
          <cell r="A2822">
            <v>53260600</v>
          </cell>
          <cell r="B2822" t="str">
            <v>Cookie, peanut butter, sugar free</v>
          </cell>
          <cell r="I2822">
            <v>30</v>
          </cell>
          <cell r="J2822">
            <v>156.9</v>
          </cell>
          <cell r="K2822">
            <v>5.23</v>
          </cell>
          <cell r="L2822">
            <v>0</v>
          </cell>
          <cell r="M2822">
            <v>2.5863</v>
          </cell>
          <cell r="N2822">
            <v>0</v>
          </cell>
          <cell r="O2822">
            <v>0</v>
          </cell>
          <cell r="P2822">
            <v>1.02</v>
          </cell>
          <cell r="Q2822">
            <v>3.4458000000000002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0.13439999999999999</v>
          </cell>
          <cell r="Y2822">
            <v>4.5599999999999996</v>
          </cell>
          <cell r="Z2822">
            <v>0</v>
          </cell>
          <cell r="AA2822">
            <v>0</v>
          </cell>
          <cell r="AB2822">
            <v>0</v>
          </cell>
        </row>
        <row r="2823">
          <cell r="A2823">
            <v>53261000</v>
          </cell>
          <cell r="B2823" t="str">
            <v>Cookie, gluten free</v>
          </cell>
          <cell r="I2823">
            <v>30</v>
          </cell>
          <cell r="J2823">
            <v>142.19999999999999</v>
          </cell>
          <cell r="K2823">
            <v>4.7399999999999993</v>
          </cell>
          <cell r="L2823">
            <v>0</v>
          </cell>
          <cell r="M2823">
            <v>2.3715000000000002</v>
          </cell>
          <cell r="N2823">
            <v>0</v>
          </cell>
          <cell r="O2823">
            <v>5.7000000000000002E-3</v>
          </cell>
          <cell r="P2823">
            <v>0.75</v>
          </cell>
          <cell r="Q2823">
            <v>0.54210000000000003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8.2500000000000004E-2</v>
          </cell>
          <cell r="Y2823">
            <v>0</v>
          </cell>
          <cell r="Z2823">
            <v>0</v>
          </cell>
          <cell r="AA2823">
            <v>0</v>
          </cell>
          <cell r="AB2823">
            <v>2.9700000000000001E-2</v>
          </cell>
        </row>
        <row r="2824">
          <cell r="A2824">
            <v>53270100</v>
          </cell>
          <cell r="B2824" t="str">
            <v>Cookies, Puerto Rican style</v>
          </cell>
          <cell r="I2824">
            <v>30</v>
          </cell>
          <cell r="J2824">
            <v>146.31504000000001</v>
          </cell>
          <cell r="K2824">
            <v>4.8771680000000002</v>
          </cell>
          <cell r="L2824">
            <v>0</v>
          </cell>
          <cell r="M2824">
            <v>2.6718440999999999</v>
          </cell>
          <cell r="N2824">
            <v>0</v>
          </cell>
          <cell r="O2824">
            <v>2.5831000000000001E-3</v>
          </cell>
          <cell r="P2824">
            <v>0.44456639999999997</v>
          </cell>
          <cell r="Q2824">
            <v>0.8240944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7.6975199999999994E-2</v>
          </cell>
          <cell r="Y2824">
            <v>0</v>
          </cell>
          <cell r="Z2824">
            <v>0</v>
          </cell>
          <cell r="AA2824">
            <v>0</v>
          </cell>
          <cell r="AB2824">
            <v>0.112882</v>
          </cell>
        </row>
        <row r="2825">
          <cell r="A2825">
            <v>53300100</v>
          </cell>
          <cell r="B2825" t="str">
            <v>Pie, NFS</v>
          </cell>
          <cell r="I2825">
            <v>125</v>
          </cell>
          <cell r="J2825">
            <v>296.25</v>
          </cell>
          <cell r="K2825">
            <v>2.37</v>
          </cell>
          <cell r="L2825">
            <v>0.69978810000000002</v>
          </cell>
          <cell r="M2825">
            <v>4.7462499999999999</v>
          </cell>
          <cell r="N2825">
            <v>0</v>
          </cell>
          <cell r="O2825">
            <v>1.375E-2</v>
          </cell>
          <cell r="P2825">
            <v>1.3002119000000001</v>
          </cell>
          <cell r="Q2825">
            <v>2.7475000000000001</v>
          </cell>
          <cell r="R2825">
            <v>0</v>
          </cell>
          <cell r="S2825">
            <v>0</v>
          </cell>
          <cell r="T2825">
            <v>48.125</v>
          </cell>
          <cell r="U2825">
            <v>0</v>
          </cell>
          <cell r="V2825">
            <v>0</v>
          </cell>
          <cell r="W2825">
            <v>0</v>
          </cell>
          <cell r="X2825">
            <v>0.25124999999999997</v>
          </cell>
          <cell r="Y2825">
            <v>0</v>
          </cell>
          <cell r="Z2825">
            <v>0</v>
          </cell>
          <cell r="AA2825">
            <v>0</v>
          </cell>
          <cell r="AB2825">
            <v>0.84012240000000005</v>
          </cell>
        </row>
        <row r="2826">
          <cell r="A2826">
            <v>53300170</v>
          </cell>
          <cell r="B2826" t="str">
            <v>Pie, individual size or tart, NFS</v>
          </cell>
          <cell r="I2826">
            <v>125</v>
          </cell>
          <cell r="J2826">
            <v>395</v>
          </cell>
          <cell r="K2826">
            <v>3.16</v>
          </cell>
          <cell r="L2826">
            <v>0.90575629999999996</v>
          </cell>
          <cell r="M2826">
            <v>3.07125</v>
          </cell>
          <cell r="N2826">
            <v>0</v>
          </cell>
          <cell r="O2826">
            <v>2.75E-2</v>
          </cell>
          <cell r="P2826">
            <v>2.3442436999999998</v>
          </cell>
          <cell r="Q2826">
            <v>6.72</v>
          </cell>
          <cell r="R2826">
            <v>0</v>
          </cell>
          <cell r="S2826">
            <v>0</v>
          </cell>
          <cell r="T2826">
            <v>31.625</v>
          </cell>
          <cell r="U2826">
            <v>0</v>
          </cell>
          <cell r="V2826">
            <v>0</v>
          </cell>
          <cell r="W2826">
            <v>0</v>
          </cell>
          <cell r="X2826">
            <v>0.41625000000000001</v>
          </cell>
          <cell r="Y2826">
            <v>0</v>
          </cell>
          <cell r="Z2826">
            <v>0</v>
          </cell>
          <cell r="AA2826">
            <v>0</v>
          </cell>
          <cell r="AB2826">
            <v>1.2653399999999999</v>
          </cell>
        </row>
        <row r="2827">
          <cell r="A2827">
            <v>53301000</v>
          </cell>
          <cell r="B2827" t="str">
            <v>Pie, apple, two crust</v>
          </cell>
          <cell r="I2827">
            <v>125</v>
          </cell>
          <cell r="J2827">
            <v>296.25</v>
          </cell>
          <cell r="K2827">
            <v>2.37</v>
          </cell>
          <cell r="L2827">
            <v>0.69978810000000002</v>
          </cell>
          <cell r="M2827">
            <v>4.7462499999999999</v>
          </cell>
          <cell r="N2827">
            <v>0</v>
          </cell>
          <cell r="O2827">
            <v>1.375E-2</v>
          </cell>
          <cell r="P2827">
            <v>1.3002119000000001</v>
          </cell>
          <cell r="Q2827">
            <v>2.7475000000000001</v>
          </cell>
          <cell r="R2827">
            <v>0</v>
          </cell>
          <cell r="S2827">
            <v>0</v>
          </cell>
          <cell r="T2827">
            <v>48.125</v>
          </cell>
          <cell r="U2827">
            <v>0</v>
          </cell>
          <cell r="V2827">
            <v>0</v>
          </cell>
          <cell r="W2827">
            <v>0</v>
          </cell>
          <cell r="X2827">
            <v>0.25124999999999997</v>
          </cell>
          <cell r="Y2827">
            <v>0</v>
          </cell>
          <cell r="Z2827">
            <v>0</v>
          </cell>
          <cell r="AA2827">
            <v>0</v>
          </cell>
          <cell r="AB2827">
            <v>0.84023510000000001</v>
          </cell>
        </row>
        <row r="2828">
          <cell r="A2828">
            <v>53301070</v>
          </cell>
          <cell r="B2828" t="str">
            <v>Pie, apple, individual size or tart</v>
          </cell>
          <cell r="I2828">
            <v>125</v>
          </cell>
          <cell r="J2828">
            <v>395</v>
          </cell>
          <cell r="K2828">
            <v>3.16</v>
          </cell>
          <cell r="L2828">
            <v>0.90575629999999996</v>
          </cell>
          <cell r="M2828">
            <v>3.07125</v>
          </cell>
          <cell r="N2828">
            <v>0</v>
          </cell>
          <cell r="O2828">
            <v>2.75E-2</v>
          </cell>
          <cell r="P2828">
            <v>2.3442436999999998</v>
          </cell>
          <cell r="Q2828">
            <v>6.72</v>
          </cell>
          <cell r="R2828">
            <v>0</v>
          </cell>
          <cell r="S2828">
            <v>0</v>
          </cell>
          <cell r="T2828">
            <v>31.625</v>
          </cell>
          <cell r="U2828">
            <v>0</v>
          </cell>
          <cell r="V2828">
            <v>0</v>
          </cell>
          <cell r="W2828">
            <v>0</v>
          </cell>
          <cell r="X2828">
            <v>0.41625000000000001</v>
          </cell>
          <cell r="Y2828">
            <v>0</v>
          </cell>
          <cell r="Z2828">
            <v>0</v>
          </cell>
          <cell r="AA2828">
            <v>0</v>
          </cell>
          <cell r="AB2828">
            <v>1.0891305</v>
          </cell>
        </row>
        <row r="2829">
          <cell r="A2829">
            <v>53301080</v>
          </cell>
          <cell r="B2829" t="str">
            <v>Pie, apple, fried pie</v>
          </cell>
          <cell r="I2829">
            <v>125</v>
          </cell>
          <cell r="J2829">
            <v>395</v>
          </cell>
          <cell r="K2829">
            <v>3.16</v>
          </cell>
          <cell r="L2829">
            <v>0.90575629999999996</v>
          </cell>
          <cell r="M2829">
            <v>3.07125</v>
          </cell>
          <cell r="N2829">
            <v>0</v>
          </cell>
          <cell r="O2829">
            <v>2.75E-2</v>
          </cell>
          <cell r="P2829">
            <v>2.3442436999999998</v>
          </cell>
          <cell r="Q2829">
            <v>6.72</v>
          </cell>
          <cell r="R2829">
            <v>0</v>
          </cell>
          <cell r="S2829">
            <v>0</v>
          </cell>
          <cell r="T2829">
            <v>31.625</v>
          </cell>
          <cell r="U2829">
            <v>0</v>
          </cell>
          <cell r="V2829">
            <v>0</v>
          </cell>
          <cell r="W2829">
            <v>0</v>
          </cell>
          <cell r="X2829">
            <v>0.41625000000000001</v>
          </cell>
          <cell r="Y2829">
            <v>0</v>
          </cell>
          <cell r="Z2829">
            <v>0</v>
          </cell>
          <cell r="AA2829">
            <v>0</v>
          </cell>
          <cell r="AB2829">
            <v>1.6908936999999999</v>
          </cell>
        </row>
        <row r="2830">
          <cell r="A2830">
            <v>53301500</v>
          </cell>
          <cell r="B2830" t="str">
            <v>Pie, apple, one crust</v>
          </cell>
          <cell r="I2830">
            <v>125</v>
          </cell>
          <cell r="J2830">
            <v>269.08607000000001</v>
          </cell>
          <cell r="K2830">
            <v>2.1526885600000001</v>
          </cell>
          <cell r="L2830">
            <v>0.67072940000000003</v>
          </cell>
          <cell r="M2830">
            <v>2.5030285000000001</v>
          </cell>
          <cell r="N2830">
            <v>0</v>
          </cell>
          <cell r="O2830">
            <v>6.4270999999999998E-3</v>
          </cell>
          <cell r="P2830">
            <v>0.50090170000000001</v>
          </cell>
          <cell r="Q2830">
            <v>2.9389791999999999</v>
          </cell>
          <cell r="R2830">
            <v>0</v>
          </cell>
          <cell r="S2830">
            <v>0</v>
          </cell>
          <cell r="T2830">
            <v>51.594568000000002</v>
          </cell>
          <cell r="U2830">
            <v>0</v>
          </cell>
          <cell r="V2830">
            <v>0</v>
          </cell>
          <cell r="W2830">
            <v>0</v>
          </cell>
          <cell r="X2830">
            <v>0.21912670000000001</v>
          </cell>
          <cell r="Y2830">
            <v>0</v>
          </cell>
          <cell r="Z2830">
            <v>0</v>
          </cell>
          <cell r="AA2830">
            <v>0</v>
          </cell>
          <cell r="AB2830">
            <v>1.3685908</v>
          </cell>
        </row>
        <row r="2831">
          <cell r="A2831">
            <v>53301750</v>
          </cell>
          <cell r="B2831" t="str">
            <v>Pie, apple, diet</v>
          </cell>
          <cell r="I2831">
            <v>125</v>
          </cell>
          <cell r="J2831">
            <v>261.34773999999999</v>
          </cell>
          <cell r="K2831">
            <v>2.09078192</v>
          </cell>
          <cell r="L2831">
            <v>1.7571479000000001</v>
          </cell>
          <cell r="M2831">
            <v>1.5334574999999999</v>
          </cell>
          <cell r="N2831">
            <v>0</v>
          </cell>
          <cell r="O2831">
            <v>6.9810999999999996E-3</v>
          </cell>
          <cell r="P2831">
            <v>0.60378980000000004</v>
          </cell>
          <cell r="Q2831">
            <v>0.77649000000000001</v>
          </cell>
          <cell r="R2831">
            <v>0</v>
          </cell>
          <cell r="S2831">
            <v>0</v>
          </cell>
          <cell r="T2831">
            <v>62.755280999999997</v>
          </cell>
          <cell r="U2831">
            <v>0</v>
          </cell>
          <cell r="V2831">
            <v>0</v>
          </cell>
          <cell r="W2831">
            <v>0</v>
          </cell>
          <cell r="X2831">
            <v>0.3313934</v>
          </cell>
          <cell r="Y2831">
            <v>0</v>
          </cell>
          <cell r="Z2831">
            <v>0</v>
          </cell>
          <cell r="AA2831">
            <v>0</v>
          </cell>
          <cell r="AB2831">
            <v>1.2449079999999999</v>
          </cell>
        </row>
        <row r="2832">
          <cell r="A2832">
            <v>53303000</v>
          </cell>
          <cell r="B2832" t="str">
            <v>Pie, blackberry, two crust</v>
          </cell>
          <cell r="I2832">
            <v>125</v>
          </cell>
          <cell r="J2832">
            <v>301.84465999999998</v>
          </cell>
          <cell r="K2832">
            <v>2.4147572799999999</v>
          </cell>
          <cell r="L2832">
            <v>2.9294159999999998</v>
          </cell>
          <cell r="M2832">
            <v>3.4176139999999999</v>
          </cell>
          <cell r="N2832">
            <v>0</v>
          </cell>
          <cell r="O2832">
            <v>2.05679E-2</v>
          </cell>
          <cell r="P2832">
            <v>0.66002870000000002</v>
          </cell>
          <cell r="Q2832">
            <v>4.1927560000000001</v>
          </cell>
          <cell r="R2832">
            <v>0</v>
          </cell>
          <cell r="S2832">
            <v>0</v>
          </cell>
          <cell r="T2832">
            <v>57.371948000000003</v>
          </cell>
          <cell r="U2832">
            <v>0</v>
          </cell>
          <cell r="V2832">
            <v>0</v>
          </cell>
          <cell r="W2832">
            <v>0</v>
          </cell>
          <cell r="X2832">
            <v>0.2400282</v>
          </cell>
          <cell r="Y2832">
            <v>0</v>
          </cell>
          <cell r="Z2832">
            <v>0</v>
          </cell>
          <cell r="AA2832">
            <v>0</v>
          </cell>
          <cell r="AB2832">
            <v>1.9162863000000001</v>
          </cell>
        </row>
        <row r="2833">
          <cell r="A2833">
            <v>53303500</v>
          </cell>
          <cell r="B2833" t="str">
            <v>Pie, berry, not blackberry, blueberry, boysenberry, huckleberry, raspberry, or strawberry; two crust</v>
          </cell>
          <cell r="I2833">
            <v>125</v>
          </cell>
          <cell r="J2833">
            <v>332.10297000000003</v>
          </cell>
          <cell r="K2833">
            <v>2.6568237600000004</v>
          </cell>
          <cell r="L2833">
            <v>1.7003045999999999</v>
          </cell>
          <cell r="M2833">
            <v>3.8101463</v>
          </cell>
          <cell r="N2833">
            <v>0</v>
          </cell>
          <cell r="O2833">
            <v>8.8695000000000006E-3</v>
          </cell>
          <cell r="P2833">
            <v>0.73677459999999995</v>
          </cell>
          <cell r="Q2833">
            <v>4.5337753999999997</v>
          </cell>
          <cell r="R2833">
            <v>0</v>
          </cell>
          <cell r="S2833">
            <v>0</v>
          </cell>
          <cell r="T2833">
            <v>49.508389000000001</v>
          </cell>
          <cell r="U2833">
            <v>0</v>
          </cell>
          <cell r="V2833">
            <v>0</v>
          </cell>
          <cell r="W2833">
            <v>0</v>
          </cell>
          <cell r="X2833">
            <v>0.26826280000000002</v>
          </cell>
          <cell r="Y2833">
            <v>0</v>
          </cell>
          <cell r="Z2833">
            <v>0</v>
          </cell>
          <cell r="AA2833">
            <v>0</v>
          </cell>
          <cell r="AB2833">
            <v>2.1391054999999999</v>
          </cell>
        </row>
        <row r="2834">
          <cell r="A2834">
            <v>53303570</v>
          </cell>
          <cell r="B2834" t="str">
            <v>Pie, berry, not blackberry, blueberry, boysenberry, huckleberry, raspberry, or strawberry, individual size or tart</v>
          </cell>
          <cell r="I2834">
            <v>125</v>
          </cell>
          <cell r="J2834">
            <v>356.91556000000003</v>
          </cell>
          <cell r="K2834">
            <v>2.8553244800000002</v>
          </cell>
          <cell r="L2834">
            <v>1.5694348</v>
          </cell>
          <cell r="M2834">
            <v>4.3157430000000003</v>
          </cell>
          <cell r="N2834">
            <v>0</v>
          </cell>
          <cell r="O2834">
            <v>9.2142000000000005E-3</v>
          </cell>
          <cell r="P2834">
            <v>0.84653149999999999</v>
          </cell>
          <cell r="Q2834">
            <v>5.0980711999999997</v>
          </cell>
          <cell r="R2834">
            <v>0</v>
          </cell>
          <cell r="S2834">
            <v>0</v>
          </cell>
          <cell r="T2834">
            <v>45.697806999999997</v>
          </cell>
          <cell r="U2834">
            <v>0</v>
          </cell>
          <cell r="V2834">
            <v>0</v>
          </cell>
          <cell r="W2834">
            <v>0</v>
          </cell>
          <cell r="X2834">
            <v>0.36256450000000001</v>
          </cell>
          <cell r="Y2834">
            <v>0</v>
          </cell>
          <cell r="Z2834">
            <v>0</v>
          </cell>
          <cell r="AA2834">
            <v>0</v>
          </cell>
          <cell r="AB2834">
            <v>2.3904092000000001</v>
          </cell>
        </row>
        <row r="2835">
          <cell r="A2835">
            <v>53304000</v>
          </cell>
          <cell r="B2835" t="str">
            <v>Pie, blueberry, two crust</v>
          </cell>
          <cell r="I2835">
            <v>125</v>
          </cell>
          <cell r="J2835">
            <v>290</v>
          </cell>
          <cell r="K2835">
            <v>2.3199999999999998</v>
          </cell>
          <cell r="L2835">
            <v>0.3317389</v>
          </cell>
          <cell r="M2835">
            <v>2.0987499999999999</v>
          </cell>
          <cell r="N2835">
            <v>0</v>
          </cell>
          <cell r="O2835">
            <v>0.01</v>
          </cell>
          <cell r="P2835">
            <v>0.91826110000000005</v>
          </cell>
          <cell r="Q2835">
            <v>4.4050000000000002</v>
          </cell>
          <cell r="R2835">
            <v>0</v>
          </cell>
          <cell r="S2835">
            <v>0</v>
          </cell>
          <cell r="T2835">
            <v>30.8125</v>
          </cell>
          <cell r="U2835">
            <v>0</v>
          </cell>
          <cell r="V2835">
            <v>0</v>
          </cell>
          <cell r="W2835">
            <v>0</v>
          </cell>
          <cell r="X2835">
            <v>0.35875000000000001</v>
          </cell>
          <cell r="Y2835">
            <v>0</v>
          </cell>
          <cell r="Z2835">
            <v>0</v>
          </cell>
          <cell r="AA2835">
            <v>0</v>
          </cell>
          <cell r="AB2835">
            <v>0.93075260000000004</v>
          </cell>
        </row>
        <row r="2836">
          <cell r="A2836">
            <v>53304050</v>
          </cell>
          <cell r="B2836" t="str">
            <v>Pie, blueberry, one crust</v>
          </cell>
          <cell r="I2836">
            <v>125</v>
          </cell>
          <cell r="J2836">
            <v>231.86860999999999</v>
          </cell>
          <cell r="K2836">
            <v>1.85494888</v>
          </cell>
          <cell r="L2836">
            <v>1.4515887999999999</v>
          </cell>
          <cell r="M2836">
            <v>2.3048044000000001</v>
          </cell>
          <cell r="N2836">
            <v>0</v>
          </cell>
          <cell r="O2836">
            <v>7.6508000000000001E-3</v>
          </cell>
          <cell r="P2836">
            <v>0.49534299999999998</v>
          </cell>
          <cell r="Q2836">
            <v>2.7368986</v>
          </cell>
          <cell r="R2836">
            <v>0</v>
          </cell>
          <cell r="S2836">
            <v>0</v>
          </cell>
          <cell r="T2836">
            <v>60.011671999999997</v>
          </cell>
          <cell r="U2836">
            <v>0</v>
          </cell>
          <cell r="V2836">
            <v>0</v>
          </cell>
          <cell r="W2836">
            <v>0</v>
          </cell>
          <cell r="X2836">
            <v>0.1677622</v>
          </cell>
          <cell r="Y2836">
            <v>0</v>
          </cell>
          <cell r="Z2836">
            <v>0</v>
          </cell>
          <cell r="AA2836">
            <v>0</v>
          </cell>
          <cell r="AB2836">
            <v>1.1870852999999999</v>
          </cell>
        </row>
        <row r="2837">
          <cell r="A2837">
            <v>53304070</v>
          </cell>
          <cell r="B2837" t="str">
            <v>Pie, blueberry, individual size or tart</v>
          </cell>
          <cell r="I2837">
            <v>125</v>
          </cell>
          <cell r="J2837">
            <v>330.58219000000003</v>
          </cell>
          <cell r="K2837">
            <v>2.64465752</v>
          </cell>
          <cell r="L2837">
            <v>1.2575917000000001</v>
          </cell>
          <cell r="M2837">
            <v>3.8650012</v>
          </cell>
          <cell r="N2837">
            <v>0</v>
          </cell>
          <cell r="O2837">
            <v>8.2555000000000007E-3</v>
          </cell>
          <cell r="P2837">
            <v>0.75586299999999995</v>
          </cell>
          <cell r="Q2837">
            <v>4.6068518999999997</v>
          </cell>
          <cell r="R2837">
            <v>0</v>
          </cell>
          <cell r="S2837">
            <v>0</v>
          </cell>
          <cell r="T2837">
            <v>54.191541000000001</v>
          </cell>
          <cell r="U2837">
            <v>0</v>
          </cell>
          <cell r="V2837">
            <v>0</v>
          </cell>
          <cell r="W2837">
            <v>0</v>
          </cell>
          <cell r="X2837">
            <v>0.32347799999999999</v>
          </cell>
          <cell r="Y2837">
            <v>0</v>
          </cell>
          <cell r="Z2837">
            <v>0</v>
          </cell>
          <cell r="AA2837">
            <v>0</v>
          </cell>
          <cell r="AB2837">
            <v>2.1343822000000001</v>
          </cell>
        </row>
        <row r="2838">
          <cell r="A2838">
            <v>53305000</v>
          </cell>
          <cell r="B2838" t="str">
            <v>Pie, cherry, two crust</v>
          </cell>
          <cell r="I2838">
            <v>125</v>
          </cell>
          <cell r="J2838">
            <v>325</v>
          </cell>
          <cell r="K2838">
            <v>2.6</v>
          </cell>
          <cell r="L2838">
            <v>0.1851149</v>
          </cell>
          <cell r="M2838">
            <v>3.2025000000000001</v>
          </cell>
          <cell r="N2838">
            <v>0</v>
          </cell>
          <cell r="O2838">
            <v>1.4999999999999999E-2</v>
          </cell>
          <cell r="P2838">
            <v>0.81488510000000003</v>
          </cell>
          <cell r="Q2838">
            <v>2.5687500000000001</v>
          </cell>
          <cell r="R2838">
            <v>0</v>
          </cell>
          <cell r="S2838">
            <v>0</v>
          </cell>
          <cell r="T2838">
            <v>19.375</v>
          </cell>
          <cell r="U2838">
            <v>0</v>
          </cell>
          <cell r="V2838">
            <v>0</v>
          </cell>
          <cell r="W2838">
            <v>0</v>
          </cell>
          <cell r="X2838">
            <v>0.3075</v>
          </cell>
          <cell r="Y2838">
            <v>0</v>
          </cell>
          <cell r="Z2838">
            <v>0</v>
          </cell>
          <cell r="AA2838">
            <v>0</v>
          </cell>
          <cell r="AB2838">
            <v>1.1397815</v>
          </cell>
        </row>
        <row r="2839">
          <cell r="A2839">
            <v>53305010</v>
          </cell>
          <cell r="B2839" t="str">
            <v>Pie, cherry, one crust</v>
          </cell>
          <cell r="I2839">
            <v>125</v>
          </cell>
          <cell r="J2839">
            <v>247.80994000000001</v>
          </cell>
          <cell r="K2839">
            <v>1.9824795200000001</v>
          </cell>
          <cell r="L2839">
            <v>0.81383039999999995</v>
          </cell>
          <cell r="M2839">
            <v>2.2643803</v>
          </cell>
          <cell r="N2839">
            <v>0</v>
          </cell>
          <cell r="O2839">
            <v>1.11612E-2</v>
          </cell>
          <cell r="P2839">
            <v>0.4641305</v>
          </cell>
          <cell r="Q2839">
            <v>2.6554386999999999</v>
          </cell>
          <cell r="R2839">
            <v>0</v>
          </cell>
          <cell r="S2839">
            <v>0</v>
          </cell>
          <cell r="T2839">
            <v>48.089976999999998</v>
          </cell>
          <cell r="U2839">
            <v>0</v>
          </cell>
          <cell r="V2839">
            <v>0</v>
          </cell>
          <cell r="W2839">
            <v>0</v>
          </cell>
          <cell r="X2839">
            <v>0.2024186</v>
          </cell>
          <cell r="Y2839">
            <v>0</v>
          </cell>
          <cell r="Z2839">
            <v>0</v>
          </cell>
          <cell r="AA2839">
            <v>0</v>
          </cell>
          <cell r="AB2839">
            <v>1.2340738</v>
          </cell>
        </row>
        <row r="2840">
          <cell r="A2840">
            <v>53305070</v>
          </cell>
          <cell r="B2840" t="str">
            <v>Pie, cherry, individual size or tart</v>
          </cell>
          <cell r="I2840">
            <v>125</v>
          </cell>
          <cell r="J2840">
            <v>325</v>
          </cell>
          <cell r="K2840">
            <v>2.6</v>
          </cell>
          <cell r="L2840">
            <v>0.17684549999999999</v>
          </cell>
          <cell r="M2840">
            <v>3.2025000000000001</v>
          </cell>
          <cell r="N2840">
            <v>0</v>
          </cell>
          <cell r="O2840">
            <v>1.4999999999999999E-2</v>
          </cell>
          <cell r="P2840">
            <v>0.82315450000000001</v>
          </cell>
          <cell r="Q2840">
            <v>2.5687500000000001</v>
          </cell>
          <cell r="R2840">
            <v>0</v>
          </cell>
          <cell r="S2840">
            <v>0</v>
          </cell>
          <cell r="T2840">
            <v>19.375</v>
          </cell>
          <cell r="U2840">
            <v>0</v>
          </cell>
          <cell r="V2840">
            <v>0</v>
          </cell>
          <cell r="W2840">
            <v>0</v>
          </cell>
          <cell r="X2840">
            <v>0.3075</v>
          </cell>
          <cell r="Y2840">
            <v>0</v>
          </cell>
          <cell r="Z2840">
            <v>0</v>
          </cell>
          <cell r="AA2840">
            <v>0</v>
          </cell>
          <cell r="AB2840">
            <v>1.087871</v>
          </cell>
        </row>
        <row r="2841">
          <cell r="A2841">
            <v>53305700</v>
          </cell>
          <cell r="B2841" t="str">
            <v>Pie, lemon, not cream or meringue</v>
          </cell>
          <cell r="I2841">
            <v>125</v>
          </cell>
          <cell r="J2841">
            <v>426.78372000000002</v>
          </cell>
          <cell r="K2841">
            <v>3.4142697600000003</v>
          </cell>
          <cell r="L2841">
            <v>3.70628E-2</v>
          </cell>
          <cell r="M2841">
            <v>4.2923423999999999</v>
          </cell>
          <cell r="N2841">
            <v>0</v>
          </cell>
          <cell r="O2841">
            <v>1.88703E-2</v>
          </cell>
          <cell r="P2841">
            <v>0.92533920000000003</v>
          </cell>
          <cell r="Q2841">
            <v>4.7803329000000003</v>
          </cell>
          <cell r="R2841">
            <v>0</v>
          </cell>
          <cell r="S2841">
            <v>0</v>
          </cell>
          <cell r="T2841">
            <v>12.35426</v>
          </cell>
          <cell r="U2841">
            <v>0</v>
          </cell>
          <cell r="V2841">
            <v>0</v>
          </cell>
          <cell r="W2841">
            <v>0</v>
          </cell>
          <cell r="X2841">
            <v>0.28309030000000002</v>
          </cell>
          <cell r="Y2841">
            <v>0</v>
          </cell>
          <cell r="Z2841">
            <v>0</v>
          </cell>
          <cell r="AA2841">
            <v>0</v>
          </cell>
          <cell r="AB2841">
            <v>2.1089611000000001</v>
          </cell>
        </row>
        <row r="2842">
          <cell r="A2842">
            <v>53305720</v>
          </cell>
          <cell r="B2842" t="str">
            <v>Pie, lemon, not cream or meringue, individual size or tart</v>
          </cell>
          <cell r="I2842">
            <v>125</v>
          </cell>
          <cell r="J2842">
            <v>439.08721000000003</v>
          </cell>
          <cell r="K2842">
            <v>3.51269768</v>
          </cell>
          <cell r="L2842">
            <v>3.3670400000000003E-2</v>
          </cell>
          <cell r="M2842">
            <v>4.6346188000000001</v>
          </cell>
          <cell r="N2842">
            <v>0</v>
          </cell>
          <cell r="O2842">
            <v>1.83042E-2</v>
          </cell>
          <cell r="P2842">
            <v>1.0315639999999999</v>
          </cell>
          <cell r="Q2842">
            <v>5.1865519999999998</v>
          </cell>
          <cell r="R2842">
            <v>0</v>
          </cell>
          <cell r="S2842">
            <v>0</v>
          </cell>
          <cell r="T2842">
            <v>11.223475000000001</v>
          </cell>
          <cell r="U2842">
            <v>0</v>
          </cell>
          <cell r="V2842">
            <v>0</v>
          </cell>
          <cell r="W2842">
            <v>0</v>
          </cell>
          <cell r="X2842">
            <v>0.30799270000000001</v>
          </cell>
          <cell r="Y2842">
            <v>0</v>
          </cell>
          <cell r="Z2842">
            <v>0</v>
          </cell>
          <cell r="AA2842">
            <v>0</v>
          </cell>
          <cell r="AB2842">
            <v>2.2975648999999998</v>
          </cell>
        </row>
        <row r="2843">
          <cell r="A2843">
            <v>53306000</v>
          </cell>
          <cell r="B2843" t="str">
            <v>Pie, mince, two crust</v>
          </cell>
          <cell r="I2843">
            <v>125</v>
          </cell>
          <cell r="J2843">
            <v>361.25</v>
          </cell>
          <cell r="K2843">
            <v>2.89</v>
          </cell>
          <cell r="L2843">
            <v>1.0812921</v>
          </cell>
          <cell r="M2843">
            <v>3.3525</v>
          </cell>
          <cell r="N2843">
            <v>0</v>
          </cell>
          <cell r="O2843">
            <v>2.75E-2</v>
          </cell>
          <cell r="P2843">
            <v>2.1687078999999998</v>
          </cell>
          <cell r="Q2843">
            <v>3.5525000000000002</v>
          </cell>
          <cell r="R2843">
            <v>0</v>
          </cell>
          <cell r="S2843">
            <v>0</v>
          </cell>
          <cell r="T2843">
            <v>38.4375</v>
          </cell>
          <cell r="U2843">
            <v>0</v>
          </cell>
          <cell r="V2843">
            <v>0</v>
          </cell>
          <cell r="W2843">
            <v>0</v>
          </cell>
          <cell r="X2843">
            <v>0.3175</v>
          </cell>
          <cell r="Y2843">
            <v>0</v>
          </cell>
          <cell r="Z2843">
            <v>0</v>
          </cell>
          <cell r="AA2843">
            <v>0</v>
          </cell>
          <cell r="AB2843">
            <v>1.0334802000000001</v>
          </cell>
        </row>
        <row r="2844">
          <cell r="A2844">
            <v>53307000</v>
          </cell>
          <cell r="B2844" t="str">
            <v>Pie, peach, two crust</v>
          </cell>
          <cell r="I2844">
            <v>125</v>
          </cell>
          <cell r="J2844">
            <v>280</v>
          </cell>
          <cell r="K2844">
            <v>2.2400000000000002</v>
          </cell>
          <cell r="L2844">
            <v>0.3517052</v>
          </cell>
          <cell r="M2844">
            <v>1.885</v>
          </cell>
          <cell r="N2844">
            <v>0</v>
          </cell>
          <cell r="O2844">
            <v>0.01</v>
          </cell>
          <cell r="P2844">
            <v>0.64829479999999995</v>
          </cell>
          <cell r="Q2844">
            <v>4.6862500000000002</v>
          </cell>
          <cell r="R2844">
            <v>0</v>
          </cell>
          <cell r="S2844">
            <v>0</v>
          </cell>
          <cell r="T2844">
            <v>50.375</v>
          </cell>
          <cell r="U2844">
            <v>0</v>
          </cell>
          <cell r="V2844">
            <v>0</v>
          </cell>
          <cell r="W2844">
            <v>0</v>
          </cell>
          <cell r="X2844">
            <v>0.27124999999999999</v>
          </cell>
          <cell r="Y2844">
            <v>0</v>
          </cell>
          <cell r="Z2844">
            <v>0</v>
          </cell>
          <cell r="AA2844">
            <v>0</v>
          </cell>
          <cell r="AB2844">
            <v>0.87264280000000005</v>
          </cell>
        </row>
        <row r="2845">
          <cell r="A2845">
            <v>53307050</v>
          </cell>
          <cell r="B2845" t="str">
            <v>Pie, peach, one crust</v>
          </cell>
          <cell r="I2845">
            <v>125</v>
          </cell>
          <cell r="J2845">
            <v>252.37389999999999</v>
          </cell>
          <cell r="K2845">
            <v>2.0189911999999999</v>
          </cell>
          <cell r="L2845">
            <v>1.0916541</v>
          </cell>
          <cell r="M2845">
            <v>2.2009984999999999</v>
          </cell>
          <cell r="N2845">
            <v>0</v>
          </cell>
          <cell r="O2845">
            <v>7.4536999999999997E-3</v>
          </cell>
          <cell r="P2845">
            <v>0.48162729999999998</v>
          </cell>
          <cell r="Q2845">
            <v>2.5633827999999999</v>
          </cell>
          <cell r="R2845">
            <v>0</v>
          </cell>
          <cell r="S2845">
            <v>0</v>
          </cell>
          <cell r="T2845">
            <v>72.776940999999994</v>
          </cell>
          <cell r="U2845">
            <v>0</v>
          </cell>
          <cell r="V2845">
            <v>0</v>
          </cell>
          <cell r="W2845">
            <v>0</v>
          </cell>
          <cell r="X2845">
            <v>0.15825259999999999</v>
          </cell>
          <cell r="Y2845">
            <v>0</v>
          </cell>
          <cell r="Z2845">
            <v>0</v>
          </cell>
          <cell r="AA2845">
            <v>0</v>
          </cell>
          <cell r="AB2845">
            <v>1.138676</v>
          </cell>
        </row>
        <row r="2846">
          <cell r="A2846">
            <v>53307070</v>
          </cell>
          <cell r="B2846" t="str">
            <v>Pie, peach, individual size or tart</v>
          </cell>
          <cell r="I2846">
            <v>125</v>
          </cell>
          <cell r="J2846">
            <v>337.40303999999998</v>
          </cell>
          <cell r="K2846">
            <v>2.6992243199999999</v>
          </cell>
          <cell r="L2846">
            <v>0.80254890000000001</v>
          </cell>
          <cell r="M2846">
            <v>4.0296817000000003</v>
          </cell>
          <cell r="N2846">
            <v>0</v>
          </cell>
          <cell r="O2846">
            <v>8.6411000000000005E-3</v>
          </cell>
          <cell r="P2846">
            <v>0.85612169999999999</v>
          </cell>
          <cell r="Q2846">
            <v>4.6414226000000003</v>
          </cell>
          <cell r="R2846">
            <v>0</v>
          </cell>
          <cell r="S2846">
            <v>0</v>
          </cell>
          <cell r="T2846">
            <v>53.503262999999997</v>
          </cell>
          <cell r="U2846">
            <v>0</v>
          </cell>
          <cell r="V2846">
            <v>0</v>
          </cell>
          <cell r="W2846">
            <v>0</v>
          </cell>
          <cell r="X2846">
            <v>0.34805979999999997</v>
          </cell>
          <cell r="Y2846">
            <v>0</v>
          </cell>
          <cell r="Z2846">
            <v>0</v>
          </cell>
          <cell r="AA2846">
            <v>0</v>
          </cell>
          <cell r="AB2846">
            <v>2.0927752000000002</v>
          </cell>
        </row>
        <row r="2847">
          <cell r="A2847">
            <v>53308000</v>
          </cell>
          <cell r="B2847" t="str">
            <v>Pie, pineapple, two crust</v>
          </cell>
          <cell r="I2847">
            <v>125</v>
          </cell>
          <cell r="J2847">
            <v>302.04604</v>
          </cell>
          <cell r="K2847">
            <v>2.4163683200000001</v>
          </cell>
          <cell r="L2847">
            <v>0.37346360000000001</v>
          </cell>
          <cell r="M2847">
            <v>3.4333938000000002</v>
          </cell>
          <cell r="N2847">
            <v>0</v>
          </cell>
          <cell r="O2847">
            <v>1.21934E-2</v>
          </cell>
          <cell r="P2847">
            <v>0.72977829999999999</v>
          </cell>
          <cell r="Q2847">
            <v>3.9391709000000001</v>
          </cell>
          <cell r="R2847">
            <v>0</v>
          </cell>
          <cell r="S2847">
            <v>0</v>
          </cell>
          <cell r="T2847">
            <v>30.343917000000001</v>
          </cell>
          <cell r="U2847">
            <v>0</v>
          </cell>
          <cell r="V2847">
            <v>0</v>
          </cell>
          <cell r="W2847">
            <v>0</v>
          </cell>
          <cell r="X2847">
            <v>0.25167139999999999</v>
          </cell>
          <cell r="Y2847">
            <v>0</v>
          </cell>
          <cell r="Z2847">
            <v>0</v>
          </cell>
          <cell r="AA2847">
            <v>0</v>
          </cell>
          <cell r="AB2847">
            <v>1.7854243000000001</v>
          </cell>
        </row>
        <row r="2848">
          <cell r="A2848">
            <v>53310050</v>
          </cell>
          <cell r="B2848" t="str">
            <v>Pie, raspberry, two crust</v>
          </cell>
          <cell r="I2848">
            <v>125</v>
          </cell>
          <cell r="J2848">
            <v>323.43472000000003</v>
          </cell>
          <cell r="K2848">
            <v>2.5874777600000001</v>
          </cell>
          <cell r="L2848">
            <v>3.2794178</v>
          </cell>
          <cell r="M2848">
            <v>3.6539259999999998</v>
          </cell>
          <cell r="N2848">
            <v>0</v>
          </cell>
          <cell r="O2848">
            <v>1.7475899999999999E-2</v>
          </cell>
          <cell r="P2848">
            <v>0.70541290000000001</v>
          </cell>
          <cell r="Q2848">
            <v>4.5048129000000001</v>
          </cell>
          <cell r="R2848">
            <v>0</v>
          </cell>
          <cell r="S2848">
            <v>0</v>
          </cell>
          <cell r="T2848">
            <v>52.721784999999997</v>
          </cell>
          <cell r="U2848">
            <v>0</v>
          </cell>
          <cell r="V2848">
            <v>0</v>
          </cell>
          <cell r="W2848">
            <v>0</v>
          </cell>
          <cell r="X2848">
            <v>0.25644679999999997</v>
          </cell>
          <cell r="Y2848">
            <v>0</v>
          </cell>
          <cell r="Z2848">
            <v>0</v>
          </cell>
          <cell r="AA2848">
            <v>0</v>
          </cell>
          <cell r="AB2848">
            <v>2.0480518000000001</v>
          </cell>
        </row>
        <row r="2849">
          <cell r="A2849">
            <v>53311000</v>
          </cell>
          <cell r="B2849" t="str">
            <v>Pie, rhubarb, two crust</v>
          </cell>
          <cell r="I2849">
            <v>125</v>
          </cell>
          <cell r="J2849">
            <v>340.9067</v>
          </cell>
          <cell r="K2849">
            <v>2.7272536000000001</v>
          </cell>
          <cell r="L2849">
            <v>0.83091269999999995</v>
          </cell>
          <cell r="M2849">
            <v>4.3795434000000002</v>
          </cell>
          <cell r="N2849">
            <v>0</v>
          </cell>
          <cell r="O2849">
            <v>9.5524100000000001E-2</v>
          </cell>
          <cell r="P2849">
            <v>0.93401869999999998</v>
          </cell>
          <cell r="Q2849">
            <v>5.0167086999999997</v>
          </cell>
          <cell r="R2849">
            <v>0</v>
          </cell>
          <cell r="S2849">
            <v>0</v>
          </cell>
          <cell r="T2849">
            <v>46.161816999999999</v>
          </cell>
          <cell r="U2849">
            <v>0</v>
          </cell>
          <cell r="V2849">
            <v>0</v>
          </cell>
          <cell r="W2849">
            <v>0</v>
          </cell>
          <cell r="X2849">
            <v>0.3164517</v>
          </cell>
          <cell r="Y2849">
            <v>0</v>
          </cell>
          <cell r="Z2849">
            <v>0</v>
          </cell>
          <cell r="AA2849">
            <v>0</v>
          </cell>
          <cell r="AB2849">
            <v>2.2732336000000002</v>
          </cell>
        </row>
        <row r="2850">
          <cell r="A2850">
            <v>53311050</v>
          </cell>
          <cell r="B2850" t="str">
            <v>Pie, rhubarb, one crust</v>
          </cell>
          <cell r="I2850">
            <v>125</v>
          </cell>
          <cell r="J2850">
            <v>266.91601000000003</v>
          </cell>
          <cell r="K2850">
            <v>2.1353280800000003</v>
          </cell>
          <cell r="L2850">
            <v>1.0911565999999999</v>
          </cell>
          <cell r="M2850">
            <v>2.8845849000000001</v>
          </cell>
          <cell r="N2850">
            <v>0</v>
          </cell>
          <cell r="O2850">
            <v>0.1217283</v>
          </cell>
          <cell r="P2850">
            <v>0.62920710000000002</v>
          </cell>
          <cell r="Q2850">
            <v>3.3108119</v>
          </cell>
          <cell r="R2850">
            <v>0</v>
          </cell>
          <cell r="S2850">
            <v>0</v>
          </cell>
          <cell r="T2850">
            <v>60.619812000000003</v>
          </cell>
          <cell r="U2850">
            <v>0</v>
          </cell>
          <cell r="V2850">
            <v>0</v>
          </cell>
          <cell r="W2850">
            <v>0</v>
          </cell>
          <cell r="X2850">
            <v>0.2087185</v>
          </cell>
          <cell r="Y2850">
            <v>0</v>
          </cell>
          <cell r="Z2850">
            <v>0</v>
          </cell>
          <cell r="AA2850">
            <v>0</v>
          </cell>
          <cell r="AB2850">
            <v>1.4926197000000001</v>
          </cell>
        </row>
        <row r="2851">
          <cell r="A2851">
            <v>53312000</v>
          </cell>
          <cell r="B2851" t="str">
            <v>Pie, strawberry, one crust</v>
          </cell>
          <cell r="I2851">
            <v>125</v>
          </cell>
          <cell r="J2851">
            <v>255.33017000000001</v>
          </cell>
          <cell r="K2851">
            <v>2.0426413600000002</v>
          </cell>
          <cell r="L2851">
            <v>1.3899503</v>
          </cell>
          <cell r="M2851">
            <v>2.6032093999999999</v>
          </cell>
          <cell r="N2851">
            <v>0</v>
          </cell>
          <cell r="O2851">
            <v>1.4767499999999999E-2</v>
          </cell>
          <cell r="P2851">
            <v>0.55732420000000005</v>
          </cell>
          <cell r="Q2851">
            <v>3.0709455000000001</v>
          </cell>
          <cell r="R2851">
            <v>0</v>
          </cell>
          <cell r="S2851">
            <v>0</v>
          </cell>
          <cell r="T2851">
            <v>71.605682999999999</v>
          </cell>
          <cell r="U2851">
            <v>0</v>
          </cell>
          <cell r="V2851">
            <v>0</v>
          </cell>
          <cell r="W2851">
            <v>0</v>
          </cell>
          <cell r="X2851">
            <v>0.18805430000000001</v>
          </cell>
          <cell r="Y2851">
            <v>0</v>
          </cell>
          <cell r="Z2851">
            <v>0</v>
          </cell>
          <cell r="AA2851">
            <v>0</v>
          </cell>
          <cell r="AB2851">
            <v>1.3494276000000001</v>
          </cell>
        </row>
        <row r="2852">
          <cell r="A2852">
            <v>53313000</v>
          </cell>
          <cell r="B2852" t="str">
            <v>Pie, strawberry-rhubarb, two crust</v>
          </cell>
          <cell r="I2852">
            <v>125</v>
          </cell>
          <cell r="J2852">
            <v>323.32378</v>
          </cell>
          <cell r="K2852">
            <v>2.58659024</v>
          </cell>
          <cell r="L2852">
            <v>1.0118317999999999</v>
          </cell>
          <cell r="M2852">
            <v>4.0650561999999999</v>
          </cell>
          <cell r="N2852">
            <v>0</v>
          </cell>
          <cell r="O2852">
            <v>5.2097200000000003E-2</v>
          </cell>
          <cell r="P2852">
            <v>0.86269899999999999</v>
          </cell>
          <cell r="Q2852">
            <v>4.6946433000000001</v>
          </cell>
          <cell r="R2852">
            <v>0</v>
          </cell>
          <cell r="S2852">
            <v>0</v>
          </cell>
          <cell r="T2852">
            <v>53.558914999999999</v>
          </cell>
          <cell r="U2852">
            <v>0</v>
          </cell>
          <cell r="V2852">
            <v>0</v>
          </cell>
          <cell r="W2852">
            <v>0</v>
          </cell>
          <cell r="X2852">
            <v>0.2936087</v>
          </cell>
          <cell r="Y2852">
            <v>0</v>
          </cell>
          <cell r="Z2852">
            <v>0</v>
          </cell>
          <cell r="AA2852">
            <v>0</v>
          </cell>
          <cell r="AB2852">
            <v>2.1106186</v>
          </cell>
        </row>
        <row r="2853">
          <cell r="A2853">
            <v>53341000</v>
          </cell>
          <cell r="B2853" t="str">
            <v>Pie, banana cream</v>
          </cell>
          <cell r="I2853">
            <v>125</v>
          </cell>
          <cell r="J2853">
            <v>336.25</v>
          </cell>
          <cell r="K2853">
            <v>2.69</v>
          </cell>
          <cell r="L2853">
            <v>0</v>
          </cell>
          <cell r="M2853">
            <v>4.6974999999999998</v>
          </cell>
          <cell r="N2853">
            <v>0</v>
          </cell>
          <cell r="O2853">
            <v>9.375E-2</v>
          </cell>
          <cell r="P2853">
            <v>0.875</v>
          </cell>
          <cell r="Q2853">
            <v>4.1150000000000002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0.3</v>
          </cell>
          <cell r="Y2853">
            <v>0</v>
          </cell>
          <cell r="Z2853">
            <v>0</v>
          </cell>
          <cell r="AA2853">
            <v>0</v>
          </cell>
          <cell r="AB2853">
            <v>1.1879983000000001</v>
          </cell>
        </row>
        <row r="2854">
          <cell r="A2854">
            <v>53341500</v>
          </cell>
          <cell r="B2854" t="str">
            <v>Pie, buttermilk</v>
          </cell>
          <cell r="I2854">
            <v>125</v>
          </cell>
          <cell r="J2854">
            <v>422.70902999999998</v>
          </cell>
          <cell r="K2854">
            <v>3.3816722399999999</v>
          </cell>
          <cell r="L2854">
            <v>0</v>
          </cell>
          <cell r="M2854">
            <v>5.2209149999999998</v>
          </cell>
          <cell r="N2854">
            <v>0</v>
          </cell>
          <cell r="O2854">
            <v>4.3272699999999997E-2</v>
          </cell>
          <cell r="P2854">
            <v>0.43716939999999999</v>
          </cell>
          <cell r="Q2854">
            <v>5.4931365999999997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0.2022313</v>
          </cell>
          <cell r="Y2854">
            <v>0</v>
          </cell>
          <cell r="Z2854">
            <v>0</v>
          </cell>
          <cell r="AA2854">
            <v>0</v>
          </cell>
          <cell r="AB2854">
            <v>2.3979210000000002</v>
          </cell>
        </row>
        <row r="2855">
          <cell r="A2855">
            <v>53342000</v>
          </cell>
          <cell r="B2855" t="str">
            <v>Pie, chocolate cream</v>
          </cell>
          <cell r="I2855">
            <v>125</v>
          </cell>
          <cell r="J2855">
            <v>441.25</v>
          </cell>
          <cell r="K2855">
            <v>3.53</v>
          </cell>
          <cell r="L2855">
            <v>0</v>
          </cell>
          <cell r="M2855">
            <v>15.561249999999999</v>
          </cell>
          <cell r="N2855">
            <v>0</v>
          </cell>
          <cell r="O2855">
            <v>8.2500000000000004E-2</v>
          </cell>
          <cell r="P2855">
            <v>1</v>
          </cell>
          <cell r="Q2855">
            <v>1.43625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0.33250000000000002</v>
          </cell>
          <cell r="Y2855">
            <v>0</v>
          </cell>
          <cell r="Z2855">
            <v>0</v>
          </cell>
          <cell r="AA2855">
            <v>0</v>
          </cell>
          <cell r="AB2855">
            <v>3.1124999999999998</v>
          </cell>
        </row>
        <row r="2856">
          <cell r="A2856">
            <v>53342070</v>
          </cell>
          <cell r="B2856" t="str">
            <v>Pie, chocolate cream, individual size or tart</v>
          </cell>
          <cell r="I2856">
            <v>125</v>
          </cell>
          <cell r="J2856">
            <v>321.57116000000002</v>
          </cell>
          <cell r="K2856">
            <v>2.5725692800000002</v>
          </cell>
          <cell r="L2856">
            <v>0</v>
          </cell>
          <cell r="M2856">
            <v>5.1722408</v>
          </cell>
          <cell r="N2856">
            <v>0</v>
          </cell>
          <cell r="O2856">
            <v>8.2675299999999993E-2</v>
          </cell>
          <cell r="P2856">
            <v>1.7171194000000001</v>
          </cell>
          <cell r="Q2856">
            <v>3.3882291000000002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0.28840149999999998</v>
          </cell>
          <cell r="Y2856">
            <v>0</v>
          </cell>
          <cell r="Z2856">
            <v>0</v>
          </cell>
          <cell r="AA2856">
            <v>0</v>
          </cell>
          <cell r="AB2856">
            <v>1.4179790999999999</v>
          </cell>
        </row>
        <row r="2857">
          <cell r="A2857">
            <v>53343000</v>
          </cell>
          <cell r="B2857" t="str">
            <v>Pie, coconut cream</v>
          </cell>
          <cell r="I2857">
            <v>125</v>
          </cell>
          <cell r="J2857">
            <v>372.5</v>
          </cell>
          <cell r="K2857">
            <v>2.98</v>
          </cell>
          <cell r="L2857">
            <v>0</v>
          </cell>
          <cell r="M2857">
            <v>8.7200000000000006</v>
          </cell>
          <cell r="N2857">
            <v>0</v>
          </cell>
          <cell r="O2857">
            <v>3.6249999999999998E-2</v>
          </cell>
          <cell r="P2857">
            <v>1.625</v>
          </cell>
          <cell r="Q2857">
            <v>1.93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0.255</v>
          </cell>
          <cell r="Y2857">
            <v>0</v>
          </cell>
          <cell r="Z2857">
            <v>0</v>
          </cell>
          <cell r="AA2857">
            <v>0</v>
          </cell>
          <cell r="AB2857">
            <v>1.4036807</v>
          </cell>
        </row>
        <row r="2858">
          <cell r="A2858">
            <v>53343070</v>
          </cell>
          <cell r="B2858" t="str">
            <v>Pie, coconut cream, individual size or tart</v>
          </cell>
          <cell r="I2858">
            <v>125</v>
          </cell>
          <cell r="J2858">
            <v>249.76707999999999</v>
          </cell>
          <cell r="K2858">
            <v>1.99813664</v>
          </cell>
          <cell r="L2858">
            <v>0</v>
          </cell>
          <cell r="M2858">
            <v>4.0224976999999997</v>
          </cell>
          <cell r="N2858">
            <v>0</v>
          </cell>
          <cell r="O2858">
            <v>8.77994E-2</v>
          </cell>
          <cell r="P2858">
            <v>0.84566940000000002</v>
          </cell>
          <cell r="Q2858">
            <v>3.1103524999999999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0.2548841</v>
          </cell>
          <cell r="Y2858">
            <v>0</v>
          </cell>
          <cell r="Z2858">
            <v>0</v>
          </cell>
          <cell r="AA2858">
            <v>0</v>
          </cell>
          <cell r="AB2858">
            <v>1.2835445999999999</v>
          </cell>
        </row>
        <row r="2859">
          <cell r="A2859">
            <v>53344000</v>
          </cell>
          <cell r="B2859" t="str">
            <v>Pie, custard</v>
          </cell>
          <cell r="I2859">
            <v>125</v>
          </cell>
          <cell r="J2859">
            <v>262.5</v>
          </cell>
          <cell r="K2859">
            <v>2.1</v>
          </cell>
          <cell r="L2859">
            <v>0</v>
          </cell>
          <cell r="M2859">
            <v>2.9362499999999998</v>
          </cell>
          <cell r="N2859">
            <v>0</v>
          </cell>
          <cell r="O2859">
            <v>0.1</v>
          </cell>
          <cell r="P2859">
            <v>2</v>
          </cell>
          <cell r="Q2859">
            <v>4.6537499999999996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0.34375</v>
          </cell>
          <cell r="Y2859">
            <v>0</v>
          </cell>
          <cell r="Z2859">
            <v>0</v>
          </cell>
          <cell r="AA2859">
            <v>0</v>
          </cell>
          <cell r="AB2859">
            <v>0.87684490000000004</v>
          </cell>
        </row>
        <row r="2860">
          <cell r="A2860">
            <v>53344070</v>
          </cell>
          <cell r="B2860" t="str">
            <v>Pie, custard, individual size or tart</v>
          </cell>
          <cell r="I2860">
            <v>125</v>
          </cell>
          <cell r="J2860">
            <v>190.99350000000001</v>
          </cell>
          <cell r="K2860">
            <v>1.5279480000000001</v>
          </cell>
          <cell r="L2860">
            <v>6.9390000000000004E-17</v>
          </cell>
          <cell r="M2860">
            <v>1.4191791</v>
          </cell>
          <cell r="N2860">
            <v>0</v>
          </cell>
          <cell r="O2860">
            <v>9.61592E-2</v>
          </cell>
          <cell r="P2860">
            <v>0.55257999999999996</v>
          </cell>
          <cell r="Q2860">
            <v>1.3502031000000001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0.42435539999999999</v>
          </cell>
          <cell r="Y2860">
            <v>0</v>
          </cell>
          <cell r="Z2860">
            <v>0</v>
          </cell>
          <cell r="AA2860">
            <v>0</v>
          </cell>
          <cell r="AB2860">
            <v>0.45566299999999998</v>
          </cell>
        </row>
        <row r="2861">
          <cell r="A2861">
            <v>53344200</v>
          </cell>
          <cell r="B2861" t="str">
            <v>Mixed fruit tart filled with custard or cream cheese</v>
          </cell>
          <cell r="I2861">
            <v>125</v>
          </cell>
          <cell r="J2861">
            <v>213.07746</v>
          </cell>
          <cell r="K2861">
            <v>1.70461968</v>
          </cell>
          <cell r="L2861">
            <v>1.1724911</v>
          </cell>
          <cell r="M2861">
            <v>4.7438064999999998</v>
          </cell>
          <cell r="N2861">
            <v>0</v>
          </cell>
          <cell r="O2861">
            <v>6.2474500000000002E-2</v>
          </cell>
          <cell r="P2861">
            <v>0.58647800000000005</v>
          </cell>
          <cell r="Q2861">
            <v>1.0915813000000001</v>
          </cell>
          <cell r="R2861">
            <v>0</v>
          </cell>
          <cell r="S2861">
            <v>0</v>
          </cell>
          <cell r="T2861">
            <v>53.944353999999997</v>
          </cell>
          <cell r="U2861">
            <v>0</v>
          </cell>
          <cell r="V2861">
            <v>0</v>
          </cell>
          <cell r="W2861">
            <v>0</v>
          </cell>
          <cell r="X2861">
            <v>0.1432348</v>
          </cell>
          <cell r="Y2861">
            <v>0</v>
          </cell>
          <cell r="Z2861">
            <v>0</v>
          </cell>
          <cell r="AA2861">
            <v>0</v>
          </cell>
          <cell r="AB2861">
            <v>0.46701619999999999</v>
          </cell>
        </row>
        <row r="2862">
          <cell r="A2862">
            <v>53344300</v>
          </cell>
          <cell r="B2862" t="str">
            <v>Dessert pizza</v>
          </cell>
          <cell r="I2862">
            <v>125</v>
          </cell>
          <cell r="J2862">
            <v>287.53739999999999</v>
          </cell>
          <cell r="K2862">
            <v>2.3002992</v>
          </cell>
          <cell r="L2862">
            <v>1.7524093999999999</v>
          </cell>
          <cell r="M2862">
            <v>4.0801854000000004</v>
          </cell>
          <cell r="N2862">
            <v>0</v>
          </cell>
          <cell r="O2862">
            <v>3.2246200000000003E-2</v>
          </cell>
          <cell r="P2862">
            <v>0.43992009999999998</v>
          </cell>
          <cell r="Q2862">
            <v>0.83380270000000001</v>
          </cell>
          <cell r="R2862">
            <v>2.6334569999999999</v>
          </cell>
          <cell r="S2862">
            <v>0</v>
          </cell>
          <cell r="T2862">
            <v>70.234098000000003</v>
          </cell>
          <cell r="U2862">
            <v>0</v>
          </cell>
          <cell r="V2862">
            <v>0</v>
          </cell>
          <cell r="W2862">
            <v>0</v>
          </cell>
          <cell r="X2862">
            <v>0.1681368</v>
          </cell>
          <cell r="Y2862">
            <v>0</v>
          </cell>
          <cell r="Z2862">
            <v>0</v>
          </cell>
          <cell r="AA2862">
            <v>0</v>
          </cell>
          <cell r="AB2862">
            <v>0.84099029999999997</v>
          </cell>
        </row>
        <row r="2863">
          <cell r="A2863">
            <v>53345000</v>
          </cell>
          <cell r="B2863" t="str">
            <v>Pie, lemon cream</v>
          </cell>
          <cell r="I2863">
            <v>125</v>
          </cell>
          <cell r="J2863">
            <v>276.73257999999998</v>
          </cell>
          <cell r="K2863">
            <v>2.21386064</v>
          </cell>
          <cell r="L2863">
            <v>2.4333799999999999E-2</v>
          </cell>
          <cell r="M2863">
            <v>2.7104183000000002</v>
          </cell>
          <cell r="N2863">
            <v>0</v>
          </cell>
          <cell r="O2863">
            <v>7.0231100000000005E-2</v>
          </cell>
          <cell r="P2863">
            <v>0.36645339999999998</v>
          </cell>
          <cell r="Q2863">
            <v>3.1135378999999999</v>
          </cell>
          <cell r="R2863">
            <v>0</v>
          </cell>
          <cell r="S2863">
            <v>0</v>
          </cell>
          <cell r="T2863">
            <v>8.1112807999999994</v>
          </cell>
          <cell r="U2863">
            <v>0</v>
          </cell>
          <cell r="V2863">
            <v>0</v>
          </cell>
          <cell r="W2863">
            <v>0</v>
          </cell>
          <cell r="X2863">
            <v>0.24471999999999999</v>
          </cell>
          <cell r="Y2863">
            <v>0</v>
          </cell>
          <cell r="Z2863">
            <v>0</v>
          </cell>
          <cell r="AA2863">
            <v>0</v>
          </cell>
          <cell r="AB2863">
            <v>1.4525269999999999</v>
          </cell>
        </row>
        <row r="2864">
          <cell r="A2864">
            <v>53346000</v>
          </cell>
          <cell r="B2864" t="str">
            <v>Pie, peanut butter cream</v>
          </cell>
          <cell r="I2864">
            <v>125</v>
          </cell>
          <cell r="J2864">
            <v>298.75175999999999</v>
          </cell>
          <cell r="K2864">
            <v>2.3900140799999998</v>
          </cell>
          <cell r="L2864">
            <v>0</v>
          </cell>
          <cell r="M2864">
            <v>3.9055152</v>
          </cell>
          <cell r="N2864">
            <v>0</v>
          </cell>
          <cell r="O2864">
            <v>8.5179500000000005E-2</v>
          </cell>
          <cell r="P2864">
            <v>1.1313787</v>
          </cell>
          <cell r="Q2864">
            <v>3.6320171000000001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0.3202409</v>
          </cell>
          <cell r="Y2864">
            <v>11.024659</v>
          </cell>
          <cell r="Z2864">
            <v>0</v>
          </cell>
          <cell r="AA2864">
            <v>0</v>
          </cell>
          <cell r="AB2864">
            <v>0.85155270000000005</v>
          </cell>
        </row>
        <row r="2865">
          <cell r="A2865">
            <v>53346500</v>
          </cell>
          <cell r="B2865" t="str">
            <v>Pie, pineapple cream</v>
          </cell>
          <cell r="I2865">
            <v>125</v>
          </cell>
          <cell r="J2865">
            <v>223.86472000000001</v>
          </cell>
          <cell r="K2865">
            <v>1.7909177600000001</v>
          </cell>
          <cell r="L2865">
            <v>0.1570172</v>
          </cell>
          <cell r="M2865">
            <v>2.4294015999999998</v>
          </cell>
          <cell r="N2865">
            <v>0</v>
          </cell>
          <cell r="O2865">
            <v>5.2015100000000002E-2</v>
          </cell>
          <cell r="P2865">
            <v>0.43810589999999999</v>
          </cell>
          <cell r="Q2865">
            <v>2.1768431000000001</v>
          </cell>
          <cell r="R2865">
            <v>0</v>
          </cell>
          <cell r="S2865">
            <v>0</v>
          </cell>
          <cell r="T2865">
            <v>12.757645</v>
          </cell>
          <cell r="U2865">
            <v>0</v>
          </cell>
          <cell r="V2865">
            <v>0</v>
          </cell>
          <cell r="W2865">
            <v>0</v>
          </cell>
          <cell r="X2865">
            <v>0.15213570000000001</v>
          </cell>
          <cell r="Y2865">
            <v>0</v>
          </cell>
          <cell r="Z2865">
            <v>0</v>
          </cell>
          <cell r="AA2865">
            <v>0</v>
          </cell>
          <cell r="AB2865">
            <v>0.89033980000000001</v>
          </cell>
        </row>
        <row r="2866">
          <cell r="A2866">
            <v>53347000</v>
          </cell>
          <cell r="B2866" t="str">
            <v>Pie, pumpkin</v>
          </cell>
          <cell r="I2866">
            <v>125</v>
          </cell>
          <cell r="J2866">
            <v>303.75</v>
          </cell>
          <cell r="K2866">
            <v>2.4300000000000002</v>
          </cell>
          <cell r="L2866">
            <v>1.1132010000000001</v>
          </cell>
          <cell r="M2866">
            <v>2.4849999999999999</v>
          </cell>
          <cell r="N2866">
            <v>0</v>
          </cell>
          <cell r="O2866">
            <v>0.08</v>
          </cell>
          <cell r="P2866">
            <v>1.1367989999999999</v>
          </cell>
          <cell r="Q2866">
            <v>2.2124999999999999</v>
          </cell>
          <cell r="R2866">
            <v>0</v>
          </cell>
          <cell r="S2866">
            <v>0</v>
          </cell>
          <cell r="T2866">
            <v>0</v>
          </cell>
          <cell r="U2866">
            <v>49</v>
          </cell>
          <cell r="V2866">
            <v>0</v>
          </cell>
          <cell r="W2866">
            <v>0</v>
          </cell>
          <cell r="X2866">
            <v>0.29875000000000002</v>
          </cell>
          <cell r="Y2866">
            <v>0</v>
          </cell>
          <cell r="Z2866">
            <v>0</v>
          </cell>
          <cell r="AA2866">
            <v>0</v>
          </cell>
          <cell r="AB2866">
            <v>0.63655360000000005</v>
          </cell>
        </row>
        <row r="2867">
          <cell r="A2867">
            <v>53347600</v>
          </cell>
          <cell r="B2867" t="str">
            <v>Pie, squash</v>
          </cell>
          <cell r="I2867">
            <v>125</v>
          </cell>
          <cell r="J2867">
            <v>205.60575</v>
          </cell>
          <cell r="K2867">
            <v>1.644846</v>
          </cell>
          <cell r="L2867">
            <v>1.053331</v>
          </cell>
          <cell r="M2867">
            <v>2.5448072000000002</v>
          </cell>
          <cell r="N2867">
            <v>0</v>
          </cell>
          <cell r="O2867">
            <v>6.3364000000000004E-2</v>
          </cell>
          <cell r="P2867">
            <v>0.3979182</v>
          </cell>
          <cell r="Q2867">
            <v>2.1974735000000001</v>
          </cell>
          <cell r="R2867">
            <v>0</v>
          </cell>
          <cell r="S2867">
            <v>0</v>
          </cell>
          <cell r="T2867">
            <v>0</v>
          </cell>
          <cell r="U2867">
            <v>36.321759</v>
          </cell>
          <cell r="V2867">
            <v>0</v>
          </cell>
          <cell r="W2867">
            <v>0</v>
          </cell>
          <cell r="X2867">
            <v>0.1849519</v>
          </cell>
          <cell r="Y2867">
            <v>0</v>
          </cell>
          <cell r="Z2867">
            <v>0</v>
          </cell>
          <cell r="AA2867">
            <v>0</v>
          </cell>
          <cell r="AB2867">
            <v>0.88225330000000002</v>
          </cell>
        </row>
        <row r="2868">
          <cell r="A2868">
            <v>53360000</v>
          </cell>
          <cell r="B2868" t="str">
            <v>Pie, sweet potato</v>
          </cell>
          <cell r="I2868">
            <v>125</v>
          </cell>
          <cell r="J2868">
            <v>289.59750000000003</v>
          </cell>
          <cell r="K2868">
            <v>2.3167800000000001</v>
          </cell>
          <cell r="L2868">
            <v>1.3768619</v>
          </cell>
          <cell r="M2868">
            <v>8.4626322999999992</v>
          </cell>
          <cell r="N2868">
            <v>0</v>
          </cell>
          <cell r="O2868">
            <v>4.8612599999999999E-2</v>
          </cell>
          <cell r="P2868">
            <v>0.7113621</v>
          </cell>
          <cell r="Q2868">
            <v>1.9888513000000001</v>
          </cell>
          <cell r="R2868">
            <v>0</v>
          </cell>
          <cell r="S2868">
            <v>0</v>
          </cell>
          <cell r="T2868">
            <v>0</v>
          </cell>
          <cell r="U2868">
            <v>55.074475</v>
          </cell>
          <cell r="V2868">
            <v>0</v>
          </cell>
          <cell r="W2868">
            <v>0</v>
          </cell>
          <cell r="X2868">
            <v>0.21289259999999999</v>
          </cell>
          <cell r="Y2868">
            <v>0</v>
          </cell>
          <cell r="Z2868">
            <v>0</v>
          </cell>
          <cell r="AA2868">
            <v>0</v>
          </cell>
          <cell r="AB2868">
            <v>0.81060480000000001</v>
          </cell>
        </row>
        <row r="2869">
          <cell r="A2869">
            <v>53381000</v>
          </cell>
          <cell r="B2869" t="str">
            <v>Pie, lemon meringue</v>
          </cell>
          <cell r="I2869">
            <v>125</v>
          </cell>
          <cell r="J2869">
            <v>335</v>
          </cell>
          <cell r="K2869">
            <v>2.68</v>
          </cell>
          <cell r="L2869">
            <v>5.7978700000000001E-2</v>
          </cell>
          <cell r="M2869">
            <v>2.2075</v>
          </cell>
          <cell r="N2869">
            <v>0</v>
          </cell>
          <cell r="O2869">
            <v>7.0000000000000007E-2</v>
          </cell>
          <cell r="P2869">
            <v>1.4420213</v>
          </cell>
          <cell r="Q2869">
            <v>4.5599999999999996</v>
          </cell>
          <cell r="R2869">
            <v>0</v>
          </cell>
          <cell r="S2869">
            <v>0</v>
          </cell>
          <cell r="T2869">
            <v>3.125</v>
          </cell>
          <cell r="U2869">
            <v>0</v>
          </cell>
          <cell r="V2869">
            <v>0</v>
          </cell>
          <cell r="W2869">
            <v>0</v>
          </cell>
          <cell r="X2869">
            <v>0.215</v>
          </cell>
          <cell r="Y2869">
            <v>0</v>
          </cell>
          <cell r="Z2869">
            <v>0</v>
          </cell>
          <cell r="AA2869">
            <v>0</v>
          </cell>
          <cell r="AB2869">
            <v>0.6034214</v>
          </cell>
        </row>
        <row r="2870">
          <cell r="A2870">
            <v>53381070</v>
          </cell>
          <cell r="B2870" t="str">
            <v>Pie, lemon meringue, individual size or tart</v>
          </cell>
          <cell r="I2870">
            <v>125</v>
          </cell>
          <cell r="J2870">
            <v>335</v>
          </cell>
          <cell r="K2870">
            <v>2.68</v>
          </cell>
          <cell r="L2870">
            <v>4.9132200000000001E-2</v>
          </cell>
          <cell r="M2870">
            <v>2.2075</v>
          </cell>
          <cell r="N2870">
            <v>0</v>
          </cell>
          <cell r="O2870">
            <v>7.0000000000000007E-2</v>
          </cell>
          <cell r="P2870">
            <v>1.4508677999999999</v>
          </cell>
          <cell r="Q2870">
            <v>4.5599999999999996</v>
          </cell>
          <cell r="R2870">
            <v>0</v>
          </cell>
          <cell r="S2870">
            <v>0</v>
          </cell>
          <cell r="T2870">
            <v>3.125</v>
          </cell>
          <cell r="U2870">
            <v>0</v>
          </cell>
          <cell r="V2870">
            <v>0</v>
          </cell>
          <cell r="W2870">
            <v>0</v>
          </cell>
          <cell r="X2870">
            <v>0.215</v>
          </cell>
          <cell r="Y2870">
            <v>0</v>
          </cell>
          <cell r="Z2870">
            <v>0</v>
          </cell>
          <cell r="AA2870">
            <v>0</v>
          </cell>
          <cell r="AB2870">
            <v>0.58219569999999998</v>
          </cell>
        </row>
        <row r="2871">
          <cell r="A2871">
            <v>53385000</v>
          </cell>
          <cell r="B2871" t="str">
            <v>Pie, pecan</v>
          </cell>
          <cell r="I2871">
            <v>125</v>
          </cell>
          <cell r="J2871">
            <v>508.75</v>
          </cell>
          <cell r="K2871">
            <v>4.07</v>
          </cell>
          <cell r="L2871">
            <v>0</v>
          </cell>
          <cell r="M2871">
            <v>3.3174999999999999</v>
          </cell>
          <cell r="N2871">
            <v>0</v>
          </cell>
          <cell r="O2871">
            <v>2.75E-2</v>
          </cell>
          <cell r="P2871">
            <v>2.625</v>
          </cell>
          <cell r="Q2871">
            <v>4.4424999999999999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0.34375</v>
          </cell>
          <cell r="Y2871">
            <v>12.580313</v>
          </cell>
          <cell r="Z2871">
            <v>0</v>
          </cell>
          <cell r="AA2871">
            <v>0</v>
          </cell>
          <cell r="AB2871">
            <v>1.1719968999999999</v>
          </cell>
        </row>
        <row r="2872">
          <cell r="A2872">
            <v>53386000</v>
          </cell>
          <cell r="B2872" t="str">
            <v>Pie, pudding, flavors other than chocolate</v>
          </cell>
          <cell r="I2872">
            <v>125</v>
          </cell>
          <cell r="J2872">
            <v>267.53138999999999</v>
          </cell>
          <cell r="K2872">
            <v>2.1402511199999998</v>
          </cell>
          <cell r="L2872">
            <v>0</v>
          </cell>
          <cell r="M2872">
            <v>4.1105244000000001</v>
          </cell>
          <cell r="N2872">
            <v>0</v>
          </cell>
          <cell r="O2872">
            <v>9.1234499999999996E-2</v>
          </cell>
          <cell r="P2872">
            <v>0.6416058</v>
          </cell>
          <cell r="Q2872">
            <v>3.2081750000000002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0.3298085</v>
          </cell>
          <cell r="Y2872">
            <v>0</v>
          </cell>
          <cell r="Z2872">
            <v>0</v>
          </cell>
          <cell r="AA2872">
            <v>0</v>
          </cell>
          <cell r="AB2872">
            <v>1.3816162999999999</v>
          </cell>
        </row>
        <row r="2873">
          <cell r="A2873">
            <v>53386500</v>
          </cell>
          <cell r="B2873" t="str">
            <v>Pie, pudding, flavors other than chocolate, with chocolate coating, individual size</v>
          </cell>
          <cell r="I2873">
            <v>125</v>
          </cell>
          <cell r="J2873">
            <v>467.32920000000001</v>
          </cell>
          <cell r="K2873">
            <v>3.7386336</v>
          </cell>
          <cell r="L2873">
            <v>0</v>
          </cell>
          <cell r="M2873">
            <v>10.629231000000001</v>
          </cell>
          <cell r="N2873">
            <v>0</v>
          </cell>
          <cell r="O2873">
            <v>4.2698199999999999E-2</v>
          </cell>
          <cell r="P2873">
            <v>3.5841099999999999</v>
          </cell>
          <cell r="Q2873">
            <v>4.1849866999999996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0.35725630000000003</v>
          </cell>
          <cell r="Y2873">
            <v>0</v>
          </cell>
          <cell r="Z2873">
            <v>0</v>
          </cell>
          <cell r="AA2873">
            <v>0</v>
          </cell>
          <cell r="AB2873">
            <v>1.377006</v>
          </cell>
        </row>
        <row r="2874">
          <cell r="A2874">
            <v>53387000</v>
          </cell>
          <cell r="B2874" t="str">
            <v>Pie, Toll house chocolate chip</v>
          </cell>
          <cell r="I2874">
            <v>125</v>
          </cell>
          <cell r="J2874">
            <v>614.67904999999996</v>
          </cell>
          <cell r="K2874">
            <v>4.9174324</v>
          </cell>
          <cell r="L2874">
            <v>0</v>
          </cell>
          <cell r="M2874">
            <v>10.611295999999999</v>
          </cell>
          <cell r="N2874">
            <v>0</v>
          </cell>
          <cell r="O2874">
            <v>3.8036199999999999E-2</v>
          </cell>
          <cell r="P2874">
            <v>2.6878863000000002</v>
          </cell>
          <cell r="Q2874">
            <v>15.619878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0.35602299999999998</v>
          </cell>
          <cell r="Y2874">
            <v>14.005634000000001</v>
          </cell>
          <cell r="Z2874">
            <v>0</v>
          </cell>
          <cell r="AA2874">
            <v>0</v>
          </cell>
          <cell r="AB2874">
            <v>4.9125905000000003</v>
          </cell>
        </row>
        <row r="2875">
          <cell r="A2875">
            <v>53391000</v>
          </cell>
          <cell r="B2875" t="str">
            <v>Pie shell</v>
          </cell>
          <cell r="I2875">
            <v>21.5</v>
          </cell>
          <cell r="J2875">
            <v>109.22</v>
          </cell>
          <cell r="K2875">
            <v>5.08</v>
          </cell>
          <cell r="L2875">
            <v>0</v>
          </cell>
          <cell r="M2875">
            <v>1.9945550000000001</v>
          </cell>
          <cell r="N2875">
            <v>0</v>
          </cell>
          <cell r="O2875">
            <v>4.5149999999999999E-3</v>
          </cell>
          <cell r="P2875">
            <v>0.70950000000000002</v>
          </cell>
          <cell r="Q2875">
            <v>0.76712000000000002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0.10040499999999999</v>
          </cell>
          <cell r="Y2875">
            <v>0</v>
          </cell>
          <cell r="Z2875">
            <v>0</v>
          </cell>
          <cell r="AA2875">
            <v>0</v>
          </cell>
          <cell r="AB2875">
            <v>0.35717650000000001</v>
          </cell>
        </row>
        <row r="2876">
          <cell r="A2876">
            <v>53391100</v>
          </cell>
          <cell r="B2876" t="str">
            <v>Pie shell, graham cracker</v>
          </cell>
          <cell r="I2876">
            <v>21.5</v>
          </cell>
          <cell r="J2876">
            <v>107.715</v>
          </cell>
          <cell r="K2876">
            <v>5.01</v>
          </cell>
          <cell r="L2876">
            <v>0.1269198</v>
          </cell>
          <cell r="M2876">
            <v>1.0747850000000001</v>
          </cell>
          <cell r="N2876">
            <v>0</v>
          </cell>
          <cell r="O2876">
            <v>6.2350000000000001E-3</v>
          </cell>
          <cell r="P2876">
            <v>0.2815802</v>
          </cell>
          <cell r="Q2876">
            <v>0.359265</v>
          </cell>
          <cell r="R2876">
            <v>1.6856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0.10126499999999999</v>
          </cell>
          <cell r="Y2876">
            <v>0</v>
          </cell>
          <cell r="Z2876">
            <v>0</v>
          </cell>
          <cell r="AA2876">
            <v>0</v>
          </cell>
          <cell r="AB2876">
            <v>0.46817429999999999</v>
          </cell>
        </row>
        <row r="2877">
          <cell r="A2877">
            <v>53400200</v>
          </cell>
          <cell r="B2877" t="str">
            <v>Blintz, cheese-filled</v>
          </cell>
          <cell r="I2877">
            <v>125</v>
          </cell>
          <cell r="J2877">
            <v>195.36479</v>
          </cell>
          <cell r="K2877">
            <v>1.5629183200000001</v>
          </cell>
          <cell r="L2877">
            <v>0</v>
          </cell>
          <cell r="M2877">
            <v>2.2336917000000001</v>
          </cell>
          <cell r="N2877">
            <v>0</v>
          </cell>
          <cell r="O2877">
            <v>0.1201541</v>
          </cell>
          <cell r="P2877">
            <v>0.3687858</v>
          </cell>
          <cell r="Q2877">
            <v>1.6549708999999999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0.47441630000000001</v>
          </cell>
          <cell r="Y2877">
            <v>0</v>
          </cell>
          <cell r="Z2877">
            <v>0</v>
          </cell>
          <cell r="AA2877">
            <v>0</v>
          </cell>
          <cell r="AB2877">
            <v>0.71665460000000003</v>
          </cell>
        </row>
        <row r="2878">
          <cell r="A2878">
            <v>53410100</v>
          </cell>
          <cell r="B2878" t="str">
            <v>Cobbler, apple</v>
          </cell>
          <cell r="I2878">
            <v>125</v>
          </cell>
          <cell r="J2878">
            <v>211.66855000000001</v>
          </cell>
          <cell r="K2878">
            <v>1.6933484000000001</v>
          </cell>
          <cell r="L2878">
            <v>0.57958940000000003</v>
          </cell>
          <cell r="M2878">
            <v>1.2818947000000001</v>
          </cell>
          <cell r="N2878">
            <v>0</v>
          </cell>
          <cell r="O2878">
            <v>8.3882799999999993E-2</v>
          </cell>
          <cell r="P2878">
            <v>0.43455919999999998</v>
          </cell>
          <cell r="Q2878">
            <v>1.5150638000000001</v>
          </cell>
          <cell r="R2878">
            <v>0</v>
          </cell>
          <cell r="S2878">
            <v>0</v>
          </cell>
          <cell r="T2878">
            <v>44.583798000000002</v>
          </cell>
          <cell r="U2878">
            <v>0</v>
          </cell>
          <cell r="V2878">
            <v>0</v>
          </cell>
          <cell r="W2878">
            <v>0</v>
          </cell>
          <cell r="X2878">
            <v>0.2152463</v>
          </cell>
          <cell r="Y2878">
            <v>0</v>
          </cell>
          <cell r="Z2878">
            <v>0</v>
          </cell>
          <cell r="AA2878">
            <v>0</v>
          </cell>
          <cell r="AB2878">
            <v>0.69200550000000005</v>
          </cell>
        </row>
        <row r="2879">
          <cell r="A2879">
            <v>53410300</v>
          </cell>
          <cell r="B2879" t="str">
            <v>Cobbler, berry</v>
          </cell>
          <cell r="I2879">
            <v>125</v>
          </cell>
          <cell r="J2879">
            <v>249.93763000000001</v>
          </cell>
          <cell r="K2879">
            <v>1.9995010400000002</v>
          </cell>
          <cell r="L2879">
            <v>1.4283486999999999</v>
          </cell>
          <cell r="M2879">
            <v>1.531039</v>
          </cell>
          <cell r="N2879">
            <v>0</v>
          </cell>
          <cell r="O2879">
            <v>8.9985499999999996E-2</v>
          </cell>
          <cell r="P2879">
            <v>0.57008289999999995</v>
          </cell>
          <cell r="Q2879">
            <v>1.8298521000000001</v>
          </cell>
          <cell r="R2879">
            <v>0</v>
          </cell>
          <cell r="S2879">
            <v>0</v>
          </cell>
          <cell r="T2879">
            <v>60.963776000000003</v>
          </cell>
          <cell r="U2879">
            <v>0</v>
          </cell>
          <cell r="V2879">
            <v>0</v>
          </cell>
          <cell r="W2879">
            <v>0</v>
          </cell>
          <cell r="X2879">
            <v>0.2183156</v>
          </cell>
          <cell r="Y2879">
            <v>0</v>
          </cell>
          <cell r="Z2879">
            <v>0</v>
          </cell>
          <cell r="AA2879">
            <v>0</v>
          </cell>
          <cell r="AB2879">
            <v>0.77726329999999999</v>
          </cell>
        </row>
        <row r="2880">
          <cell r="A2880">
            <v>53410500</v>
          </cell>
          <cell r="B2880" t="str">
            <v>Cobbler, cherry</v>
          </cell>
          <cell r="I2880">
            <v>125</v>
          </cell>
          <cell r="J2880">
            <v>211.10275999999999</v>
          </cell>
          <cell r="K2880">
            <v>1.68882208</v>
          </cell>
          <cell r="L2880">
            <v>0.78383840000000005</v>
          </cell>
          <cell r="M2880">
            <v>1.3343328999999999</v>
          </cell>
          <cell r="N2880">
            <v>0</v>
          </cell>
          <cell r="O2880">
            <v>7.54219E-2</v>
          </cell>
          <cell r="P2880">
            <v>0.44884590000000002</v>
          </cell>
          <cell r="Q2880">
            <v>1.5990823999999999</v>
          </cell>
          <cell r="R2880">
            <v>0</v>
          </cell>
          <cell r="S2880">
            <v>0</v>
          </cell>
          <cell r="T2880">
            <v>46.317725000000003</v>
          </cell>
          <cell r="U2880">
            <v>0</v>
          </cell>
          <cell r="V2880">
            <v>0</v>
          </cell>
          <cell r="W2880">
            <v>0</v>
          </cell>
          <cell r="X2880">
            <v>0.2183484</v>
          </cell>
          <cell r="Y2880">
            <v>0</v>
          </cell>
          <cell r="Z2880">
            <v>0</v>
          </cell>
          <cell r="AA2880">
            <v>0</v>
          </cell>
          <cell r="AB2880">
            <v>0.73935740000000005</v>
          </cell>
        </row>
        <row r="2881">
          <cell r="A2881">
            <v>53410800</v>
          </cell>
          <cell r="B2881" t="str">
            <v>Cobbler, peach</v>
          </cell>
          <cell r="I2881">
            <v>125</v>
          </cell>
          <cell r="J2881">
            <v>216.91734</v>
          </cell>
          <cell r="K2881">
            <v>1.7353387199999999</v>
          </cell>
          <cell r="L2881">
            <v>1.0392596999999999</v>
          </cell>
          <cell r="M2881">
            <v>1.2271323000000001</v>
          </cell>
          <cell r="N2881">
            <v>0</v>
          </cell>
          <cell r="O2881">
            <v>7.3432899999999995E-2</v>
          </cell>
          <cell r="P2881">
            <v>0.46028520000000001</v>
          </cell>
          <cell r="Q2881">
            <v>1.4573662000000001</v>
          </cell>
          <cell r="R2881">
            <v>0</v>
          </cell>
          <cell r="S2881">
            <v>0</v>
          </cell>
          <cell r="T2881">
            <v>69.283981999999995</v>
          </cell>
          <cell r="U2881">
            <v>0</v>
          </cell>
          <cell r="V2881">
            <v>0</v>
          </cell>
          <cell r="W2881">
            <v>0</v>
          </cell>
          <cell r="X2881">
            <v>0.17465620000000001</v>
          </cell>
          <cell r="Y2881">
            <v>0</v>
          </cell>
          <cell r="Z2881">
            <v>0</v>
          </cell>
          <cell r="AA2881">
            <v>0</v>
          </cell>
          <cell r="AB2881">
            <v>0.62331049999999999</v>
          </cell>
        </row>
        <row r="2882">
          <cell r="A2882">
            <v>53410900</v>
          </cell>
          <cell r="B2882" t="str">
            <v>Cobbler, rhubarb</v>
          </cell>
          <cell r="I2882">
            <v>125</v>
          </cell>
          <cell r="J2882">
            <v>272.49874</v>
          </cell>
          <cell r="K2882">
            <v>2.1799899200000001</v>
          </cell>
          <cell r="L2882">
            <v>0.98348670000000005</v>
          </cell>
          <cell r="M2882">
            <v>1.6909829999999999</v>
          </cell>
          <cell r="N2882">
            <v>0</v>
          </cell>
          <cell r="O2882">
            <v>0.10762099999999999</v>
          </cell>
          <cell r="P2882">
            <v>0.45499699999999998</v>
          </cell>
          <cell r="Q2882">
            <v>2.0599596</v>
          </cell>
          <cell r="R2882">
            <v>0</v>
          </cell>
          <cell r="S2882">
            <v>0</v>
          </cell>
          <cell r="T2882">
            <v>54.638151999999998</v>
          </cell>
          <cell r="U2882">
            <v>0</v>
          </cell>
          <cell r="V2882">
            <v>0</v>
          </cell>
          <cell r="W2882">
            <v>0</v>
          </cell>
          <cell r="X2882">
            <v>0.24338489999999999</v>
          </cell>
          <cell r="Y2882">
            <v>0</v>
          </cell>
          <cell r="Z2882">
            <v>0</v>
          </cell>
          <cell r="AA2882">
            <v>0</v>
          </cell>
          <cell r="AB2882">
            <v>1.016275</v>
          </cell>
        </row>
        <row r="2883">
          <cell r="A2883">
            <v>53415100</v>
          </cell>
          <cell r="B2883" t="str">
            <v>Crisp, apple, apple dessert</v>
          </cell>
          <cell r="I2883">
            <v>125</v>
          </cell>
          <cell r="J2883">
            <v>176.40871999999999</v>
          </cell>
          <cell r="K2883">
            <v>1.4112697599999999</v>
          </cell>
          <cell r="L2883">
            <v>1.0160558</v>
          </cell>
          <cell r="M2883">
            <v>0.74486209999999997</v>
          </cell>
          <cell r="N2883">
            <v>0</v>
          </cell>
          <cell r="O2883">
            <v>3.9093099999999999E-2</v>
          </cell>
          <cell r="P2883">
            <v>0.72989440000000005</v>
          </cell>
          <cell r="Q2883">
            <v>1.3024233000000001</v>
          </cell>
          <cell r="R2883">
            <v>0</v>
          </cell>
          <cell r="S2883">
            <v>0</v>
          </cell>
          <cell r="T2883">
            <v>78.158141999999998</v>
          </cell>
          <cell r="U2883">
            <v>0</v>
          </cell>
          <cell r="V2883">
            <v>0</v>
          </cell>
          <cell r="W2883">
            <v>0</v>
          </cell>
          <cell r="X2883">
            <v>0.19052050000000001</v>
          </cell>
          <cell r="Y2883">
            <v>0</v>
          </cell>
          <cell r="Z2883">
            <v>0</v>
          </cell>
          <cell r="AA2883">
            <v>0</v>
          </cell>
          <cell r="AB2883">
            <v>0.56551249999999997</v>
          </cell>
        </row>
        <row r="2884">
          <cell r="A2884">
            <v>53415120</v>
          </cell>
          <cell r="B2884" t="str">
            <v>Fritter, apple</v>
          </cell>
          <cell r="I2884">
            <v>55</v>
          </cell>
          <cell r="J2884">
            <v>136.27672999999999</v>
          </cell>
          <cell r="K2884">
            <v>2.4777587272727271</v>
          </cell>
          <cell r="L2884">
            <v>0.20968829999999999</v>
          </cell>
          <cell r="M2884">
            <v>2.3151964999999999</v>
          </cell>
          <cell r="N2884">
            <v>0</v>
          </cell>
          <cell r="O2884">
            <v>2.0545500000000001E-2</v>
          </cell>
          <cell r="P2884">
            <v>0.2474469</v>
          </cell>
          <cell r="Q2884">
            <v>2.3572567000000002</v>
          </cell>
          <cell r="R2884">
            <v>0</v>
          </cell>
          <cell r="S2884">
            <v>0</v>
          </cell>
          <cell r="T2884">
            <v>16.129871000000001</v>
          </cell>
          <cell r="U2884">
            <v>0</v>
          </cell>
          <cell r="V2884">
            <v>0</v>
          </cell>
          <cell r="W2884">
            <v>0</v>
          </cell>
          <cell r="X2884">
            <v>1.62442E-2</v>
          </cell>
          <cell r="Y2884">
            <v>0</v>
          </cell>
          <cell r="Z2884">
            <v>0</v>
          </cell>
          <cell r="AA2884">
            <v>0</v>
          </cell>
          <cell r="AB2884">
            <v>2.3397125999999999</v>
          </cell>
        </row>
        <row r="2885">
          <cell r="A2885">
            <v>53415200</v>
          </cell>
          <cell r="B2885" t="str">
            <v>Fritter, banana</v>
          </cell>
          <cell r="I2885">
            <v>55</v>
          </cell>
          <cell r="J2885">
            <v>81.966553000000005</v>
          </cell>
          <cell r="K2885">
            <v>1.4903009636363638</v>
          </cell>
          <cell r="L2885">
            <v>0.72356379999999998</v>
          </cell>
          <cell r="M2885">
            <v>0.48506169999999998</v>
          </cell>
          <cell r="N2885">
            <v>0</v>
          </cell>
          <cell r="O2885">
            <v>1.8027700000000001E-2</v>
          </cell>
          <cell r="P2885">
            <v>0.2087203</v>
          </cell>
          <cell r="Q2885">
            <v>0.39175500000000002</v>
          </cell>
          <cell r="R2885">
            <v>0</v>
          </cell>
          <cell r="S2885">
            <v>0</v>
          </cell>
          <cell r="T2885">
            <v>27.829376</v>
          </cell>
          <cell r="U2885">
            <v>0</v>
          </cell>
          <cell r="V2885">
            <v>0</v>
          </cell>
          <cell r="W2885">
            <v>0</v>
          </cell>
          <cell r="X2885">
            <v>2.0264299999999999E-2</v>
          </cell>
          <cell r="Y2885">
            <v>0</v>
          </cell>
          <cell r="Z2885">
            <v>0</v>
          </cell>
          <cell r="AA2885">
            <v>0</v>
          </cell>
          <cell r="AB2885">
            <v>2.2066509999999999</v>
          </cell>
        </row>
        <row r="2886">
          <cell r="A2886">
            <v>53415220</v>
          </cell>
          <cell r="B2886" t="str">
            <v>Fritter, berry</v>
          </cell>
          <cell r="I2886">
            <v>125</v>
          </cell>
          <cell r="J2886">
            <v>299.10372000000001</v>
          </cell>
          <cell r="K2886">
            <v>2.3928297600000001</v>
          </cell>
          <cell r="L2886">
            <v>1.059226</v>
          </cell>
          <cell r="M2886">
            <v>4.9618564999999997</v>
          </cell>
          <cell r="N2886">
            <v>0</v>
          </cell>
          <cell r="O2886">
            <v>4.2850600000000003E-2</v>
          </cell>
          <cell r="P2886">
            <v>0.50322180000000005</v>
          </cell>
          <cell r="Q2886">
            <v>5.2769190999999998</v>
          </cell>
          <cell r="R2886">
            <v>0</v>
          </cell>
          <cell r="S2886">
            <v>0</v>
          </cell>
          <cell r="T2886">
            <v>44.134416999999999</v>
          </cell>
          <cell r="U2886">
            <v>0</v>
          </cell>
          <cell r="V2886">
            <v>0</v>
          </cell>
          <cell r="W2886">
            <v>0</v>
          </cell>
          <cell r="X2886">
            <v>4.9253699999999997E-2</v>
          </cell>
          <cell r="Y2886">
            <v>0</v>
          </cell>
          <cell r="Z2886">
            <v>0</v>
          </cell>
          <cell r="AA2886">
            <v>0</v>
          </cell>
          <cell r="AB2886">
            <v>5.1444679999999998</v>
          </cell>
        </row>
        <row r="2887">
          <cell r="A2887">
            <v>53415400</v>
          </cell>
          <cell r="B2887" t="str">
            <v>Crisp, cherry</v>
          </cell>
          <cell r="I2887">
            <v>125</v>
          </cell>
          <cell r="J2887">
            <v>295.7552</v>
          </cell>
          <cell r="K2887">
            <v>2.3660416</v>
          </cell>
          <cell r="L2887">
            <v>0.78601129999999997</v>
          </cell>
          <cell r="M2887">
            <v>2.0879886999999999</v>
          </cell>
          <cell r="N2887">
            <v>0</v>
          </cell>
          <cell r="O2887">
            <v>0.1016441</v>
          </cell>
          <cell r="P2887">
            <v>0.53591679999999997</v>
          </cell>
          <cell r="Q2887">
            <v>2.2830430000000002</v>
          </cell>
          <cell r="R2887">
            <v>0</v>
          </cell>
          <cell r="S2887">
            <v>0</v>
          </cell>
          <cell r="T2887">
            <v>46.446125000000002</v>
          </cell>
          <cell r="U2887">
            <v>0</v>
          </cell>
          <cell r="V2887">
            <v>0</v>
          </cell>
          <cell r="W2887">
            <v>0</v>
          </cell>
          <cell r="X2887">
            <v>0.3968488</v>
          </cell>
          <cell r="Y2887">
            <v>0</v>
          </cell>
          <cell r="Z2887">
            <v>0</v>
          </cell>
          <cell r="AA2887">
            <v>0</v>
          </cell>
          <cell r="AB2887">
            <v>1.426094</v>
          </cell>
        </row>
        <row r="2888">
          <cell r="A2888">
            <v>53420100</v>
          </cell>
          <cell r="B2888" t="str">
            <v>Cream puff, eclair, custard or cream filled, not iced</v>
          </cell>
          <cell r="I2888">
            <v>125</v>
          </cell>
          <cell r="J2888">
            <v>324.70026999999999</v>
          </cell>
          <cell r="K2888">
            <v>2.5976021600000001</v>
          </cell>
          <cell r="L2888">
            <v>0</v>
          </cell>
          <cell r="M2888">
            <v>15.967371999999999</v>
          </cell>
          <cell r="N2888">
            <v>0</v>
          </cell>
          <cell r="O2888">
            <v>4.3506000000000003E-2</v>
          </cell>
          <cell r="P2888">
            <v>0.453629</v>
          </cell>
          <cell r="Q2888">
            <v>1.5466263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0.2064328</v>
          </cell>
          <cell r="Y2888">
            <v>0</v>
          </cell>
          <cell r="Z2888">
            <v>0</v>
          </cell>
          <cell r="AA2888">
            <v>0</v>
          </cell>
          <cell r="AB2888">
            <v>4.3674603999999997</v>
          </cell>
        </row>
        <row r="2889">
          <cell r="A2889">
            <v>53420200</v>
          </cell>
          <cell r="B2889" t="str">
            <v>Cream puff, eclair, custard or cream filled, iced</v>
          </cell>
          <cell r="I2889">
            <v>125</v>
          </cell>
          <cell r="J2889">
            <v>417.5</v>
          </cell>
          <cell r="K2889">
            <v>3.34</v>
          </cell>
          <cell r="L2889">
            <v>0</v>
          </cell>
          <cell r="M2889">
            <v>8.8187499999999996</v>
          </cell>
          <cell r="N2889">
            <v>0</v>
          </cell>
          <cell r="O2889">
            <v>4.3749999999999997E-2</v>
          </cell>
          <cell r="P2889">
            <v>1.125</v>
          </cell>
          <cell r="Q2889">
            <v>5.2162499999999996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0.33124999999999999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</row>
        <row r="2890">
          <cell r="A2890">
            <v>53420300</v>
          </cell>
          <cell r="B2890" t="str">
            <v>Air filled fritter or fried puff, without syrup, Puerto Rican style</v>
          </cell>
          <cell r="I2890">
            <v>125</v>
          </cell>
          <cell r="J2890">
            <v>354.08593999999999</v>
          </cell>
          <cell r="K2890">
            <v>2.8326875199999999</v>
          </cell>
          <cell r="L2890">
            <v>0</v>
          </cell>
          <cell r="M2890">
            <v>3.7798975000000001</v>
          </cell>
          <cell r="N2890">
            <v>0</v>
          </cell>
          <cell r="O2890">
            <v>1.9899400000000001E-2</v>
          </cell>
          <cell r="P2890">
            <v>0.46390480000000001</v>
          </cell>
          <cell r="Q2890">
            <v>5.9695743999999999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0.4776823</v>
          </cell>
          <cell r="Y2890">
            <v>0</v>
          </cell>
          <cell r="Z2890">
            <v>0</v>
          </cell>
          <cell r="AA2890">
            <v>0</v>
          </cell>
          <cell r="AB2890">
            <v>4.1523808999999998</v>
          </cell>
        </row>
        <row r="2891">
          <cell r="A2891">
            <v>53420310</v>
          </cell>
          <cell r="B2891" t="str">
            <v>Wheat flour fritter, without syrup</v>
          </cell>
          <cell r="I2891">
            <v>125</v>
          </cell>
          <cell r="J2891">
            <v>388.04253</v>
          </cell>
          <cell r="K2891">
            <v>3.10434024</v>
          </cell>
          <cell r="L2891">
            <v>0</v>
          </cell>
          <cell r="M2891">
            <v>7.6787590999999997</v>
          </cell>
          <cell r="N2891">
            <v>0</v>
          </cell>
          <cell r="O2891">
            <v>2.3085700000000001E-2</v>
          </cell>
          <cell r="P2891">
            <v>0.54788959999999998</v>
          </cell>
          <cell r="Q2891">
            <v>9.4929351000000004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0.18653049999999999</v>
          </cell>
          <cell r="Y2891">
            <v>0</v>
          </cell>
          <cell r="Z2891">
            <v>0</v>
          </cell>
          <cell r="AA2891">
            <v>0</v>
          </cell>
          <cell r="AB2891">
            <v>6.0714873000000003</v>
          </cell>
        </row>
        <row r="2892">
          <cell r="A2892">
            <v>53420400</v>
          </cell>
          <cell r="B2892" t="str">
            <v>Sopaipilla, without syrup or honey</v>
          </cell>
          <cell r="I2892">
            <v>125</v>
          </cell>
          <cell r="J2892">
            <v>402.11457999999999</v>
          </cell>
          <cell r="K2892">
            <v>3.21691664</v>
          </cell>
          <cell r="L2892">
            <v>-2.7799999999999998E-16</v>
          </cell>
          <cell r="M2892">
            <v>5.4209274000000001</v>
          </cell>
          <cell r="N2892">
            <v>0</v>
          </cell>
          <cell r="O2892">
            <v>0.1054605</v>
          </cell>
          <cell r="P2892">
            <v>1.5804009999999999</v>
          </cell>
          <cell r="Q2892">
            <v>6.2367600000000003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0.98920640000000004</v>
          </cell>
          <cell r="Y2892">
            <v>0</v>
          </cell>
          <cell r="Z2892">
            <v>0</v>
          </cell>
          <cell r="AA2892">
            <v>0</v>
          </cell>
          <cell r="AB2892">
            <v>5.1359827999999998</v>
          </cell>
        </row>
        <row r="2893">
          <cell r="A2893">
            <v>53420410</v>
          </cell>
          <cell r="B2893" t="str">
            <v>Sopaipilla with syrup or honey</v>
          </cell>
          <cell r="I2893">
            <v>125</v>
          </cell>
          <cell r="J2893">
            <v>323.95249000000001</v>
          </cell>
          <cell r="K2893">
            <v>2.5916199200000003</v>
          </cell>
          <cell r="L2893">
            <v>0</v>
          </cell>
          <cell r="M2893">
            <v>1.328446</v>
          </cell>
          <cell r="N2893">
            <v>0</v>
          </cell>
          <cell r="O2893">
            <v>9.0184899999999998E-2</v>
          </cell>
          <cell r="P2893">
            <v>1.389926</v>
          </cell>
          <cell r="Q2893">
            <v>1.6109656000000001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0.82927430000000002</v>
          </cell>
          <cell r="Y2893">
            <v>0</v>
          </cell>
          <cell r="Z2893">
            <v>0</v>
          </cell>
          <cell r="AA2893">
            <v>0</v>
          </cell>
          <cell r="AB2893">
            <v>4.6866475999999997</v>
          </cell>
        </row>
        <row r="2894">
          <cell r="A2894">
            <v>53430000</v>
          </cell>
          <cell r="B2894" t="str">
            <v>Crepe, NS as to filling</v>
          </cell>
          <cell r="I2894">
            <v>125</v>
          </cell>
          <cell r="J2894">
            <v>203.95150000000001</v>
          </cell>
          <cell r="K2894">
            <v>1.6316120000000001</v>
          </cell>
          <cell r="L2894">
            <v>1.0360099</v>
          </cell>
          <cell r="M2894">
            <v>1.9652033</v>
          </cell>
          <cell r="N2894">
            <v>0</v>
          </cell>
          <cell r="O2894">
            <v>5.3188600000000003E-2</v>
          </cell>
          <cell r="P2894">
            <v>0.32812809999999998</v>
          </cell>
          <cell r="Q2894">
            <v>2.0160551999999998</v>
          </cell>
          <cell r="R2894">
            <v>0</v>
          </cell>
          <cell r="S2894">
            <v>0</v>
          </cell>
          <cell r="T2894">
            <v>43.167079000000001</v>
          </cell>
          <cell r="U2894">
            <v>0</v>
          </cell>
          <cell r="V2894">
            <v>0</v>
          </cell>
          <cell r="W2894">
            <v>0</v>
          </cell>
          <cell r="X2894">
            <v>0.20186509999999999</v>
          </cell>
          <cell r="Y2894">
            <v>0</v>
          </cell>
          <cell r="Z2894">
            <v>0</v>
          </cell>
          <cell r="AA2894">
            <v>0</v>
          </cell>
          <cell r="AB2894">
            <v>0.93586970000000003</v>
          </cell>
        </row>
        <row r="2895">
          <cell r="A2895">
            <v>53430100</v>
          </cell>
          <cell r="B2895" t="str">
            <v>Crepe, chocolate filled</v>
          </cell>
          <cell r="I2895">
            <v>125</v>
          </cell>
          <cell r="J2895">
            <v>177.16756000000001</v>
          </cell>
          <cell r="K2895">
            <v>1.41734048</v>
          </cell>
          <cell r="L2895">
            <v>0</v>
          </cell>
          <cell r="M2895">
            <v>2.4449179999999999</v>
          </cell>
          <cell r="N2895">
            <v>0</v>
          </cell>
          <cell r="O2895">
            <v>0.1142667</v>
          </cell>
          <cell r="P2895">
            <v>0.81739209999999995</v>
          </cell>
          <cell r="Q2895">
            <v>1.0868198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0.21696119999999999</v>
          </cell>
          <cell r="Y2895">
            <v>0</v>
          </cell>
          <cell r="Z2895">
            <v>0</v>
          </cell>
          <cell r="AA2895">
            <v>0</v>
          </cell>
          <cell r="AB2895">
            <v>0.36723260000000002</v>
          </cell>
        </row>
        <row r="2896">
          <cell r="A2896">
            <v>53430200</v>
          </cell>
          <cell r="B2896" t="str">
            <v>Crepe, fruit filled</v>
          </cell>
          <cell r="I2896">
            <v>125</v>
          </cell>
          <cell r="J2896">
            <v>204.03156000000001</v>
          </cell>
          <cell r="K2896">
            <v>1.63225248</v>
          </cell>
          <cell r="L2896">
            <v>1.0366001</v>
          </cell>
          <cell r="M2896">
            <v>1.9654457999999999</v>
          </cell>
          <cell r="N2896">
            <v>0</v>
          </cell>
          <cell r="O2896">
            <v>5.3134399999999998E-2</v>
          </cell>
          <cell r="P2896">
            <v>0.32831510000000003</v>
          </cell>
          <cell r="Q2896">
            <v>2.0171313999999998</v>
          </cell>
          <cell r="R2896">
            <v>0</v>
          </cell>
          <cell r="S2896">
            <v>0</v>
          </cell>
          <cell r="T2896">
            <v>43.191670000000002</v>
          </cell>
          <cell r="U2896">
            <v>0</v>
          </cell>
          <cell r="V2896">
            <v>0</v>
          </cell>
          <cell r="W2896">
            <v>0</v>
          </cell>
          <cell r="X2896">
            <v>0.2019484</v>
          </cell>
          <cell r="Y2896">
            <v>0</v>
          </cell>
          <cell r="Z2896">
            <v>0</v>
          </cell>
          <cell r="AA2896">
            <v>0</v>
          </cell>
          <cell r="AB2896">
            <v>0.93638049999999995</v>
          </cell>
        </row>
        <row r="2897">
          <cell r="A2897">
            <v>53430700</v>
          </cell>
          <cell r="B2897" t="str">
            <v>Tamale, sweet</v>
          </cell>
          <cell r="I2897">
            <v>125</v>
          </cell>
          <cell r="J2897">
            <v>352.83611999999999</v>
          </cell>
          <cell r="K2897">
            <v>2.8226889599999998</v>
          </cell>
          <cell r="L2897">
            <v>-5.5500000000000005E-16</v>
          </cell>
          <cell r="M2897">
            <v>4.1642124000000003</v>
          </cell>
          <cell r="N2897">
            <v>0</v>
          </cell>
          <cell r="O2897">
            <v>6.70568E-2</v>
          </cell>
          <cell r="P2897">
            <v>3.1191887</v>
          </cell>
          <cell r="Q2897">
            <v>5.0766394000000004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0.36490539999999999</v>
          </cell>
          <cell r="Y2897">
            <v>0</v>
          </cell>
          <cell r="Z2897">
            <v>0</v>
          </cell>
          <cell r="AA2897">
            <v>0</v>
          </cell>
          <cell r="AB2897">
            <v>4.3533986000000002</v>
          </cell>
        </row>
        <row r="2898">
          <cell r="A2898">
            <v>53430750</v>
          </cell>
          <cell r="B2898" t="str">
            <v>Tamale, sweet, with fruit</v>
          </cell>
          <cell r="I2898">
            <v>125</v>
          </cell>
          <cell r="J2898">
            <v>275.36982</v>
          </cell>
          <cell r="K2898">
            <v>2.2029585599999999</v>
          </cell>
          <cell r="L2898">
            <v>0.79333730000000002</v>
          </cell>
          <cell r="M2898">
            <v>2.8216698</v>
          </cell>
          <cell r="N2898">
            <v>0</v>
          </cell>
          <cell r="O2898">
            <v>5.0115399999999997E-2</v>
          </cell>
          <cell r="P2898">
            <v>2.0941548999999999</v>
          </cell>
          <cell r="Q2898">
            <v>3.4295399</v>
          </cell>
          <cell r="R2898">
            <v>0</v>
          </cell>
          <cell r="S2898">
            <v>0</v>
          </cell>
          <cell r="T2898">
            <v>41.077739000000001</v>
          </cell>
          <cell r="U2898">
            <v>0</v>
          </cell>
          <cell r="V2898">
            <v>0</v>
          </cell>
          <cell r="W2898">
            <v>0</v>
          </cell>
          <cell r="X2898">
            <v>0.24573049999999999</v>
          </cell>
          <cell r="Y2898">
            <v>0</v>
          </cell>
          <cell r="Z2898">
            <v>0</v>
          </cell>
          <cell r="AA2898">
            <v>0</v>
          </cell>
          <cell r="AB2898">
            <v>3.9829089</v>
          </cell>
        </row>
        <row r="2899">
          <cell r="A2899">
            <v>53440000</v>
          </cell>
          <cell r="B2899" t="str">
            <v>Strudel, apple</v>
          </cell>
          <cell r="I2899">
            <v>125</v>
          </cell>
          <cell r="J2899">
            <v>342.5</v>
          </cell>
          <cell r="K2899">
            <v>2.74</v>
          </cell>
          <cell r="L2899">
            <v>0.52864730000000004</v>
          </cell>
          <cell r="M2899">
            <v>2.5550000000000002</v>
          </cell>
          <cell r="N2899">
            <v>0</v>
          </cell>
          <cell r="O2899">
            <v>1.8749999999999999E-2</v>
          </cell>
          <cell r="P2899">
            <v>2.2213527000000002</v>
          </cell>
          <cell r="Q2899">
            <v>6.6437499999999998</v>
          </cell>
          <cell r="R2899">
            <v>0</v>
          </cell>
          <cell r="S2899">
            <v>0</v>
          </cell>
          <cell r="T2899">
            <v>20.625</v>
          </cell>
          <cell r="U2899">
            <v>0</v>
          </cell>
          <cell r="V2899">
            <v>0</v>
          </cell>
          <cell r="W2899">
            <v>0</v>
          </cell>
          <cell r="X2899">
            <v>0.16875000000000001</v>
          </cell>
          <cell r="Y2899">
            <v>0</v>
          </cell>
          <cell r="Z2899">
            <v>0</v>
          </cell>
          <cell r="AA2899">
            <v>0</v>
          </cell>
          <cell r="AB2899">
            <v>0.81631390000000004</v>
          </cell>
        </row>
        <row r="2900">
          <cell r="A2900">
            <v>53440500</v>
          </cell>
          <cell r="B2900" t="str">
            <v>Strudel, cherry</v>
          </cell>
          <cell r="I2900">
            <v>125</v>
          </cell>
          <cell r="J2900">
            <v>304.23604999999998</v>
          </cell>
          <cell r="K2900">
            <v>2.4338883999999998</v>
          </cell>
          <cell r="L2900">
            <v>0.99088240000000005</v>
          </cell>
          <cell r="M2900">
            <v>1.6131751000000001</v>
          </cell>
          <cell r="N2900">
            <v>0</v>
          </cell>
          <cell r="O2900">
            <v>3.6527900000000002E-2</v>
          </cell>
          <cell r="P2900">
            <v>1.2664381</v>
          </cell>
          <cell r="Q2900">
            <v>5.6544812999999996</v>
          </cell>
          <cell r="R2900">
            <v>0</v>
          </cell>
          <cell r="S2900">
            <v>0</v>
          </cell>
          <cell r="T2900">
            <v>61.930146999999998</v>
          </cell>
          <cell r="U2900">
            <v>0</v>
          </cell>
          <cell r="V2900">
            <v>0</v>
          </cell>
          <cell r="W2900">
            <v>0</v>
          </cell>
          <cell r="X2900">
            <v>0.1453333</v>
          </cell>
          <cell r="Y2900">
            <v>8.4549418999999997</v>
          </cell>
          <cell r="Z2900">
            <v>0</v>
          </cell>
          <cell r="AA2900">
            <v>0</v>
          </cell>
          <cell r="AB2900">
            <v>0.81546949999999996</v>
          </cell>
        </row>
        <row r="2901">
          <cell r="A2901">
            <v>53440600</v>
          </cell>
          <cell r="B2901" t="str">
            <v>Strudel, cheese</v>
          </cell>
          <cell r="I2901">
            <v>125</v>
          </cell>
          <cell r="J2901">
            <v>331.70913000000002</v>
          </cell>
          <cell r="K2901">
            <v>2.6536730400000001</v>
          </cell>
          <cell r="L2901">
            <v>0</v>
          </cell>
          <cell r="M2901">
            <v>6.6251867000000004</v>
          </cell>
          <cell r="N2901">
            <v>0</v>
          </cell>
          <cell r="O2901">
            <v>0.15458559999999999</v>
          </cell>
          <cell r="P2901">
            <v>0.72919659999999997</v>
          </cell>
          <cell r="Q2901">
            <v>1.8256372000000001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0.19455500000000001</v>
          </cell>
          <cell r="Y2901">
            <v>0</v>
          </cell>
          <cell r="Z2901">
            <v>0</v>
          </cell>
          <cell r="AA2901">
            <v>0</v>
          </cell>
          <cell r="AB2901">
            <v>0.75677839999999996</v>
          </cell>
        </row>
        <row r="2902">
          <cell r="A2902">
            <v>53441110</v>
          </cell>
          <cell r="B2902" t="str">
            <v>Baklava</v>
          </cell>
          <cell r="I2902">
            <v>125</v>
          </cell>
          <cell r="J2902">
            <v>476.41118999999998</v>
          </cell>
          <cell r="K2902">
            <v>3.8112895199999999</v>
          </cell>
          <cell r="L2902">
            <v>9.4786000000000002E-3</v>
          </cell>
          <cell r="M2902">
            <v>13.601143</v>
          </cell>
          <cell r="N2902">
            <v>0</v>
          </cell>
          <cell r="O2902">
            <v>4.4604400000000002E-2</v>
          </cell>
          <cell r="P2902">
            <v>2.8322088000000001</v>
          </cell>
          <cell r="Q2902">
            <v>5.8008129000000004</v>
          </cell>
          <cell r="R2902">
            <v>0</v>
          </cell>
          <cell r="S2902">
            <v>0</v>
          </cell>
          <cell r="T2902">
            <v>3.1595255</v>
          </cell>
          <cell r="U2902">
            <v>0</v>
          </cell>
          <cell r="V2902">
            <v>0</v>
          </cell>
          <cell r="W2902">
            <v>0</v>
          </cell>
          <cell r="X2902">
            <v>0.37474580000000002</v>
          </cell>
          <cell r="Y2902">
            <v>20.014047000000001</v>
          </cell>
          <cell r="Z2902">
            <v>0</v>
          </cell>
          <cell r="AA2902">
            <v>0</v>
          </cell>
          <cell r="AB2902">
            <v>0.99076549999999997</v>
          </cell>
        </row>
        <row r="2903">
          <cell r="A2903">
            <v>53441210</v>
          </cell>
          <cell r="B2903" t="str">
            <v>Basbousa</v>
          </cell>
          <cell r="I2903">
            <v>55</v>
          </cell>
          <cell r="J2903">
            <v>129.77788000000001</v>
          </cell>
          <cell r="K2903">
            <v>2.3595978181818182</v>
          </cell>
          <cell r="L2903">
            <v>6.106E-17</v>
          </cell>
          <cell r="M2903">
            <v>1.1329948999999999</v>
          </cell>
          <cell r="N2903">
            <v>0</v>
          </cell>
          <cell r="O2903">
            <v>5.43808E-2</v>
          </cell>
          <cell r="P2903">
            <v>0.37311299999999997</v>
          </cell>
          <cell r="Q2903">
            <v>1.1701858999999999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3.8337099999999999E-2</v>
          </cell>
          <cell r="Y2903">
            <v>1.5595810000000001</v>
          </cell>
          <cell r="Z2903">
            <v>0</v>
          </cell>
          <cell r="AA2903">
            <v>0</v>
          </cell>
          <cell r="AB2903">
            <v>0.43826589999999999</v>
          </cell>
        </row>
        <row r="2904">
          <cell r="A2904">
            <v>53450000</v>
          </cell>
          <cell r="B2904" t="str">
            <v>Turnover or dumpling, apple</v>
          </cell>
          <cell r="I2904">
            <v>55</v>
          </cell>
          <cell r="J2904">
            <v>166.67695000000001</v>
          </cell>
          <cell r="K2904">
            <v>3.0304899999999999</v>
          </cell>
          <cell r="L2904">
            <v>0.18814110000000001</v>
          </cell>
          <cell r="M2904">
            <v>2.1305228999999999</v>
          </cell>
          <cell r="N2904">
            <v>0</v>
          </cell>
          <cell r="O2904">
            <v>3.7041000000000001E-3</v>
          </cell>
          <cell r="P2904">
            <v>0.44791599999999998</v>
          </cell>
          <cell r="Q2904">
            <v>2.4513522000000001</v>
          </cell>
          <cell r="R2904">
            <v>0</v>
          </cell>
          <cell r="S2904">
            <v>0</v>
          </cell>
          <cell r="T2904">
            <v>14.472395000000001</v>
          </cell>
          <cell r="U2904">
            <v>0</v>
          </cell>
          <cell r="V2904">
            <v>0</v>
          </cell>
          <cell r="W2904">
            <v>0</v>
          </cell>
          <cell r="X2904">
            <v>0.1554286</v>
          </cell>
          <cell r="Y2904">
            <v>0</v>
          </cell>
          <cell r="Z2904">
            <v>0</v>
          </cell>
          <cell r="AA2904">
            <v>0</v>
          </cell>
          <cell r="AB2904">
            <v>1.1207921000000001</v>
          </cell>
        </row>
        <row r="2905">
          <cell r="A2905">
            <v>53450500</v>
          </cell>
          <cell r="B2905" t="str">
            <v>Turnover or dumpling, cherry</v>
          </cell>
          <cell r="I2905">
            <v>55</v>
          </cell>
          <cell r="J2905">
            <v>146.20820000000001</v>
          </cell>
          <cell r="K2905">
            <v>2.6583309090909091</v>
          </cell>
          <cell r="L2905">
            <v>0.26609120000000003</v>
          </cell>
          <cell r="M2905">
            <v>1.7740853000000001</v>
          </cell>
          <cell r="N2905">
            <v>0</v>
          </cell>
          <cell r="O2905">
            <v>4.9849999999999998E-3</v>
          </cell>
          <cell r="P2905">
            <v>0.3671585</v>
          </cell>
          <cell r="Q2905">
            <v>2.0499740000000002</v>
          </cell>
          <cell r="R2905">
            <v>0</v>
          </cell>
          <cell r="S2905">
            <v>0</v>
          </cell>
          <cell r="T2905">
            <v>15.723573999999999</v>
          </cell>
          <cell r="U2905">
            <v>0</v>
          </cell>
          <cell r="V2905">
            <v>0</v>
          </cell>
          <cell r="W2905">
            <v>0</v>
          </cell>
          <cell r="X2905">
            <v>0.13335250000000001</v>
          </cell>
          <cell r="Y2905">
            <v>0</v>
          </cell>
          <cell r="Z2905">
            <v>0</v>
          </cell>
          <cell r="AA2905">
            <v>0</v>
          </cell>
          <cell r="AB2905">
            <v>0.9417295</v>
          </cell>
        </row>
        <row r="2906">
          <cell r="A2906">
            <v>53451500</v>
          </cell>
          <cell r="B2906" t="str">
            <v>Turnover, guava</v>
          </cell>
          <cell r="I2906">
            <v>125</v>
          </cell>
          <cell r="J2906">
            <v>333.36687000000001</v>
          </cell>
          <cell r="K2906">
            <v>2.6669349599999999</v>
          </cell>
          <cell r="L2906">
            <v>2.7911739</v>
          </cell>
          <cell r="M2906">
            <v>4.3403688000000002</v>
          </cell>
          <cell r="N2906">
            <v>0</v>
          </cell>
          <cell r="O2906">
            <v>1.79518E-2</v>
          </cell>
          <cell r="P2906">
            <v>0.84729719999999997</v>
          </cell>
          <cell r="Q2906">
            <v>5.0919945999999996</v>
          </cell>
          <cell r="R2906">
            <v>0</v>
          </cell>
          <cell r="S2906">
            <v>0</v>
          </cell>
          <cell r="T2906">
            <v>52.244131000000003</v>
          </cell>
          <cell r="U2906">
            <v>0</v>
          </cell>
          <cell r="V2906">
            <v>0</v>
          </cell>
          <cell r="W2906">
            <v>0</v>
          </cell>
          <cell r="X2906">
            <v>0.14800930000000001</v>
          </cell>
          <cell r="Y2906">
            <v>0</v>
          </cell>
          <cell r="Z2906">
            <v>0</v>
          </cell>
          <cell r="AA2906">
            <v>0</v>
          </cell>
          <cell r="AB2906">
            <v>2.2894416</v>
          </cell>
        </row>
        <row r="2907">
          <cell r="A2907">
            <v>53452100</v>
          </cell>
          <cell r="B2907" t="str">
            <v>Pastry, fruit-filled</v>
          </cell>
          <cell r="I2907">
            <v>55</v>
          </cell>
          <cell r="J2907">
            <v>179.69212999999999</v>
          </cell>
          <cell r="K2907">
            <v>3.2671296363636362</v>
          </cell>
          <cell r="L2907">
            <v>0.66776000000000002</v>
          </cell>
          <cell r="M2907">
            <v>1.9962838999999999</v>
          </cell>
          <cell r="N2907">
            <v>0</v>
          </cell>
          <cell r="O2907">
            <v>1.0992699999999999E-2</v>
          </cell>
          <cell r="P2907">
            <v>0.78566559999999996</v>
          </cell>
          <cell r="Q2907">
            <v>2.9256053999999998</v>
          </cell>
          <cell r="R2907">
            <v>0</v>
          </cell>
          <cell r="S2907">
            <v>0</v>
          </cell>
          <cell r="T2907">
            <v>22.203289999999999</v>
          </cell>
          <cell r="U2907">
            <v>0</v>
          </cell>
          <cell r="V2907">
            <v>0</v>
          </cell>
          <cell r="W2907">
            <v>0</v>
          </cell>
          <cell r="X2907">
            <v>4.1967999999999997E-3</v>
          </cell>
          <cell r="Y2907">
            <v>4.6827316000000003</v>
          </cell>
          <cell r="Z2907">
            <v>0</v>
          </cell>
          <cell r="AA2907">
            <v>0</v>
          </cell>
          <cell r="AB2907">
            <v>2.0106815999999998</v>
          </cell>
        </row>
        <row r="2908">
          <cell r="A2908">
            <v>53452120</v>
          </cell>
          <cell r="B2908" t="str">
            <v>Pastry, made with bean or lotus seed paste filling, baked</v>
          </cell>
          <cell r="I2908">
            <v>55</v>
          </cell>
          <cell r="J2908">
            <v>166.64982000000001</v>
          </cell>
          <cell r="K2908">
            <v>3.0299967272727275</v>
          </cell>
          <cell r="L2908">
            <v>0.85621769999999997</v>
          </cell>
          <cell r="M2908">
            <v>0.4210216</v>
          </cell>
          <cell r="N2908">
            <v>0</v>
          </cell>
          <cell r="O2908">
            <v>9.3229999999999997E-3</v>
          </cell>
          <cell r="P2908">
            <v>0.48669220000000002</v>
          </cell>
          <cell r="Q2908">
            <v>0.91275220000000001</v>
          </cell>
          <cell r="R2908">
            <v>0</v>
          </cell>
          <cell r="S2908">
            <v>11.237857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4.4240799999999997E-2</v>
          </cell>
          <cell r="Y2908">
            <v>0</v>
          </cell>
          <cell r="Z2908">
            <v>0</v>
          </cell>
          <cell r="AA2908">
            <v>0</v>
          </cell>
          <cell r="AB2908">
            <v>1.4181081</v>
          </cell>
        </row>
        <row r="2909">
          <cell r="A2909">
            <v>53452150</v>
          </cell>
          <cell r="B2909" t="str">
            <v>Pastry, Chinese, made with rice flour</v>
          </cell>
          <cell r="I2909">
            <v>125</v>
          </cell>
          <cell r="J2909">
            <v>243.06943000000001</v>
          </cell>
          <cell r="K2909">
            <v>1.94455544</v>
          </cell>
          <cell r="L2909">
            <v>-1.3899999999999999E-16</v>
          </cell>
          <cell r="M2909">
            <v>0.86161189999999999</v>
          </cell>
          <cell r="N2909">
            <v>0</v>
          </cell>
          <cell r="O2909">
            <v>2.01257E-2</v>
          </cell>
          <cell r="P2909">
            <v>1.0757737999999999</v>
          </cell>
          <cell r="Q2909">
            <v>2.9002791999999999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7.7714999999999998E-3</v>
          </cell>
          <cell r="Y2909">
            <v>2.6459526000000002</v>
          </cell>
          <cell r="Z2909">
            <v>0</v>
          </cell>
          <cell r="AA2909">
            <v>0</v>
          </cell>
          <cell r="AB2909">
            <v>3.2175604</v>
          </cell>
        </row>
        <row r="2910">
          <cell r="A2910">
            <v>53452170</v>
          </cell>
          <cell r="B2910" t="str">
            <v>Pastry, cookie type, fried</v>
          </cell>
          <cell r="I2910">
            <v>55</v>
          </cell>
          <cell r="J2910">
            <v>136.15617</v>
          </cell>
          <cell r="K2910">
            <v>2.4755667272727275</v>
          </cell>
          <cell r="L2910">
            <v>3.9630199999999997E-2</v>
          </cell>
          <cell r="M2910">
            <v>2.9642208999999999</v>
          </cell>
          <cell r="N2910">
            <v>0</v>
          </cell>
          <cell r="O2910">
            <v>3.7869800000000002E-2</v>
          </cell>
          <cell r="P2910">
            <v>0.48684110000000003</v>
          </cell>
          <cell r="Q2910">
            <v>0.38624999999999998</v>
          </cell>
          <cell r="R2910">
            <v>0</v>
          </cell>
          <cell r="S2910">
            <v>0</v>
          </cell>
          <cell r="T2910">
            <v>1.7324900000000001</v>
          </cell>
          <cell r="U2910">
            <v>0</v>
          </cell>
          <cell r="V2910">
            <v>0</v>
          </cell>
          <cell r="W2910">
            <v>0</v>
          </cell>
          <cell r="X2910">
            <v>4.27354E-2</v>
          </cell>
          <cell r="Y2910">
            <v>0</v>
          </cell>
          <cell r="Z2910">
            <v>0</v>
          </cell>
          <cell r="AA2910">
            <v>0</v>
          </cell>
          <cell r="AB2910">
            <v>1.6014157</v>
          </cell>
        </row>
        <row r="2911">
          <cell r="A2911">
            <v>53452200</v>
          </cell>
          <cell r="B2911" t="str">
            <v>Pastry, Italian, with cheese</v>
          </cell>
          <cell r="I2911">
            <v>55</v>
          </cell>
          <cell r="J2911">
            <v>138.47945999999999</v>
          </cell>
          <cell r="K2911">
            <v>2.5178083636363633</v>
          </cell>
          <cell r="L2911">
            <v>8.6207000000000002E-3</v>
          </cell>
          <cell r="M2911">
            <v>2.9863232000000002</v>
          </cell>
          <cell r="N2911">
            <v>0</v>
          </cell>
          <cell r="O2911">
            <v>6.7545999999999995E-2</v>
          </cell>
          <cell r="P2911">
            <v>0.39381949999999999</v>
          </cell>
          <cell r="Q2911">
            <v>1.0246097000000001</v>
          </cell>
          <cell r="R2911">
            <v>0</v>
          </cell>
          <cell r="S2911">
            <v>0</v>
          </cell>
          <cell r="T2911">
            <v>4.3103626000000004</v>
          </cell>
          <cell r="U2911">
            <v>0</v>
          </cell>
          <cell r="V2911">
            <v>0</v>
          </cell>
          <cell r="W2911">
            <v>0</v>
          </cell>
          <cell r="X2911">
            <v>2.7251399999999999E-2</v>
          </cell>
          <cell r="Y2911">
            <v>0</v>
          </cell>
          <cell r="Z2911">
            <v>0</v>
          </cell>
          <cell r="AA2911">
            <v>0</v>
          </cell>
          <cell r="AB2911">
            <v>1.5073129000000001</v>
          </cell>
        </row>
        <row r="2912">
          <cell r="A2912">
            <v>53452400</v>
          </cell>
          <cell r="B2912" t="str">
            <v>Pastry, puff</v>
          </cell>
          <cell r="I2912">
            <v>55</v>
          </cell>
          <cell r="J2912">
            <v>306.89999999999998</v>
          </cell>
          <cell r="K2912">
            <v>5.5799999999999992</v>
          </cell>
          <cell r="L2912">
            <v>0</v>
          </cell>
          <cell r="M2912">
            <v>3.0261</v>
          </cell>
          <cell r="N2912">
            <v>0</v>
          </cell>
          <cell r="O2912">
            <v>5.4999999999999997E-3</v>
          </cell>
          <cell r="P2912">
            <v>0.82499999999999996</v>
          </cell>
          <cell r="Q2912">
            <v>12.2254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0.13915</v>
          </cell>
          <cell r="Y2912">
            <v>0</v>
          </cell>
          <cell r="Z2912">
            <v>0</v>
          </cell>
          <cell r="AA2912">
            <v>0</v>
          </cell>
          <cell r="AB2912">
            <v>2.6895275000000001</v>
          </cell>
        </row>
        <row r="2913">
          <cell r="A2913">
            <v>53452420</v>
          </cell>
          <cell r="B2913" t="str">
            <v>Pastry, puff, custard or cream filled, iced or not iced</v>
          </cell>
          <cell r="I2913">
            <v>55</v>
          </cell>
          <cell r="J2913">
            <v>223.69113999999999</v>
          </cell>
          <cell r="K2913">
            <v>4.0671116363636362</v>
          </cell>
          <cell r="L2913">
            <v>-6.1099999999999997E-17</v>
          </cell>
          <cell r="M2913">
            <v>4.4925344999999997</v>
          </cell>
          <cell r="N2913">
            <v>0</v>
          </cell>
          <cell r="O2913">
            <v>2.2858699999999999E-2</v>
          </cell>
          <cell r="P2913">
            <v>0.46200000000000002</v>
          </cell>
          <cell r="Q2913">
            <v>7.0713625999999996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9.0944300000000006E-2</v>
          </cell>
          <cell r="Y2913">
            <v>0</v>
          </cell>
          <cell r="Z2913">
            <v>0</v>
          </cell>
          <cell r="AA2913">
            <v>0</v>
          </cell>
          <cell r="AB2913">
            <v>2.2916631999999999</v>
          </cell>
        </row>
        <row r="2914">
          <cell r="A2914">
            <v>53452500</v>
          </cell>
          <cell r="B2914" t="str">
            <v>Pastry, mainly flour and water, fried</v>
          </cell>
          <cell r="I2914">
            <v>55</v>
          </cell>
          <cell r="J2914">
            <v>201.18726000000001</v>
          </cell>
          <cell r="K2914">
            <v>3.6579501818181819</v>
          </cell>
          <cell r="L2914">
            <v>2.442E-16</v>
          </cell>
          <cell r="M2914">
            <v>2.1800449</v>
          </cell>
          <cell r="N2914">
            <v>0</v>
          </cell>
          <cell r="O2914">
            <v>6.7883600000000002E-2</v>
          </cell>
          <cell r="P2914">
            <v>1.7294559</v>
          </cell>
          <cell r="Q2914">
            <v>2.8236213000000001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0.32403900000000002</v>
          </cell>
          <cell r="Y2914">
            <v>0</v>
          </cell>
          <cell r="Z2914">
            <v>0</v>
          </cell>
          <cell r="AA2914">
            <v>0</v>
          </cell>
          <cell r="AB2914">
            <v>2.0827498000000002</v>
          </cell>
        </row>
        <row r="2915">
          <cell r="A2915">
            <v>53453150</v>
          </cell>
          <cell r="B2915" t="str">
            <v>Empanada, Mexican turnover, fruit-filled</v>
          </cell>
          <cell r="I2915">
            <v>55</v>
          </cell>
          <cell r="J2915">
            <v>156.29971</v>
          </cell>
          <cell r="K2915">
            <v>2.8418129090909092</v>
          </cell>
          <cell r="L2915">
            <v>0.356068</v>
          </cell>
          <cell r="M2915">
            <v>2.3842655000000001</v>
          </cell>
          <cell r="N2915">
            <v>0</v>
          </cell>
          <cell r="O2915">
            <v>2.9088800000000001E-2</v>
          </cell>
          <cell r="P2915">
            <v>0.63004839999999995</v>
          </cell>
          <cell r="Q2915">
            <v>1.8384088999999999</v>
          </cell>
          <cell r="R2915">
            <v>0</v>
          </cell>
          <cell r="S2915">
            <v>0</v>
          </cell>
          <cell r="T2915">
            <v>17.122955000000001</v>
          </cell>
          <cell r="U2915">
            <v>0</v>
          </cell>
          <cell r="V2915">
            <v>0</v>
          </cell>
          <cell r="W2915">
            <v>0</v>
          </cell>
          <cell r="X2915">
            <v>0.20687240000000001</v>
          </cell>
          <cell r="Y2915">
            <v>0</v>
          </cell>
          <cell r="Z2915">
            <v>0</v>
          </cell>
          <cell r="AA2915">
            <v>0</v>
          </cell>
          <cell r="AB2915">
            <v>0.83915879999999998</v>
          </cell>
        </row>
        <row r="2916">
          <cell r="A2916">
            <v>53453170</v>
          </cell>
          <cell r="B2916" t="str">
            <v>Empanada,  Mexican turnover, pumpkin</v>
          </cell>
          <cell r="I2916">
            <v>55</v>
          </cell>
          <cell r="J2916">
            <v>150.62244999999999</v>
          </cell>
          <cell r="K2916">
            <v>2.7385899999999999</v>
          </cell>
          <cell r="L2916">
            <v>0.4669276</v>
          </cell>
          <cell r="M2916">
            <v>1.5122145</v>
          </cell>
          <cell r="N2916">
            <v>0</v>
          </cell>
          <cell r="O2916">
            <v>3.5053500000000001E-2</v>
          </cell>
          <cell r="P2916">
            <v>0.62384340000000005</v>
          </cell>
          <cell r="Q2916">
            <v>1.7268363</v>
          </cell>
          <cell r="R2916">
            <v>0</v>
          </cell>
          <cell r="S2916">
            <v>0</v>
          </cell>
          <cell r="T2916">
            <v>0</v>
          </cell>
          <cell r="U2916">
            <v>16.100951999999999</v>
          </cell>
          <cell r="V2916">
            <v>0</v>
          </cell>
          <cell r="W2916">
            <v>0</v>
          </cell>
          <cell r="X2916">
            <v>0.2095718</v>
          </cell>
          <cell r="Y2916">
            <v>0</v>
          </cell>
          <cell r="Z2916">
            <v>0</v>
          </cell>
          <cell r="AA2916">
            <v>0</v>
          </cell>
          <cell r="AB2916">
            <v>0.76635920000000002</v>
          </cell>
        </row>
        <row r="2917">
          <cell r="A2917">
            <v>53510000</v>
          </cell>
          <cell r="B2917" t="str">
            <v>Danish pastry, plain or spice</v>
          </cell>
          <cell r="I2917">
            <v>55</v>
          </cell>
          <cell r="J2917">
            <v>221.65</v>
          </cell>
          <cell r="K2917">
            <v>4.03</v>
          </cell>
          <cell r="L2917">
            <v>0</v>
          </cell>
          <cell r="M2917">
            <v>3.1245500000000002</v>
          </cell>
          <cell r="N2917">
            <v>0</v>
          </cell>
          <cell r="O2917">
            <v>3.9050000000000001E-2</v>
          </cell>
          <cell r="P2917">
            <v>0.71499999999999997</v>
          </cell>
          <cell r="Q2917">
            <v>1.6131500000000001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0.22770000000000001</v>
          </cell>
          <cell r="Y2917">
            <v>0</v>
          </cell>
          <cell r="Z2917">
            <v>0</v>
          </cell>
          <cell r="AA2917">
            <v>0</v>
          </cell>
          <cell r="AB2917">
            <v>2.4493904</v>
          </cell>
        </row>
        <row r="2918">
          <cell r="A2918">
            <v>53510100</v>
          </cell>
          <cell r="B2918" t="str">
            <v>Danish pastry, with fruit</v>
          </cell>
          <cell r="I2918">
            <v>55</v>
          </cell>
          <cell r="J2918">
            <v>204.05</v>
          </cell>
          <cell r="K2918">
            <v>3.7100000000000004</v>
          </cell>
          <cell r="L2918">
            <v>0.13681570000000001</v>
          </cell>
          <cell r="M2918">
            <v>2.673</v>
          </cell>
          <cell r="N2918">
            <v>0</v>
          </cell>
          <cell r="O2918">
            <v>2.53E-2</v>
          </cell>
          <cell r="P2918">
            <v>0.90818430000000006</v>
          </cell>
          <cell r="Q2918">
            <v>1.3002</v>
          </cell>
          <cell r="R2918">
            <v>0</v>
          </cell>
          <cell r="S2918">
            <v>0</v>
          </cell>
          <cell r="T2918">
            <v>8.6624999999999996</v>
          </cell>
          <cell r="U2918">
            <v>0</v>
          </cell>
          <cell r="V2918">
            <v>0</v>
          </cell>
          <cell r="W2918">
            <v>0</v>
          </cell>
          <cell r="X2918">
            <v>0.24475</v>
          </cell>
          <cell r="Y2918">
            <v>0</v>
          </cell>
          <cell r="Z2918">
            <v>0</v>
          </cell>
          <cell r="AA2918">
            <v>0</v>
          </cell>
          <cell r="AB2918">
            <v>2.2077610000000001</v>
          </cell>
        </row>
        <row r="2919">
          <cell r="A2919">
            <v>53511000</v>
          </cell>
          <cell r="B2919" t="str">
            <v>Danish pastry, with cheese</v>
          </cell>
          <cell r="I2919">
            <v>55</v>
          </cell>
          <cell r="J2919">
            <v>205.7</v>
          </cell>
          <cell r="K2919">
            <v>3.7399999999999998</v>
          </cell>
          <cell r="L2919">
            <v>0</v>
          </cell>
          <cell r="M2919">
            <v>3.7366999999999999</v>
          </cell>
          <cell r="N2919">
            <v>0</v>
          </cell>
          <cell r="O2919">
            <v>1.925E-2</v>
          </cell>
          <cell r="P2919">
            <v>0.55000000000000004</v>
          </cell>
          <cell r="Q2919">
            <v>1.41625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0.22935</v>
          </cell>
          <cell r="Y2919">
            <v>0</v>
          </cell>
          <cell r="Z2919">
            <v>0</v>
          </cell>
          <cell r="AA2919">
            <v>0</v>
          </cell>
          <cell r="AB2919">
            <v>2.3395926</v>
          </cell>
        </row>
        <row r="2920">
          <cell r="A2920">
            <v>53520000</v>
          </cell>
          <cell r="B2920" t="str">
            <v>Doughnut, NS as to cake or yeast</v>
          </cell>
          <cell r="I2920">
            <v>55</v>
          </cell>
          <cell r="J2920">
            <v>238.7</v>
          </cell>
          <cell r="K2920">
            <v>4.34</v>
          </cell>
          <cell r="L2920">
            <v>0</v>
          </cell>
          <cell r="M2920">
            <v>6.1077500000000002</v>
          </cell>
          <cell r="N2920">
            <v>0</v>
          </cell>
          <cell r="O2920">
            <v>2.1999999999999999E-2</v>
          </cell>
          <cell r="P2920">
            <v>0.93500000000000005</v>
          </cell>
          <cell r="Q2920">
            <v>2.1532499999999999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0.26235000000000003</v>
          </cell>
          <cell r="Y2920">
            <v>0</v>
          </cell>
          <cell r="Z2920">
            <v>0</v>
          </cell>
          <cell r="AA2920">
            <v>0</v>
          </cell>
          <cell r="AB2920">
            <v>4.2702</v>
          </cell>
        </row>
        <row r="2921">
          <cell r="A2921">
            <v>53520110</v>
          </cell>
          <cell r="B2921" t="str">
            <v>Doughnut, cake type</v>
          </cell>
          <cell r="I2921">
            <v>55</v>
          </cell>
          <cell r="J2921">
            <v>238.7</v>
          </cell>
          <cell r="K2921">
            <v>4.34</v>
          </cell>
          <cell r="L2921">
            <v>0</v>
          </cell>
          <cell r="M2921">
            <v>6.1077500000000002</v>
          </cell>
          <cell r="N2921">
            <v>0</v>
          </cell>
          <cell r="O2921">
            <v>2.1999999999999999E-2</v>
          </cell>
          <cell r="P2921">
            <v>0.93500000000000005</v>
          </cell>
          <cell r="Q2921">
            <v>2.1532499999999999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0.26235000000000003</v>
          </cell>
          <cell r="Y2921">
            <v>0</v>
          </cell>
          <cell r="Z2921">
            <v>0</v>
          </cell>
          <cell r="AA2921">
            <v>0</v>
          </cell>
          <cell r="AB2921">
            <v>4.2702</v>
          </cell>
        </row>
        <row r="2922">
          <cell r="A2922">
            <v>53520120</v>
          </cell>
          <cell r="B2922" t="str">
            <v>Doughnut, chocolate, cake type</v>
          </cell>
          <cell r="I2922">
            <v>55</v>
          </cell>
          <cell r="J2922">
            <v>229.35</v>
          </cell>
          <cell r="K2922">
            <v>4.17</v>
          </cell>
          <cell r="L2922">
            <v>0</v>
          </cell>
          <cell r="M2922">
            <v>2.8226</v>
          </cell>
          <cell r="N2922">
            <v>0</v>
          </cell>
          <cell r="O2922">
            <v>0.11715</v>
          </cell>
          <cell r="P2922">
            <v>1.21</v>
          </cell>
          <cell r="Q2922">
            <v>1.3623499999999999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0.11824999999999999</v>
          </cell>
          <cell r="Y2922">
            <v>0</v>
          </cell>
          <cell r="Z2922">
            <v>0</v>
          </cell>
          <cell r="AA2922">
            <v>0</v>
          </cell>
          <cell r="AB2922">
            <v>2.3364047000000001</v>
          </cell>
        </row>
        <row r="2923">
          <cell r="A2923">
            <v>53520140</v>
          </cell>
          <cell r="B2923" t="str">
            <v>Doughnut, cake type, chocolate covered</v>
          </cell>
          <cell r="I2923">
            <v>55</v>
          </cell>
          <cell r="J2923">
            <v>248.6</v>
          </cell>
          <cell r="K2923">
            <v>4.5199999999999996</v>
          </cell>
          <cell r="L2923">
            <v>0</v>
          </cell>
          <cell r="M2923">
            <v>7.4085000000000001</v>
          </cell>
          <cell r="N2923">
            <v>0</v>
          </cell>
          <cell r="O2923">
            <v>1.32E-2</v>
          </cell>
          <cell r="P2923">
            <v>1.0449999999999999</v>
          </cell>
          <cell r="Q2923">
            <v>1.0780000000000001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0.17929999999999999</v>
          </cell>
          <cell r="Y2923">
            <v>0</v>
          </cell>
          <cell r="Z2923">
            <v>0</v>
          </cell>
          <cell r="AA2923">
            <v>0</v>
          </cell>
          <cell r="AB2923">
            <v>4.5243000000000002</v>
          </cell>
        </row>
        <row r="2924">
          <cell r="A2924">
            <v>53520150</v>
          </cell>
          <cell r="B2924" t="str">
            <v>Doughnut, cake type, chocolate covered, dipped in peanuts</v>
          </cell>
          <cell r="I2924">
            <v>55</v>
          </cell>
          <cell r="J2924">
            <v>229.76813999999999</v>
          </cell>
          <cell r="K2924">
            <v>4.1776025454545449</v>
          </cell>
          <cell r="L2924">
            <v>0</v>
          </cell>
          <cell r="M2924">
            <v>5.3861420000000004</v>
          </cell>
          <cell r="N2924">
            <v>0</v>
          </cell>
          <cell r="O2924">
            <v>2.3875899999999999E-2</v>
          </cell>
          <cell r="P2924">
            <v>1.1714867</v>
          </cell>
          <cell r="Q2924">
            <v>2.0752028999999999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0.2039251</v>
          </cell>
          <cell r="Y2924">
            <v>2.1413422</v>
          </cell>
          <cell r="Z2924">
            <v>0</v>
          </cell>
          <cell r="AA2924">
            <v>0</v>
          </cell>
          <cell r="AB2924">
            <v>3.2961436000000002</v>
          </cell>
        </row>
        <row r="2925">
          <cell r="A2925">
            <v>53520160</v>
          </cell>
          <cell r="B2925" t="str">
            <v>Doughnut, chocolate, cake type, with chocolate icing</v>
          </cell>
          <cell r="I2925">
            <v>55</v>
          </cell>
          <cell r="J2925">
            <v>248.6</v>
          </cell>
          <cell r="K2925">
            <v>4.5199999999999996</v>
          </cell>
          <cell r="L2925">
            <v>0</v>
          </cell>
          <cell r="M2925">
            <v>7.4085000000000001</v>
          </cell>
          <cell r="N2925">
            <v>0</v>
          </cell>
          <cell r="O2925">
            <v>1.32E-2</v>
          </cell>
          <cell r="P2925">
            <v>1.0449999999999999</v>
          </cell>
          <cell r="Q2925">
            <v>1.0780000000000001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0.17929999999999999</v>
          </cell>
          <cell r="Y2925">
            <v>0</v>
          </cell>
          <cell r="Z2925">
            <v>0</v>
          </cell>
          <cell r="AA2925">
            <v>0</v>
          </cell>
          <cell r="AB2925">
            <v>4.5243000000000002</v>
          </cell>
        </row>
        <row r="2926">
          <cell r="A2926">
            <v>53520200</v>
          </cell>
          <cell r="B2926" t="str">
            <v>Churros</v>
          </cell>
          <cell r="I2926">
            <v>55</v>
          </cell>
          <cell r="J2926">
            <v>185.29986</v>
          </cell>
          <cell r="K2926">
            <v>3.3690883636363638</v>
          </cell>
          <cell r="L2926">
            <v>0</v>
          </cell>
          <cell r="M2926">
            <v>3.3251949000000001</v>
          </cell>
          <cell r="N2926">
            <v>0</v>
          </cell>
          <cell r="O2926">
            <v>2.8538000000000001E-3</v>
          </cell>
          <cell r="P2926">
            <v>0.30080800000000002</v>
          </cell>
          <cell r="Q2926">
            <v>3.0745526000000001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6.1443699999999997E-2</v>
          </cell>
          <cell r="Y2926">
            <v>0</v>
          </cell>
          <cell r="Z2926">
            <v>0</v>
          </cell>
          <cell r="AA2926">
            <v>0</v>
          </cell>
          <cell r="AB2926">
            <v>2.6965227000000001</v>
          </cell>
        </row>
        <row r="2927">
          <cell r="A2927">
            <v>53520500</v>
          </cell>
          <cell r="B2927" t="str">
            <v>Doughnut, Asian</v>
          </cell>
          <cell r="I2927">
            <v>55</v>
          </cell>
          <cell r="J2927">
            <v>229.9</v>
          </cell>
          <cell r="K2927">
            <v>4.18</v>
          </cell>
          <cell r="L2927">
            <v>0</v>
          </cell>
          <cell r="M2927">
            <v>3.9198499999999998</v>
          </cell>
          <cell r="N2927">
            <v>0</v>
          </cell>
          <cell r="O2927">
            <v>1.375E-2</v>
          </cell>
          <cell r="P2927">
            <v>0.88</v>
          </cell>
          <cell r="Q2927">
            <v>1.46245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0.2475</v>
          </cell>
          <cell r="Y2927">
            <v>0</v>
          </cell>
          <cell r="Z2927">
            <v>0</v>
          </cell>
          <cell r="AA2927">
            <v>0</v>
          </cell>
          <cell r="AB2927">
            <v>4.2702</v>
          </cell>
        </row>
        <row r="2928">
          <cell r="A2928">
            <v>53520600</v>
          </cell>
          <cell r="B2928" t="str">
            <v>Cruller, NFS</v>
          </cell>
          <cell r="I2928">
            <v>55</v>
          </cell>
          <cell r="J2928">
            <v>238.7</v>
          </cell>
          <cell r="K2928">
            <v>4.34</v>
          </cell>
          <cell r="L2928">
            <v>0</v>
          </cell>
          <cell r="M2928">
            <v>6.1077500000000002</v>
          </cell>
          <cell r="N2928">
            <v>0</v>
          </cell>
          <cell r="O2928">
            <v>2.1999999999999999E-2</v>
          </cell>
          <cell r="P2928">
            <v>0.93500000000000005</v>
          </cell>
          <cell r="Q2928">
            <v>2.1532499999999999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0.26235000000000003</v>
          </cell>
          <cell r="Y2928">
            <v>0</v>
          </cell>
          <cell r="Z2928">
            <v>0</v>
          </cell>
          <cell r="AA2928">
            <v>0</v>
          </cell>
          <cell r="AB2928">
            <v>4.2702</v>
          </cell>
        </row>
        <row r="2929">
          <cell r="A2929">
            <v>53521100</v>
          </cell>
          <cell r="B2929" t="str">
            <v>Doughnut, chocolate, raised or yeast, with chocolate icing</v>
          </cell>
          <cell r="I2929">
            <v>55</v>
          </cell>
          <cell r="J2929">
            <v>222.75254000000001</v>
          </cell>
          <cell r="K2929">
            <v>4.0500461818181819</v>
          </cell>
          <cell r="L2929">
            <v>-2.4400000000000002E-16</v>
          </cell>
          <cell r="M2929">
            <v>4.7189977000000001</v>
          </cell>
          <cell r="N2929">
            <v>0</v>
          </cell>
          <cell r="O2929">
            <v>4.65087E-2</v>
          </cell>
          <cell r="P2929">
            <v>1.9930483000000001</v>
          </cell>
          <cell r="Q2929">
            <v>1.5650096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0.1273627</v>
          </cell>
          <cell r="Y2929">
            <v>0</v>
          </cell>
          <cell r="Z2929">
            <v>0</v>
          </cell>
          <cell r="AA2929">
            <v>0</v>
          </cell>
          <cell r="AB2929">
            <v>2.0338194999999999</v>
          </cell>
        </row>
        <row r="2930">
          <cell r="A2930">
            <v>53521110</v>
          </cell>
          <cell r="B2930" t="str">
            <v>Doughnut, raised or yeast</v>
          </cell>
          <cell r="I2930">
            <v>55</v>
          </cell>
          <cell r="J2930">
            <v>231.55</v>
          </cell>
          <cell r="K2930">
            <v>4.21</v>
          </cell>
          <cell r="L2930">
            <v>0</v>
          </cell>
          <cell r="M2930">
            <v>5.1991500000000004</v>
          </cell>
          <cell r="N2930">
            <v>0</v>
          </cell>
          <cell r="O2930">
            <v>5.5550000000000002E-2</v>
          </cell>
          <cell r="P2930">
            <v>1.155</v>
          </cell>
          <cell r="Q2930">
            <v>1.9734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0.17380000000000001</v>
          </cell>
          <cell r="Y2930">
            <v>0</v>
          </cell>
          <cell r="Z2930">
            <v>0</v>
          </cell>
          <cell r="AA2930">
            <v>0</v>
          </cell>
          <cell r="AB2930">
            <v>0.25024999999999997</v>
          </cell>
        </row>
        <row r="2931">
          <cell r="A2931">
            <v>53521120</v>
          </cell>
          <cell r="B2931" t="str">
            <v>Doughnut, chocolate, raised or yeast</v>
          </cell>
          <cell r="I2931">
            <v>55</v>
          </cell>
          <cell r="J2931">
            <v>226.6</v>
          </cell>
          <cell r="K2931">
            <v>4.12</v>
          </cell>
          <cell r="L2931">
            <v>0</v>
          </cell>
          <cell r="M2931">
            <v>5.1574567</v>
          </cell>
          <cell r="N2931">
            <v>0</v>
          </cell>
          <cell r="O2931">
            <v>5.57963E-2</v>
          </cell>
          <cell r="P2931">
            <v>1.8371641999999999</v>
          </cell>
          <cell r="Q2931">
            <v>1.8953821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0.16648579999999999</v>
          </cell>
          <cell r="Y2931">
            <v>0</v>
          </cell>
          <cell r="Z2931">
            <v>0</v>
          </cell>
          <cell r="AA2931">
            <v>0</v>
          </cell>
          <cell r="AB2931">
            <v>2.1476365999999998</v>
          </cell>
        </row>
        <row r="2932">
          <cell r="A2932">
            <v>53521130</v>
          </cell>
          <cell r="B2932" t="str">
            <v>Doughnut, raised or yeast, chocolate covered</v>
          </cell>
          <cell r="I2932">
            <v>55</v>
          </cell>
          <cell r="J2932">
            <v>213.71102999999999</v>
          </cell>
          <cell r="K2932">
            <v>3.8856550909090908</v>
          </cell>
          <cell r="L2932">
            <v>0</v>
          </cell>
          <cell r="M2932">
            <v>4.4239626999999997</v>
          </cell>
          <cell r="N2932">
            <v>0</v>
          </cell>
          <cell r="O2932">
            <v>4.7223800000000003E-2</v>
          </cell>
          <cell r="P2932">
            <v>1.1941188</v>
          </cell>
          <cell r="Q2932">
            <v>1.5213363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0.1257404</v>
          </cell>
          <cell r="Y2932">
            <v>0</v>
          </cell>
          <cell r="Z2932">
            <v>0</v>
          </cell>
          <cell r="AA2932">
            <v>0</v>
          </cell>
          <cell r="AB2932">
            <v>2.0967310000000001</v>
          </cell>
        </row>
        <row r="2933">
          <cell r="A2933">
            <v>53521140</v>
          </cell>
          <cell r="B2933" t="str">
            <v>Doughnut, jelly</v>
          </cell>
          <cell r="I2933">
            <v>55</v>
          </cell>
          <cell r="J2933">
            <v>187</v>
          </cell>
          <cell r="K2933">
            <v>3.4</v>
          </cell>
          <cell r="L2933">
            <v>0</v>
          </cell>
          <cell r="M2933">
            <v>2.6636500000000001</v>
          </cell>
          <cell r="N2933">
            <v>0</v>
          </cell>
          <cell r="O2933">
            <v>1.375E-2</v>
          </cell>
          <cell r="P2933">
            <v>0.495</v>
          </cell>
          <cell r="Q2933">
            <v>1.30735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0.25024999999999997</v>
          </cell>
          <cell r="Y2933">
            <v>0</v>
          </cell>
          <cell r="Z2933">
            <v>0</v>
          </cell>
          <cell r="AA2933">
            <v>0</v>
          </cell>
          <cell r="AB2933">
            <v>2.1739468</v>
          </cell>
        </row>
        <row r="2934">
          <cell r="A2934">
            <v>53521210</v>
          </cell>
          <cell r="B2934" t="str">
            <v>Doughnut, custard-filled</v>
          </cell>
          <cell r="I2934">
            <v>55</v>
          </cell>
          <cell r="J2934">
            <v>198.55</v>
          </cell>
          <cell r="K2934">
            <v>3.6100000000000003</v>
          </cell>
          <cell r="L2934">
            <v>0</v>
          </cell>
          <cell r="M2934">
            <v>2.9864999999999999</v>
          </cell>
          <cell r="N2934">
            <v>0</v>
          </cell>
          <cell r="O2934">
            <v>1.375E-2</v>
          </cell>
          <cell r="P2934">
            <v>0.44</v>
          </cell>
          <cell r="Q2934">
            <v>1.6951000000000001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0.16994999999999999</v>
          </cell>
          <cell r="Y2934">
            <v>0</v>
          </cell>
          <cell r="Z2934">
            <v>0</v>
          </cell>
          <cell r="AA2934">
            <v>0</v>
          </cell>
          <cell r="AB2934">
            <v>2.6754478000000002</v>
          </cell>
        </row>
        <row r="2935">
          <cell r="A2935">
            <v>53521230</v>
          </cell>
          <cell r="B2935" t="str">
            <v>Doughnut, custard-filled, with icing</v>
          </cell>
          <cell r="I2935">
            <v>55</v>
          </cell>
          <cell r="J2935">
            <v>198.70788999999999</v>
          </cell>
          <cell r="K2935">
            <v>3.612870727272727</v>
          </cell>
          <cell r="L2935">
            <v>0</v>
          </cell>
          <cell r="M2935">
            <v>3.2359920999999998</v>
          </cell>
          <cell r="N2935">
            <v>0</v>
          </cell>
          <cell r="O2935">
            <v>4.22079E-2</v>
          </cell>
          <cell r="P2935">
            <v>0.69447369999999997</v>
          </cell>
          <cell r="Q2935">
            <v>1.1889658000000001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0.11761580000000001</v>
          </cell>
          <cell r="Y2935">
            <v>0</v>
          </cell>
          <cell r="Z2935">
            <v>0</v>
          </cell>
          <cell r="AA2935">
            <v>0</v>
          </cell>
          <cell r="AB2935">
            <v>1.8735261999999999</v>
          </cell>
        </row>
        <row r="2936">
          <cell r="A2936">
            <v>53530000</v>
          </cell>
          <cell r="B2936" t="str">
            <v>Breakfast tart</v>
          </cell>
          <cell r="I2936">
            <v>55</v>
          </cell>
          <cell r="J2936">
            <v>211.75</v>
          </cell>
          <cell r="K2936">
            <v>3.85</v>
          </cell>
          <cell r="L2936">
            <v>4.16505E-2</v>
          </cell>
          <cell r="M2936">
            <v>1.7000500000000001</v>
          </cell>
          <cell r="N2936">
            <v>0</v>
          </cell>
          <cell r="O2936">
            <v>6.6E-3</v>
          </cell>
          <cell r="P2936">
            <v>0.94834949999999996</v>
          </cell>
          <cell r="Q2936">
            <v>1.8480000000000001</v>
          </cell>
          <cell r="R2936">
            <v>0</v>
          </cell>
          <cell r="S2936">
            <v>0</v>
          </cell>
          <cell r="T2936">
            <v>3.9874999999999998</v>
          </cell>
          <cell r="U2936">
            <v>0</v>
          </cell>
          <cell r="V2936">
            <v>0</v>
          </cell>
          <cell r="W2936">
            <v>0</v>
          </cell>
          <cell r="X2936">
            <v>0.17105000000000001</v>
          </cell>
          <cell r="Y2936">
            <v>0</v>
          </cell>
          <cell r="Z2936">
            <v>0</v>
          </cell>
          <cell r="AA2936">
            <v>0</v>
          </cell>
          <cell r="AB2936">
            <v>1.8700000000000001E-2</v>
          </cell>
        </row>
        <row r="2937">
          <cell r="A2937">
            <v>53530010</v>
          </cell>
          <cell r="B2937" t="str">
            <v>Breakfast tart, lowfat</v>
          </cell>
          <cell r="I2937">
            <v>55</v>
          </cell>
          <cell r="J2937">
            <v>204.6</v>
          </cell>
          <cell r="K2937">
            <v>3.7199999999999998</v>
          </cell>
          <cell r="L2937">
            <v>4.2266600000000001E-2</v>
          </cell>
          <cell r="M2937">
            <v>0.76615</v>
          </cell>
          <cell r="N2937">
            <v>0</v>
          </cell>
          <cell r="O2937">
            <v>2.4199999999999999E-2</v>
          </cell>
          <cell r="P2937">
            <v>0.78273340000000002</v>
          </cell>
          <cell r="Q2937">
            <v>0.4829</v>
          </cell>
          <cell r="R2937">
            <v>0</v>
          </cell>
          <cell r="S2937">
            <v>0</v>
          </cell>
          <cell r="T2937">
            <v>7.9749999999999996</v>
          </cell>
          <cell r="U2937">
            <v>0</v>
          </cell>
          <cell r="V2937">
            <v>0</v>
          </cell>
          <cell r="W2937">
            <v>0</v>
          </cell>
          <cell r="X2937">
            <v>0.19855</v>
          </cell>
          <cell r="Y2937">
            <v>0</v>
          </cell>
          <cell r="Z2937">
            <v>0</v>
          </cell>
          <cell r="AA2937">
            <v>0</v>
          </cell>
          <cell r="AB2937">
            <v>1.6780755000000001</v>
          </cell>
        </row>
        <row r="2938">
          <cell r="A2938">
            <v>53610100</v>
          </cell>
          <cell r="B2938" t="str">
            <v>Coffee cake, crumb or quick-bread type</v>
          </cell>
          <cell r="I2938">
            <v>55</v>
          </cell>
          <cell r="J2938">
            <v>189.11059</v>
          </cell>
          <cell r="K2938">
            <v>3.4383743636363637</v>
          </cell>
          <cell r="L2938">
            <v>0</v>
          </cell>
          <cell r="M2938">
            <v>3.8029763999999999</v>
          </cell>
          <cell r="N2938">
            <v>0</v>
          </cell>
          <cell r="O2938">
            <v>6.5723500000000004E-2</v>
          </cell>
          <cell r="P2938">
            <v>0.75728700000000004</v>
          </cell>
          <cell r="Q2938">
            <v>2.4361744999999999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0.1671687</v>
          </cell>
          <cell r="Y2938">
            <v>4.4459789000000001</v>
          </cell>
          <cell r="Z2938">
            <v>0</v>
          </cell>
          <cell r="AA2938">
            <v>0</v>
          </cell>
          <cell r="AB2938">
            <v>1.7014125</v>
          </cell>
        </row>
        <row r="2939">
          <cell r="A2939">
            <v>53610170</v>
          </cell>
          <cell r="B2939" t="str">
            <v>Coffee cake, crumb or quick-bread type, with fruit</v>
          </cell>
          <cell r="I2939">
            <v>55</v>
          </cell>
          <cell r="J2939">
            <v>153.81217000000001</v>
          </cell>
          <cell r="K2939">
            <v>2.7965849090909094</v>
          </cell>
          <cell r="L2939">
            <v>0.16852339999999999</v>
          </cell>
          <cell r="M2939">
            <v>2.4204300000000001</v>
          </cell>
          <cell r="N2939">
            <v>0</v>
          </cell>
          <cell r="O2939">
            <v>4.2501999999999998E-2</v>
          </cell>
          <cell r="P2939">
            <v>0.48143829999999999</v>
          </cell>
          <cell r="Q2939">
            <v>1.5535722999999999</v>
          </cell>
          <cell r="R2939">
            <v>0</v>
          </cell>
          <cell r="S2939">
            <v>0</v>
          </cell>
          <cell r="T2939">
            <v>12.963338</v>
          </cell>
          <cell r="U2939">
            <v>0</v>
          </cell>
          <cell r="V2939">
            <v>0</v>
          </cell>
          <cell r="W2939">
            <v>0</v>
          </cell>
          <cell r="X2939">
            <v>0.1063467</v>
          </cell>
          <cell r="Y2939">
            <v>2.8264908000000002</v>
          </cell>
          <cell r="Z2939">
            <v>0</v>
          </cell>
          <cell r="AA2939">
            <v>0</v>
          </cell>
          <cell r="AB2939">
            <v>1.6704524999999999</v>
          </cell>
        </row>
        <row r="2940">
          <cell r="A2940">
            <v>53610200</v>
          </cell>
          <cell r="B2940" t="str">
            <v>Coffee cake, crumb or quick-bread type, cheese-filled</v>
          </cell>
          <cell r="I2940">
            <v>55</v>
          </cell>
          <cell r="J2940">
            <v>175.82410999999999</v>
          </cell>
          <cell r="K2940">
            <v>3.1968019999999999</v>
          </cell>
          <cell r="L2940">
            <v>-1.2200000000000001E-16</v>
          </cell>
          <cell r="M2940">
            <v>3.9109734</v>
          </cell>
          <cell r="N2940">
            <v>0</v>
          </cell>
          <cell r="O2940">
            <v>7.2568900000000006E-2</v>
          </cell>
          <cell r="P2940">
            <v>0.6495725</v>
          </cell>
          <cell r="Q2940">
            <v>2.1197784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0.1499624</v>
          </cell>
          <cell r="Y2940">
            <v>3.8135948000000002</v>
          </cell>
          <cell r="Z2940">
            <v>0</v>
          </cell>
          <cell r="AA2940">
            <v>0</v>
          </cell>
          <cell r="AB2940">
            <v>1.6840937</v>
          </cell>
        </row>
        <row r="2941">
          <cell r="A2941">
            <v>53710400</v>
          </cell>
          <cell r="B2941" t="str">
            <v>Cereal or granola bar (General Mills Fiber One Chewy Bar)</v>
          </cell>
          <cell r="I2941">
            <v>40</v>
          </cell>
          <cell r="J2941">
            <v>140</v>
          </cell>
          <cell r="K2941">
            <v>3.5</v>
          </cell>
          <cell r="L2941">
            <v>7.1506458999999998</v>
          </cell>
          <cell r="M2941">
            <v>1.3588</v>
          </cell>
          <cell r="N2941">
            <v>0</v>
          </cell>
          <cell r="O2941">
            <v>0.1</v>
          </cell>
          <cell r="P2941">
            <v>1.8493541</v>
          </cell>
          <cell r="Q2941">
            <v>0.93359999999999999</v>
          </cell>
          <cell r="R2941">
            <v>6.2080000000000002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0.14000000000000001</v>
          </cell>
          <cell r="Y2941">
            <v>0</v>
          </cell>
          <cell r="Z2941">
            <v>0</v>
          </cell>
          <cell r="AA2941">
            <v>0</v>
          </cell>
          <cell r="AB2941">
            <v>2.8E-3</v>
          </cell>
        </row>
        <row r="2942">
          <cell r="A2942">
            <v>53710500</v>
          </cell>
          <cell r="B2942" t="str">
            <v>Cereal or granola bar (Kellogg's Nutri-Grain Cereal Bar)</v>
          </cell>
          <cell r="I2942">
            <v>40</v>
          </cell>
          <cell r="J2942">
            <v>146</v>
          </cell>
          <cell r="K2942">
            <v>3.65</v>
          </cell>
          <cell r="L2942">
            <v>0.82044289999999997</v>
          </cell>
          <cell r="M2942">
            <v>0.57679999999999998</v>
          </cell>
          <cell r="N2942">
            <v>0</v>
          </cell>
          <cell r="O2942">
            <v>0.23039999999999999</v>
          </cell>
          <cell r="P2942">
            <v>0.37955709999999998</v>
          </cell>
          <cell r="Q2942">
            <v>1.8176000000000001</v>
          </cell>
          <cell r="R2942">
            <v>10.206</v>
          </cell>
          <cell r="S2942">
            <v>0</v>
          </cell>
          <cell r="T2942">
            <v>2.9</v>
          </cell>
          <cell r="U2942">
            <v>0</v>
          </cell>
          <cell r="V2942">
            <v>0</v>
          </cell>
          <cell r="W2942">
            <v>0</v>
          </cell>
          <cell r="X2942">
            <v>0.1416</v>
          </cell>
          <cell r="Y2942">
            <v>0</v>
          </cell>
          <cell r="Z2942">
            <v>0</v>
          </cell>
          <cell r="AA2942">
            <v>0</v>
          </cell>
          <cell r="AB2942">
            <v>8.8000000000000005E-3</v>
          </cell>
        </row>
        <row r="2943">
          <cell r="A2943">
            <v>53710502</v>
          </cell>
          <cell r="B2943" t="str">
            <v>Kellogg's Nutri-Grain Yogurt Bar</v>
          </cell>
          <cell r="I2943">
            <v>40</v>
          </cell>
          <cell r="J2943">
            <v>146</v>
          </cell>
          <cell r="K2943">
            <v>3.65</v>
          </cell>
          <cell r="L2943">
            <v>0.79430219999999996</v>
          </cell>
          <cell r="M2943">
            <v>0.57679999999999998</v>
          </cell>
          <cell r="N2943">
            <v>0</v>
          </cell>
          <cell r="O2943">
            <v>0.23039999999999999</v>
          </cell>
          <cell r="P2943">
            <v>0.4056978</v>
          </cell>
          <cell r="Q2943">
            <v>1.8176000000000001</v>
          </cell>
          <cell r="R2943">
            <v>10.206</v>
          </cell>
          <cell r="S2943">
            <v>0</v>
          </cell>
          <cell r="T2943">
            <v>2.9</v>
          </cell>
          <cell r="U2943">
            <v>0</v>
          </cell>
          <cell r="V2943">
            <v>0</v>
          </cell>
          <cell r="W2943">
            <v>0</v>
          </cell>
          <cell r="X2943">
            <v>0.1416</v>
          </cell>
          <cell r="Y2943">
            <v>0</v>
          </cell>
          <cell r="Z2943">
            <v>0</v>
          </cell>
          <cell r="AA2943">
            <v>0</v>
          </cell>
          <cell r="AB2943">
            <v>8.8000000000000005E-3</v>
          </cell>
        </row>
        <row r="2944">
          <cell r="A2944">
            <v>53710504</v>
          </cell>
          <cell r="B2944" t="str">
            <v>Cereal or granola bar (Kellogg's Nutri-Grain Fruit and Nut Bar)</v>
          </cell>
          <cell r="I2944">
            <v>40</v>
          </cell>
          <cell r="J2944">
            <v>161.19999999999999</v>
          </cell>
          <cell r="K2944">
            <v>4.0299999999999994</v>
          </cell>
          <cell r="L2944">
            <v>2.8073712999999998</v>
          </cell>
          <cell r="M2944">
            <v>0.77200000000000002</v>
          </cell>
          <cell r="N2944">
            <v>0</v>
          </cell>
          <cell r="O2944">
            <v>2.5999999999999999E-2</v>
          </cell>
          <cell r="P2944">
            <v>0.19262870000000001</v>
          </cell>
          <cell r="Q2944">
            <v>1.0324</v>
          </cell>
          <cell r="R2944">
            <v>7.1680000000000001</v>
          </cell>
          <cell r="S2944">
            <v>0</v>
          </cell>
          <cell r="T2944">
            <v>15.08</v>
          </cell>
          <cell r="U2944">
            <v>0</v>
          </cell>
          <cell r="V2944">
            <v>0</v>
          </cell>
          <cell r="W2944">
            <v>0</v>
          </cell>
          <cell r="X2944">
            <v>7.8E-2</v>
          </cell>
          <cell r="Y2944">
            <v>6.1802999999999999</v>
          </cell>
          <cell r="Z2944">
            <v>0</v>
          </cell>
          <cell r="AA2944">
            <v>0</v>
          </cell>
          <cell r="AB2944">
            <v>0</v>
          </cell>
        </row>
        <row r="2945">
          <cell r="A2945">
            <v>53710700</v>
          </cell>
          <cell r="B2945" t="str">
            <v>Cereal or granola bar (Kellogg's Special K bar)</v>
          </cell>
          <cell r="I2945">
            <v>40</v>
          </cell>
          <cell r="J2945">
            <v>163.6</v>
          </cell>
          <cell r="K2945">
            <v>4.09</v>
          </cell>
          <cell r="L2945">
            <v>0.25241269999999999</v>
          </cell>
          <cell r="M2945">
            <v>0</v>
          </cell>
          <cell r="N2945">
            <v>0</v>
          </cell>
          <cell r="O2945">
            <v>1.24E-2</v>
          </cell>
          <cell r="P2945">
            <v>0.46758729999999998</v>
          </cell>
          <cell r="Q2945">
            <v>0.8196</v>
          </cell>
          <cell r="R2945">
            <v>0</v>
          </cell>
          <cell r="S2945">
            <v>0</v>
          </cell>
          <cell r="T2945">
            <v>40</v>
          </cell>
          <cell r="U2945">
            <v>0</v>
          </cell>
          <cell r="V2945">
            <v>0</v>
          </cell>
          <cell r="W2945">
            <v>0</v>
          </cell>
          <cell r="X2945">
            <v>0.2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</row>
        <row r="2946">
          <cell r="A2946">
            <v>53710800</v>
          </cell>
          <cell r="B2946" t="str">
            <v>Cereal or granola bar (Kashi Chewy)</v>
          </cell>
          <cell r="I2946">
            <v>40</v>
          </cell>
          <cell r="J2946">
            <v>156</v>
          </cell>
          <cell r="K2946">
            <v>3.9</v>
          </cell>
          <cell r="L2946">
            <v>2.9930933</v>
          </cell>
          <cell r="M2946">
            <v>1.2907999999999999</v>
          </cell>
          <cell r="N2946">
            <v>0</v>
          </cell>
          <cell r="O2946">
            <v>4.1200000000000001E-2</v>
          </cell>
          <cell r="P2946">
            <v>8.6906700000000003E-2</v>
          </cell>
          <cell r="Q2946">
            <v>0.49120000000000003</v>
          </cell>
          <cell r="R2946">
            <v>10.8864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0.12839999999999999</v>
          </cell>
          <cell r="Y2946">
            <v>0.85050000000000003</v>
          </cell>
          <cell r="Z2946">
            <v>0</v>
          </cell>
          <cell r="AA2946">
            <v>0</v>
          </cell>
          <cell r="AB2946">
            <v>0</v>
          </cell>
        </row>
        <row r="2947">
          <cell r="A2947">
            <v>53710802</v>
          </cell>
          <cell r="B2947" t="str">
            <v>Cereal or granola bar (Kashi Crunchy)</v>
          </cell>
          <cell r="I2947">
            <v>40</v>
          </cell>
          <cell r="J2947">
            <v>171.6</v>
          </cell>
          <cell r="K2947">
            <v>4.29</v>
          </cell>
          <cell r="L2947">
            <v>4.5599999999999996</v>
          </cell>
          <cell r="M2947">
            <v>0.48520000000000002</v>
          </cell>
          <cell r="N2947">
            <v>0</v>
          </cell>
          <cell r="O2947">
            <v>0</v>
          </cell>
          <cell r="P2947">
            <v>0</v>
          </cell>
          <cell r="Q2947">
            <v>1.6724000000000001</v>
          </cell>
          <cell r="R2947">
            <v>9.4122000000000003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0.1172</v>
          </cell>
          <cell r="Y2947">
            <v>10.546200000000001</v>
          </cell>
          <cell r="Z2947">
            <v>0</v>
          </cell>
          <cell r="AA2947">
            <v>0</v>
          </cell>
          <cell r="AB2947">
            <v>2E-3</v>
          </cell>
        </row>
        <row r="2948">
          <cell r="A2948">
            <v>53710900</v>
          </cell>
          <cell r="B2948" t="str">
            <v>Cereal or granola bar (General Mills Nature Valley Chewy Trail Mix)</v>
          </cell>
          <cell r="I2948">
            <v>40</v>
          </cell>
          <cell r="J2948">
            <v>166</v>
          </cell>
          <cell r="K2948">
            <v>4.1500000000000004</v>
          </cell>
          <cell r="L2948">
            <v>1.3521363</v>
          </cell>
          <cell r="M2948">
            <v>0.57399999999999995</v>
          </cell>
          <cell r="N2948">
            <v>0</v>
          </cell>
          <cell r="O2948">
            <v>4.6399999999999997E-2</v>
          </cell>
          <cell r="P2948">
            <v>0.1678637</v>
          </cell>
          <cell r="Q2948">
            <v>1.6112</v>
          </cell>
          <cell r="R2948">
            <v>6.5279999999999996</v>
          </cell>
          <cell r="S2948">
            <v>0</v>
          </cell>
          <cell r="T2948">
            <v>3.9</v>
          </cell>
          <cell r="U2948">
            <v>0</v>
          </cell>
          <cell r="V2948">
            <v>0</v>
          </cell>
          <cell r="W2948">
            <v>0</v>
          </cell>
          <cell r="X2948">
            <v>7.3999999999999996E-2</v>
          </cell>
          <cell r="Y2948">
            <v>3.2886000000000002</v>
          </cell>
          <cell r="Z2948">
            <v>0</v>
          </cell>
          <cell r="AA2948">
            <v>0</v>
          </cell>
          <cell r="AB2948">
            <v>0</v>
          </cell>
        </row>
        <row r="2949">
          <cell r="A2949">
            <v>53710902</v>
          </cell>
          <cell r="B2949" t="str">
            <v>Cereal or granola bar, with yogurt coating (General Mills Nature Valley Chewy Granola Bar)</v>
          </cell>
          <cell r="I2949">
            <v>40</v>
          </cell>
          <cell r="J2949">
            <v>169.2</v>
          </cell>
          <cell r="K2949">
            <v>4.2299999999999995</v>
          </cell>
          <cell r="L2949">
            <v>1.6158682</v>
          </cell>
          <cell r="M2949">
            <v>0.54879999999999995</v>
          </cell>
          <cell r="N2949">
            <v>0</v>
          </cell>
          <cell r="O2949">
            <v>0.1144</v>
          </cell>
          <cell r="P2949">
            <v>0.1441318</v>
          </cell>
          <cell r="Q2949">
            <v>1.3904000000000001</v>
          </cell>
          <cell r="R2949">
            <v>14.175000000000001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0.1084</v>
          </cell>
          <cell r="Y2949">
            <v>0</v>
          </cell>
          <cell r="Z2949">
            <v>0</v>
          </cell>
          <cell r="AA2949">
            <v>0</v>
          </cell>
          <cell r="AB2949">
            <v>1.4800000000000001E-2</v>
          </cell>
        </row>
        <row r="2950">
          <cell r="A2950">
            <v>53710904</v>
          </cell>
          <cell r="B2950" t="str">
            <v>Cereal or granola bar (General Mills Nature Valley Sweet and Salty Granola Bar)</v>
          </cell>
          <cell r="I2950">
            <v>40</v>
          </cell>
          <cell r="J2950">
            <v>194.8</v>
          </cell>
          <cell r="K2950">
            <v>4.87</v>
          </cell>
          <cell r="L2950">
            <v>1.0081066000000001</v>
          </cell>
          <cell r="M2950">
            <v>2.7427999999999999</v>
          </cell>
          <cell r="N2950">
            <v>0</v>
          </cell>
          <cell r="O2950">
            <v>2.2800000000000001E-2</v>
          </cell>
          <cell r="P2950">
            <v>0.15189340000000001</v>
          </cell>
          <cell r="Q2950">
            <v>2.0564</v>
          </cell>
          <cell r="R2950">
            <v>8.3916000000000004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0.1656</v>
          </cell>
          <cell r="Y2950">
            <v>9.1853999999999996</v>
          </cell>
          <cell r="Z2950">
            <v>0</v>
          </cell>
          <cell r="AA2950">
            <v>0</v>
          </cell>
          <cell r="AB2950">
            <v>0</v>
          </cell>
        </row>
        <row r="2951">
          <cell r="A2951">
            <v>53710906</v>
          </cell>
          <cell r="B2951" t="str">
            <v>Cereal or granola bar (General Mills Nature Valley Crunchy Granola Bar)</v>
          </cell>
          <cell r="I2951">
            <v>40</v>
          </cell>
          <cell r="J2951">
            <v>188.4</v>
          </cell>
          <cell r="K2951">
            <v>4.71</v>
          </cell>
          <cell r="L2951">
            <v>1.8926073000000001</v>
          </cell>
          <cell r="M2951">
            <v>0.94799999999999995</v>
          </cell>
          <cell r="N2951">
            <v>0</v>
          </cell>
          <cell r="O2951">
            <v>2.4400000000000002E-2</v>
          </cell>
          <cell r="P2951">
            <v>0.2273927</v>
          </cell>
          <cell r="Q2951">
            <v>4.82</v>
          </cell>
          <cell r="R2951">
            <v>13.154400000000001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0.1176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</row>
        <row r="2952">
          <cell r="A2952">
            <v>53711000</v>
          </cell>
          <cell r="B2952" t="str">
            <v>Cereal or granola bar (Quaker Chewy Granola Bar)</v>
          </cell>
          <cell r="I2952">
            <v>40</v>
          </cell>
          <cell r="J2952">
            <v>167.2</v>
          </cell>
          <cell r="K2952">
            <v>4.18</v>
          </cell>
          <cell r="L2952">
            <v>1.52</v>
          </cell>
          <cell r="M2952">
            <v>2.4243999999999999</v>
          </cell>
          <cell r="N2952">
            <v>0</v>
          </cell>
          <cell r="O2952">
            <v>1.6400000000000001E-2</v>
          </cell>
          <cell r="P2952">
            <v>0</v>
          </cell>
          <cell r="Q2952">
            <v>0.63039999999999996</v>
          </cell>
          <cell r="R2952">
            <v>21.659400000000002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0.1004</v>
          </cell>
          <cell r="Y2952">
            <v>0</v>
          </cell>
          <cell r="Z2952">
            <v>0</v>
          </cell>
          <cell r="AA2952">
            <v>0</v>
          </cell>
          <cell r="AB2952">
            <v>2.4792100000000001E-2</v>
          </cell>
        </row>
        <row r="2953">
          <cell r="A2953">
            <v>53711002</v>
          </cell>
          <cell r="B2953" t="str">
            <v>Cereal or granola bar (Quaker Chewy 90 Calorie Granola Bar)</v>
          </cell>
          <cell r="I2953">
            <v>40</v>
          </cell>
          <cell r="J2953">
            <v>163.19999999999999</v>
          </cell>
          <cell r="K2953">
            <v>4.08</v>
          </cell>
          <cell r="L2953">
            <v>1.68</v>
          </cell>
          <cell r="M2953">
            <v>0.83320000000000005</v>
          </cell>
          <cell r="N2953">
            <v>0</v>
          </cell>
          <cell r="O2953">
            <v>0.13320000000000001</v>
          </cell>
          <cell r="P2953">
            <v>0</v>
          </cell>
          <cell r="Q2953">
            <v>0.77159999999999995</v>
          </cell>
          <cell r="R2953">
            <v>25.2882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0.12520000000000001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</row>
        <row r="2954">
          <cell r="A2954">
            <v>53711006</v>
          </cell>
          <cell r="B2954" t="str">
            <v>Cereal or granola bar (Quaker Chewy Dipps Granola Bar)</v>
          </cell>
          <cell r="I2954">
            <v>40</v>
          </cell>
          <cell r="J2954">
            <v>192</v>
          </cell>
          <cell r="K2954">
            <v>4.8</v>
          </cell>
          <cell r="L2954">
            <v>1.0744159</v>
          </cell>
          <cell r="M2954">
            <v>3.4771999999999998</v>
          </cell>
          <cell r="N2954">
            <v>0</v>
          </cell>
          <cell r="O2954">
            <v>2.5999999999999999E-2</v>
          </cell>
          <cell r="P2954">
            <v>0.20558409999999999</v>
          </cell>
          <cell r="Q2954">
            <v>2.8203999999999998</v>
          </cell>
          <cell r="R2954">
            <v>8.7317999999999998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0.1076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</row>
        <row r="2955">
          <cell r="A2955">
            <v>53712000</v>
          </cell>
          <cell r="B2955" t="str">
            <v>Snack bar, oatmeal</v>
          </cell>
          <cell r="I2955">
            <v>40</v>
          </cell>
          <cell r="J2955">
            <v>155.6</v>
          </cell>
          <cell r="K2955">
            <v>3.8899999999999997</v>
          </cell>
          <cell r="L2955">
            <v>1.4352156</v>
          </cell>
          <cell r="M2955">
            <v>0.51959999999999995</v>
          </cell>
          <cell r="N2955">
            <v>0</v>
          </cell>
          <cell r="O2955">
            <v>0.13320000000000001</v>
          </cell>
          <cell r="P2955">
            <v>0.40478439999999999</v>
          </cell>
          <cell r="Q2955">
            <v>1.0236000000000001</v>
          </cell>
          <cell r="R2955">
            <v>10.4328</v>
          </cell>
          <cell r="S2955">
            <v>0</v>
          </cell>
          <cell r="T2955">
            <v>1.1599999999999999</v>
          </cell>
          <cell r="U2955">
            <v>0</v>
          </cell>
          <cell r="V2955">
            <v>0</v>
          </cell>
          <cell r="W2955">
            <v>0</v>
          </cell>
          <cell r="X2955">
            <v>0.14680000000000001</v>
          </cell>
          <cell r="Y2955">
            <v>0</v>
          </cell>
          <cell r="Z2955">
            <v>0</v>
          </cell>
          <cell r="AA2955">
            <v>0</v>
          </cell>
          <cell r="AB2955">
            <v>8.0000000000000004E-4</v>
          </cell>
        </row>
        <row r="2956">
          <cell r="A2956">
            <v>53712100</v>
          </cell>
          <cell r="B2956" t="str">
            <v>Cereal or Granola bar, NFS</v>
          </cell>
          <cell r="I2956">
            <v>40</v>
          </cell>
          <cell r="J2956">
            <v>188.4</v>
          </cell>
          <cell r="K2956">
            <v>4.71</v>
          </cell>
          <cell r="L2956">
            <v>1.8926073000000001</v>
          </cell>
          <cell r="M2956">
            <v>0.94799999999999995</v>
          </cell>
          <cell r="N2956">
            <v>0</v>
          </cell>
          <cell r="O2956">
            <v>2.4400000000000002E-2</v>
          </cell>
          <cell r="P2956">
            <v>0.2273927</v>
          </cell>
          <cell r="Q2956">
            <v>4.82</v>
          </cell>
          <cell r="R2956">
            <v>13.154400000000001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0.1176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</row>
        <row r="2957">
          <cell r="A2957">
            <v>53712200</v>
          </cell>
          <cell r="B2957" t="str">
            <v>Cereal or granola bar, lowfat, NFS</v>
          </cell>
          <cell r="I2957">
            <v>40</v>
          </cell>
          <cell r="J2957">
            <v>163.19999999999999</v>
          </cell>
          <cell r="K2957">
            <v>4.08</v>
          </cell>
          <cell r="L2957">
            <v>1.68</v>
          </cell>
          <cell r="M2957">
            <v>0.83320000000000005</v>
          </cell>
          <cell r="N2957">
            <v>0</v>
          </cell>
          <cell r="O2957">
            <v>0.13320000000000001</v>
          </cell>
          <cell r="P2957">
            <v>0</v>
          </cell>
          <cell r="Q2957">
            <v>0.77159999999999995</v>
          </cell>
          <cell r="R2957">
            <v>25.2882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0.12520000000000001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</row>
        <row r="2958">
          <cell r="A2958">
            <v>53712210</v>
          </cell>
          <cell r="B2958" t="str">
            <v>Cereal or granola bar, nonfat</v>
          </cell>
          <cell r="I2958">
            <v>40</v>
          </cell>
          <cell r="J2958">
            <v>136.80000000000001</v>
          </cell>
          <cell r="K2958">
            <v>3.4200000000000004</v>
          </cell>
          <cell r="L2958">
            <v>2.8058798</v>
          </cell>
          <cell r="M2958">
            <v>0.08</v>
          </cell>
          <cell r="N2958">
            <v>0</v>
          </cell>
          <cell r="O2958">
            <v>1.1999999999999999E-3</v>
          </cell>
          <cell r="P2958">
            <v>0.15412020000000001</v>
          </cell>
          <cell r="Q2958">
            <v>0.14000000000000001</v>
          </cell>
          <cell r="R2958">
            <v>7.68</v>
          </cell>
          <cell r="S2958">
            <v>0</v>
          </cell>
          <cell r="T2958">
            <v>5.8</v>
          </cell>
          <cell r="U2958">
            <v>0</v>
          </cell>
          <cell r="V2958">
            <v>0</v>
          </cell>
          <cell r="W2958">
            <v>0</v>
          </cell>
          <cell r="X2958">
            <v>6.4000000000000003E-3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</row>
        <row r="2959">
          <cell r="A2959">
            <v>53713100</v>
          </cell>
          <cell r="B2959" t="str">
            <v>Cereal or granola bar, peanuts , oats, sugar, wheat germ</v>
          </cell>
          <cell r="I2959">
            <v>40</v>
          </cell>
          <cell r="J2959">
            <v>188.4</v>
          </cell>
          <cell r="K2959">
            <v>4.71</v>
          </cell>
          <cell r="L2959">
            <v>1.8926073000000001</v>
          </cell>
          <cell r="M2959">
            <v>0.94799999999999995</v>
          </cell>
          <cell r="N2959">
            <v>0</v>
          </cell>
          <cell r="O2959">
            <v>2.4400000000000002E-2</v>
          </cell>
          <cell r="P2959">
            <v>0.2273927</v>
          </cell>
          <cell r="Q2959">
            <v>4.82</v>
          </cell>
          <cell r="R2959">
            <v>13.154400000000001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0.1176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</row>
        <row r="2960">
          <cell r="A2960">
            <v>53714200</v>
          </cell>
          <cell r="B2960" t="str">
            <v>Cereal or granola bar, chocolate coated, NFS</v>
          </cell>
          <cell r="I2960">
            <v>40</v>
          </cell>
          <cell r="J2960">
            <v>192</v>
          </cell>
          <cell r="K2960">
            <v>4.8</v>
          </cell>
          <cell r="L2960">
            <v>1.0744159</v>
          </cell>
          <cell r="M2960">
            <v>3.4771999999999998</v>
          </cell>
          <cell r="N2960">
            <v>0</v>
          </cell>
          <cell r="O2960">
            <v>2.5999999999999999E-2</v>
          </cell>
          <cell r="P2960">
            <v>0.20558409999999999</v>
          </cell>
          <cell r="Q2960">
            <v>2.8203999999999998</v>
          </cell>
          <cell r="R2960">
            <v>8.7317999999999998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0.1076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</row>
        <row r="2961">
          <cell r="A2961">
            <v>53714210</v>
          </cell>
          <cell r="B2961" t="str">
            <v>Cereal or granola bar, with coconut, chocolate coated</v>
          </cell>
          <cell r="I2961">
            <v>40</v>
          </cell>
          <cell r="J2961">
            <v>212.4</v>
          </cell>
          <cell r="K2961">
            <v>5.3100000000000005</v>
          </cell>
          <cell r="L2961">
            <v>2.48</v>
          </cell>
          <cell r="M2961">
            <v>9.0879999999999992</v>
          </cell>
          <cell r="N2961">
            <v>0</v>
          </cell>
          <cell r="O2961">
            <v>1.6799999999999999E-2</v>
          </cell>
          <cell r="P2961">
            <v>0</v>
          </cell>
          <cell r="Q2961">
            <v>1.24</v>
          </cell>
          <cell r="R2961">
            <v>10.3194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6.08E-2</v>
          </cell>
          <cell r="Y2961">
            <v>0</v>
          </cell>
          <cell r="Z2961">
            <v>0</v>
          </cell>
          <cell r="AA2961">
            <v>0</v>
          </cell>
          <cell r="AB2961">
            <v>0.18056240000000001</v>
          </cell>
        </row>
        <row r="2962">
          <cell r="A2962">
            <v>53714220</v>
          </cell>
          <cell r="B2962" t="str">
            <v>Cereal or granola bar with nuts, chocolate coated</v>
          </cell>
          <cell r="I2962">
            <v>40</v>
          </cell>
          <cell r="J2962">
            <v>214.4</v>
          </cell>
          <cell r="K2962">
            <v>5.36</v>
          </cell>
          <cell r="L2962">
            <v>1.0871086000000001</v>
          </cell>
          <cell r="M2962">
            <v>6.8259999999999996</v>
          </cell>
          <cell r="N2962">
            <v>0</v>
          </cell>
          <cell r="O2962">
            <v>4.3200000000000002E-2</v>
          </cell>
          <cell r="P2962">
            <v>0.43289139999999998</v>
          </cell>
          <cell r="Q2962">
            <v>0.76239999999999997</v>
          </cell>
          <cell r="R2962">
            <v>6.6905999999999999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7.7200000000000005E-2</v>
          </cell>
          <cell r="Y2962">
            <v>6.6559999999999997</v>
          </cell>
          <cell r="Z2962">
            <v>0</v>
          </cell>
          <cell r="AA2962">
            <v>0</v>
          </cell>
          <cell r="AB2962">
            <v>0.4405384</v>
          </cell>
        </row>
        <row r="2963">
          <cell r="A2963">
            <v>53714230</v>
          </cell>
          <cell r="B2963" t="str">
            <v>Granola bar, oats, nuts, coated with non-chocolate coating</v>
          </cell>
          <cell r="I2963">
            <v>40</v>
          </cell>
          <cell r="J2963">
            <v>182</v>
          </cell>
          <cell r="K2963">
            <v>4.55</v>
          </cell>
          <cell r="L2963">
            <v>1.3084992</v>
          </cell>
          <cell r="M2963">
            <v>2.2671999999999999</v>
          </cell>
          <cell r="N2963">
            <v>0</v>
          </cell>
          <cell r="O2963">
            <v>5.4399999999999997E-2</v>
          </cell>
          <cell r="P2963">
            <v>0.4115008</v>
          </cell>
          <cell r="Q2963">
            <v>1.4572000000000001</v>
          </cell>
          <cell r="R2963">
            <v>5.5566000000000004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0.19439999999999999</v>
          </cell>
          <cell r="Y2963">
            <v>9.9792000000000005</v>
          </cell>
          <cell r="Z2963">
            <v>0</v>
          </cell>
          <cell r="AA2963">
            <v>0</v>
          </cell>
          <cell r="AB2963">
            <v>2E-3</v>
          </cell>
        </row>
        <row r="2964">
          <cell r="A2964">
            <v>53714250</v>
          </cell>
          <cell r="B2964" t="str">
            <v>Cereal or granola bar, coated with non-chocolate coating</v>
          </cell>
          <cell r="I2964">
            <v>40</v>
          </cell>
          <cell r="J2964">
            <v>203.2</v>
          </cell>
          <cell r="K2964">
            <v>5.08</v>
          </cell>
          <cell r="L2964">
            <v>0.80102739999999995</v>
          </cell>
          <cell r="M2964">
            <v>6.8040000000000003</v>
          </cell>
          <cell r="N2964">
            <v>0</v>
          </cell>
          <cell r="O2964">
            <v>4.3200000000000002E-2</v>
          </cell>
          <cell r="P2964">
            <v>0.3189726</v>
          </cell>
          <cell r="Q2964">
            <v>0.76</v>
          </cell>
          <cell r="R2964">
            <v>6.6905999999999999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7.7200000000000005E-2</v>
          </cell>
          <cell r="Y2964">
            <v>6.6559999999999997</v>
          </cell>
          <cell r="Z2964">
            <v>0</v>
          </cell>
          <cell r="AA2964">
            <v>0</v>
          </cell>
          <cell r="AB2964">
            <v>5.0556400000000001E-2</v>
          </cell>
        </row>
        <row r="2965">
          <cell r="A2965">
            <v>53714300</v>
          </cell>
          <cell r="B2965" t="str">
            <v>Cereal or granola bar, high fiber, coated with non-chocolate yogurt coating</v>
          </cell>
          <cell r="I2965">
            <v>40</v>
          </cell>
          <cell r="J2965">
            <v>140</v>
          </cell>
          <cell r="K2965">
            <v>3.5</v>
          </cell>
          <cell r="L2965">
            <v>7.1506458999999998</v>
          </cell>
          <cell r="M2965">
            <v>1.3588</v>
          </cell>
          <cell r="N2965">
            <v>0</v>
          </cell>
          <cell r="O2965">
            <v>0.1</v>
          </cell>
          <cell r="P2965">
            <v>1.8493541</v>
          </cell>
          <cell r="Q2965">
            <v>0.93359999999999999</v>
          </cell>
          <cell r="R2965">
            <v>6.2080000000000002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0.14000000000000001</v>
          </cell>
          <cell r="Y2965">
            <v>0</v>
          </cell>
          <cell r="Z2965">
            <v>0</v>
          </cell>
          <cell r="AA2965">
            <v>0</v>
          </cell>
          <cell r="AB2965">
            <v>2.8E-3</v>
          </cell>
        </row>
        <row r="2966">
          <cell r="A2966">
            <v>53714400</v>
          </cell>
          <cell r="B2966" t="str">
            <v>Cereal or granola bar, with rice cereal</v>
          </cell>
          <cell r="I2966">
            <v>40</v>
          </cell>
          <cell r="J2966">
            <v>165.6</v>
          </cell>
          <cell r="K2966">
            <v>4.1399999999999997</v>
          </cell>
          <cell r="L2966">
            <v>0</v>
          </cell>
          <cell r="M2966">
            <v>0.56000000000000005</v>
          </cell>
          <cell r="N2966">
            <v>0</v>
          </cell>
          <cell r="O2966">
            <v>1.1999999999999999E-3</v>
          </cell>
          <cell r="P2966">
            <v>0</v>
          </cell>
          <cell r="Q2966">
            <v>2.04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0.1404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</row>
        <row r="2967">
          <cell r="A2967">
            <v>53714500</v>
          </cell>
          <cell r="B2967" t="str">
            <v>Breakfast bar, NFS</v>
          </cell>
          <cell r="I2967">
            <v>40</v>
          </cell>
          <cell r="J2967">
            <v>150.80000000000001</v>
          </cell>
          <cell r="K2967">
            <v>3.7700000000000005</v>
          </cell>
          <cell r="L2967">
            <v>5.1917600000000001E-2</v>
          </cell>
          <cell r="M2967">
            <v>0.6</v>
          </cell>
          <cell r="N2967">
            <v>0</v>
          </cell>
          <cell r="O2967">
            <v>1.6400000000000001E-2</v>
          </cell>
          <cell r="P2967">
            <v>0.78808239999999996</v>
          </cell>
          <cell r="Q2967">
            <v>0.36</v>
          </cell>
          <cell r="R2967">
            <v>0</v>
          </cell>
          <cell r="S2967">
            <v>0</v>
          </cell>
          <cell r="T2967">
            <v>1.74</v>
          </cell>
          <cell r="U2967">
            <v>0</v>
          </cell>
          <cell r="V2967">
            <v>0</v>
          </cell>
          <cell r="W2967">
            <v>0</v>
          </cell>
          <cell r="X2967">
            <v>0.1188</v>
          </cell>
          <cell r="Y2967">
            <v>0</v>
          </cell>
          <cell r="Z2967">
            <v>0</v>
          </cell>
          <cell r="AA2967">
            <v>0</v>
          </cell>
          <cell r="AB2967">
            <v>7.5114E-2</v>
          </cell>
        </row>
        <row r="2968">
          <cell r="A2968">
            <v>53714520</v>
          </cell>
          <cell r="B2968" t="str">
            <v>Breakfast bar, cereal crust with fruit filling, lowfat</v>
          </cell>
          <cell r="I2968">
            <v>40</v>
          </cell>
          <cell r="J2968">
            <v>150.80000000000001</v>
          </cell>
          <cell r="K2968">
            <v>3.7700000000000005</v>
          </cell>
          <cell r="L2968">
            <v>5.1917600000000001E-2</v>
          </cell>
          <cell r="M2968">
            <v>0.6</v>
          </cell>
          <cell r="N2968">
            <v>0</v>
          </cell>
          <cell r="O2968">
            <v>1.6400000000000001E-2</v>
          </cell>
          <cell r="P2968">
            <v>0.78808239999999996</v>
          </cell>
          <cell r="Q2968">
            <v>0.36</v>
          </cell>
          <cell r="R2968">
            <v>0</v>
          </cell>
          <cell r="S2968">
            <v>0</v>
          </cell>
          <cell r="T2968">
            <v>1.74</v>
          </cell>
          <cell r="U2968">
            <v>0</v>
          </cell>
          <cell r="V2968">
            <v>0</v>
          </cell>
          <cell r="W2968">
            <v>0</v>
          </cell>
          <cell r="X2968">
            <v>0.1188</v>
          </cell>
          <cell r="Y2968">
            <v>0</v>
          </cell>
          <cell r="Z2968">
            <v>0</v>
          </cell>
          <cell r="AA2968">
            <v>0</v>
          </cell>
          <cell r="AB2968">
            <v>7.50778E-2</v>
          </cell>
        </row>
        <row r="2969">
          <cell r="A2969">
            <v>53720100</v>
          </cell>
          <cell r="B2969" t="str">
            <v>Nutrition bar (Balance Original Bar)</v>
          </cell>
          <cell r="I2969">
            <v>40</v>
          </cell>
          <cell r="J2969">
            <v>166</v>
          </cell>
          <cell r="K2969">
            <v>4.1500000000000004</v>
          </cell>
          <cell r="L2969">
            <v>0</v>
          </cell>
          <cell r="M2969">
            <v>0.45960000000000001</v>
          </cell>
          <cell r="N2969">
            <v>0</v>
          </cell>
          <cell r="O2969">
            <v>0.2172</v>
          </cell>
          <cell r="P2969">
            <v>1.24</v>
          </cell>
          <cell r="Q2969">
            <v>0.78759999999999997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0.1012</v>
          </cell>
          <cell r="Y2969">
            <v>1.9844999999999999</v>
          </cell>
          <cell r="Z2969">
            <v>0</v>
          </cell>
          <cell r="AA2969">
            <v>0</v>
          </cell>
          <cell r="AB2969">
            <v>4.0000000000000002E-4</v>
          </cell>
        </row>
        <row r="2970">
          <cell r="A2970">
            <v>53720200</v>
          </cell>
          <cell r="B2970" t="str">
            <v>Nutrition bar (Clif Bar)</v>
          </cell>
          <cell r="I2970">
            <v>40</v>
          </cell>
          <cell r="J2970">
            <v>138.4</v>
          </cell>
          <cell r="K2970">
            <v>3.46</v>
          </cell>
          <cell r="L2970">
            <v>1.9506934</v>
          </cell>
          <cell r="M2970">
            <v>0.58840000000000003</v>
          </cell>
          <cell r="N2970">
            <v>0</v>
          </cell>
          <cell r="O2970">
            <v>0.1472</v>
          </cell>
          <cell r="P2970">
            <v>1.0093065999999999</v>
          </cell>
          <cell r="Q2970">
            <v>0.87280000000000002</v>
          </cell>
          <cell r="R2970">
            <v>4.7359999999999998</v>
          </cell>
          <cell r="S2970">
            <v>5.6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7.8E-2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</row>
        <row r="2971">
          <cell r="A2971">
            <v>53720210</v>
          </cell>
          <cell r="B2971" t="str">
            <v>Nutrition bar (Clif Kids Organic Zbar)</v>
          </cell>
          <cell r="I2971">
            <v>40</v>
          </cell>
          <cell r="J2971">
            <v>163.6</v>
          </cell>
          <cell r="K2971">
            <v>4.09</v>
          </cell>
          <cell r="L2971">
            <v>2.4191216</v>
          </cell>
          <cell r="M2971">
            <v>1.0884</v>
          </cell>
          <cell r="N2971">
            <v>0</v>
          </cell>
          <cell r="O2971">
            <v>0.17760000000000001</v>
          </cell>
          <cell r="P2971">
            <v>0.90087839999999997</v>
          </cell>
          <cell r="Q2971">
            <v>1.3275999999999999</v>
          </cell>
          <cell r="R2971">
            <v>6.7839999999999998</v>
          </cell>
          <cell r="S2971">
            <v>0</v>
          </cell>
          <cell r="T2971">
            <v>4.0599999999999996</v>
          </cell>
          <cell r="U2971">
            <v>0</v>
          </cell>
          <cell r="V2971">
            <v>0</v>
          </cell>
          <cell r="W2971">
            <v>0</v>
          </cell>
          <cell r="X2971">
            <v>0.15</v>
          </cell>
          <cell r="Y2971">
            <v>0.39689999999999998</v>
          </cell>
          <cell r="Z2971">
            <v>0</v>
          </cell>
          <cell r="AA2971">
            <v>0</v>
          </cell>
          <cell r="AB2971">
            <v>5.1999999999999998E-3</v>
          </cell>
        </row>
        <row r="2972">
          <cell r="A2972">
            <v>53720300</v>
          </cell>
          <cell r="B2972" t="str">
            <v>Nutrition bar (PowerBar)</v>
          </cell>
          <cell r="I2972">
            <v>40</v>
          </cell>
          <cell r="J2972">
            <v>145.19999999999999</v>
          </cell>
          <cell r="K2972">
            <v>3.63</v>
          </cell>
          <cell r="L2972">
            <v>1.6306628999999999</v>
          </cell>
          <cell r="M2972">
            <v>0.52800000000000002</v>
          </cell>
          <cell r="N2972">
            <v>0</v>
          </cell>
          <cell r="O2972">
            <v>0.2016</v>
          </cell>
          <cell r="P2972">
            <v>0.6493371</v>
          </cell>
          <cell r="Q2972">
            <v>0.2356</v>
          </cell>
          <cell r="R2972">
            <v>5.2480000000000002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0.1232</v>
          </cell>
          <cell r="Y2972">
            <v>1.5308999999999999</v>
          </cell>
          <cell r="Z2972">
            <v>0</v>
          </cell>
          <cell r="AA2972">
            <v>0</v>
          </cell>
          <cell r="AB2972">
            <v>4.0000000000000001E-3</v>
          </cell>
        </row>
        <row r="2973">
          <cell r="A2973">
            <v>53720500</v>
          </cell>
          <cell r="B2973" t="str">
            <v>Nutrition bar (Snickers Marathon Protein Bar)</v>
          </cell>
          <cell r="I2973">
            <v>40</v>
          </cell>
          <cell r="J2973">
            <v>166</v>
          </cell>
          <cell r="K2973">
            <v>4.1500000000000004</v>
          </cell>
          <cell r="L2973">
            <v>5</v>
          </cell>
          <cell r="M2973">
            <v>2.5</v>
          </cell>
          <cell r="N2973">
            <v>0</v>
          </cell>
          <cell r="O2973">
            <v>0.25</v>
          </cell>
          <cell r="P2973">
            <v>0</v>
          </cell>
          <cell r="Q2973">
            <v>1.1568000000000001</v>
          </cell>
          <cell r="R2973">
            <v>0</v>
          </cell>
          <cell r="S2973">
            <v>16.100000000000001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9.5200000000000007E-2</v>
          </cell>
          <cell r="Y2973">
            <v>7.5411000000000001</v>
          </cell>
          <cell r="Z2973">
            <v>0</v>
          </cell>
          <cell r="AA2973">
            <v>0</v>
          </cell>
          <cell r="AB2973">
            <v>0</v>
          </cell>
        </row>
        <row r="2974">
          <cell r="A2974">
            <v>53720610</v>
          </cell>
          <cell r="B2974" t="str">
            <v>Nutrition bar (South Beach Living High Protein Bar)</v>
          </cell>
          <cell r="I2974">
            <v>40</v>
          </cell>
          <cell r="J2974">
            <v>164.8</v>
          </cell>
          <cell r="K2974">
            <v>4.12</v>
          </cell>
          <cell r="L2974">
            <v>2.92</v>
          </cell>
          <cell r="M2974">
            <v>1.3535999999999999</v>
          </cell>
          <cell r="N2974">
            <v>0</v>
          </cell>
          <cell r="O2974">
            <v>0.1288</v>
          </cell>
          <cell r="P2974">
            <v>0</v>
          </cell>
          <cell r="Q2974">
            <v>2.1303999999999998</v>
          </cell>
          <cell r="R2974">
            <v>1.3440000000000001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0.1744</v>
          </cell>
          <cell r="Y2974">
            <v>6.4070999999999998</v>
          </cell>
          <cell r="Z2974">
            <v>0</v>
          </cell>
          <cell r="AA2974">
            <v>0</v>
          </cell>
          <cell r="AB2974">
            <v>3.6400000000000002E-2</v>
          </cell>
        </row>
        <row r="2975">
          <cell r="A2975">
            <v>53720700</v>
          </cell>
          <cell r="B2975" t="str">
            <v>Tiger's Milk bar</v>
          </cell>
          <cell r="I2975">
            <v>40</v>
          </cell>
          <cell r="J2975">
            <v>168.8</v>
          </cell>
          <cell r="K2975">
            <v>4.2200000000000006</v>
          </cell>
          <cell r="L2975">
            <v>0.65524939999999998</v>
          </cell>
          <cell r="M2975">
            <v>0.82920000000000005</v>
          </cell>
          <cell r="N2975">
            <v>0</v>
          </cell>
          <cell r="O2975">
            <v>0.1716</v>
          </cell>
          <cell r="P2975">
            <v>0.2647506</v>
          </cell>
          <cell r="Q2975">
            <v>1.4712000000000001</v>
          </cell>
          <cell r="R2975">
            <v>0</v>
          </cell>
          <cell r="S2975">
            <v>10.5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6.7199999999999996E-2</v>
          </cell>
          <cell r="Y2975">
            <v>9.4688999999999997</v>
          </cell>
          <cell r="Z2975">
            <v>0</v>
          </cell>
          <cell r="AA2975">
            <v>0</v>
          </cell>
          <cell r="AB2975">
            <v>1.44E-2</v>
          </cell>
        </row>
        <row r="2976">
          <cell r="A2976">
            <v>53720800</v>
          </cell>
          <cell r="B2976" t="str">
            <v>Nutrition bar (Zone Perfect Classic Crunch)</v>
          </cell>
          <cell r="I2976">
            <v>40</v>
          </cell>
          <cell r="J2976">
            <v>168.8</v>
          </cell>
          <cell r="K2976">
            <v>4.2200000000000006</v>
          </cell>
          <cell r="L2976">
            <v>0.46927380000000002</v>
          </cell>
          <cell r="M2976">
            <v>1.7996000000000001</v>
          </cell>
          <cell r="N2976">
            <v>0</v>
          </cell>
          <cell r="O2976">
            <v>0.08</v>
          </cell>
          <cell r="P2976">
            <v>0.33072620000000003</v>
          </cell>
          <cell r="Q2976">
            <v>1.9216</v>
          </cell>
          <cell r="R2976">
            <v>0</v>
          </cell>
          <cell r="S2976">
            <v>0</v>
          </cell>
          <cell r="T2976">
            <v>4.0599999999999996</v>
          </cell>
          <cell r="U2976">
            <v>0</v>
          </cell>
          <cell r="V2976">
            <v>0</v>
          </cell>
          <cell r="W2976">
            <v>0</v>
          </cell>
          <cell r="X2976">
            <v>0.20799999999999999</v>
          </cell>
          <cell r="Y2976">
            <v>3.5720999999999998</v>
          </cell>
          <cell r="Z2976">
            <v>0</v>
          </cell>
          <cell r="AA2976">
            <v>0</v>
          </cell>
          <cell r="AB2976">
            <v>0</v>
          </cell>
        </row>
        <row r="2977">
          <cell r="A2977">
            <v>53729000</v>
          </cell>
          <cell r="B2977" t="str">
            <v>Nutrition bar or meal replacement bar, NFS</v>
          </cell>
          <cell r="I2977">
            <v>40</v>
          </cell>
          <cell r="J2977">
            <v>168.8</v>
          </cell>
          <cell r="K2977">
            <v>4.2200000000000006</v>
          </cell>
          <cell r="L2977">
            <v>0.46927380000000002</v>
          </cell>
          <cell r="M2977">
            <v>1.7996000000000001</v>
          </cell>
          <cell r="N2977">
            <v>0</v>
          </cell>
          <cell r="O2977">
            <v>0.08</v>
          </cell>
          <cell r="P2977">
            <v>0.33072620000000003</v>
          </cell>
          <cell r="Q2977">
            <v>1.9216</v>
          </cell>
          <cell r="R2977">
            <v>0</v>
          </cell>
          <cell r="S2977">
            <v>0</v>
          </cell>
          <cell r="T2977">
            <v>4.0599999999999996</v>
          </cell>
          <cell r="U2977">
            <v>0</v>
          </cell>
          <cell r="V2977">
            <v>0</v>
          </cell>
          <cell r="W2977">
            <v>0</v>
          </cell>
          <cell r="X2977">
            <v>0.20799999999999999</v>
          </cell>
          <cell r="Y2977">
            <v>3.5720999999999998</v>
          </cell>
          <cell r="Z2977">
            <v>0</v>
          </cell>
          <cell r="AA2977">
            <v>0</v>
          </cell>
          <cell r="AB2977">
            <v>0</v>
          </cell>
        </row>
        <row r="2978">
          <cell r="A2978">
            <v>54001000</v>
          </cell>
          <cell r="B2978" t="str">
            <v>Crackers, NFS</v>
          </cell>
          <cell r="I2978">
            <v>30</v>
          </cell>
          <cell r="J2978">
            <v>153</v>
          </cell>
          <cell r="K2978">
            <v>5.0999999999999996</v>
          </cell>
          <cell r="L2978">
            <v>0</v>
          </cell>
          <cell r="M2978">
            <v>1.6686000000000001</v>
          </cell>
          <cell r="N2978">
            <v>0</v>
          </cell>
          <cell r="O2978">
            <v>3.5999999999999997E-2</v>
          </cell>
          <cell r="P2978">
            <v>0.69</v>
          </cell>
          <cell r="Q2978">
            <v>3.9411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0.21779999999999999</v>
          </cell>
          <cell r="Y2978">
            <v>0</v>
          </cell>
          <cell r="Z2978">
            <v>0</v>
          </cell>
          <cell r="AA2978">
            <v>0</v>
          </cell>
          <cell r="AB2978">
            <v>0.32279999999999998</v>
          </cell>
        </row>
        <row r="2979">
          <cell r="A2979">
            <v>54102010</v>
          </cell>
          <cell r="B2979" t="str">
            <v>Graham crackers</v>
          </cell>
          <cell r="I2979">
            <v>30</v>
          </cell>
          <cell r="J2979">
            <v>129</v>
          </cell>
          <cell r="K2979">
            <v>4.3</v>
          </cell>
          <cell r="L2979">
            <v>0.67665010000000003</v>
          </cell>
          <cell r="M2979">
            <v>0.4899</v>
          </cell>
          <cell r="N2979">
            <v>0</v>
          </cell>
          <cell r="O2979">
            <v>2.3099999999999999E-2</v>
          </cell>
          <cell r="P2979">
            <v>0.34334989999999999</v>
          </cell>
          <cell r="Q2979">
            <v>1.6164000000000001</v>
          </cell>
          <cell r="R2979">
            <v>8.4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0.13769999999999999</v>
          </cell>
          <cell r="Y2979">
            <v>0</v>
          </cell>
          <cell r="Z2979">
            <v>0</v>
          </cell>
          <cell r="AA2979">
            <v>0</v>
          </cell>
          <cell r="AB2979">
            <v>1.6500000000000001E-2</v>
          </cell>
        </row>
        <row r="2980">
          <cell r="A2980">
            <v>54102015</v>
          </cell>
          <cell r="B2980" t="str">
            <v>Graham crackers (Teddy Grahams)</v>
          </cell>
          <cell r="I2980">
            <v>30</v>
          </cell>
          <cell r="J2980">
            <v>129</v>
          </cell>
          <cell r="K2980">
            <v>4.3</v>
          </cell>
          <cell r="L2980">
            <v>0.67665010000000003</v>
          </cell>
          <cell r="M2980">
            <v>0.4899</v>
          </cell>
          <cell r="N2980">
            <v>0</v>
          </cell>
          <cell r="O2980">
            <v>2.3099999999999999E-2</v>
          </cell>
          <cell r="P2980">
            <v>0.34334989999999999</v>
          </cell>
          <cell r="Q2980">
            <v>1.6164000000000001</v>
          </cell>
          <cell r="R2980">
            <v>8.4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0.13769999999999999</v>
          </cell>
          <cell r="Y2980">
            <v>0</v>
          </cell>
          <cell r="Z2980">
            <v>0</v>
          </cell>
          <cell r="AA2980">
            <v>0</v>
          </cell>
          <cell r="AB2980">
            <v>1.6500000000000001E-2</v>
          </cell>
        </row>
        <row r="2981">
          <cell r="A2981">
            <v>54102020</v>
          </cell>
          <cell r="B2981" t="str">
            <v>Graham crackers, chocolate covered</v>
          </cell>
          <cell r="I2981">
            <v>30</v>
          </cell>
          <cell r="J2981">
            <v>150</v>
          </cell>
          <cell r="K2981">
            <v>5</v>
          </cell>
          <cell r="L2981">
            <v>0.43846580000000002</v>
          </cell>
          <cell r="M2981">
            <v>5.16</v>
          </cell>
          <cell r="N2981">
            <v>0</v>
          </cell>
          <cell r="O2981">
            <v>1.38E-2</v>
          </cell>
          <cell r="P2981">
            <v>0.22153419999999999</v>
          </cell>
          <cell r="Q2981">
            <v>1.47</v>
          </cell>
          <cell r="R2981">
            <v>4.4640000000000004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7.9500000000000001E-2</v>
          </cell>
          <cell r="Y2981">
            <v>0</v>
          </cell>
          <cell r="Z2981">
            <v>0</v>
          </cell>
          <cell r="AA2981">
            <v>0</v>
          </cell>
          <cell r="AB2981">
            <v>0.16500000000000001</v>
          </cell>
        </row>
        <row r="2982">
          <cell r="A2982">
            <v>54102050</v>
          </cell>
          <cell r="B2982" t="str">
            <v>Crackers, oatmeal</v>
          </cell>
          <cell r="I2982">
            <v>30</v>
          </cell>
          <cell r="J2982">
            <v>136.5</v>
          </cell>
          <cell r="K2982">
            <v>4.55</v>
          </cell>
          <cell r="L2982">
            <v>0.92148269999999999</v>
          </cell>
          <cell r="M2982">
            <v>0.96299999999999997</v>
          </cell>
          <cell r="N2982">
            <v>0</v>
          </cell>
          <cell r="O2982">
            <v>2.76E-2</v>
          </cell>
          <cell r="P2982">
            <v>1.1485173</v>
          </cell>
          <cell r="Q2982">
            <v>2.5421999999999998</v>
          </cell>
          <cell r="R2982">
            <v>4.8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0.2097</v>
          </cell>
          <cell r="Y2982">
            <v>0</v>
          </cell>
          <cell r="Z2982">
            <v>0</v>
          </cell>
          <cell r="AA2982">
            <v>0</v>
          </cell>
          <cell r="AB2982">
            <v>1.0200000000000001E-2</v>
          </cell>
        </row>
        <row r="2983">
          <cell r="A2983">
            <v>54102060</v>
          </cell>
          <cell r="B2983" t="str">
            <v>Crackers, Cuban</v>
          </cell>
          <cell r="I2983">
            <v>30</v>
          </cell>
          <cell r="J2983">
            <v>129</v>
          </cell>
          <cell r="K2983">
            <v>4.3</v>
          </cell>
          <cell r="L2983">
            <v>0</v>
          </cell>
          <cell r="M2983">
            <v>0.96360000000000001</v>
          </cell>
          <cell r="N2983">
            <v>0</v>
          </cell>
          <cell r="O2983">
            <v>2.2200000000000001E-2</v>
          </cell>
          <cell r="P2983">
            <v>0.3</v>
          </cell>
          <cell r="Q2983">
            <v>0.51870000000000005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0.13769999999999999</v>
          </cell>
          <cell r="Y2983">
            <v>0</v>
          </cell>
          <cell r="Z2983">
            <v>0</v>
          </cell>
          <cell r="AA2983">
            <v>0</v>
          </cell>
          <cell r="AB2983">
            <v>0.1456895</v>
          </cell>
        </row>
        <row r="2984">
          <cell r="A2984">
            <v>54102100</v>
          </cell>
          <cell r="B2984" t="str">
            <v>Graham crackers, reduced fat</v>
          </cell>
          <cell r="I2984">
            <v>30</v>
          </cell>
          <cell r="J2984">
            <v>115.8</v>
          </cell>
          <cell r="K2984">
            <v>3.86</v>
          </cell>
          <cell r="L2984">
            <v>1.1343840000000001</v>
          </cell>
          <cell r="M2984">
            <v>0</v>
          </cell>
          <cell r="N2984">
            <v>0</v>
          </cell>
          <cell r="O2984">
            <v>0.12870000000000001</v>
          </cell>
          <cell r="P2984">
            <v>0.57561600000000002</v>
          </cell>
          <cell r="Q2984">
            <v>1.0101</v>
          </cell>
          <cell r="R2984">
            <v>8.4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0.18870000000000001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</row>
        <row r="2985">
          <cell r="A2985">
            <v>54102200</v>
          </cell>
          <cell r="B2985" t="str">
            <v>Graham crackers, sandwich, with filling</v>
          </cell>
          <cell r="I2985">
            <v>30</v>
          </cell>
          <cell r="J2985">
            <v>144.9</v>
          </cell>
          <cell r="K2985">
            <v>4.83</v>
          </cell>
          <cell r="L2985">
            <v>0</v>
          </cell>
          <cell r="M2985">
            <v>0.89370000000000005</v>
          </cell>
          <cell r="N2985">
            <v>0</v>
          </cell>
          <cell r="O2985">
            <v>8.0999999999999996E-3</v>
          </cell>
          <cell r="P2985">
            <v>0.45</v>
          </cell>
          <cell r="Q2985">
            <v>2.2652999999999999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0.1047</v>
          </cell>
          <cell r="Y2985">
            <v>0</v>
          </cell>
          <cell r="Z2985">
            <v>0</v>
          </cell>
          <cell r="AA2985">
            <v>0</v>
          </cell>
          <cell r="AB2985">
            <v>0.18199000000000001</v>
          </cell>
        </row>
        <row r="2986">
          <cell r="A2986">
            <v>54103000</v>
          </cell>
          <cell r="B2986" t="str">
            <v>Crackers, breakfast biscuit</v>
          </cell>
          <cell r="I2986">
            <v>30</v>
          </cell>
          <cell r="J2986">
            <v>127.965</v>
          </cell>
          <cell r="K2986">
            <v>4.2655000000000003</v>
          </cell>
          <cell r="L2986">
            <v>0.94570880000000002</v>
          </cell>
          <cell r="M2986">
            <v>0.67040999999999995</v>
          </cell>
          <cell r="N2986">
            <v>0</v>
          </cell>
          <cell r="O2986">
            <v>1.38E-2</v>
          </cell>
          <cell r="P2986">
            <v>1.2562911999999999</v>
          </cell>
          <cell r="Q2986">
            <v>1.8817649999999999</v>
          </cell>
          <cell r="R2986">
            <v>4.7088000000000001</v>
          </cell>
          <cell r="S2986">
            <v>0</v>
          </cell>
          <cell r="T2986">
            <v>1.11375</v>
          </cell>
          <cell r="U2986">
            <v>0</v>
          </cell>
          <cell r="V2986">
            <v>0</v>
          </cell>
          <cell r="W2986">
            <v>0</v>
          </cell>
          <cell r="X2986">
            <v>0.11901</v>
          </cell>
          <cell r="Y2986">
            <v>0</v>
          </cell>
          <cell r="Z2986">
            <v>0</v>
          </cell>
          <cell r="AA2986">
            <v>0</v>
          </cell>
          <cell r="AB2986">
            <v>0.1924891</v>
          </cell>
        </row>
        <row r="2987">
          <cell r="A2987">
            <v>54200100</v>
          </cell>
          <cell r="B2987" t="str">
            <v>Crackers, butter, reduced sodium</v>
          </cell>
          <cell r="I2987">
            <v>30</v>
          </cell>
          <cell r="J2987">
            <v>132.9</v>
          </cell>
          <cell r="K2987">
            <v>4.4300000000000006</v>
          </cell>
          <cell r="L2987">
            <v>2.2528896</v>
          </cell>
          <cell r="M2987">
            <v>1.0179</v>
          </cell>
          <cell r="N2987">
            <v>0</v>
          </cell>
          <cell r="O2987">
            <v>1.4999999999999999E-2</v>
          </cell>
          <cell r="P2987">
            <v>0.89711039999999997</v>
          </cell>
          <cell r="Q2987">
            <v>1.9787999999999999</v>
          </cell>
          <cell r="R2987">
            <v>12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5.5800000000000002E-2</v>
          </cell>
          <cell r="Y2987">
            <v>0</v>
          </cell>
          <cell r="Z2987">
            <v>0</v>
          </cell>
          <cell r="AA2987">
            <v>0</v>
          </cell>
          <cell r="AB2987">
            <v>0.16940520000000001</v>
          </cell>
        </row>
        <row r="2988">
          <cell r="A2988">
            <v>54202010</v>
          </cell>
          <cell r="B2988" t="str">
            <v>Crackers, saltine, low sodium</v>
          </cell>
          <cell r="I2988">
            <v>30</v>
          </cell>
          <cell r="J2988">
            <v>126.3</v>
          </cell>
          <cell r="K2988">
            <v>4.21</v>
          </cell>
          <cell r="L2988">
            <v>0</v>
          </cell>
          <cell r="M2988">
            <v>0.60029999999999994</v>
          </cell>
          <cell r="N2988">
            <v>0</v>
          </cell>
          <cell r="O2988">
            <v>3.5700000000000003E-2</v>
          </cell>
          <cell r="P2988">
            <v>0.87</v>
          </cell>
          <cell r="Q2988">
            <v>1.2203999999999999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5.9400000000000001E-2</v>
          </cell>
          <cell r="Y2988">
            <v>0</v>
          </cell>
          <cell r="Z2988">
            <v>0</v>
          </cell>
          <cell r="AA2988">
            <v>0</v>
          </cell>
          <cell r="AB2988">
            <v>0.13289999999999999</v>
          </cell>
        </row>
        <row r="2989">
          <cell r="A2989">
            <v>54202020</v>
          </cell>
          <cell r="B2989" t="str">
            <v>Crackers, saltine, reduced sodium</v>
          </cell>
          <cell r="I2989">
            <v>30</v>
          </cell>
          <cell r="J2989">
            <v>124.8314</v>
          </cell>
          <cell r="K2989">
            <v>4.1610466666666666</v>
          </cell>
          <cell r="L2989">
            <v>0</v>
          </cell>
          <cell r="M2989">
            <v>0.59331979999999995</v>
          </cell>
          <cell r="N2989">
            <v>0</v>
          </cell>
          <cell r="O2989">
            <v>3.53686E-2</v>
          </cell>
          <cell r="P2989">
            <v>0.85988370000000003</v>
          </cell>
          <cell r="Q2989">
            <v>1.2062093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0.19391159999999999</v>
          </cell>
          <cell r="Y2989">
            <v>0</v>
          </cell>
          <cell r="Z2989">
            <v>0</v>
          </cell>
          <cell r="AA2989">
            <v>0</v>
          </cell>
          <cell r="AB2989">
            <v>0.13135469999999999</v>
          </cell>
        </row>
        <row r="2990">
          <cell r="A2990">
            <v>54203010</v>
          </cell>
          <cell r="B2990" t="str">
            <v>Crackers, toast thins (rye, wheat, white flour), low sodium</v>
          </cell>
          <cell r="I2990">
            <v>30</v>
          </cell>
          <cell r="J2990">
            <v>132.6</v>
          </cell>
          <cell r="K2990">
            <v>4.42</v>
          </cell>
          <cell r="L2990">
            <v>2.91</v>
          </cell>
          <cell r="M2990">
            <v>0.96779999999999999</v>
          </cell>
          <cell r="N2990">
            <v>0</v>
          </cell>
          <cell r="O2990">
            <v>0</v>
          </cell>
          <cell r="P2990">
            <v>0</v>
          </cell>
          <cell r="Q2990">
            <v>2.5857000000000001</v>
          </cell>
          <cell r="R2990">
            <v>21.024000000000001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5.3100000000000001E-2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</row>
        <row r="2991">
          <cell r="A2991">
            <v>54204010</v>
          </cell>
          <cell r="B2991" t="str">
            <v>Cracker, 100% whole wheat, low sodium</v>
          </cell>
          <cell r="I2991">
            <v>30</v>
          </cell>
          <cell r="J2991">
            <v>132.9</v>
          </cell>
          <cell r="K2991">
            <v>4.4300000000000006</v>
          </cell>
          <cell r="L2991">
            <v>3.15</v>
          </cell>
          <cell r="M2991">
            <v>1.0179</v>
          </cell>
          <cell r="N2991">
            <v>0</v>
          </cell>
          <cell r="O2991">
            <v>1.4999999999999999E-2</v>
          </cell>
          <cell r="P2991">
            <v>0</v>
          </cell>
          <cell r="Q2991">
            <v>1.9787999999999999</v>
          </cell>
          <cell r="R2991">
            <v>25.488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5.5800000000000002E-2</v>
          </cell>
          <cell r="Y2991">
            <v>0</v>
          </cell>
          <cell r="Z2991">
            <v>0</v>
          </cell>
          <cell r="AA2991">
            <v>0</v>
          </cell>
          <cell r="AB2991">
            <v>0.31891989999999998</v>
          </cell>
        </row>
        <row r="2992">
          <cell r="A2992">
            <v>54204020</v>
          </cell>
          <cell r="B2992" t="str">
            <v>Crackers, wheat, reduced sodium</v>
          </cell>
          <cell r="I2992">
            <v>30</v>
          </cell>
          <cell r="J2992">
            <v>132.9</v>
          </cell>
          <cell r="K2992">
            <v>4.4300000000000006</v>
          </cell>
          <cell r="L2992">
            <v>2.2528896</v>
          </cell>
          <cell r="M2992">
            <v>1.0179</v>
          </cell>
          <cell r="N2992">
            <v>0</v>
          </cell>
          <cell r="O2992">
            <v>1.4999999999999999E-2</v>
          </cell>
          <cell r="P2992">
            <v>0.89711039999999997</v>
          </cell>
          <cell r="Q2992">
            <v>1.9787999999999999</v>
          </cell>
          <cell r="R2992">
            <v>12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5.5800000000000002E-2</v>
          </cell>
          <cell r="Y2992">
            <v>0</v>
          </cell>
          <cell r="Z2992">
            <v>0</v>
          </cell>
          <cell r="AA2992">
            <v>0</v>
          </cell>
          <cell r="AB2992">
            <v>0.16959399999999999</v>
          </cell>
        </row>
        <row r="2993">
          <cell r="A2993">
            <v>54204030</v>
          </cell>
          <cell r="B2993" t="str">
            <v>Crackers, woven wheat, reduced sodium</v>
          </cell>
          <cell r="I2993">
            <v>30</v>
          </cell>
          <cell r="J2993">
            <v>132.9</v>
          </cell>
          <cell r="K2993">
            <v>4.4300000000000006</v>
          </cell>
          <cell r="L2993">
            <v>2.2528896</v>
          </cell>
          <cell r="M2993">
            <v>1.0179</v>
          </cell>
          <cell r="N2993">
            <v>0</v>
          </cell>
          <cell r="O2993">
            <v>1.4999999999999999E-2</v>
          </cell>
          <cell r="P2993">
            <v>0.89711039999999997</v>
          </cell>
          <cell r="Q2993">
            <v>1.9787999999999999</v>
          </cell>
          <cell r="R2993">
            <v>12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5.5800000000000002E-2</v>
          </cell>
          <cell r="Y2993">
            <v>0</v>
          </cell>
          <cell r="Z2993">
            <v>0</v>
          </cell>
          <cell r="AA2993">
            <v>0</v>
          </cell>
          <cell r="AB2993">
            <v>0.1692304</v>
          </cell>
        </row>
        <row r="2994">
          <cell r="A2994">
            <v>54205010</v>
          </cell>
          <cell r="B2994" t="str">
            <v>Cracker, snack, low sodium</v>
          </cell>
          <cell r="I2994">
            <v>30</v>
          </cell>
          <cell r="J2994">
            <v>150.6</v>
          </cell>
          <cell r="K2994">
            <v>5.0199999999999996</v>
          </cell>
          <cell r="L2994">
            <v>0</v>
          </cell>
          <cell r="M2994">
            <v>1.1328</v>
          </cell>
          <cell r="N2994">
            <v>0</v>
          </cell>
          <cell r="O2994">
            <v>3.5999999999999997E-2</v>
          </cell>
          <cell r="P2994">
            <v>0.48</v>
          </cell>
          <cell r="Q2994">
            <v>2.8635000000000002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6.4799999999999996E-2</v>
          </cell>
          <cell r="Y2994">
            <v>0</v>
          </cell>
          <cell r="Z2994">
            <v>0</v>
          </cell>
          <cell r="AA2994">
            <v>0</v>
          </cell>
          <cell r="AB2994">
            <v>0.4754736</v>
          </cell>
        </row>
        <row r="2995">
          <cell r="A2995">
            <v>54205030</v>
          </cell>
          <cell r="B2995" t="str">
            <v>Cracker, cheese, low sodium</v>
          </cell>
          <cell r="I2995">
            <v>30</v>
          </cell>
          <cell r="J2995">
            <v>150.9</v>
          </cell>
          <cell r="K2995">
            <v>5.03</v>
          </cell>
          <cell r="L2995">
            <v>0</v>
          </cell>
          <cell r="M2995">
            <v>2.8914</v>
          </cell>
          <cell r="N2995">
            <v>0</v>
          </cell>
          <cell r="O2995">
            <v>4.53E-2</v>
          </cell>
          <cell r="P2995">
            <v>0.72</v>
          </cell>
          <cell r="Q2995">
            <v>0.73709999999999998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0.13739999999999999</v>
          </cell>
          <cell r="Y2995">
            <v>0</v>
          </cell>
          <cell r="Z2995">
            <v>0</v>
          </cell>
          <cell r="AA2995">
            <v>0</v>
          </cell>
          <cell r="AB2995">
            <v>0.44440629999999998</v>
          </cell>
        </row>
        <row r="2996">
          <cell r="A2996">
            <v>54205100</v>
          </cell>
          <cell r="B2996" t="str">
            <v>Cracker, snack, reduced fat, reduced sodium</v>
          </cell>
          <cell r="I2996">
            <v>30</v>
          </cell>
          <cell r="J2996">
            <v>126.3</v>
          </cell>
          <cell r="K2996">
            <v>4.21</v>
          </cell>
          <cell r="L2996">
            <v>0</v>
          </cell>
          <cell r="M2996">
            <v>0.60029999999999994</v>
          </cell>
          <cell r="N2996">
            <v>0</v>
          </cell>
          <cell r="O2996">
            <v>3.5700000000000003E-2</v>
          </cell>
          <cell r="P2996">
            <v>0.87</v>
          </cell>
          <cell r="Q2996">
            <v>1.2203999999999999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5.9400000000000001E-2</v>
          </cell>
          <cell r="Y2996">
            <v>0</v>
          </cell>
          <cell r="Z2996">
            <v>0</v>
          </cell>
          <cell r="AA2996">
            <v>0</v>
          </cell>
          <cell r="AB2996">
            <v>0.13289999999999999</v>
          </cell>
        </row>
        <row r="2997">
          <cell r="A2997">
            <v>54210010</v>
          </cell>
          <cell r="B2997" t="str">
            <v>Cracker, multigrain, low sodium</v>
          </cell>
          <cell r="I2997">
            <v>30</v>
          </cell>
          <cell r="J2997">
            <v>132.9</v>
          </cell>
          <cell r="K2997">
            <v>4.4300000000000006</v>
          </cell>
          <cell r="L2997">
            <v>3.15</v>
          </cell>
          <cell r="M2997">
            <v>1.0179</v>
          </cell>
          <cell r="N2997">
            <v>0</v>
          </cell>
          <cell r="O2997">
            <v>1.4999999999999999E-2</v>
          </cell>
          <cell r="P2997">
            <v>0</v>
          </cell>
          <cell r="Q2997">
            <v>1.9787999999999999</v>
          </cell>
          <cell r="R2997">
            <v>25.488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5.5800000000000002E-2</v>
          </cell>
          <cell r="Y2997">
            <v>0</v>
          </cell>
          <cell r="Z2997">
            <v>0</v>
          </cell>
          <cell r="AA2997">
            <v>0</v>
          </cell>
          <cell r="AB2997">
            <v>0.30287700000000001</v>
          </cell>
        </row>
        <row r="2998">
          <cell r="A2998">
            <v>54301000</v>
          </cell>
          <cell r="B2998" t="str">
            <v>Cracker, snack</v>
          </cell>
          <cell r="I2998">
            <v>30</v>
          </cell>
          <cell r="J2998">
            <v>153</v>
          </cell>
          <cell r="K2998">
            <v>5.0999999999999996</v>
          </cell>
          <cell r="L2998">
            <v>0</v>
          </cell>
          <cell r="M2998">
            <v>1.6686000000000001</v>
          </cell>
          <cell r="N2998">
            <v>0</v>
          </cell>
          <cell r="O2998">
            <v>3.5999999999999997E-2</v>
          </cell>
          <cell r="P2998">
            <v>0.69</v>
          </cell>
          <cell r="Q2998">
            <v>3.9411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0.21779999999999999</v>
          </cell>
          <cell r="Y2998">
            <v>0</v>
          </cell>
          <cell r="Z2998">
            <v>0</v>
          </cell>
          <cell r="AA2998">
            <v>0</v>
          </cell>
          <cell r="AB2998">
            <v>0.32279999999999998</v>
          </cell>
        </row>
        <row r="2999">
          <cell r="A2999">
            <v>54301010</v>
          </cell>
          <cell r="B2999" t="str">
            <v>Crackers, butter, plain</v>
          </cell>
          <cell r="I2999">
            <v>30</v>
          </cell>
          <cell r="J2999">
            <v>153</v>
          </cell>
          <cell r="K2999">
            <v>5.0999999999999996</v>
          </cell>
          <cell r="L2999">
            <v>0</v>
          </cell>
          <cell r="M2999">
            <v>1.6686000000000001</v>
          </cell>
          <cell r="N2999">
            <v>0</v>
          </cell>
          <cell r="O2999">
            <v>3.5999999999999997E-2</v>
          </cell>
          <cell r="P2999">
            <v>0.69</v>
          </cell>
          <cell r="Q2999">
            <v>3.9411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0.21779999999999999</v>
          </cell>
          <cell r="Y2999">
            <v>0</v>
          </cell>
          <cell r="Z2999">
            <v>0</v>
          </cell>
          <cell r="AA2999">
            <v>0</v>
          </cell>
          <cell r="AB2999">
            <v>0.32279999999999998</v>
          </cell>
        </row>
        <row r="3000">
          <cell r="A3000">
            <v>54301020</v>
          </cell>
          <cell r="B3000" t="str">
            <v>Crackers, butter, flavored</v>
          </cell>
          <cell r="I3000">
            <v>30</v>
          </cell>
          <cell r="J3000">
            <v>153</v>
          </cell>
          <cell r="K3000">
            <v>5.0999999999999996</v>
          </cell>
          <cell r="L3000">
            <v>0</v>
          </cell>
          <cell r="M3000">
            <v>1.6686000000000001</v>
          </cell>
          <cell r="N3000">
            <v>0</v>
          </cell>
          <cell r="O3000">
            <v>3.5999999999999997E-2</v>
          </cell>
          <cell r="P3000">
            <v>0.69</v>
          </cell>
          <cell r="Q3000">
            <v>3.9411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0.21779999999999999</v>
          </cell>
          <cell r="Y3000">
            <v>0</v>
          </cell>
          <cell r="Z3000">
            <v>0</v>
          </cell>
          <cell r="AA3000">
            <v>0</v>
          </cell>
          <cell r="AB3000">
            <v>0.32279999999999998</v>
          </cell>
        </row>
        <row r="3001">
          <cell r="A3001">
            <v>54301030</v>
          </cell>
          <cell r="B3001" t="str">
            <v>Crackers, butter (Ritz)</v>
          </cell>
          <cell r="I3001">
            <v>30</v>
          </cell>
          <cell r="J3001">
            <v>153</v>
          </cell>
          <cell r="K3001">
            <v>5.0999999999999996</v>
          </cell>
          <cell r="L3001">
            <v>0</v>
          </cell>
          <cell r="M3001">
            <v>1.6686000000000001</v>
          </cell>
          <cell r="N3001">
            <v>0</v>
          </cell>
          <cell r="O3001">
            <v>3.5999999999999997E-2</v>
          </cell>
          <cell r="P3001">
            <v>0.69</v>
          </cell>
          <cell r="Q3001">
            <v>3.9411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0.21779999999999999</v>
          </cell>
          <cell r="Y3001">
            <v>0</v>
          </cell>
          <cell r="Z3001">
            <v>0</v>
          </cell>
          <cell r="AA3001">
            <v>0</v>
          </cell>
          <cell r="AB3001">
            <v>0.32279999999999998</v>
          </cell>
        </row>
        <row r="3002">
          <cell r="A3002">
            <v>54301100</v>
          </cell>
          <cell r="B3002" t="str">
            <v>Crackers, butter, reduced fat</v>
          </cell>
          <cell r="I3002">
            <v>30</v>
          </cell>
          <cell r="J3002">
            <v>133.19999999999999</v>
          </cell>
          <cell r="K3002">
            <v>4.4399999999999995</v>
          </cell>
          <cell r="L3002">
            <v>0.56327559999999999</v>
          </cell>
          <cell r="M3002">
            <v>0.63360000000000005</v>
          </cell>
          <cell r="N3002">
            <v>0</v>
          </cell>
          <cell r="O3002">
            <v>2.4E-2</v>
          </cell>
          <cell r="P3002">
            <v>0.45672439999999997</v>
          </cell>
          <cell r="Q3002">
            <v>2.1164999999999998</v>
          </cell>
          <cell r="R3002">
            <v>6.6239999999999997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0.23280000000000001</v>
          </cell>
          <cell r="Y3002">
            <v>0</v>
          </cell>
          <cell r="Z3002">
            <v>0</v>
          </cell>
          <cell r="AA3002">
            <v>0</v>
          </cell>
          <cell r="AB3002">
            <v>6.0299999999999999E-2</v>
          </cell>
        </row>
        <row r="3003">
          <cell r="A3003">
            <v>54301200</v>
          </cell>
          <cell r="B3003" t="str">
            <v>Cracker, snack, fat free</v>
          </cell>
          <cell r="I3003">
            <v>30</v>
          </cell>
          <cell r="J3003">
            <v>117.9</v>
          </cell>
          <cell r="K3003">
            <v>3.93</v>
          </cell>
          <cell r="L3003">
            <v>0</v>
          </cell>
          <cell r="M3003">
            <v>7.3200000000000001E-2</v>
          </cell>
          <cell r="N3003">
            <v>0</v>
          </cell>
          <cell r="O3003">
            <v>6.6E-3</v>
          </cell>
          <cell r="P3003">
            <v>0.81</v>
          </cell>
          <cell r="Q3003">
            <v>0.20549999999999999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0.25469999999999998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</row>
        <row r="3004">
          <cell r="A3004">
            <v>54304000</v>
          </cell>
          <cell r="B3004" t="str">
            <v>Crackers, cheese</v>
          </cell>
          <cell r="I3004">
            <v>30</v>
          </cell>
          <cell r="J3004">
            <v>146.69999999999999</v>
          </cell>
          <cell r="K3004">
            <v>4.8899999999999997</v>
          </cell>
          <cell r="L3004">
            <v>0</v>
          </cell>
          <cell r="M3004">
            <v>1.5864</v>
          </cell>
          <cell r="N3004">
            <v>0</v>
          </cell>
          <cell r="O3004">
            <v>4.0800000000000003E-2</v>
          </cell>
          <cell r="P3004">
            <v>0.69</v>
          </cell>
          <cell r="Q3004">
            <v>3.0270000000000001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0.29189999999999999</v>
          </cell>
          <cell r="Y3004">
            <v>0</v>
          </cell>
          <cell r="Z3004">
            <v>0</v>
          </cell>
          <cell r="AA3004">
            <v>0</v>
          </cell>
          <cell r="AB3004">
            <v>0.16259999999999999</v>
          </cell>
        </row>
        <row r="3005">
          <cell r="A3005">
            <v>54304005</v>
          </cell>
          <cell r="B3005" t="str">
            <v>Crackers, cheese (Cheez-It)</v>
          </cell>
          <cell r="I3005">
            <v>30</v>
          </cell>
          <cell r="J3005">
            <v>146.69999999999999</v>
          </cell>
          <cell r="K3005">
            <v>4.8899999999999997</v>
          </cell>
          <cell r="L3005">
            <v>0</v>
          </cell>
          <cell r="M3005">
            <v>1.5864</v>
          </cell>
          <cell r="N3005">
            <v>0</v>
          </cell>
          <cell r="O3005">
            <v>4.0800000000000003E-2</v>
          </cell>
          <cell r="P3005">
            <v>0.69</v>
          </cell>
          <cell r="Q3005">
            <v>3.0270000000000001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0.29189999999999999</v>
          </cell>
          <cell r="Y3005">
            <v>0</v>
          </cell>
          <cell r="Z3005">
            <v>0</v>
          </cell>
          <cell r="AA3005">
            <v>0</v>
          </cell>
          <cell r="AB3005">
            <v>0.16259999999999999</v>
          </cell>
        </row>
        <row r="3006">
          <cell r="A3006">
            <v>54304020</v>
          </cell>
          <cell r="B3006" t="str">
            <v>Crackers, cheese (Goldfish)</v>
          </cell>
          <cell r="I3006">
            <v>30</v>
          </cell>
          <cell r="J3006">
            <v>146.69999999999999</v>
          </cell>
          <cell r="K3006">
            <v>4.8899999999999997</v>
          </cell>
          <cell r="L3006">
            <v>0</v>
          </cell>
          <cell r="M3006">
            <v>1.5864</v>
          </cell>
          <cell r="N3006">
            <v>0</v>
          </cell>
          <cell r="O3006">
            <v>4.0800000000000003E-2</v>
          </cell>
          <cell r="P3006">
            <v>0.69</v>
          </cell>
          <cell r="Q3006">
            <v>3.0270000000000001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0.29189999999999999</v>
          </cell>
          <cell r="Y3006">
            <v>0</v>
          </cell>
          <cell r="Z3006">
            <v>0</v>
          </cell>
          <cell r="AA3006">
            <v>0</v>
          </cell>
          <cell r="AB3006">
            <v>0.16259999999999999</v>
          </cell>
        </row>
        <row r="3007">
          <cell r="A3007">
            <v>54304100</v>
          </cell>
          <cell r="B3007" t="str">
            <v>Crackers, cheese, reduced fat</v>
          </cell>
          <cell r="I3007">
            <v>30</v>
          </cell>
          <cell r="J3007">
            <v>125.4</v>
          </cell>
          <cell r="K3007">
            <v>4.1800000000000006</v>
          </cell>
          <cell r="L3007">
            <v>0</v>
          </cell>
          <cell r="M3007">
            <v>0.99990000000000001</v>
          </cell>
          <cell r="N3007">
            <v>0</v>
          </cell>
          <cell r="O3007">
            <v>2.01E-2</v>
          </cell>
          <cell r="P3007">
            <v>0.99</v>
          </cell>
          <cell r="Q3007">
            <v>1.5819000000000001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0.35010000000000002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</row>
        <row r="3008">
          <cell r="A3008">
            <v>54304150</v>
          </cell>
          <cell r="B3008" t="str">
            <v>Crackers, cheese, whole grain</v>
          </cell>
          <cell r="I3008">
            <v>30</v>
          </cell>
          <cell r="J3008">
            <v>123.6</v>
          </cell>
          <cell r="K3008">
            <v>4.12</v>
          </cell>
          <cell r="L3008">
            <v>0.86451069999999997</v>
          </cell>
          <cell r="M3008">
            <v>0.96179999999999999</v>
          </cell>
          <cell r="N3008">
            <v>0</v>
          </cell>
          <cell r="O3008">
            <v>3.8399999999999997E-2</v>
          </cell>
          <cell r="P3008">
            <v>1.0554893000000001</v>
          </cell>
          <cell r="Q3008">
            <v>0.96179999999999999</v>
          </cell>
          <cell r="R3008">
            <v>5.0880000000000001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0.24060000000000001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</row>
        <row r="3009">
          <cell r="A3009">
            <v>54304500</v>
          </cell>
          <cell r="B3009" t="str">
            <v>Cracker, high fiber, no added fat</v>
          </cell>
          <cell r="I3009">
            <v>30</v>
          </cell>
          <cell r="J3009">
            <v>100.2</v>
          </cell>
          <cell r="K3009">
            <v>3.3400000000000003</v>
          </cell>
          <cell r="L3009">
            <v>6.7090699999999996</v>
          </cell>
          <cell r="M3009">
            <v>3.2399999999999998E-2</v>
          </cell>
          <cell r="N3009">
            <v>0</v>
          </cell>
          <cell r="O3009">
            <v>1.2E-2</v>
          </cell>
          <cell r="P3009">
            <v>0.16092999999999999</v>
          </cell>
          <cell r="Q3009">
            <v>0.1191</v>
          </cell>
          <cell r="R3009">
            <v>27.312000000000001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0.1671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</row>
        <row r="3010">
          <cell r="A3010">
            <v>54305000</v>
          </cell>
          <cell r="B3010" t="str">
            <v>Crispbread, wheat, no added fat</v>
          </cell>
          <cell r="I3010">
            <v>30</v>
          </cell>
          <cell r="J3010">
            <v>118.5</v>
          </cell>
          <cell r="K3010">
            <v>3.95</v>
          </cell>
          <cell r="L3010">
            <v>0</v>
          </cell>
          <cell r="M3010">
            <v>6.7799999999999999E-2</v>
          </cell>
          <cell r="N3010">
            <v>0</v>
          </cell>
          <cell r="O3010">
            <v>3.8999999999999998E-3</v>
          </cell>
          <cell r="P3010">
            <v>0.9</v>
          </cell>
          <cell r="Q3010">
            <v>0.18090000000000001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</row>
        <row r="3011">
          <cell r="A3011">
            <v>54305010</v>
          </cell>
          <cell r="B3011" t="str">
            <v>Crackers, crispbread</v>
          </cell>
          <cell r="I3011">
            <v>30</v>
          </cell>
          <cell r="J3011">
            <v>109.8</v>
          </cell>
          <cell r="K3011">
            <v>3.6599999999999997</v>
          </cell>
          <cell r="L3011">
            <v>4.95</v>
          </cell>
          <cell r="M3011">
            <v>4.3499999999999997E-2</v>
          </cell>
          <cell r="N3011">
            <v>0</v>
          </cell>
          <cell r="O3011">
            <v>9.2999999999999992E-3</v>
          </cell>
          <cell r="P3011">
            <v>0</v>
          </cell>
          <cell r="Q3011">
            <v>0.1671</v>
          </cell>
          <cell r="R3011">
            <v>28.512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0.123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</row>
        <row r="3012">
          <cell r="A3012">
            <v>54305020</v>
          </cell>
          <cell r="B3012" t="str">
            <v>Crackers, flatbread</v>
          </cell>
          <cell r="I3012">
            <v>30</v>
          </cell>
          <cell r="J3012">
            <v>123.45</v>
          </cell>
          <cell r="K3012">
            <v>4.1150000000000002</v>
          </cell>
          <cell r="L3012">
            <v>2.5697595999999998</v>
          </cell>
          <cell r="M3012">
            <v>0.22305</v>
          </cell>
          <cell r="N3012">
            <v>0</v>
          </cell>
          <cell r="O3012">
            <v>7.1999999999999998E-3</v>
          </cell>
          <cell r="P3012">
            <v>0.47524040000000001</v>
          </cell>
          <cell r="Q3012">
            <v>0.40305000000000002</v>
          </cell>
          <cell r="R3012">
            <v>15.144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0.18959999999999999</v>
          </cell>
          <cell r="Y3012">
            <v>0</v>
          </cell>
          <cell r="Z3012">
            <v>0</v>
          </cell>
          <cell r="AA3012">
            <v>0</v>
          </cell>
          <cell r="AB3012">
            <v>5.7000000000000002E-3</v>
          </cell>
        </row>
        <row r="3013">
          <cell r="A3013">
            <v>54307000</v>
          </cell>
          <cell r="B3013" t="str">
            <v>Crackers, matzo</v>
          </cell>
          <cell r="I3013">
            <v>30</v>
          </cell>
          <cell r="J3013">
            <v>118.5</v>
          </cell>
          <cell r="K3013">
            <v>3.95</v>
          </cell>
          <cell r="L3013">
            <v>0</v>
          </cell>
          <cell r="M3013">
            <v>6.7799999999999999E-2</v>
          </cell>
          <cell r="N3013">
            <v>0</v>
          </cell>
          <cell r="O3013">
            <v>3.8999999999999998E-3</v>
          </cell>
          <cell r="P3013">
            <v>0.9</v>
          </cell>
          <cell r="Q3013">
            <v>0.18090000000000001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</row>
        <row r="3014">
          <cell r="A3014">
            <v>54308000</v>
          </cell>
          <cell r="B3014" t="str">
            <v>Crackers, milk</v>
          </cell>
          <cell r="I3014">
            <v>30</v>
          </cell>
          <cell r="J3014">
            <v>133.80000000000001</v>
          </cell>
          <cell r="K3014">
            <v>4.46</v>
          </cell>
          <cell r="L3014">
            <v>0</v>
          </cell>
          <cell r="M3014">
            <v>0.87360000000000004</v>
          </cell>
          <cell r="N3014">
            <v>0</v>
          </cell>
          <cell r="O3014">
            <v>5.16E-2</v>
          </cell>
          <cell r="P3014">
            <v>1.02</v>
          </cell>
          <cell r="Q3014">
            <v>1.4601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0.20610000000000001</v>
          </cell>
          <cell r="Y3014">
            <v>0</v>
          </cell>
          <cell r="Z3014">
            <v>0</v>
          </cell>
          <cell r="AA3014">
            <v>0</v>
          </cell>
          <cell r="AB3014">
            <v>0.25066480000000002</v>
          </cell>
        </row>
        <row r="3015">
          <cell r="A3015">
            <v>54313000</v>
          </cell>
          <cell r="B3015" t="str">
            <v>Crackers, oyster</v>
          </cell>
          <cell r="I3015">
            <v>30</v>
          </cell>
          <cell r="J3015">
            <v>125.4</v>
          </cell>
          <cell r="K3015">
            <v>4.1800000000000006</v>
          </cell>
          <cell r="L3015">
            <v>0</v>
          </cell>
          <cell r="M3015">
            <v>0.49590000000000001</v>
          </cell>
          <cell r="N3015">
            <v>0</v>
          </cell>
          <cell r="O3015">
            <v>5.7000000000000002E-3</v>
          </cell>
          <cell r="P3015">
            <v>0.84</v>
          </cell>
          <cell r="Q3015">
            <v>1.4504999999999999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0.2823</v>
          </cell>
          <cell r="Y3015">
            <v>0</v>
          </cell>
          <cell r="Z3015">
            <v>0</v>
          </cell>
          <cell r="AA3015">
            <v>0</v>
          </cell>
          <cell r="AB3015">
            <v>5.0099999999999999E-2</v>
          </cell>
        </row>
        <row r="3016">
          <cell r="A3016">
            <v>54318000</v>
          </cell>
          <cell r="B3016" t="str">
            <v>Chips, rice</v>
          </cell>
          <cell r="I3016">
            <v>30</v>
          </cell>
          <cell r="J3016">
            <v>115.2</v>
          </cell>
          <cell r="K3016">
            <v>3.8400000000000003</v>
          </cell>
          <cell r="L3016">
            <v>1.0058057</v>
          </cell>
          <cell r="M3016">
            <v>0.19259999999999999</v>
          </cell>
          <cell r="N3016">
            <v>0</v>
          </cell>
          <cell r="O3016">
            <v>3.3E-3</v>
          </cell>
          <cell r="P3016">
            <v>0.25419429999999998</v>
          </cell>
          <cell r="Q3016">
            <v>0.29399999999999998</v>
          </cell>
          <cell r="R3016">
            <v>18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9.7799999999999998E-2</v>
          </cell>
          <cell r="Y3016">
            <v>0.29767500000000002</v>
          </cell>
          <cell r="Z3016">
            <v>0</v>
          </cell>
          <cell r="AA3016">
            <v>0</v>
          </cell>
          <cell r="AB3016">
            <v>0</v>
          </cell>
        </row>
        <row r="3017">
          <cell r="A3017">
            <v>54318500</v>
          </cell>
          <cell r="B3017" t="str">
            <v>Rice cake</v>
          </cell>
          <cell r="I3017">
            <v>30</v>
          </cell>
          <cell r="J3017">
            <v>117.6</v>
          </cell>
          <cell r="K3017">
            <v>3.92</v>
          </cell>
          <cell r="L3017">
            <v>1.26</v>
          </cell>
          <cell r="M3017">
            <v>0.26250000000000001</v>
          </cell>
          <cell r="N3017">
            <v>0</v>
          </cell>
          <cell r="O3017">
            <v>3.3E-3</v>
          </cell>
          <cell r="P3017">
            <v>0</v>
          </cell>
          <cell r="Q3017">
            <v>0.45600000000000002</v>
          </cell>
          <cell r="R3017">
            <v>29.427299999999999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2.1299999999999999E-2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</row>
        <row r="3018">
          <cell r="A3018">
            <v>54319000</v>
          </cell>
          <cell r="B3018" t="str">
            <v>Crackers, rice</v>
          </cell>
          <cell r="I3018">
            <v>30</v>
          </cell>
          <cell r="J3018">
            <v>124.8</v>
          </cell>
          <cell r="K3018">
            <v>4.16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0.49230000000000002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6.9900000000000004E-2</v>
          </cell>
          <cell r="Y3018">
            <v>0</v>
          </cell>
          <cell r="Z3018">
            <v>0</v>
          </cell>
          <cell r="AA3018">
            <v>0</v>
          </cell>
          <cell r="AB3018">
            <v>5.9999999999999995E-4</v>
          </cell>
        </row>
        <row r="3019">
          <cell r="A3019">
            <v>54319005</v>
          </cell>
          <cell r="B3019" t="str">
            <v>Crackers, rice and nuts</v>
          </cell>
          <cell r="I3019">
            <v>30</v>
          </cell>
          <cell r="J3019">
            <v>128.84439</v>
          </cell>
          <cell r="K3019">
            <v>4.2948130000000004</v>
          </cell>
          <cell r="L3019">
            <v>0</v>
          </cell>
          <cell r="M3019">
            <v>0.1037569</v>
          </cell>
          <cell r="N3019">
            <v>0</v>
          </cell>
          <cell r="O3019">
            <v>6.1862000000000002E-3</v>
          </cell>
          <cell r="P3019">
            <v>0.25048809999999999</v>
          </cell>
          <cell r="Q3019">
            <v>0.77854970000000001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0.10814509999999999</v>
          </cell>
          <cell r="Y3019">
            <v>2.2965339</v>
          </cell>
          <cell r="Z3019">
            <v>0</v>
          </cell>
          <cell r="AA3019">
            <v>0</v>
          </cell>
          <cell r="AB3019">
            <v>9.6310000000000005E-4</v>
          </cell>
        </row>
        <row r="3020">
          <cell r="A3020">
            <v>54319010</v>
          </cell>
          <cell r="B3020" t="str">
            <v>Puffed rice cake</v>
          </cell>
          <cell r="I3020">
            <v>30</v>
          </cell>
          <cell r="J3020">
            <v>116.1</v>
          </cell>
          <cell r="K3020">
            <v>3.8699999999999997</v>
          </cell>
          <cell r="L3020">
            <v>1.26</v>
          </cell>
          <cell r="M3020">
            <v>0.17100000000000001</v>
          </cell>
          <cell r="N3020">
            <v>0</v>
          </cell>
          <cell r="O3020">
            <v>3.3E-3</v>
          </cell>
          <cell r="P3020">
            <v>0</v>
          </cell>
          <cell r="Q3020">
            <v>0.29699999999999999</v>
          </cell>
          <cell r="R3020">
            <v>30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9.7799999999999998E-2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</row>
        <row r="3021">
          <cell r="A3021">
            <v>54319020</v>
          </cell>
          <cell r="B3021" t="str">
            <v>Popcorn cake</v>
          </cell>
          <cell r="I3021">
            <v>30</v>
          </cell>
          <cell r="J3021">
            <v>115.2</v>
          </cell>
          <cell r="K3021">
            <v>3.8400000000000003</v>
          </cell>
          <cell r="L3021">
            <v>0.87</v>
          </cell>
          <cell r="M3021">
            <v>0.14399999999999999</v>
          </cell>
          <cell r="N3021">
            <v>0</v>
          </cell>
          <cell r="O3021">
            <v>2.7000000000000001E-3</v>
          </cell>
          <cell r="P3021">
            <v>0</v>
          </cell>
          <cell r="Q3021">
            <v>0.40500000000000003</v>
          </cell>
          <cell r="R3021">
            <v>27.641249999999999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8.6400000000000005E-2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</row>
        <row r="3022">
          <cell r="A3022">
            <v>54319500</v>
          </cell>
          <cell r="B3022" t="str">
            <v>Rice paper</v>
          </cell>
          <cell r="I3022">
            <v>30</v>
          </cell>
          <cell r="J3022">
            <v>98.7</v>
          </cell>
          <cell r="K3022">
            <v>3.29</v>
          </cell>
          <cell r="L3022">
            <v>0</v>
          </cell>
          <cell r="M3022">
            <v>9.8504999999999995E-2</v>
          </cell>
          <cell r="N3022">
            <v>0</v>
          </cell>
          <cell r="O3022">
            <v>2.9903999999999998E-3</v>
          </cell>
          <cell r="P3022">
            <v>0.62549999999999994</v>
          </cell>
          <cell r="Q3022">
            <v>9.6689999999999998E-2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9.3117000000000005E-2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</row>
        <row r="3023">
          <cell r="A3023">
            <v>54322000</v>
          </cell>
          <cell r="B3023" t="str">
            <v>Crispbread, rye, no added fat</v>
          </cell>
          <cell r="I3023">
            <v>30</v>
          </cell>
          <cell r="J3023">
            <v>109.8</v>
          </cell>
          <cell r="K3023">
            <v>3.6599999999999997</v>
          </cell>
          <cell r="L3023">
            <v>4.95</v>
          </cell>
          <cell r="M3023">
            <v>4.3499999999999997E-2</v>
          </cell>
          <cell r="N3023">
            <v>0</v>
          </cell>
          <cell r="O3023">
            <v>9.2999999999999992E-3</v>
          </cell>
          <cell r="P3023">
            <v>0</v>
          </cell>
          <cell r="Q3023">
            <v>0.1671</v>
          </cell>
          <cell r="R3023">
            <v>29.808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0.123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</row>
        <row r="3024">
          <cell r="A3024">
            <v>54325000</v>
          </cell>
          <cell r="B3024" t="str">
            <v>Crackers, saltine</v>
          </cell>
          <cell r="I3024">
            <v>30</v>
          </cell>
          <cell r="J3024">
            <v>125.4</v>
          </cell>
          <cell r="K3024">
            <v>4.1800000000000006</v>
          </cell>
          <cell r="L3024">
            <v>0</v>
          </cell>
          <cell r="M3024">
            <v>0.49590000000000001</v>
          </cell>
          <cell r="N3024">
            <v>0</v>
          </cell>
          <cell r="O3024">
            <v>5.7000000000000002E-3</v>
          </cell>
          <cell r="P3024">
            <v>0.84</v>
          </cell>
          <cell r="Q3024">
            <v>1.4504999999999999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0.2823</v>
          </cell>
          <cell r="Y3024">
            <v>0</v>
          </cell>
          <cell r="Z3024">
            <v>0</v>
          </cell>
          <cell r="AA3024">
            <v>0</v>
          </cell>
          <cell r="AB3024">
            <v>5.0099999999999999E-2</v>
          </cell>
        </row>
        <row r="3025">
          <cell r="A3025">
            <v>54325010</v>
          </cell>
          <cell r="B3025" t="str">
            <v>Crackers, saltine, reduced fat</v>
          </cell>
          <cell r="I3025">
            <v>30</v>
          </cell>
          <cell r="J3025">
            <v>117.9</v>
          </cell>
          <cell r="K3025">
            <v>3.93</v>
          </cell>
          <cell r="L3025">
            <v>0</v>
          </cell>
          <cell r="M3025">
            <v>7.3200000000000001E-2</v>
          </cell>
          <cell r="N3025">
            <v>0</v>
          </cell>
          <cell r="O3025">
            <v>6.6E-3</v>
          </cell>
          <cell r="P3025">
            <v>0.81</v>
          </cell>
          <cell r="Q3025">
            <v>0.20549999999999999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0.25469999999999998</v>
          </cell>
          <cell r="Y3025">
            <v>0</v>
          </cell>
          <cell r="Z3025">
            <v>0</v>
          </cell>
          <cell r="AA3025">
            <v>0</v>
          </cell>
          <cell r="AB3025">
            <v>1.8989700000000002E-2</v>
          </cell>
        </row>
        <row r="3026">
          <cell r="A3026">
            <v>54325050</v>
          </cell>
          <cell r="B3026" t="str">
            <v>Crackers, saltine, whole wheat</v>
          </cell>
          <cell r="I3026">
            <v>30</v>
          </cell>
          <cell r="J3026">
            <v>119.4</v>
          </cell>
          <cell r="K3026">
            <v>3.98</v>
          </cell>
          <cell r="L3026">
            <v>1.3644392999999999</v>
          </cell>
          <cell r="M3026">
            <v>0</v>
          </cell>
          <cell r="N3026">
            <v>0</v>
          </cell>
          <cell r="O3026">
            <v>0</v>
          </cell>
          <cell r="P3026">
            <v>0.64556069999999999</v>
          </cell>
          <cell r="Q3026">
            <v>2.1686999999999999</v>
          </cell>
          <cell r="R3026">
            <v>12.864000000000001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0.36420000000000002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</row>
        <row r="3027">
          <cell r="A3027">
            <v>54325060</v>
          </cell>
          <cell r="B3027" t="str">
            <v>Crackers, saltine, multigrain</v>
          </cell>
          <cell r="I3027">
            <v>30</v>
          </cell>
          <cell r="J3027">
            <v>119.4</v>
          </cell>
          <cell r="K3027">
            <v>3.98</v>
          </cell>
          <cell r="L3027">
            <v>1.4375580999999999</v>
          </cell>
          <cell r="M3027">
            <v>0</v>
          </cell>
          <cell r="N3027">
            <v>0</v>
          </cell>
          <cell r="O3027">
            <v>0</v>
          </cell>
          <cell r="P3027">
            <v>0.57244189999999995</v>
          </cell>
          <cell r="Q3027">
            <v>2.1686999999999999</v>
          </cell>
          <cell r="R3027">
            <v>12.912000000000001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0.36420000000000002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</row>
        <row r="3028">
          <cell r="A3028">
            <v>54326000</v>
          </cell>
          <cell r="B3028" t="str">
            <v>Crackers, multigrain</v>
          </cell>
          <cell r="I3028">
            <v>30</v>
          </cell>
          <cell r="J3028">
            <v>144.6</v>
          </cell>
          <cell r="K3028">
            <v>4.8199999999999994</v>
          </cell>
          <cell r="L3028">
            <v>0.33366800000000002</v>
          </cell>
          <cell r="M3028">
            <v>0.99</v>
          </cell>
          <cell r="N3028">
            <v>0</v>
          </cell>
          <cell r="O3028">
            <v>4.1999999999999997E-3</v>
          </cell>
          <cell r="P3028">
            <v>0.71633199999999997</v>
          </cell>
          <cell r="Q3028">
            <v>3.54</v>
          </cell>
          <cell r="R3028">
            <v>3.3119999999999998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0.26490000000000002</v>
          </cell>
          <cell r="Y3028">
            <v>0</v>
          </cell>
          <cell r="Z3028">
            <v>0</v>
          </cell>
          <cell r="AA3028">
            <v>0</v>
          </cell>
          <cell r="AB3028">
            <v>5.7000000000000002E-2</v>
          </cell>
        </row>
        <row r="3029">
          <cell r="A3029">
            <v>54327950</v>
          </cell>
          <cell r="B3029" t="str">
            <v>Crackers, cylindrical, peanut-butter filled</v>
          </cell>
          <cell r="I3029">
            <v>30</v>
          </cell>
          <cell r="J3029">
            <v>148.19999999999999</v>
          </cell>
          <cell r="K3029">
            <v>4.9399999999999995</v>
          </cell>
          <cell r="L3029">
            <v>0</v>
          </cell>
          <cell r="M3029">
            <v>1.4409000000000001</v>
          </cell>
          <cell r="N3029">
            <v>0</v>
          </cell>
          <cell r="O3029">
            <v>2.4299999999999999E-2</v>
          </cell>
          <cell r="P3029">
            <v>0.69</v>
          </cell>
          <cell r="Q3029">
            <v>1.3653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0.24030000000000001</v>
          </cell>
          <cell r="Y3029">
            <v>7.1040000000000001</v>
          </cell>
          <cell r="Z3029">
            <v>0</v>
          </cell>
          <cell r="AA3029">
            <v>0</v>
          </cell>
          <cell r="AB3029">
            <v>0.1553262</v>
          </cell>
        </row>
        <row r="3030">
          <cell r="A3030">
            <v>54328000</v>
          </cell>
          <cell r="B3030" t="str">
            <v>Crackers, sandwich</v>
          </cell>
          <cell r="I3030">
            <v>30</v>
          </cell>
          <cell r="J3030">
            <v>148.19999999999999</v>
          </cell>
          <cell r="K3030">
            <v>4.9399999999999995</v>
          </cell>
          <cell r="L3030">
            <v>0</v>
          </cell>
          <cell r="M3030">
            <v>1.4409000000000001</v>
          </cell>
          <cell r="N3030">
            <v>0</v>
          </cell>
          <cell r="O3030">
            <v>2.4299999999999999E-2</v>
          </cell>
          <cell r="P3030">
            <v>0.69</v>
          </cell>
          <cell r="Q3030">
            <v>1.3653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0.24030000000000001</v>
          </cell>
          <cell r="Y3030">
            <v>6.9119999999999999</v>
          </cell>
          <cell r="Z3030">
            <v>0</v>
          </cell>
          <cell r="AA3030">
            <v>0</v>
          </cell>
          <cell r="AB3030">
            <v>0.14554610000000001</v>
          </cell>
        </row>
        <row r="3031">
          <cell r="A3031">
            <v>54328100</v>
          </cell>
          <cell r="B3031" t="str">
            <v>Crackers, sandwich, peanut butter filled</v>
          </cell>
          <cell r="I3031">
            <v>30</v>
          </cell>
          <cell r="J3031">
            <v>148.19999999999999</v>
          </cell>
          <cell r="K3031">
            <v>4.9399999999999995</v>
          </cell>
          <cell r="L3031">
            <v>0</v>
          </cell>
          <cell r="M3031">
            <v>1.4409000000000001</v>
          </cell>
          <cell r="N3031">
            <v>0</v>
          </cell>
          <cell r="O3031">
            <v>2.4299999999999999E-2</v>
          </cell>
          <cell r="P3031">
            <v>0.69</v>
          </cell>
          <cell r="Q3031">
            <v>1.3653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0.24030000000000001</v>
          </cell>
          <cell r="Y3031">
            <v>6.9119999999999999</v>
          </cell>
          <cell r="Z3031">
            <v>0</v>
          </cell>
          <cell r="AA3031">
            <v>0</v>
          </cell>
          <cell r="AB3031">
            <v>0.20007449999999999</v>
          </cell>
        </row>
        <row r="3032">
          <cell r="A3032">
            <v>54328105</v>
          </cell>
          <cell r="B3032" t="str">
            <v>Crackers, sandwich, peanut butter filled (Ritz)</v>
          </cell>
          <cell r="I3032">
            <v>30</v>
          </cell>
          <cell r="J3032">
            <v>144.51</v>
          </cell>
          <cell r="K3032">
            <v>4.8169999999999993</v>
          </cell>
          <cell r="L3032">
            <v>0</v>
          </cell>
          <cell r="M3032">
            <v>1.51806</v>
          </cell>
          <cell r="N3032">
            <v>0</v>
          </cell>
          <cell r="O3032">
            <v>0</v>
          </cell>
          <cell r="P3032">
            <v>0.75600000000000001</v>
          </cell>
          <cell r="Q3032">
            <v>2.23488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0.17252999999999999</v>
          </cell>
          <cell r="Y3032">
            <v>6.2207999999999997</v>
          </cell>
          <cell r="Z3032">
            <v>0</v>
          </cell>
          <cell r="AA3032">
            <v>0</v>
          </cell>
          <cell r="AB3032">
            <v>0.2745997</v>
          </cell>
        </row>
        <row r="3033">
          <cell r="A3033">
            <v>54328110</v>
          </cell>
          <cell r="B3033" t="str">
            <v>Crackers, sandwich, reduced fat, peanut butter filled</v>
          </cell>
          <cell r="I3033">
            <v>30</v>
          </cell>
          <cell r="J3033">
            <v>131.1</v>
          </cell>
          <cell r="K3033">
            <v>4.37</v>
          </cell>
          <cell r="L3033">
            <v>0</v>
          </cell>
          <cell r="M3033">
            <v>0.83340000000000003</v>
          </cell>
          <cell r="N3033">
            <v>0</v>
          </cell>
          <cell r="O3033">
            <v>0</v>
          </cell>
          <cell r="P3033">
            <v>0.84</v>
          </cell>
          <cell r="Q3033">
            <v>2.0832000000000002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0.19170000000000001</v>
          </cell>
          <cell r="Y3033">
            <v>6.9119999999999999</v>
          </cell>
          <cell r="Z3033">
            <v>0</v>
          </cell>
          <cell r="AA3033">
            <v>0</v>
          </cell>
          <cell r="AB3033">
            <v>0</v>
          </cell>
        </row>
        <row r="3034">
          <cell r="A3034">
            <v>54328120</v>
          </cell>
          <cell r="B3034" t="str">
            <v>Crackers, whole grain, sandwich, peanut butter filled</v>
          </cell>
          <cell r="I3034">
            <v>30</v>
          </cell>
          <cell r="J3034">
            <v>139.5</v>
          </cell>
          <cell r="K3034">
            <v>4.6500000000000004</v>
          </cell>
          <cell r="L3034">
            <v>1.9447718000000001</v>
          </cell>
          <cell r="M3034">
            <v>1.3574999999999999</v>
          </cell>
          <cell r="N3034">
            <v>0</v>
          </cell>
          <cell r="O3034">
            <v>9.9000000000000008E-3</v>
          </cell>
          <cell r="P3034">
            <v>0.87522820000000001</v>
          </cell>
          <cell r="Q3034">
            <v>1.3491</v>
          </cell>
          <cell r="R3034">
            <v>8.1120000000000001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0.1905</v>
          </cell>
          <cell r="Y3034">
            <v>6.9119999999999999</v>
          </cell>
          <cell r="Z3034">
            <v>0</v>
          </cell>
          <cell r="AA3034">
            <v>0</v>
          </cell>
          <cell r="AB3034">
            <v>0</v>
          </cell>
        </row>
        <row r="3035">
          <cell r="A3035">
            <v>54328200</v>
          </cell>
          <cell r="B3035" t="str">
            <v>Crackers, sandwich, cheese filled</v>
          </cell>
          <cell r="I3035">
            <v>30</v>
          </cell>
          <cell r="J3035">
            <v>143.1</v>
          </cell>
          <cell r="K3035">
            <v>4.7699999999999996</v>
          </cell>
          <cell r="L3035">
            <v>0</v>
          </cell>
          <cell r="M3035">
            <v>1.8374999999999999</v>
          </cell>
          <cell r="N3035">
            <v>0</v>
          </cell>
          <cell r="O3035">
            <v>7.7100000000000002E-2</v>
          </cell>
          <cell r="P3035">
            <v>0.56999999999999995</v>
          </cell>
          <cell r="Q3035">
            <v>0.77010000000000001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0.29339999999999999</v>
          </cell>
          <cell r="Y3035">
            <v>0</v>
          </cell>
          <cell r="Z3035">
            <v>0</v>
          </cell>
          <cell r="AA3035">
            <v>0</v>
          </cell>
          <cell r="AB3035">
            <v>0.4423163</v>
          </cell>
        </row>
        <row r="3036">
          <cell r="A3036">
            <v>54328210</v>
          </cell>
          <cell r="B3036" t="str">
            <v>Crackers, sandwich, cheese filled (Ritz)</v>
          </cell>
          <cell r="I3036">
            <v>30</v>
          </cell>
          <cell r="J3036">
            <v>143.62799999999999</v>
          </cell>
          <cell r="K3036">
            <v>4.7875999999999994</v>
          </cell>
          <cell r="L3036">
            <v>0</v>
          </cell>
          <cell r="M3036">
            <v>1.5813539999999999</v>
          </cell>
          <cell r="N3036">
            <v>0</v>
          </cell>
          <cell r="O3036">
            <v>3.372E-3</v>
          </cell>
          <cell r="P3036">
            <v>0.73919999999999997</v>
          </cell>
          <cell r="Q3036">
            <v>2.1969599999999998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0.17844599999999999</v>
          </cell>
          <cell r="Y3036">
            <v>6.08256</v>
          </cell>
          <cell r="Z3036">
            <v>0</v>
          </cell>
          <cell r="AA3036">
            <v>0</v>
          </cell>
          <cell r="AB3036">
            <v>0.27623809999999999</v>
          </cell>
        </row>
        <row r="3037">
          <cell r="A3037">
            <v>54334000</v>
          </cell>
          <cell r="B3037" t="str">
            <v>Crackers, toast thins (rye, pumpernickel, white flour)</v>
          </cell>
          <cell r="I3037">
            <v>30</v>
          </cell>
          <cell r="J3037">
            <v>136.5</v>
          </cell>
          <cell r="K3037">
            <v>4.55</v>
          </cell>
          <cell r="L3037">
            <v>1.4372243</v>
          </cell>
          <cell r="M3037">
            <v>0.96299999999999997</v>
          </cell>
          <cell r="N3037">
            <v>0</v>
          </cell>
          <cell r="O3037">
            <v>2.76E-2</v>
          </cell>
          <cell r="P3037">
            <v>0.63277570000000005</v>
          </cell>
          <cell r="Q3037">
            <v>2.5421999999999998</v>
          </cell>
          <cell r="R3037">
            <v>9.8879999999999999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0.2097</v>
          </cell>
          <cell r="Y3037">
            <v>0</v>
          </cell>
          <cell r="Z3037">
            <v>0</v>
          </cell>
          <cell r="AA3037">
            <v>0</v>
          </cell>
          <cell r="AB3037">
            <v>1.0200000000000001E-2</v>
          </cell>
        </row>
        <row r="3038">
          <cell r="A3038">
            <v>54336000</v>
          </cell>
          <cell r="B3038" t="str">
            <v>Crackers, water</v>
          </cell>
          <cell r="I3038">
            <v>30</v>
          </cell>
          <cell r="J3038">
            <v>115.2</v>
          </cell>
          <cell r="K3038">
            <v>3.8400000000000003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2.13</v>
          </cell>
          <cell r="Q3038">
            <v>0.73709999999999998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0.17130000000000001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</row>
        <row r="3039">
          <cell r="A3039">
            <v>54336100</v>
          </cell>
          <cell r="B3039" t="str">
            <v>Crackers, wonton</v>
          </cell>
          <cell r="I3039">
            <v>30</v>
          </cell>
          <cell r="J3039">
            <v>156.30000000000001</v>
          </cell>
          <cell r="K3039">
            <v>5.21</v>
          </cell>
          <cell r="L3039">
            <v>0</v>
          </cell>
          <cell r="M3039">
            <v>1.4793000000000001</v>
          </cell>
          <cell r="N3039">
            <v>0</v>
          </cell>
          <cell r="O3039">
            <v>6.3E-3</v>
          </cell>
          <cell r="P3039">
            <v>0.56999999999999995</v>
          </cell>
          <cell r="Q3039">
            <v>5.0846999999999998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0.1134</v>
          </cell>
          <cell r="Y3039">
            <v>0</v>
          </cell>
          <cell r="Z3039">
            <v>0</v>
          </cell>
          <cell r="AA3039">
            <v>0</v>
          </cell>
          <cell r="AB3039">
            <v>4.0800000000000003E-2</v>
          </cell>
        </row>
        <row r="3040">
          <cell r="A3040">
            <v>54337000</v>
          </cell>
          <cell r="B3040" t="str">
            <v>Cracker, 100% whole wheat</v>
          </cell>
          <cell r="I3040">
            <v>30</v>
          </cell>
          <cell r="J3040">
            <v>128.1</v>
          </cell>
          <cell r="K3040">
            <v>4.2699999999999996</v>
          </cell>
          <cell r="L3040">
            <v>3.09</v>
          </cell>
          <cell r="M3040">
            <v>0.61890000000000001</v>
          </cell>
          <cell r="N3040">
            <v>0</v>
          </cell>
          <cell r="O3040">
            <v>1.0800000000000001E-2</v>
          </cell>
          <cell r="P3040">
            <v>0</v>
          </cell>
          <cell r="Q3040">
            <v>2.0834999999999999</v>
          </cell>
          <cell r="R3040">
            <v>25.488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0.2112</v>
          </cell>
          <cell r="Y3040">
            <v>0</v>
          </cell>
          <cell r="Z3040">
            <v>0</v>
          </cell>
          <cell r="AA3040">
            <v>0</v>
          </cell>
          <cell r="AB3040">
            <v>5.9700000000000003E-2</v>
          </cell>
        </row>
        <row r="3041">
          <cell r="A3041">
            <v>54337010</v>
          </cell>
          <cell r="B3041" t="str">
            <v>Crackers, woven wheat</v>
          </cell>
          <cell r="I3041">
            <v>30</v>
          </cell>
          <cell r="J3041">
            <v>132.30000000000001</v>
          </cell>
          <cell r="K3041">
            <v>4.41</v>
          </cell>
          <cell r="L3041">
            <v>1.5657300999999999</v>
          </cell>
          <cell r="M3041">
            <v>0.79095000000000004</v>
          </cell>
          <cell r="N3041">
            <v>0</v>
          </cell>
          <cell r="O3041">
            <v>1.9199999999999998E-2</v>
          </cell>
          <cell r="P3041">
            <v>1.0142698999999999</v>
          </cell>
          <cell r="Q3041">
            <v>2.3128500000000001</v>
          </cell>
          <cell r="R3041">
            <v>7.6559999999999997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0.21045</v>
          </cell>
          <cell r="Y3041">
            <v>0</v>
          </cell>
          <cell r="Z3041">
            <v>0</v>
          </cell>
          <cell r="AA3041">
            <v>0</v>
          </cell>
          <cell r="AB3041">
            <v>3.4950000000000002E-2</v>
          </cell>
        </row>
        <row r="3042">
          <cell r="A3042">
            <v>54337020</v>
          </cell>
          <cell r="B3042" t="str">
            <v>Crackers, woven wheat, plain (Triscuit)</v>
          </cell>
          <cell r="I3042">
            <v>30</v>
          </cell>
          <cell r="J3042">
            <v>132.30000000000001</v>
          </cell>
          <cell r="K3042">
            <v>4.41</v>
          </cell>
          <cell r="L3042">
            <v>1.5657300999999999</v>
          </cell>
          <cell r="M3042">
            <v>0.79095000000000004</v>
          </cell>
          <cell r="N3042">
            <v>0</v>
          </cell>
          <cell r="O3042">
            <v>1.9199999999999998E-2</v>
          </cell>
          <cell r="P3042">
            <v>1.0142698999999999</v>
          </cell>
          <cell r="Q3042">
            <v>2.3128500000000001</v>
          </cell>
          <cell r="R3042">
            <v>7.6559999999999997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0.21045</v>
          </cell>
          <cell r="Y3042">
            <v>0</v>
          </cell>
          <cell r="Z3042">
            <v>0</v>
          </cell>
          <cell r="AA3042">
            <v>0</v>
          </cell>
          <cell r="AB3042">
            <v>3.4950000000000002E-2</v>
          </cell>
        </row>
        <row r="3043">
          <cell r="A3043">
            <v>54337030</v>
          </cell>
          <cell r="B3043" t="str">
            <v>Crackers, woven wheat, flavored (Triscuit)</v>
          </cell>
          <cell r="I3043">
            <v>30</v>
          </cell>
          <cell r="J3043">
            <v>132.30000000000001</v>
          </cell>
          <cell r="K3043">
            <v>4.41</v>
          </cell>
          <cell r="L3043">
            <v>1.5657300999999999</v>
          </cell>
          <cell r="M3043">
            <v>0.79095000000000004</v>
          </cell>
          <cell r="N3043">
            <v>0</v>
          </cell>
          <cell r="O3043">
            <v>1.9199999999999998E-2</v>
          </cell>
          <cell r="P3043">
            <v>1.0142698999999999</v>
          </cell>
          <cell r="Q3043">
            <v>2.3128500000000001</v>
          </cell>
          <cell r="R3043">
            <v>7.6559999999999997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0.21045</v>
          </cell>
          <cell r="Y3043">
            <v>0</v>
          </cell>
          <cell r="Z3043">
            <v>0</v>
          </cell>
          <cell r="AA3043">
            <v>0</v>
          </cell>
          <cell r="AB3043">
            <v>3.4950000000000002E-2</v>
          </cell>
        </row>
        <row r="3044">
          <cell r="A3044">
            <v>54337050</v>
          </cell>
          <cell r="B3044" t="str">
            <v>Cracker, 100% whole wheat, reduced fat</v>
          </cell>
          <cell r="I3044">
            <v>30</v>
          </cell>
          <cell r="J3044">
            <v>124.8</v>
          </cell>
          <cell r="K3044">
            <v>4.16</v>
          </cell>
          <cell r="L3044">
            <v>3.27</v>
          </cell>
          <cell r="M3044">
            <v>0.3201</v>
          </cell>
          <cell r="N3044">
            <v>0</v>
          </cell>
          <cell r="O3044">
            <v>1.17E-2</v>
          </cell>
          <cell r="P3044">
            <v>0</v>
          </cell>
          <cell r="Q3044">
            <v>1.0704</v>
          </cell>
          <cell r="R3044">
            <v>27.648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0.2235</v>
          </cell>
          <cell r="Y3044">
            <v>0</v>
          </cell>
          <cell r="Z3044">
            <v>0</v>
          </cell>
          <cell r="AA3044">
            <v>0</v>
          </cell>
          <cell r="AB3044">
            <v>2.8799999999999999E-2</v>
          </cell>
        </row>
        <row r="3045">
          <cell r="A3045">
            <v>54337060</v>
          </cell>
          <cell r="B3045" t="str">
            <v>Crackers, woven wheat, reduced fat</v>
          </cell>
          <cell r="I3045">
            <v>30</v>
          </cell>
          <cell r="J3045">
            <v>124.8</v>
          </cell>
          <cell r="K3045">
            <v>4.16</v>
          </cell>
          <cell r="L3045">
            <v>2.3387139000000001</v>
          </cell>
          <cell r="M3045">
            <v>0.3201</v>
          </cell>
          <cell r="N3045">
            <v>0</v>
          </cell>
          <cell r="O3045">
            <v>1.17E-2</v>
          </cell>
          <cell r="P3045">
            <v>0.93128610000000001</v>
          </cell>
          <cell r="Q3045">
            <v>1.0704</v>
          </cell>
          <cell r="R3045">
            <v>12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0.2235</v>
          </cell>
          <cell r="Y3045">
            <v>0</v>
          </cell>
          <cell r="Z3045">
            <v>0</v>
          </cell>
          <cell r="AA3045">
            <v>0</v>
          </cell>
          <cell r="AB3045">
            <v>2.8799999999999999E-2</v>
          </cell>
        </row>
        <row r="3046">
          <cell r="A3046">
            <v>54338000</v>
          </cell>
          <cell r="B3046" t="str">
            <v>Crackers, wheat</v>
          </cell>
          <cell r="I3046">
            <v>30</v>
          </cell>
          <cell r="J3046">
            <v>132.30000000000001</v>
          </cell>
          <cell r="K3046">
            <v>4.41</v>
          </cell>
          <cell r="L3046">
            <v>1.5657300999999999</v>
          </cell>
          <cell r="M3046">
            <v>0.79095000000000004</v>
          </cell>
          <cell r="N3046">
            <v>0</v>
          </cell>
          <cell r="O3046">
            <v>1.9199999999999998E-2</v>
          </cell>
          <cell r="P3046">
            <v>1.0142698999999999</v>
          </cell>
          <cell r="Q3046">
            <v>2.3128500000000001</v>
          </cell>
          <cell r="R3046">
            <v>7.6559999999999997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0.21045</v>
          </cell>
          <cell r="Y3046">
            <v>0</v>
          </cell>
          <cell r="Z3046">
            <v>0</v>
          </cell>
          <cell r="AA3046">
            <v>0</v>
          </cell>
          <cell r="AB3046">
            <v>3.4950000000000002E-2</v>
          </cell>
        </row>
        <row r="3047">
          <cell r="A3047">
            <v>54338010</v>
          </cell>
          <cell r="B3047" t="str">
            <v>Crackers, wheat, plain (Wheat Thins)</v>
          </cell>
          <cell r="I3047">
            <v>30</v>
          </cell>
          <cell r="J3047">
            <v>132.30000000000001</v>
          </cell>
          <cell r="K3047">
            <v>4.41</v>
          </cell>
          <cell r="L3047">
            <v>1.5657300999999999</v>
          </cell>
          <cell r="M3047">
            <v>0.79095000000000004</v>
          </cell>
          <cell r="N3047">
            <v>0</v>
          </cell>
          <cell r="O3047">
            <v>1.9199999999999998E-2</v>
          </cell>
          <cell r="P3047">
            <v>1.0142698999999999</v>
          </cell>
          <cell r="Q3047">
            <v>2.3128500000000001</v>
          </cell>
          <cell r="R3047">
            <v>7.6559999999999997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0.21045</v>
          </cell>
          <cell r="Y3047">
            <v>0</v>
          </cell>
          <cell r="Z3047">
            <v>0</v>
          </cell>
          <cell r="AA3047">
            <v>0</v>
          </cell>
          <cell r="AB3047">
            <v>3.4950000000000002E-2</v>
          </cell>
        </row>
        <row r="3048">
          <cell r="A3048">
            <v>54338020</v>
          </cell>
          <cell r="B3048" t="str">
            <v>Crackers, wheat, flavored (Wheat Thins)</v>
          </cell>
          <cell r="I3048">
            <v>30</v>
          </cell>
          <cell r="J3048">
            <v>132.30000000000001</v>
          </cell>
          <cell r="K3048">
            <v>4.41</v>
          </cell>
          <cell r="L3048">
            <v>1.5657300999999999</v>
          </cell>
          <cell r="M3048">
            <v>0.79095000000000004</v>
          </cell>
          <cell r="N3048">
            <v>0</v>
          </cell>
          <cell r="O3048">
            <v>1.9199999999999998E-2</v>
          </cell>
          <cell r="P3048">
            <v>1.0142698999999999</v>
          </cell>
          <cell r="Q3048">
            <v>2.3128500000000001</v>
          </cell>
          <cell r="R3048">
            <v>7.6559999999999997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0.21045</v>
          </cell>
          <cell r="Y3048">
            <v>0</v>
          </cell>
          <cell r="Z3048">
            <v>0</v>
          </cell>
          <cell r="AA3048">
            <v>0</v>
          </cell>
          <cell r="AB3048">
            <v>3.4950000000000002E-2</v>
          </cell>
        </row>
        <row r="3049">
          <cell r="A3049">
            <v>54338100</v>
          </cell>
          <cell r="B3049" t="str">
            <v>Crackers, wheat, reduced fat</v>
          </cell>
          <cell r="I3049">
            <v>30</v>
          </cell>
          <cell r="J3049">
            <v>133.19999999999999</v>
          </cell>
          <cell r="K3049">
            <v>4.4399999999999995</v>
          </cell>
          <cell r="L3049">
            <v>0.56327559999999999</v>
          </cell>
          <cell r="M3049">
            <v>0.63360000000000005</v>
          </cell>
          <cell r="N3049">
            <v>0</v>
          </cell>
          <cell r="O3049">
            <v>2.4E-2</v>
          </cell>
          <cell r="P3049">
            <v>0.45672439999999997</v>
          </cell>
          <cell r="Q3049">
            <v>2.1164999999999998</v>
          </cell>
          <cell r="R3049">
            <v>6.6239999999999997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0.23280000000000001</v>
          </cell>
          <cell r="Y3049">
            <v>0</v>
          </cell>
          <cell r="Z3049">
            <v>0</v>
          </cell>
          <cell r="AA3049">
            <v>0</v>
          </cell>
          <cell r="AB3049">
            <v>6.0299999999999999E-2</v>
          </cell>
        </row>
        <row r="3050">
          <cell r="A3050">
            <v>54340100</v>
          </cell>
          <cell r="B3050" t="str">
            <v>Crackers, gluten free, plain</v>
          </cell>
          <cell r="I3050">
            <v>30</v>
          </cell>
          <cell r="J3050">
            <v>135.9</v>
          </cell>
          <cell r="K3050">
            <v>4.53</v>
          </cell>
          <cell r="L3050">
            <v>2.6500976999999999</v>
          </cell>
          <cell r="M3050">
            <v>0.62070000000000003</v>
          </cell>
          <cell r="N3050">
            <v>0</v>
          </cell>
          <cell r="O3050">
            <v>7.1400000000000005E-2</v>
          </cell>
          <cell r="P3050">
            <v>0.4099023</v>
          </cell>
          <cell r="Q3050">
            <v>1.7943</v>
          </cell>
          <cell r="R3050">
            <v>17.423999999999999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0.13139999999999999</v>
          </cell>
          <cell r="Y3050">
            <v>2.0837249999999998</v>
          </cell>
          <cell r="Z3050">
            <v>0</v>
          </cell>
          <cell r="AA3050">
            <v>0</v>
          </cell>
          <cell r="AB3050">
            <v>5.4000000000000003E-3</v>
          </cell>
        </row>
        <row r="3051">
          <cell r="A3051">
            <v>54401010</v>
          </cell>
          <cell r="B3051" t="str">
            <v>Salty snacks, corn or cornmeal base, nuts or nuggets, toasted</v>
          </cell>
          <cell r="I3051">
            <v>30</v>
          </cell>
          <cell r="J3051">
            <v>133.80000000000001</v>
          </cell>
          <cell r="K3051">
            <v>4.46</v>
          </cell>
          <cell r="L3051">
            <v>2.0699999999999998</v>
          </cell>
          <cell r="M3051">
            <v>0.72899999999999998</v>
          </cell>
          <cell r="N3051">
            <v>0</v>
          </cell>
          <cell r="O3051">
            <v>2.7000000000000001E-3</v>
          </cell>
          <cell r="P3051">
            <v>0</v>
          </cell>
          <cell r="Q3051">
            <v>0.91500000000000004</v>
          </cell>
          <cell r="R3051">
            <v>25.824000000000002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0.16919999999999999</v>
          </cell>
          <cell r="Y3051">
            <v>0</v>
          </cell>
          <cell r="Z3051">
            <v>0</v>
          </cell>
          <cell r="AA3051">
            <v>0</v>
          </cell>
          <cell r="AB3051">
            <v>0.324625</v>
          </cell>
        </row>
        <row r="3052">
          <cell r="A3052">
            <v>54401011</v>
          </cell>
          <cell r="B3052" t="str">
            <v>Corn nuts</v>
          </cell>
          <cell r="I3052">
            <v>30</v>
          </cell>
          <cell r="J3052">
            <v>133.80000000000001</v>
          </cell>
          <cell r="K3052">
            <v>4.46</v>
          </cell>
          <cell r="L3052">
            <v>2.0699999999999998</v>
          </cell>
          <cell r="M3052">
            <v>0.72899999999999998</v>
          </cell>
          <cell r="N3052">
            <v>0</v>
          </cell>
          <cell r="O3052">
            <v>2.7000000000000001E-3</v>
          </cell>
          <cell r="P3052">
            <v>0</v>
          </cell>
          <cell r="Q3052">
            <v>0.91500000000000004</v>
          </cell>
          <cell r="R3052">
            <v>25.824000000000002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0.16919999999999999</v>
          </cell>
          <cell r="Y3052">
            <v>0</v>
          </cell>
          <cell r="Z3052">
            <v>0</v>
          </cell>
          <cell r="AA3052">
            <v>0</v>
          </cell>
          <cell r="AB3052">
            <v>0.32265120000000003</v>
          </cell>
        </row>
        <row r="3053">
          <cell r="A3053">
            <v>54401020</v>
          </cell>
          <cell r="B3053" t="str">
            <v>Salty snacks, corn or cornmeal base, corn chips, corn-cheese chips</v>
          </cell>
          <cell r="I3053">
            <v>30</v>
          </cell>
          <cell r="J3053">
            <v>161.4</v>
          </cell>
          <cell r="K3053">
            <v>5.38</v>
          </cell>
          <cell r="L3053">
            <v>1.2</v>
          </cell>
          <cell r="M3053">
            <v>1.2992999999999999</v>
          </cell>
          <cell r="N3053">
            <v>0</v>
          </cell>
          <cell r="O3053">
            <v>4.1399999999999999E-2</v>
          </cell>
          <cell r="P3053">
            <v>0</v>
          </cell>
          <cell r="Q3053">
            <v>4.9314</v>
          </cell>
          <cell r="R3053">
            <v>21.6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0.1542</v>
          </cell>
          <cell r="Y3053">
            <v>0</v>
          </cell>
          <cell r="Z3053">
            <v>0</v>
          </cell>
          <cell r="AA3053">
            <v>0</v>
          </cell>
          <cell r="AB3053">
            <v>2.64E-2</v>
          </cell>
        </row>
        <row r="3054">
          <cell r="A3054">
            <v>54401021</v>
          </cell>
          <cell r="B3054" t="str">
            <v>Corn chips, plain</v>
          </cell>
          <cell r="I3054">
            <v>30</v>
          </cell>
          <cell r="J3054">
            <v>160.11904999999999</v>
          </cell>
          <cell r="K3054">
            <v>5.3373016666666659</v>
          </cell>
          <cell r="L3054">
            <v>1.1904762</v>
          </cell>
          <cell r="M3054">
            <v>1.2889881000000001</v>
          </cell>
          <cell r="N3054">
            <v>0</v>
          </cell>
          <cell r="O3054">
            <v>4.1128600000000001E-2</v>
          </cell>
          <cell r="P3054">
            <v>0</v>
          </cell>
          <cell r="Q3054">
            <v>4.8922619000000003</v>
          </cell>
          <cell r="R3054">
            <v>21.428571000000002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0.24525710000000001</v>
          </cell>
          <cell r="Y3054">
            <v>0</v>
          </cell>
          <cell r="Z3054">
            <v>0</v>
          </cell>
          <cell r="AA3054">
            <v>0</v>
          </cell>
          <cell r="AB3054">
            <v>2.6190499999999999E-2</v>
          </cell>
        </row>
        <row r="3055">
          <cell r="A3055">
            <v>54401026</v>
          </cell>
          <cell r="B3055" t="str">
            <v>Corn chips, flavored</v>
          </cell>
          <cell r="I3055">
            <v>30</v>
          </cell>
          <cell r="J3055">
            <v>162.47524999999999</v>
          </cell>
          <cell r="K3055">
            <v>5.4158416666666662</v>
          </cell>
          <cell r="L3055">
            <v>1.1881188</v>
          </cell>
          <cell r="M3055">
            <v>1.3248949999999999</v>
          </cell>
          <cell r="N3055">
            <v>0</v>
          </cell>
          <cell r="O3055">
            <v>4.0990100000000002E-2</v>
          </cell>
          <cell r="P3055">
            <v>0</v>
          </cell>
          <cell r="Q3055">
            <v>5.0449811999999996</v>
          </cell>
          <cell r="R3055">
            <v>21.386139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0.15267330000000001</v>
          </cell>
          <cell r="Y3055">
            <v>0</v>
          </cell>
          <cell r="Z3055">
            <v>0</v>
          </cell>
          <cell r="AA3055">
            <v>0</v>
          </cell>
          <cell r="AB3055">
            <v>2.6988100000000001E-2</v>
          </cell>
        </row>
        <row r="3056">
          <cell r="A3056">
            <v>54401031</v>
          </cell>
          <cell r="B3056" t="str">
            <v>Corn chips, plain (Fritos)</v>
          </cell>
          <cell r="I3056">
            <v>30</v>
          </cell>
          <cell r="J3056">
            <v>161.4</v>
          </cell>
          <cell r="K3056">
            <v>5.38</v>
          </cell>
          <cell r="L3056">
            <v>1.2</v>
          </cell>
          <cell r="M3056">
            <v>1.2992999999999999</v>
          </cell>
          <cell r="N3056">
            <v>0</v>
          </cell>
          <cell r="O3056">
            <v>4.1399999999999999E-2</v>
          </cell>
          <cell r="P3056">
            <v>0</v>
          </cell>
          <cell r="Q3056">
            <v>4.9314</v>
          </cell>
          <cell r="R3056">
            <v>21.6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0.1542</v>
          </cell>
          <cell r="Y3056">
            <v>0</v>
          </cell>
          <cell r="Z3056">
            <v>0</v>
          </cell>
          <cell r="AA3056">
            <v>0</v>
          </cell>
          <cell r="AB3056">
            <v>2.64E-2</v>
          </cell>
        </row>
        <row r="3057">
          <cell r="A3057">
            <v>54401035</v>
          </cell>
          <cell r="B3057" t="str">
            <v>Corn chips, flavored (Fritos)</v>
          </cell>
          <cell r="I3057">
            <v>30</v>
          </cell>
          <cell r="J3057">
            <v>160.59701000000001</v>
          </cell>
          <cell r="K3057">
            <v>5.3532336666666671</v>
          </cell>
          <cell r="L3057">
            <v>1.1940299000000001</v>
          </cell>
          <cell r="M3057">
            <v>1.2928358</v>
          </cell>
          <cell r="N3057">
            <v>0</v>
          </cell>
          <cell r="O3057">
            <v>4.12299E-2</v>
          </cell>
          <cell r="P3057">
            <v>0</v>
          </cell>
          <cell r="Q3057">
            <v>4.9068657</v>
          </cell>
          <cell r="R3057">
            <v>21.492536999999999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0.21128060000000001</v>
          </cell>
          <cell r="Y3057">
            <v>0</v>
          </cell>
          <cell r="Z3057">
            <v>0</v>
          </cell>
          <cell r="AA3057">
            <v>0</v>
          </cell>
          <cell r="AB3057">
            <v>2.6268699999999999E-2</v>
          </cell>
        </row>
        <row r="3058">
          <cell r="A3058">
            <v>54401050</v>
          </cell>
          <cell r="B3058" t="str">
            <v>Salty snacks, corn or cornmeal base, corn puffs and twists; corn-cheese puffs and twists</v>
          </cell>
          <cell r="I3058">
            <v>30</v>
          </cell>
          <cell r="J3058">
            <v>170.1</v>
          </cell>
          <cell r="K3058">
            <v>5.67</v>
          </cell>
          <cell r="L3058">
            <v>0</v>
          </cell>
          <cell r="M3058">
            <v>1.1247</v>
          </cell>
          <cell r="N3058">
            <v>0</v>
          </cell>
          <cell r="O3058">
            <v>1.5900000000000001E-2</v>
          </cell>
          <cell r="P3058">
            <v>0.24</v>
          </cell>
          <cell r="Q3058">
            <v>5.3802000000000003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0.27839999999999998</v>
          </cell>
          <cell r="Y3058">
            <v>0</v>
          </cell>
          <cell r="Z3058">
            <v>0</v>
          </cell>
          <cell r="AA3058">
            <v>0</v>
          </cell>
          <cell r="AB3058">
            <v>8.1600000000000006E-2</v>
          </cell>
        </row>
        <row r="3059">
          <cell r="A3059">
            <v>54401055</v>
          </cell>
          <cell r="B3059" t="str">
            <v>Cheese flavored corn snacks</v>
          </cell>
          <cell r="I3059">
            <v>30</v>
          </cell>
          <cell r="J3059">
            <v>170.1</v>
          </cell>
          <cell r="K3059">
            <v>5.67</v>
          </cell>
          <cell r="L3059">
            <v>0</v>
          </cell>
          <cell r="M3059">
            <v>1.1247</v>
          </cell>
          <cell r="N3059">
            <v>0</v>
          </cell>
          <cell r="O3059">
            <v>1.5900000000000001E-2</v>
          </cell>
          <cell r="P3059">
            <v>0.24</v>
          </cell>
          <cell r="Q3059">
            <v>5.3802000000000003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0.27839999999999998</v>
          </cell>
          <cell r="Y3059">
            <v>0</v>
          </cell>
          <cell r="Z3059">
            <v>0</v>
          </cell>
          <cell r="AA3059">
            <v>0</v>
          </cell>
          <cell r="AB3059">
            <v>8.1600000000000006E-2</v>
          </cell>
        </row>
        <row r="3060">
          <cell r="A3060">
            <v>54401065</v>
          </cell>
          <cell r="B3060" t="str">
            <v>Cheese flavored corn snacks, reduced fat</v>
          </cell>
          <cell r="I3060">
            <v>30</v>
          </cell>
          <cell r="J3060">
            <v>129.6</v>
          </cell>
          <cell r="K3060">
            <v>4.3199999999999994</v>
          </cell>
          <cell r="L3060">
            <v>0</v>
          </cell>
          <cell r="M3060">
            <v>0.63</v>
          </cell>
          <cell r="N3060">
            <v>0</v>
          </cell>
          <cell r="O3060">
            <v>0.1071</v>
          </cell>
          <cell r="P3060">
            <v>1.08</v>
          </cell>
          <cell r="Q3060">
            <v>1.722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0.25409999999999999</v>
          </cell>
          <cell r="Y3060">
            <v>0</v>
          </cell>
          <cell r="Z3060">
            <v>0</v>
          </cell>
          <cell r="AA3060">
            <v>0</v>
          </cell>
          <cell r="AB3060">
            <v>0.1095826</v>
          </cell>
        </row>
        <row r="3061">
          <cell r="A3061">
            <v>54401075</v>
          </cell>
          <cell r="B3061" t="str">
            <v>Tortilla chips, plain</v>
          </cell>
          <cell r="I3061">
            <v>30</v>
          </cell>
          <cell r="J3061">
            <v>141.6</v>
          </cell>
          <cell r="K3061">
            <v>4.72</v>
          </cell>
          <cell r="L3061">
            <v>0</v>
          </cell>
          <cell r="M3061">
            <v>0.84330000000000005</v>
          </cell>
          <cell r="N3061">
            <v>0</v>
          </cell>
          <cell r="O3061">
            <v>3.1800000000000002E-2</v>
          </cell>
          <cell r="P3061">
            <v>1.62</v>
          </cell>
          <cell r="Q3061">
            <v>3.2307000000000001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9.8400000000000001E-2</v>
          </cell>
          <cell r="Y3061">
            <v>0</v>
          </cell>
          <cell r="Z3061">
            <v>0</v>
          </cell>
          <cell r="AA3061">
            <v>0</v>
          </cell>
          <cell r="AB3061">
            <v>0.24360000000000001</v>
          </cell>
        </row>
        <row r="3062">
          <cell r="A3062">
            <v>54401080</v>
          </cell>
          <cell r="B3062" t="str">
            <v>Salty snacks, corn or cornmeal base, tortilla chips</v>
          </cell>
          <cell r="I3062">
            <v>30</v>
          </cell>
          <cell r="J3062">
            <v>141.6</v>
          </cell>
          <cell r="K3062">
            <v>4.72</v>
          </cell>
          <cell r="L3062">
            <v>0</v>
          </cell>
          <cell r="M3062">
            <v>0.84330000000000005</v>
          </cell>
          <cell r="N3062">
            <v>0</v>
          </cell>
          <cell r="O3062">
            <v>3.1800000000000002E-2</v>
          </cell>
          <cell r="P3062">
            <v>1.62</v>
          </cell>
          <cell r="Q3062">
            <v>3.2307000000000001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9.8400000000000001E-2</v>
          </cell>
          <cell r="Y3062">
            <v>0</v>
          </cell>
          <cell r="Z3062">
            <v>0</v>
          </cell>
          <cell r="AA3062">
            <v>0</v>
          </cell>
          <cell r="AB3062">
            <v>0.24360000000000001</v>
          </cell>
        </row>
        <row r="3063">
          <cell r="A3063">
            <v>54401081</v>
          </cell>
          <cell r="B3063" t="str">
            <v>Cheese flavored corn snacks (Cheetos)</v>
          </cell>
          <cell r="I3063">
            <v>30</v>
          </cell>
          <cell r="J3063">
            <v>170.1</v>
          </cell>
          <cell r="K3063">
            <v>5.67</v>
          </cell>
          <cell r="L3063">
            <v>0</v>
          </cell>
          <cell r="M3063">
            <v>1.1247</v>
          </cell>
          <cell r="N3063">
            <v>0</v>
          </cell>
          <cell r="O3063">
            <v>1.5900000000000001E-2</v>
          </cell>
          <cell r="P3063">
            <v>0.24</v>
          </cell>
          <cell r="Q3063">
            <v>5.3802000000000003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0.27839999999999998</v>
          </cell>
          <cell r="Y3063">
            <v>0</v>
          </cell>
          <cell r="Z3063">
            <v>0</v>
          </cell>
          <cell r="AA3063">
            <v>0</v>
          </cell>
          <cell r="AB3063">
            <v>8.1600000000000006E-2</v>
          </cell>
        </row>
        <row r="3064">
          <cell r="A3064">
            <v>54401085</v>
          </cell>
          <cell r="B3064" t="str">
            <v>Tortilla chips, flavored</v>
          </cell>
          <cell r="I3064">
            <v>30</v>
          </cell>
          <cell r="J3064">
            <v>155.69999999999999</v>
          </cell>
          <cell r="K3064">
            <v>5.1899999999999995</v>
          </cell>
          <cell r="L3064">
            <v>0</v>
          </cell>
          <cell r="M3064">
            <v>1.1628000000000001</v>
          </cell>
          <cell r="N3064">
            <v>0</v>
          </cell>
          <cell r="O3064">
            <v>4.1099999999999998E-2</v>
          </cell>
          <cell r="P3064">
            <v>1.53</v>
          </cell>
          <cell r="Q3064">
            <v>3.6770999999999998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0.20730000000000001</v>
          </cell>
          <cell r="Y3064">
            <v>0</v>
          </cell>
          <cell r="Z3064">
            <v>0</v>
          </cell>
          <cell r="AA3064">
            <v>0</v>
          </cell>
          <cell r="AB3064">
            <v>5.5500000000000001E-2</v>
          </cell>
        </row>
        <row r="3065">
          <cell r="A3065">
            <v>54401090</v>
          </cell>
          <cell r="B3065" t="str">
            <v>Corn chips, reduced sodium</v>
          </cell>
          <cell r="I3065">
            <v>30</v>
          </cell>
          <cell r="J3065">
            <v>164.42608999999999</v>
          </cell>
          <cell r="K3065">
            <v>5.4808696666666661</v>
          </cell>
          <cell r="L3065">
            <v>0.67826090000000006</v>
          </cell>
          <cell r="M3065">
            <v>1.3186564999999999</v>
          </cell>
          <cell r="N3065">
            <v>0</v>
          </cell>
          <cell r="O3065">
            <v>3.7917399999999997E-2</v>
          </cell>
          <cell r="P3065">
            <v>0.48391299999999998</v>
          </cell>
          <cell r="Q3065">
            <v>5.1888912999999999</v>
          </cell>
          <cell r="R3065">
            <v>12.208696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8.8526099999999996E-2</v>
          </cell>
          <cell r="Y3065">
            <v>0</v>
          </cell>
          <cell r="Z3065">
            <v>0</v>
          </cell>
          <cell r="AA3065">
            <v>0</v>
          </cell>
          <cell r="AB3065">
            <v>8.1415100000000004E-2</v>
          </cell>
        </row>
        <row r="3066">
          <cell r="A3066">
            <v>54401100</v>
          </cell>
          <cell r="B3066" t="str">
            <v>Salty snacks, corn or cornmeal base, tortilla chips, light (baked with less oil)</v>
          </cell>
          <cell r="I3066">
            <v>30</v>
          </cell>
          <cell r="J3066">
            <v>139.5</v>
          </cell>
          <cell r="K3066">
            <v>4.6500000000000004</v>
          </cell>
          <cell r="L3066">
            <v>1.0030117999999999</v>
          </cell>
          <cell r="M3066">
            <v>0.85109999999999997</v>
          </cell>
          <cell r="N3066">
            <v>0</v>
          </cell>
          <cell r="O3066">
            <v>4.7699999999999999E-2</v>
          </cell>
          <cell r="P3066">
            <v>0.70698819999999996</v>
          </cell>
          <cell r="Q3066">
            <v>1.5072000000000001</v>
          </cell>
          <cell r="R3066">
            <v>9.984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0.16919999999999999</v>
          </cell>
          <cell r="Y3066">
            <v>0</v>
          </cell>
          <cell r="Z3066">
            <v>0</v>
          </cell>
          <cell r="AA3066">
            <v>0</v>
          </cell>
          <cell r="AB3066">
            <v>2.3546000000000001E-2</v>
          </cell>
        </row>
        <row r="3067">
          <cell r="A3067">
            <v>54401110</v>
          </cell>
          <cell r="B3067" t="str">
            <v>Tortilla chips, nacho cheese flavor (Doritos)</v>
          </cell>
          <cell r="I3067">
            <v>30</v>
          </cell>
          <cell r="J3067">
            <v>155.69999999999999</v>
          </cell>
          <cell r="K3067">
            <v>5.1899999999999995</v>
          </cell>
          <cell r="L3067">
            <v>0</v>
          </cell>
          <cell r="M3067">
            <v>1.1628000000000001</v>
          </cell>
          <cell r="N3067">
            <v>0</v>
          </cell>
          <cell r="O3067">
            <v>4.1099999999999998E-2</v>
          </cell>
          <cell r="P3067">
            <v>1.53</v>
          </cell>
          <cell r="Q3067">
            <v>3.6770999999999998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0.20730000000000001</v>
          </cell>
          <cell r="Y3067">
            <v>0</v>
          </cell>
          <cell r="Z3067">
            <v>0</v>
          </cell>
          <cell r="AA3067">
            <v>0</v>
          </cell>
          <cell r="AB3067">
            <v>5.5500000000000001E-2</v>
          </cell>
        </row>
        <row r="3068">
          <cell r="A3068">
            <v>54401111</v>
          </cell>
          <cell r="B3068" t="str">
            <v>Tortilla chips, cool ranch flavor (Doritos)</v>
          </cell>
          <cell r="I3068">
            <v>30</v>
          </cell>
          <cell r="J3068">
            <v>140.89552</v>
          </cell>
          <cell r="K3068">
            <v>4.6965173333333334</v>
          </cell>
          <cell r="L3068">
            <v>0</v>
          </cell>
          <cell r="M3068">
            <v>0.83910450000000003</v>
          </cell>
          <cell r="N3068">
            <v>0</v>
          </cell>
          <cell r="O3068">
            <v>3.16776E-2</v>
          </cell>
          <cell r="P3068">
            <v>1.6119403000000001</v>
          </cell>
          <cell r="Q3068">
            <v>3.2146268999999998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0.15575820000000001</v>
          </cell>
          <cell r="Y3068">
            <v>0</v>
          </cell>
          <cell r="Z3068">
            <v>0</v>
          </cell>
          <cell r="AA3068">
            <v>0</v>
          </cell>
          <cell r="AB3068">
            <v>0.2423881</v>
          </cell>
        </row>
        <row r="3069">
          <cell r="A3069">
            <v>54401112</v>
          </cell>
          <cell r="B3069" t="str">
            <v>Tortilla chips, other flavors (Doritos)</v>
          </cell>
          <cell r="I3069">
            <v>30</v>
          </cell>
          <cell r="J3069">
            <v>155.69999999999999</v>
          </cell>
          <cell r="K3069">
            <v>5.1899999999999995</v>
          </cell>
          <cell r="L3069">
            <v>0</v>
          </cell>
          <cell r="M3069">
            <v>1.1628000000000001</v>
          </cell>
          <cell r="N3069">
            <v>0</v>
          </cell>
          <cell r="O3069">
            <v>4.1099999999999998E-2</v>
          </cell>
          <cell r="P3069">
            <v>1.53</v>
          </cell>
          <cell r="Q3069">
            <v>3.6770999999999998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0.20730000000000001</v>
          </cell>
          <cell r="Y3069">
            <v>0</v>
          </cell>
          <cell r="Z3069">
            <v>0</v>
          </cell>
          <cell r="AA3069">
            <v>0</v>
          </cell>
          <cell r="AB3069">
            <v>5.5500000000000001E-2</v>
          </cell>
        </row>
        <row r="3070">
          <cell r="A3070">
            <v>54401120</v>
          </cell>
          <cell r="B3070" t="str">
            <v>Salty snacks, corn or cornmeal base, tortilla chips, fat free, made with Olean</v>
          </cell>
          <cell r="I3070">
            <v>30</v>
          </cell>
          <cell r="J3070">
            <v>95.4</v>
          </cell>
          <cell r="K3070">
            <v>3.18</v>
          </cell>
          <cell r="L3070">
            <v>1.3330777</v>
          </cell>
          <cell r="M3070">
            <v>0.31619999999999998</v>
          </cell>
          <cell r="N3070">
            <v>0</v>
          </cell>
          <cell r="O3070">
            <v>3.8399999999999997E-2</v>
          </cell>
          <cell r="P3070">
            <v>0.58692230000000001</v>
          </cell>
          <cell r="Q3070">
            <v>0.36330000000000001</v>
          </cell>
          <cell r="R3070">
            <v>13.824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0.21149999999999999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</row>
        <row r="3071">
          <cell r="A3071">
            <v>54401121</v>
          </cell>
          <cell r="B3071" t="str">
            <v>Tortilla chips, reduced fat, plain</v>
          </cell>
          <cell r="I3071">
            <v>30</v>
          </cell>
          <cell r="J3071">
            <v>123.19842</v>
          </cell>
          <cell r="K3071">
            <v>4.1066139999999995</v>
          </cell>
          <cell r="L3071">
            <v>0</v>
          </cell>
          <cell r="M3071">
            <v>0.25172749999999999</v>
          </cell>
          <cell r="N3071">
            <v>0</v>
          </cell>
          <cell r="O3071">
            <v>4.7180300000000001E-2</v>
          </cell>
          <cell r="P3071">
            <v>1.5695953</v>
          </cell>
          <cell r="Q3071">
            <v>0.8499506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0.15365860000000001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</row>
        <row r="3072">
          <cell r="A3072">
            <v>54401122</v>
          </cell>
          <cell r="B3072" t="str">
            <v>Tortilla chips, reduced fat, flavored</v>
          </cell>
          <cell r="I3072">
            <v>30</v>
          </cell>
          <cell r="J3072">
            <v>123.19842</v>
          </cell>
          <cell r="K3072">
            <v>4.1066139999999995</v>
          </cell>
          <cell r="L3072">
            <v>0</v>
          </cell>
          <cell r="M3072">
            <v>0.25172749999999999</v>
          </cell>
          <cell r="N3072">
            <v>0</v>
          </cell>
          <cell r="O3072">
            <v>4.7180300000000001E-2</v>
          </cell>
          <cell r="P3072">
            <v>1.5695953</v>
          </cell>
          <cell r="Q3072">
            <v>0.8499506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0.15365860000000001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</row>
        <row r="3073">
          <cell r="A3073">
            <v>54401150</v>
          </cell>
          <cell r="B3073" t="str">
            <v>Salty snacks, corn or cornmeal base, tortilla chips, lowfat, baked without fat</v>
          </cell>
          <cell r="I3073">
            <v>30</v>
          </cell>
          <cell r="J3073">
            <v>124.5</v>
          </cell>
          <cell r="K3073">
            <v>4.1500000000000004</v>
          </cell>
          <cell r="L3073">
            <v>0</v>
          </cell>
          <cell r="M3073">
            <v>0.255</v>
          </cell>
          <cell r="N3073">
            <v>0</v>
          </cell>
          <cell r="O3073">
            <v>4.7699999999999999E-2</v>
          </cell>
          <cell r="P3073">
            <v>1.59</v>
          </cell>
          <cell r="Q3073">
            <v>0.86099999999999999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0.15509999999999999</v>
          </cell>
          <cell r="Y3073">
            <v>0</v>
          </cell>
          <cell r="Z3073">
            <v>0</v>
          </cell>
          <cell r="AA3073">
            <v>0</v>
          </cell>
          <cell r="AB3073">
            <v>5.8339000000000004E-3</v>
          </cell>
        </row>
        <row r="3074">
          <cell r="A3074">
            <v>54401170</v>
          </cell>
          <cell r="B3074" t="str">
            <v>Tortilla chips, low fat, unsalted</v>
          </cell>
          <cell r="I3074">
            <v>30</v>
          </cell>
          <cell r="J3074">
            <v>124.8</v>
          </cell>
          <cell r="K3074">
            <v>4.16</v>
          </cell>
          <cell r="L3074">
            <v>0</v>
          </cell>
          <cell r="M3074">
            <v>0.255</v>
          </cell>
          <cell r="N3074">
            <v>0</v>
          </cell>
          <cell r="O3074">
            <v>4.7699999999999999E-2</v>
          </cell>
          <cell r="P3074">
            <v>1.59</v>
          </cell>
          <cell r="Q3074">
            <v>0.86099999999999999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4.4999999999999997E-3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</row>
        <row r="3075">
          <cell r="A3075">
            <v>54401210</v>
          </cell>
          <cell r="B3075" t="str">
            <v>Salty snacks, corn based puffs and twists, cheese puffs and twists, lowfat</v>
          </cell>
          <cell r="I3075">
            <v>30</v>
          </cell>
          <cell r="J3075">
            <v>129.6</v>
          </cell>
          <cell r="K3075">
            <v>4.3199999999999994</v>
          </cell>
          <cell r="L3075">
            <v>0</v>
          </cell>
          <cell r="M3075">
            <v>0.63</v>
          </cell>
          <cell r="N3075">
            <v>0</v>
          </cell>
          <cell r="O3075">
            <v>0.1071</v>
          </cell>
          <cell r="P3075">
            <v>1.08</v>
          </cell>
          <cell r="Q3075">
            <v>1.722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0.25409999999999999</v>
          </cell>
          <cell r="Y3075">
            <v>0</v>
          </cell>
          <cell r="Z3075">
            <v>0</v>
          </cell>
          <cell r="AA3075">
            <v>0</v>
          </cell>
          <cell r="AB3075">
            <v>0.1041213</v>
          </cell>
        </row>
        <row r="3076">
          <cell r="A3076">
            <v>54402080</v>
          </cell>
          <cell r="B3076" t="str">
            <v>Tortilla chips, reduced sodium</v>
          </cell>
          <cell r="I3076">
            <v>30</v>
          </cell>
          <cell r="J3076">
            <v>146.58000000000001</v>
          </cell>
          <cell r="K3076">
            <v>4.8860000000000001</v>
          </cell>
          <cell r="L3076">
            <v>0</v>
          </cell>
          <cell r="M3076">
            <v>0.79940999999999995</v>
          </cell>
          <cell r="N3076">
            <v>0</v>
          </cell>
          <cell r="O3076">
            <v>4.0544999999999998E-2</v>
          </cell>
          <cell r="P3076">
            <v>1.3514999999999999</v>
          </cell>
          <cell r="Q3076">
            <v>3.1923149999999998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3.8249999999999998E-3</v>
          </cell>
          <cell r="Y3076">
            <v>0</v>
          </cell>
          <cell r="Z3076">
            <v>0</v>
          </cell>
          <cell r="AA3076">
            <v>0</v>
          </cell>
          <cell r="AB3076">
            <v>1.2869999999999999E-2</v>
          </cell>
        </row>
        <row r="3077">
          <cell r="A3077">
            <v>54402200</v>
          </cell>
          <cell r="B3077" t="str">
            <v>Snack mix</v>
          </cell>
          <cell r="I3077">
            <v>30</v>
          </cell>
          <cell r="J3077">
            <v>151.13042999999999</v>
          </cell>
          <cell r="K3077">
            <v>5.0376810000000001</v>
          </cell>
          <cell r="L3077">
            <v>0.27826089999999998</v>
          </cell>
          <cell r="M3077">
            <v>0.91013480000000002</v>
          </cell>
          <cell r="N3077">
            <v>0</v>
          </cell>
          <cell r="O3077">
            <v>2.40304E-2</v>
          </cell>
          <cell r="P3077">
            <v>0.65130429999999995</v>
          </cell>
          <cell r="Q3077">
            <v>3.8370042999999998</v>
          </cell>
          <cell r="R3077">
            <v>5.0086956999999996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0.22549569999999999</v>
          </cell>
          <cell r="Y3077">
            <v>0</v>
          </cell>
          <cell r="Z3077">
            <v>0</v>
          </cell>
          <cell r="AA3077">
            <v>0</v>
          </cell>
          <cell r="AB3077">
            <v>9.1217400000000004E-2</v>
          </cell>
        </row>
        <row r="3078">
          <cell r="A3078">
            <v>54402600</v>
          </cell>
          <cell r="B3078" t="str">
            <v>Salty snacks, multigrain, whole grain, chips (made with whole corn, whole wheat, rice flour, and whole oat flour)</v>
          </cell>
          <cell r="I3078">
            <v>30</v>
          </cell>
          <cell r="J3078">
            <v>147.30000000000001</v>
          </cell>
          <cell r="K3078">
            <v>4.91</v>
          </cell>
          <cell r="L3078">
            <v>2.64</v>
          </cell>
          <cell r="M3078">
            <v>0.64980000000000004</v>
          </cell>
          <cell r="N3078">
            <v>0</v>
          </cell>
          <cell r="O3078">
            <v>6.0000000000000001E-3</v>
          </cell>
          <cell r="P3078">
            <v>0</v>
          </cell>
          <cell r="Q3078">
            <v>1.9539</v>
          </cell>
          <cell r="R3078">
            <v>21.6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0.12690000000000001</v>
          </cell>
          <cell r="Y3078">
            <v>0</v>
          </cell>
          <cell r="Z3078">
            <v>0</v>
          </cell>
          <cell r="AA3078">
            <v>0</v>
          </cell>
          <cell r="AB3078">
            <v>2.64E-2</v>
          </cell>
        </row>
        <row r="3079">
          <cell r="A3079">
            <v>54402610</v>
          </cell>
          <cell r="B3079" t="str">
            <v>Salty snacks, multigrain and potato chips (made with rice flour, dried potatoes, corn flour, and wheat starch)</v>
          </cell>
          <cell r="I3079">
            <v>30</v>
          </cell>
          <cell r="J3079">
            <v>151.5</v>
          </cell>
          <cell r="K3079">
            <v>5.05</v>
          </cell>
          <cell r="L3079">
            <v>0</v>
          </cell>
          <cell r="M3079">
            <v>1.8920999999999999</v>
          </cell>
          <cell r="N3079">
            <v>0</v>
          </cell>
          <cell r="O3079">
            <v>7.7999999999999996E-3</v>
          </cell>
          <cell r="P3079">
            <v>0.81</v>
          </cell>
          <cell r="Q3079">
            <v>3.1842000000000001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0.16320000000000001</v>
          </cell>
          <cell r="Y3079">
            <v>0</v>
          </cell>
          <cell r="Z3079">
            <v>0</v>
          </cell>
          <cell r="AA3079">
            <v>0</v>
          </cell>
          <cell r="AB3079">
            <v>4.4699999999999997E-2</v>
          </cell>
        </row>
        <row r="3080">
          <cell r="A3080">
            <v>54402700</v>
          </cell>
          <cell r="B3080" t="str">
            <v>Pita chips</v>
          </cell>
          <cell r="I3080">
            <v>30</v>
          </cell>
          <cell r="J3080">
            <v>137.1</v>
          </cell>
          <cell r="K3080">
            <v>4.5699999999999994</v>
          </cell>
          <cell r="L3080">
            <v>0.1895192</v>
          </cell>
          <cell r="M3080">
            <v>0.40260000000000001</v>
          </cell>
          <cell r="N3080">
            <v>0</v>
          </cell>
          <cell r="O3080">
            <v>5.1000000000000004E-3</v>
          </cell>
          <cell r="P3080">
            <v>0.95048080000000001</v>
          </cell>
          <cell r="Q3080">
            <v>0.63900000000000001</v>
          </cell>
          <cell r="R3080">
            <v>1.776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0.25619999999999998</v>
          </cell>
          <cell r="Y3080">
            <v>0</v>
          </cell>
          <cell r="Z3080">
            <v>0</v>
          </cell>
          <cell r="AA3080">
            <v>0</v>
          </cell>
          <cell r="AB3080">
            <v>1.14E-2</v>
          </cell>
        </row>
        <row r="3081">
          <cell r="A3081">
            <v>54403000</v>
          </cell>
          <cell r="B3081" t="str">
            <v>Popcorn, popped in oil, unbuttered</v>
          </cell>
          <cell r="I3081">
            <v>30</v>
          </cell>
          <cell r="J3081">
            <v>174.9</v>
          </cell>
          <cell r="K3081">
            <v>5.83</v>
          </cell>
          <cell r="L3081">
            <v>2.4300000000000002</v>
          </cell>
          <cell r="M3081">
            <v>2.0459999999999998</v>
          </cell>
          <cell r="N3081">
            <v>0</v>
          </cell>
          <cell r="O3081">
            <v>1.1999999999999999E-3</v>
          </cell>
          <cell r="P3081">
            <v>0</v>
          </cell>
          <cell r="Q3081">
            <v>6.9573</v>
          </cell>
          <cell r="R3081">
            <v>18.455850000000002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0.20369999999999999</v>
          </cell>
          <cell r="Y3081">
            <v>0</v>
          </cell>
          <cell r="Z3081">
            <v>0</v>
          </cell>
          <cell r="AA3081">
            <v>0</v>
          </cell>
          <cell r="AB3081">
            <v>0.6650701</v>
          </cell>
        </row>
        <row r="3082">
          <cell r="A3082">
            <v>54403001</v>
          </cell>
          <cell r="B3082" t="str">
            <v>Popcorn, NFS</v>
          </cell>
          <cell r="I3082">
            <v>30</v>
          </cell>
          <cell r="J3082">
            <v>160.5</v>
          </cell>
          <cell r="K3082">
            <v>5.35</v>
          </cell>
          <cell r="L3082">
            <v>3</v>
          </cell>
          <cell r="M3082">
            <v>4.3794000000000004</v>
          </cell>
          <cell r="N3082">
            <v>0</v>
          </cell>
          <cell r="O3082">
            <v>6.8999999999999999E-3</v>
          </cell>
          <cell r="P3082">
            <v>0</v>
          </cell>
          <cell r="Q3082">
            <v>1.2372000000000001</v>
          </cell>
          <cell r="R3082">
            <v>22.198049999999999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0.22889999999999999</v>
          </cell>
          <cell r="Y3082">
            <v>0</v>
          </cell>
          <cell r="Z3082">
            <v>0</v>
          </cell>
          <cell r="AA3082">
            <v>0</v>
          </cell>
          <cell r="AB3082">
            <v>0.25590000000000002</v>
          </cell>
        </row>
        <row r="3083">
          <cell r="A3083">
            <v>54403005</v>
          </cell>
          <cell r="B3083" t="str">
            <v>Popcorn, movie theater, with added butter</v>
          </cell>
          <cell r="I3083">
            <v>30</v>
          </cell>
          <cell r="J3083">
            <v>196.8</v>
          </cell>
          <cell r="K3083">
            <v>6.5600000000000005</v>
          </cell>
          <cell r="L3083">
            <v>1.6342411999999999</v>
          </cell>
          <cell r="M3083">
            <v>10.642678999999999</v>
          </cell>
          <cell r="N3083">
            <v>0</v>
          </cell>
          <cell r="O3083">
            <v>2.1572000000000002E-3</v>
          </cell>
          <cell r="P3083">
            <v>0</v>
          </cell>
          <cell r="Q3083">
            <v>2.5352777999999998</v>
          </cell>
          <cell r="R3083">
            <v>12.555630000000001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0.22717589999999999</v>
          </cell>
          <cell r="Y3083">
            <v>0</v>
          </cell>
          <cell r="Z3083">
            <v>0</v>
          </cell>
          <cell r="AA3083">
            <v>0</v>
          </cell>
          <cell r="AB3083">
            <v>0.36464530000000001</v>
          </cell>
        </row>
        <row r="3084">
          <cell r="A3084">
            <v>54403006</v>
          </cell>
          <cell r="B3084" t="str">
            <v>Popcorn, movie theater, unbuttered</v>
          </cell>
          <cell r="I3084">
            <v>30</v>
          </cell>
          <cell r="J3084">
            <v>180.94118</v>
          </cell>
          <cell r="K3084">
            <v>6.0313726666666669</v>
          </cell>
          <cell r="L3084">
            <v>2.0588234999999999</v>
          </cell>
          <cell r="M3084">
            <v>8.6723234999999992</v>
          </cell>
          <cell r="N3084">
            <v>0</v>
          </cell>
          <cell r="O3084">
            <v>2.3765000000000001E-3</v>
          </cell>
          <cell r="P3084">
            <v>0</v>
          </cell>
          <cell r="Q3084">
            <v>2.9114705999999999</v>
          </cell>
          <cell r="R3084">
            <v>15.817632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0.2290471</v>
          </cell>
          <cell r="Y3084">
            <v>0</v>
          </cell>
          <cell r="Z3084">
            <v>0</v>
          </cell>
          <cell r="AA3084">
            <v>0</v>
          </cell>
          <cell r="AB3084">
            <v>0.1774675</v>
          </cell>
        </row>
        <row r="3085">
          <cell r="A3085">
            <v>54403010</v>
          </cell>
          <cell r="B3085" t="str">
            <v>Popcorn, air-popped, unbuttered</v>
          </cell>
          <cell r="I3085">
            <v>30</v>
          </cell>
          <cell r="J3085">
            <v>115.63745</v>
          </cell>
          <cell r="K3085">
            <v>3.8545816666666668</v>
          </cell>
          <cell r="L3085">
            <v>4.3326693000000001</v>
          </cell>
          <cell r="M3085">
            <v>0.1903386</v>
          </cell>
          <cell r="N3085">
            <v>0</v>
          </cell>
          <cell r="O3085">
            <v>2.1202999999999999E-3</v>
          </cell>
          <cell r="P3085">
            <v>0</v>
          </cell>
          <cell r="Q3085">
            <v>0.69262950000000001</v>
          </cell>
          <cell r="R3085">
            <v>29.880478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4.87147E-2</v>
          </cell>
          <cell r="Y3085">
            <v>0</v>
          </cell>
          <cell r="Z3085">
            <v>0</v>
          </cell>
          <cell r="AA3085">
            <v>0</v>
          </cell>
          <cell r="AB3085">
            <v>4.3436500000000003E-2</v>
          </cell>
        </row>
        <row r="3086">
          <cell r="A3086">
            <v>54403020</v>
          </cell>
          <cell r="B3086" t="str">
            <v>Popcorn, popped in oil, buttered</v>
          </cell>
          <cell r="I3086">
            <v>30</v>
          </cell>
          <cell r="J3086">
            <v>160.5</v>
          </cell>
          <cell r="K3086">
            <v>5.35</v>
          </cell>
          <cell r="L3086">
            <v>3</v>
          </cell>
          <cell r="M3086">
            <v>4.3794000000000004</v>
          </cell>
          <cell r="N3086">
            <v>0</v>
          </cell>
          <cell r="O3086">
            <v>6.8999999999999999E-3</v>
          </cell>
          <cell r="P3086">
            <v>0</v>
          </cell>
          <cell r="Q3086">
            <v>1.2372000000000001</v>
          </cell>
          <cell r="R3086">
            <v>22.453199999999999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0.22889999999999999</v>
          </cell>
          <cell r="Y3086">
            <v>0</v>
          </cell>
          <cell r="Z3086">
            <v>0</v>
          </cell>
          <cell r="AA3086">
            <v>0</v>
          </cell>
          <cell r="AB3086">
            <v>0.25590000000000002</v>
          </cell>
        </row>
        <row r="3087">
          <cell r="A3087">
            <v>54403040</v>
          </cell>
          <cell r="B3087" t="str">
            <v>Popcorn, air-popped, with added butter or margarine</v>
          </cell>
          <cell r="I3087">
            <v>30</v>
          </cell>
          <cell r="J3087">
            <v>127.40169</v>
          </cell>
          <cell r="K3087">
            <v>4.2467230000000002</v>
          </cell>
          <cell r="L3087">
            <v>3.6739864999999998</v>
          </cell>
          <cell r="M3087">
            <v>1.7875681999999999</v>
          </cell>
          <cell r="N3087">
            <v>0</v>
          </cell>
          <cell r="O3087">
            <v>2.8378000000000001E-3</v>
          </cell>
          <cell r="P3087">
            <v>0</v>
          </cell>
          <cell r="Q3087">
            <v>1.1536287000000001</v>
          </cell>
          <cell r="R3087">
            <v>25.337838000000001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7.1287000000000003E-2</v>
          </cell>
          <cell r="Y3087">
            <v>0</v>
          </cell>
          <cell r="Z3087">
            <v>0</v>
          </cell>
          <cell r="AA3087">
            <v>0</v>
          </cell>
          <cell r="AB3087">
            <v>0.30613069999999998</v>
          </cell>
        </row>
        <row r="3088">
          <cell r="A3088">
            <v>54403045</v>
          </cell>
          <cell r="B3088" t="str">
            <v>Popcorn, popped in oil, unbuttered</v>
          </cell>
          <cell r="I3088">
            <v>30</v>
          </cell>
          <cell r="J3088">
            <v>149.40239</v>
          </cell>
          <cell r="K3088">
            <v>4.9800796666666667</v>
          </cell>
          <cell r="L3088">
            <v>2.9880477999999999</v>
          </cell>
          <cell r="M3088">
            <v>1.5089641</v>
          </cell>
          <cell r="N3088">
            <v>0</v>
          </cell>
          <cell r="O3088">
            <v>3.0167000000000002E-3</v>
          </cell>
          <cell r="P3088">
            <v>0</v>
          </cell>
          <cell r="Q3088">
            <v>4.0398405999999998</v>
          </cell>
          <cell r="R3088">
            <v>22.956723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4.7220699999999997E-2</v>
          </cell>
          <cell r="Y3088">
            <v>0</v>
          </cell>
          <cell r="Z3088">
            <v>0</v>
          </cell>
          <cell r="AA3088">
            <v>0</v>
          </cell>
          <cell r="AB3088">
            <v>2.4999799999999999E-2</v>
          </cell>
        </row>
        <row r="3089">
          <cell r="A3089">
            <v>54403046</v>
          </cell>
          <cell r="B3089" t="str">
            <v>Popcorn, popped in oil, with added butter or margarine</v>
          </cell>
          <cell r="I3089">
            <v>30</v>
          </cell>
          <cell r="J3089">
            <v>156.03344999999999</v>
          </cell>
          <cell r="K3089">
            <v>5.2011149999999997</v>
          </cell>
          <cell r="L3089">
            <v>2.5337838000000001</v>
          </cell>
          <cell r="M3089">
            <v>2.9057270000000002</v>
          </cell>
          <cell r="N3089">
            <v>0</v>
          </cell>
          <cell r="O3089">
            <v>3.5980000000000001E-3</v>
          </cell>
          <cell r="P3089">
            <v>0</v>
          </cell>
          <cell r="Q3089">
            <v>3.9919733000000002</v>
          </cell>
          <cell r="R3089">
            <v>19.466681000000001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7.0020100000000002E-2</v>
          </cell>
          <cell r="Y3089">
            <v>0</v>
          </cell>
          <cell r="Z3089">
            <v>0</v>
          </cell>
          <cell r="AA3089">
            <v>0</v>
          </cell>
          <cell r="AB3089">
            <v>0.1565453</v>
          </cell>
        </row>
        <row r="3090">
          <cell r="A3090">
            <v>54403050</v>
          </cell>
          <cell r="B3090" t="str">
            <v>Popcorn, flavored</v>
          </cell>
          <cell r="I3090">
            <v>30</v>
          </cell>
          <cell r="J3090">
            <v>157.80000000000001</v>
          </cell>
          <cell r="K3090">
            <v>5.2600000000000007</v>
          </cell>
          <cell r="L3090">
            <v>2.97</v>
          </cell>
          <cell r="M3090">
            <v>1.923</v>
          </cell>
          <cell r="N3090">
            <v>0</v>
          </cell>
          <cell r="O3090">
            <v>3.39E-2</v>
          </cell>
          <cell r="P3090">
            <v>0</v>
          </cell>
          <cell r="Q3090">
            <v>4.6109999999999998</v>
          </cell>
          <cell r="R3090">
            <v>20.0718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0.26669999999999999</v>
          </cell>
          <cell r="Y3090">
            <v>0</v>
          </cell>
          <cell r="Z3090">
            <v>0</v>
          </cell>
          <cell r="AA3090">
            <v>0</v>
          </cell>
          <cell r="AB3090">
            <v>0.51028949999999995</v>
          </cell>
        </row>
        <row r="3091">
          <cell r="A3091">
            <v>54403051</v>
          </cell>
          <cell r="B3091" t="str">
            <v>Popcorn, microwave, NFS</v>
          </cell>
          <cell r="I3091">
            <v>30</v>
          </cell>
          <cell r="J3091">
            <v>160.5</v>
          </cell>
          <cell r="K3091">
            <v>5.35</v>
          </cell>
          <cell r="L3091">
            <v>3</v>
          </cell>
          <cell r="M3091">
            <v>4.3794000000000004</v>
          </cell>
          <cell r="N3091">
            <v>0</v>
          </cell>
          <cell r="O3091">
            <v>6.8999999999999999E-3</v>
          </cell>
          <cell r="P3091">
            <v>0</v>
          </cell>
          <cell r="Q3091">
            <v>1.2372000000000001</v>
          </cell>
          <cell r="R3091">
            <v>22.198049999999999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0.22889999999999999</v>
          </cell>
          <cell r="Y3091">
            <v>0</v>
          </cell>
          <cell r="Z3091">
            <v>0</v>
          </cell>
          <cell r="AA3091">
            <v>0</v>
          </cell>
          <cell r="AB3091">
            <v>0.25590000000000002</v>
          </cell>
        </row>
        <row r="3092">
          <cell r="A3092">
            <v>54403052</v>
          </cell>
          <cell r="B3092" t="str">
            <v>Popcorn, microwave, plain</v>
          </cell>
          <cell r="I3092">
            <v>30</v>
          </cell>
          <cell r="J3092">
            <v>160.5</v>
          </cell>
          <cell r="K3092">
            <v>5.35</v>
          </cell>
          <cell r="L3092">
            <v>3</v>
          </cell>
          <cell r="M3092">
            <v>4.3794000000000004</v>
          </cell>
          <cell r="N3092">
            <v>0</v>
          </cell>
          <cell r="O3092">
            <v>6.8999999999999999E-3</v>
          </cell>
          <cell r="P3092">
            <v>0</v>
          </cell>
          <cell r="Q3092">
            <v>1.2372000000000001</v>
          </cell>
          <cell r="R3092">
            <v>22.198049999999999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0.22889999999999999</v>
          </cell>
          <cell r="Y3092">
            <v>0</v>
          </cell>
          <cell r="Z3092">
            <v>0</v>
          </cell>
          <cell r="AA3092">
            <v>0</v>
          </cell>
          <cell r="AB3092">
            <v>0.25590000000000002</v>
          </cell>
        </row>
        <row r="3093">
          <cell r="A3093">
            <v>54403053</v>
          </cell>
          <cell r="B3093" t="str">
            <v>Popcorn, microwave, plain, light</v>
          </cell>
          <cell r="I3093">
            <v>30</v>
          </cell>
          <cell r="J3093">
            <v>126.31579000000001</v>
          </cell>
          <cell r="K3093">
            <v>4.2105263333333331</v>
          </cell>
          <cell r="L3093">
            <v>4.2303873000000003</v>
          </cell>
          <cell r="M3093">
            <v>0.42154920000000001</v>
          </cell>
          <cell r="N3093">
            <v>0</v>
          </cell>
          <cell r="O3093">
            <v>3.3270999999999999E-3</v>
          </cell>
          <cell r="P3093">
            <v>0</v>
          </cell>
          <cell r="Q3093">
            <v>1.0641509</v>
          </cell>
          <cell r="R3093">
            <v>28.462612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0.2416999</v>
          </cell>
          <cell r="Y3093">
            <v>0</v>
          </cell>
          <cell r="Z3093">
            <v>0</v>
          </cell>
          <cell r="AA3093">
            <v>0</v>
          </cell>
          <cell r="AB3093">
            <v>0.13219900000000001</v>
          </cell>
        </row>
        <row r="3094">
          <cell r="A3094">
            <v>54403054</v>
          </cell>
          <cell r="B3094" t="str">
            <v>Popcorn, microwave, low sodium</v>
          </cell>
          <cell r="I3094">
            <v>30</v>
          </cell>
          <cell r="J3094">
            <v>148.80951999999999</v>
          </cell>
          <cell r="K3094">
            <v>4.9603173333333332</v>
          </cell>
          <cell r="L3094">
            <v>2.9761905</v>
          </cell>
          <cell r="M3094">
            <v>1.5029762</v>
          </cell>
          <cell r="N3094">
            <v>0</v>
          </cell>
          <cell r="O3094">
            <v>3.0333000000000001E-3</v>
          </cell>
          <cell r="P3094">
            <v>0</v>
          </cell>
          <cell r="Q3094">
            <v>4.0238094999999996</v>
          </cell>
          <cell r="R3094">
            <v>22.865625000000001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9.3173800000000001E-2</v>
          </cell>
          <cell r="Y3094">
            <v>0</v>
          </cell>
          <cell r="Z3094">
            <v>0</v>
          </cell>
          <cell r="AA3094">
            <v>0</v>
          </cell>
          <cell r="AB3094">
            <v>2.4683799999999999E-2</v>
          </cell>
        </row>
        <row r="3095">
          <cell r="A3095">
            <v>54403056</v>
          </cell>
          <cell r="B3095" t="str">
            <v>Popcorn, microwave, butter flavored</v>
          </cell>
          <cell r="I3095">
            <v>30</v>
          </cell>
          <cell r="J3095">
            <v>160.5</v>
          </cell>
          <cell r="K3095">
            <v>5.35</v>
          </cell>
          <cell r="L3095">
            <v>3</v>
          </cell>
          <cell r="M3095">
            <v>4.3794000000000004</v>
          </cell>
          <cell r="N3095">
            <v>0</v>
          </cell>
          <cell r="O3095">
            <v>6.8999999999999999E-3</v>
          </cell>
          <cell r="P3095">
            <v>0</v>
          </cell>
          <cell r="Q3095">
            <v>1.2372000000000001</v>
          </cell>
          <cell r="R3095">
            <v>22.198049999999999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0.22889999999999999</v>
          </cell>
          <cell r="Y3095">
            <v>0</v>
          </cell>
          <cell r="Z3095">
            <v>0</v>
          </cell>
          <cell r="AA3095">
            <v>0</v>
          </cell>
          <cell r="AB3095">
            <v>0.25590000000000002</v>
          </cell>
        </row>
        <row r="3096">
          <cell r="A3096">
            <v>54403057</v>
          </cell>
          <cell r="B3096" t="str">
            <v>Popcorn, microwave, butter flavored, light</v>
          </cell>
          <cell r="I3096">
            <v>30</v>
          </cell>
          <cell r="J3096">
            <v>126.31579000000001</v>
          </cell>
          <cell r="K3096">
            <v>4.2105263333333331</v>
          </cell>
          <cell r="L3096">
            <v>4.2303873000000003</v>
          </cell>
          <cell r="M3096">
            <v>0.42154920000000001</v>
          </cell>
          <cell r="N3096">
            <v>0</v>
          </cell>
          <cell r="O3096">
            <v>3.3270999999999999E-3</v>
          </cell>
          <cell r="P3096">
            <v>0</v>
          </cell>
          <cell r="Q3096">
            <v>1.0641509</v>
          </cell>
          <cell r="R3096">
            <v>28.462612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0.2416999</v>
          </cell>
          <cell r="Y3096">
            <v>0</v>
          </cell>
          <cell r="Z3096">
            <v>0</v>
          </cell>
          <cell r="AA3096">
            <v>0</v>
          </cell>
          <cell r="AB3096">
            <v>0.1320364</v>
          </cell>
        </row>
        <row r="3097">
          <cell r="A3097">
            <v>54403058</v>
          </cell>
          <cell r="B3097" t="str">
            <v>Popcorn, microwave, cheese flavored</v>
          </cell>
          <cell r="I3097">
            <v>30</v>
          </cell>
          <cell r="J3097">
            <v>159.86055999999999</v>
          </cell>
          <cell r="K3097">
            <v>5.3286853333333335</v>
          </cell>
          <cell r="L3097">
            <v>2.9880477999999999</v>
          </cell>
          <cell r="M3097">
            <v>4.3619522000000002</v>
          </cell>
          <cell r="N3097">
            <v>0</v>
          </cell>
          <cell r="O3097">
            <v>6.9011999999999997E-3</v>
          </cell>
          <cell r="P3097">
            <v>0</v>
          </cell>
          <cell r="Q3097">
            <v>1.2322709000000001</v>
          </cell>
          <cell r="R3097">
            <v>22.109611999999998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0.27431240000000001</v>
          </cell>
          <cell r="Y3097">
            <v>0</v>
          </cell>
          <cell r="Z3097">
            <v>0</v>
          </cell>
          <cell r="AA3097">
            <v>0</v>
          </cell>
          <cell r="AB3097">
            <v>0.25488050000000001</v>
          </cell>
        </row>
        <row r="3098">
          <cell r="A3098">
            <v>54403059</v>
          </cell>
          <cell r="B3098" t="str">
            <v>Popcorn, microwave, kettle corn</v>
          </cell>
          <cell r="I3098">
            <v>30</v>
          </cell>
          <cell r="J3098">
            <v>154.68235000000001</v>
          </cell>
          <cell r="K3098">
            <v>5.1560783333333342</v>
          </cell>
          <cell r="L3098">
            <v>3.3411765</v>
          </cell>
          <cell r="M3098">
            <v>1.0945882</v>
          </cell>
          <cell r="N3098">
            <v>0</v>
          </cell>
          <cell r="O3098">
            <v>2.5882000000000001E-3</v>
          </cell>
          <cell r="P3098">
            <v>0</v>
          </cell>
          <cell r="Q3098">
            <v>4.0567646999999996</v>
          </cell>
          <cell r="R3098">
            <v>22.479882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0.1270588</v>
          </cell>
          <cell r="Y3098">
            <v>0</v>
          </cell>
          <cell r="Z3098">
            <v>0</v>
          </cell>
          <cell r="AA3098">
            <v>0</v>
          </cell>
          <cell r="AB3098">
            <v>0.11888849999999999</v>
          </cell>
        </row>
        <row r="3099">
          <cell r="A3099">
            <v>54403060</v>
          </cell>
          <cell r="B3099" t="str">
            <v>Popcorn, popped in oil, lowfat, reduced sodium</v>
          </cell>
          <cell r="I3099">
            <v>30</v>
          </cell>
          <cell r="J3099">
            <v>120.6</v>
          </cell>
          <cell r="K3099">
            <v>4.0199999999999996</v>
          </cell>
          <cell r="L3099">
            <v>4.08</v>
          </cell>
          <cell r="M3099">
            <v>0.35520000000000002</v>
          </cell>
          <cell r="N3099">
            <v>0</v>
          </cell>
          <cell r="O3099">
            <v>4.1999999999999997E-3</v>
          </cell>
          <cell r="P3099">
            <v>0</v>
          </cell>
          <cell r="Q3099">
            <v>0.66479999999999995</v>
          </cell>
          <cell r="R3099">
            <v>29.682449999999999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0.17130000000000001</v>
          </cell>
          <cell r="Y3099">
            <v>0</v>
          </cell>
          <cell r="Z3099">
            <v>0</v>
          </cell>
          <cell r="AA3099">
            <v>0</v>
          </cell>
          <cell r="AB3099">
            <v>0.26550000000000001</v>
          </cell>
        </row>
        <row r="3100">
          <cell r="A3100">
            <v>54403070</v>
          </cell>
          <cell r="B3100" t="str">
            <v>Popcorn, popped in oil, lowfat</v>
          </cell>
          <cell r="I3100">
            <v>30</v>
          </cell>
          <cell r="J3100">
            <v>127.2</v>
          </cell>
          <cell r="K3100">
            <v>4.24</v>
          </cell>
          <cell r="L3100">
            <v>4.26</v>
          </cell>
          <cell r="M3100">
            <v>0.42449999999999999</v>
          </cell>
          <cell r="N3100">
            <v>0</v>
          </cell>
          <cell r="O3100">
            <v>3.3E-3</v>
          </cell>
          <cell r="P3100">
            <v>0</v>
          </cell>
          <cell r="Q3100">
            <v>1.0716000000000001</v>
          </cell>
          <cell r="R3100">
            <v>28.661850000000001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0.16200000000000001</v>
          </cell>
          <cell r="Y3100">
            <v>0</v>
          </cell>
          <cell r="Z3100">
            <v>0</v>
          </cell>
          <cell r="AA3100">
            <v>0</v>
          </cell>
          <cell r="AB3100">
            <v>0.1326666</v>
          </cell>
        </row>
        <row r="3101">
          <cell r="A3101">
            <v>54403080</v>
          </cell>
          <cell r="B3101" t="str">
            <v>Popcorn, ready-to-eat packaged, NFS</v>
          </cell>
          <cell r="I3101">
            <v>30</v>
          </cell>
          <cell r="J3101">
            <v>159.08824000000001</v>
          </cell>
          <cell r="K3101">
            <v>5.302941333333334</v>
          </cell>
          <cell r="L3101">
            <v>2.9852941</v>
          </cell>
          <cell r="M3101">
            <v>1.2736175999999999</v>
          </cell>
          <cell r="N3101">
            <v>0</v>
          </cell>
          <cell r="O3101">
            <v>1.5824000000000001E-3</v>
          </cell>
          <cell r="P3101">
            <v>0</v>
          </cell>
          <cell r="Q3101">
            <v>5.3016765000000001</v>
          </cell>
          <cell r="R3101">
            <v>20.588235000000001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0.22963529999999999</v>
          </cell>
          <cell r="Y3101">
            <v>0</v>
          </cell>
          <cell r="Z3101">
            <v>0</v>
          </cell>
          <cell r="AA3101">
            <v>0</v>
          </cell>
          <cell r="AB3101">
            <v>3.7734999999999998E-2</v>
          </cell>
        </row>
        <row r="3102">
          <cell r="A3102">
            <v>54403081</v>
          </cell>
          <cell r="B3102" t="str">
            <v>Popcorn, ready-to-eat packaged, plain</v>
          </cell>
          <cell r="I3102">
            <v>30</v>
          </cell>
          <cell r="J3102">
            <v>144.56693000000001</v>
          </cell>
          <cell r="K3102">
            <v>4.8188976666666674</v>
          </cell>
          <cell r="L3102">
            <v>3.4251969</v>
          </cell>
          <cell r="M3102">
            <v>0.91511810000000005</v>
          </cell>
          <cell r="N3102">
            <v>0</v>
          </cell>
          <cell r="O3102">
            <v>1.7669000000000001E-3</v>
          </cell>
          <cell r="P3102">
            <v>0</v>
          </cell>
          <cell r="Q3102">
            <v>3.7765157</v>
          </cell>
          <cell r="R3102">
            <v>23.622046999999998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0.18499840000000001</v>
          </cell>
          <cell r="Y3102">
            <v>0</v>
          </cell>
          <cell r="Z3102">
            <v>0</v>
          </cell>
          <cell r="AA3102">
            <v>0</v>
          </cell>
          <cell r="AB3102">
            <v>3.354E-2</v>
          </cell>
        </row>
        <row r="3103">
          <cell r="A3103">
            <v>54403082</v>
          </cell>
          <cell r="B3103" t="str">
            <v>Popcorn, ready-to-eat packaged, plain, light</v>
          </cell>
          <cell r="I3103">
            <v>30</v>
          </cell>
          <cell r="J3103">
            <v>131.15974</v>
          </cell>
          <cell r="K3103">
            <v>4.3719913333333329</v>
          </cell>
          <cell r="L3103">
            <v>3.8074398</v>
          </cell>
          <cell r="M3103">
            <v>0.59225380000000005</v>
          </cell>
          <cell r="N3103">
            <v>0</v>
          </cell>
          <cell r="O3103">
            <v>1.9484000000000001E-3</v>
          </cell>
          <cell r="P3103">
            <v>0</v>
          </cell>
          <cell r="Q3103">
            <v>2.4033150999999999</v>
          </cell>
          <cell r="R3103">
            <v>26.258206000000001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0.1802009</v>
          </cell>
          <cell r="Y3103">
            <v>0</v>
          </cell>
          <cell r="Z3103">
            <v>0</v>
          </cell>
          <cell r="AA3103">
            <v>0</v>
          </cell>
          <cell r="AB3103">
            <v>2.8699499999999999E-2</v>
          </cell>
        </row>
        <row r="3104">
          <cell r="A3104">
            <v>54403083</v>
          </cell>
          <cell r="B3104" t="str">
            <v>Popcorn, ready-to-eat packaged, low sodium</v>
          </cell>
          <cell r="I3104">
            <v>30</v>
          </cell>
          <cell r="J3104">
            <v>145.71429000000001</v>
          </cell>
          <cell r="K3104">
            <v>4.8571429999999998</v>
          </cell>
          <cell r="L3104">
            <v>3.4523809999999999</v>
          </cell>
          <cell r="M3104">
            <v>0.92238100000000001</v>
          </cell>
          <cell r="N3104">
            <v>0</v>
          </cell>
          <cell r="O3104">
            <v>1.7237999999999999E-3</v>
          </cell>
          <cell r="P3104">
            <v>0</v>
          </cell>
          <cell r="Q3104">
            <v>3.8064881000000002</v>
          </cell>
          <cell r="R3104">
            <v>23.809524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9.4185699999999997E-2</v>
          </cell>
          <cell r="Y3104">
            <v>0</v>
          </cell>
          <cell r="Z3104">
            <v>0</v>
          </cell>
          <cell r="AA3104">
            <v>0</v>
          </cell>
          <cell r="AB3104">
            <v>3.3198400000000003E-2</v>
          </cell>
        </row>
        <row r="3105">
          <cell r="A3105">
            <v>54403085</v>
          </cell>
          <cell r="B3105" t="str">
            <v>Popcorn, ready-to-eat packaged, butter flavored</v>
          </cell>
          <cell r="I3105">
            <v>30</v>
          </cell>
          <cell r="J3105">
            <v>159.08824000000001</v>
          </cell>
          <cell r="K3105">
            <v>5.302941333333334</v>
          </cell>
          <cell r="L3105">
            <v>2.9852941</v>
          </cell>
          <cell r="M3105">
            <v>1.2736175999999999</v>
          </cell>
          <cell r="N3105">
            <v>0</v>
          </cell>
          <cell r="O3105">
            <v>1.5824000000000001E-3</v>
          </cell>
          <cell r="P3105">
            <v>0</v>
          </cell>
          <cell r="Q3105">
            <v>5.3016765000000001</v>
          </cell>
          <cell r="R3105">
            <v>20.588235000000001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0.22963529999999999</v>
          </cell>
          <cell r="Y3105">
            <v>0</v>
          </cell>
          <cell r="Z3105">
            <v>0</v>
          </cell>
          <cell r="AA3105">
            <v>0</v>
          </cell>
          <cell r="AB3105">
            <v>3.7468599999999998E-2</v>
          </cell>
        </row>
        <row r="3106">
          <cell r="A3106">
            <v>54403087</v>
          </cell>
          <cell r="B3106" t="str">
            <v>Popcorn, ready-to-eat packaged, cheese flavored</v>
          </cell>
          <cell r="I3106">
            <v>30</v>
          </cell>
          <cell r="J3106">
            <v>157.80000000000001</v>
          </cell>
          <cell r="K3106">
            <v>5.2600000000000007</v>
          </cell>
          <cell r="L3106">
            <v>2.97</v>
          </cell>
          <cell r="M3106">
            <v>1.923</v>
          </cell>
          <cell r="N3106">
            <v>0</v>
          </cell>
          <cell r="O3106">
            <v>3.39E-2</v>
          </cell>
          <cell r="P3106">
            <v>0</v>
          </cell>
          <cell r="Q3106">
            <v>4.6109999999999998</v>
          </cell>
          <cell r="R3106">
            <v>20.0718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0.26669999999999999</v>
          </cell>
          <cell r="Y3106">
            <v>0</v>
          </cell>
          <cell r="Z3106">
            <v>0</v>
          </cell>
          <cell r="AA3106">
            <v>0</v>
          </cell>
          <cell r="AB3106">
            <v>3.4708000000000003E-2</v>
          </cell>
        </row>
        <row r="3107">
          <cell r="A3107">
            <v>54403088</v>
          </cell>
          <cell r="B3107" t="str">
            <v>Popcorn, ready-to-eat packaged, cheese flavored, light</v>
          </cell>
          <cell r="I3107">
            <v>30</v>
          </cell>
          <cell r="J3107">
            <v>130.58824000000001</v>
          </cell>
          <cell r="K3107">
            <v>4.3529413333333338</v>
          </cell>
          <cell r="L3107">
            <v>3.7908496999999999</v>
          </cell>
          <cell r="M3107">
            <v>0.58967320000000001</v>
          </cell>
          <cell r="N3107">
            <v>0</v>
          </cell>
          <cell r="O3107">
            <v>1.9712000000000002E-3</v>
          </cell>
          <cell r="P3107">
            <v>0</v>
          </cell>
          <cell r="Q3107">
            <v>2.3928430999999999</v>
          </cell>
          <cell r="R3107">
            <v>26.143791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0.2300797</v>
          </cell>
          <cell r="Y3107">
            <v>0</v>
          </cell>
          <cell r="Z3107">
            <v>0</v>
          </cell>
          <cell r="AA3107">
            <v>0</v>
          </cell>
          <cell r="AB3107">
            <v>2.8334600000000001E-2</v>
          </cell>
        </row>
        <row r="3108">
          <cell r="A3108">
            <v>54403089</v>
          </cell>
          <cell r="B3108" t="str">
            <v>Popcorn, ready-to-eat-packaged, kettle corn</v>
          </cell>
          <cell r="I3108">
            <v>30</v>
          </cell>
          <cell r="J3108">
            <v>158.03949</v>
          </cell>
          <cell r="K3108">
            <v>5.2679830000000001</v>
          </cell>
          <cell r="L3108">
            <v>1.8406206000000001</v>
          </cell>
          <cell r="M3108">
            <v>1.1766007999999999</v>
          </cell>
          <cell r="N3108">
            <v>0</v>
          </cell>
          <cell r="O3108">
            <v>1.0646E-3</v>
          </cell>
          <cell r="P3108">
            <v>0</v>
          </cell>
          <cell r="Q3108">
            <v>4.921354</v>
          </cell>
          <cell r="R3108">
            <v>12.693935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0.14869760000000001</v>
          </cell>
          <cell r="Y3108">
            <v>0</v>
          </cell>
          <cell r="Z3108">
            <v>0</v>
          </cell>
          <cell r="AA3108">
            <v>0</v>
          </cell>
          <cell r="AB3108">
            <v>3.12062E-2</v>
          </cell>
        </row>
        <row r="3109">
          <cell r="A3109">
            <v>54403091</v>
          </cell>
          <cell r="B3109" t="str">
            <v>Popcorn, ready-to-eat packaged, kettle corn, light</v>
          </cell>
          <cell r="I3109">
            <v>30</v>
          </cell>
          <cell r="J3109">
            <v>129.80257</v>
          </cell>
          <cell r="K3109">
            <v>4.3267523333333333</v>
          </cell>
          <cell r="L3109">
            <v>3.0059230000000001</v>
          </cell>
          <cell r="M3109">
            <v>0.51550839999999998</v>
          </cell>
          <cell r="N3109">
            <v>0</v>
          </cell>
          <cell r="O3109">
            <v>1.6027999999999999E-3</v>
          </cell>
          <cell r="P3109">
            <v>0</v>
          </cell>
          <cell r="Q3109">
            <v>2.0997927000000001</v>
          </cell>
          <cell r="R3109">
            <v>20.730502999999999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0.15093409999999999</v>
          </cell>
          <cell r="Y3109">
            <v>0</v>
          </cell>
          <cell r="Z3109">
            <v>0</v>
          </cell>
          <cell r="AA3109">
            <v>0</v>
          </cell>
          <cell r="AB3109">
            <v>2.27948E-2</v>
          </cell>
        </row>
        <row r="3110">
          <cell r="A3110">
            <v>54403092</v>
          </cell>
          <cell r="B3110" t="str">
            <v>Popcorn, ready-to-eat packaged, other flavored</v>
          </cell>
          <cell r="I3110">
            <v>30</v>
          </cell>
          <cell r="J3110">
            <v>157.80000000000001</v>
          </cell>
          <cell r="K3110">
            <v>5.2600000000000007</v>
          </cell>
          <cell r="L3110">
            <v>2.97</v>
          </cell>
          <cell r="M3110">
            <v>1.923</v>
          </cell>
          <cell r="N3110">
            <v>0</v>
          </cell>
          <cell r="O3110">
            <v>3.39E-2</v>
          </cell>
          <cell r="P3110">
            <v>0</v>
          </cell>
          <cell r="Q3110">
            <v>4.6109999999999998</v>
          </cell>
          <cell r="R3110">
            <v>20.0718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0.26669999999999999</v>
          </cell>
          <cell r="Y3110">
            <v>0</v>
          </cell>
          <cell r="Z3110">
            <v>0</v>
          </cell>
          <cell r="AA3110">
            <v>0</v>
          </cell>
          <cell r="AB3110">
            <v>3.4285999999999997E-2</v>
          </cell>
        </row>
        <row r="3111">
          <cell r="A3111">
            <v>54403110</v>
          </cell>
          <cell r="B3111" t="str">
            <v>Popcorn, caramel coated</v>
          </cell>
          <cell r="I3111">
            <v>30</v>
          </cell>
          <cell r="J3111">
            <v>128.27381</v>
          </cell>
          <cell r="K3111">
            <v>4.2757936666666669</v>
          </cell>
          <cell r="L3111">
            <v>1.5476190000000001</v>
          </cell>
          <cell r="M3111">
            <v>1.0744047999999999</v>
          </cell>
          <cell r="N3111">
            <v>0</v>
          </cell>
          <cell r="O3111">
            <v>1.28548E-2</v>
          </cell>
          <cell r="P3111">
            <v>0</v>
          </cell>
          <cell r="Q3111">
            <v>1.3333333000000001</v>
          </cell>
          <cell r="R3111">
            <v>9.28125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0.15359049999999999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</row>
        <row r="3112">
          <cell r="A3112">
            <v>54403120</v>
          </cell>
          <cell r="B3112" t="str">
            <v>Popcorn, caramel coated, with nuts</v>
          </cell>
          <cell r="I3112">
            <v>30</v>
          </cell>
          <cell r="J3112">
            <v>119.04761999999999</v>
          </cell>
          <cell r="K3112">
            <v>3.9682539999999999</v>
          </cell>
          <cell r="L3112">
            <v>1.1309524</v>
          </cell>
          <cell r="M3112">
            <v>0.30952380000000002</v>
          </cell>
          <cell r="N3112">
            <v>0</v>
          </cell>
          <cell r="O3112">
            <v>1.9699999999999999E-2</v>
          </cell>
          <cell r="P3112">
            <v>0</v>
          </cell>
          <cell r="Q3112">
            <v>0.97321429999999998</v>
          </cell>
          <cell r="R3112">
            <v>12.824999999999999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0.14495949999999999</v>
          </cell>
          <cell r="Y3112">
            <v>0.88593750000000004</v>
          </cell>
          <cell r="Z3112">
            <v>0</v>
          </cell>
          <cell r="AA3112">
            <v>0</v>
          </cell>
          <cell r="AB3112">
            <v>0</v>
          </cell>
        </row>
        <row r="3113">
          <cell r="A3113">
            <v>54403160</v>
          </cell>
          <cell r="B3113" t="str">
            <v>Popcorn, chocolate coated</v>
          </cell>
          <cell r="I3113">
            <v>30</v>
          </cell>
          <cell r="J3113">
            <v>122.23214</v>
          </cell>
          <cell r="K3113">
            <v>4.0744046666666671</v>
          </cell>
          <cell r="L3113">
            <v>1.3928571000000001</v>
          </cell>
          <cell r="M3113">
            <v>1.2071429</v>
          </cell>
          <cell r="N3113">
            <v>0</v>
          </cell>
          <cell r="O3113">
            <v>1.5384500000000001E-2</v>
          </cell>
          <cell r="P3113">
            <v>1.1011905</v>
          </cell>
          <cell r="Q3113">
            <v>1.2130951999999999</v>
          </cell>
          <cell r="R3113">
            <v>8.3531250000000004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0.14808450000000001</v>
          </cell>
          <cell r="Y3113">
            <v>0</v>
          </cell>
          <cell r="Z3113">
            <v>0</v>
          </cell>
          <cell r="AA3113">
            <v>0</v>
          </cell>
          <cell r="AB3113">
            <v>0.15612319999999999</v>
          </cell>
        </row>
        <row r="3114">
          <cell r="A3114">
            <v>54404010</v>
          </cell>
          <cell r="B3114" t="str">
            <v>Popcorn chips, other flavors</v>
          </cell>
          <cell r="I3114">
            <v>30</v>
          </cell>
          <cell r="J3114">
            <v>131.53891999999999</v>
          </cell>
          <cell r="K3114">
            <v>4.3846306666666663</v>
          </cell>
          <cell r="L3114">
            <v>0</v>
          </cell>
          <cell r="M3114">
            <v>0.46577730000000001</v>
          </cell>
          <cell r="N3114">
            <v>0</v>
          </cell>
          <cell r="O3114">
            <v>4.4281800000000003E-2</v>
          </cell>
          <cell r="P3114">
            <v>1.4725123</v>
          </cell>
          <cell r="Q3114">
            <v>1.7670207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0.17600099999999999</v>
          </cell>
          <cell r="Y3114">
            <v>0</v>
          </cell>
          <cell r="Z3114">
            <v>0</v>
          </cell>
          <cell r="AA3114">
            <v>0</v>
          </cell>
          <cell r="AB3114">
            <v>5.0718999999999998E-3</v>
          </cell>
        </row>
        <row r="3115">
          <cell r="A3115">
            <v>54406010</v>
          </cell>
          <cell r="B3115" t="str">
            <v>Onion flavored rings</v>
          </cell>
          <cell r="I3115">
            <v>30</v>
          </cell>
          <cell r="J3115">
            <v>149.69999999999999</v>
          </cell>
          <cell r="K3115">
            <v>4.9899999999999993</v>
          </cell>
          <cell r="L3115">
            <v>0</v>
          </cell>
          <cell r="M3115">
            <v>1.302</v>
          </cell>
          <cell r="N3115">
            <v>0</v>
          </cell>
          <cell r="O3115">
            <v>8.6999999999999994E-3</v>
          </cell>
          <cell r="P3115">
            <v>1.17</v>
          </cell>
          <cell r="Q3115">
            <v>0.94199999999999995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0.28499999999999998</v>
          </cell>
          <cell r="Y3115">
            <v>0</v>
          </cell>
          <cell r="Z3115">
            <v>0</v>
          </cell>
          <cell r="AA3115">
            <v>0</v>
          </cell>
          <cell r="AB3115">
            <v>0.19837250000000001</v>
          </cell>
        </row>
        <row r="3116">
          <cell r="A3116">
            <v>54406200</v>
          </cell>
          <cell r="B3116" t="str">
            <v>Shrimp chips (tapioca base)</v>
          </cell>
          <cell r="I3116">
            <v>30</v>
          </cell>
          <cell r="J3116">
            <v>127.8</v>
          </cell>
          <cell r="K3116">
            <v>4.26</v>
          </cell>
          <cell r="L3116">
            <v>0</v>
          </cell>
          <cell r="M3116">
            <v>1.6071</v>
          </cell>
          <cell r="N3116">
            <v>0</v>
          </cell>
          <cell r="O3116">
            <v>6.0000000000000001E-3</v>
          </cell>
          <cell r="P3116">
            <v>1.68</v>
          </cell>
          <cell r="Q3116">
            <v>1.1913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0.17130000000000001</v>
          </cell>
          <cell r="Y3116">
            <v>0</v>
          </cell>
          <cell r="Z3116">
            <v>0</v>
          </cell>
          <cell r="AA3116">
            <v>0</v>
          </cell>
          <cell r="AB3116">
            <v>1.9800000000000002E-2</v>
          </cell>
        </row>
        <row r="3117">
          <cell r="A3117">
            <v>54408000</v>
          </cell>
          <cell r="B3117" t="str">
            <v>Pretzels, NFS</v>
          </cell>
          <cell r="I3117">
            <v>30</v>
          </cell>
          <cell r="J3117">
            <v>115.2</v>
          </cell>
          <cell r="K3117">
            <v>3.8400000000000003</v>
          </cell>
          <cell r="L3117">
            <v>0</v>
          </cell>
          <cell r="M3117">
            <v>0.1173</v>
          </cell>
          <cell r="N3117">
            <v>0</v>
          </cell>
          <cell r="O3117">
            <v>8.0999999999999996E-3</v>
          </cell>
          <cell r="P3117">
            <v>1.02</v>
          </cell>
          <cell r="Q3117">
            <v>0.38729999999999998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0.372</v>
          </cell>
          <cell r="Y3117">
            <v>0</v>
          </cell>
          <cell r="Z3117">
            <v>0</v>
          </cell>
          <cell r="AA3117">
            <v>0</v>
          </cell>
          <cell r="AB3117">
            <v>1.1999999999999999E-3</v>
          </cell>
        </row>
        <row r="3118">
          <cell r="A3118">
            <v>54408010</v>
          </cell>
          <cell r="B3118" t="str">
            <v>Pretzels, hard</v>
          </cell>
          <cell r="I3118">
            <v>30</v>
          </cell>
          <cell r="J3118">
            <v>115.2</v>
          </cell>
          <cell r="K3118">
            <v>3.8400000000000003</v>
          </cell>
          <cell r="L3118">
            <v>0</v>
          </cell>
          <cell r="M3118">
            <v>0.1173</v>
          </cell>
          <cell r="N3118">
            <v>0</v>
          </cell>
          <cell r="O3118">
            <v>8.0999999999999996E-3</v>
          </cell>
          <cell r="P3118">
            <v>1.02</v>
          </cell>
          <cell r="Q3118">
            <v>0.38729999999999998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0.372</v>
          </cell>
          <cell r="Y3118">
            <v>0</v>
          </cell>
          <cell r="Z3118">
            <v>0</v>
          </cell>
          <cell r="AA3118">
            <v>0</v>
          </cell>
          <cell r="AB3118">
            <v>1.1999999999999999E-3</v>
          </cell>
        </row>
        <row r="3119">
          <cell r="A3119">
            <v>54408016</v>
          </cell>
          <cell r="B3119" t="str">
            <v>Pretzels, hard, plain, salted</v>
          </cell>
          <cell r="I3119">
            <v>30</v>
          </cell>
          <cell r="J3119">
            <v>115.2</v>
          </cell>
          <cell r="K3119">
            <v>3.8400000000000003</v>
          </cell>
          <cell r="L3119">
            <v>0</v>
          </cell>
          <cell r="M3119">
            <v>0.1173</v>
          </cell>
          <cell r="N3119">
            <v>0</v>
          </cell>
          <cell r="O3119">
            <v>8.0999999999999996E-3</v>
          </cell>
          <cell r="P3119">
            <v>1.02</v>
          </cell>
          <cell r="Q3119">
            <v>0.38729999999999998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0.372</v>
          </cell>
          <cell r="Y3119">
            <v>0</v>
          </cell>
          <cell r="Z3119">
            <v>0</v>
          </cell>
          <cell r="AA3119">
            <v>0</v>
          </cell>
          <cell r="AB3119">
            <v>1.1999999999999999E-3</v>
          </cell>
        </row>
        <row r="3120">
          <cell r="A3120">
            <v>54408017</v>
          </cell>
          <cell r="B3120" t="str">
            <v>Pretzels, hard, plain, lightly salted</v>
          </cell>
          <cell r="I3120">
            <v>30</v>
          </cell>
          <cell r="J3120">
            <v>114.75</v>
          </cell>
          <cell r="K3120">
            <v>3.8250000000000002</v>
          </cell>
          <cell r="L3120">
            <v>0</v>
          </cell>
          <cell r="M3120">
            <v>0.17115</v>
          </cell>
          <cell r="N3120">
            <v>0</v>
          </cell>
          <cell r="O3120">
            <v>9.4500000000000001E-3</v>
          </cell>
          <cell r="P3120">
            <v>0.93</v>
          </cell>
          <cell r="Q3120">
            <v>0.37664999999999998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0.2235</v>
          </cell>
          <cell r="Y3120">
            <v>0</v>
          </cell>
          <cell r="Z3120">
            <v>0</v>
          </cell>
          <cell r="AA3120">
            <v>0</v>
          </cell>
          <cell r="AB3120">
            <v>6.1345999999999996E-3</v>
          </cell>
        </row>
        <row r="3121">
          <cell r="A3121">
            <v>54408020</v>
          </cell>
          <cell r="B3121" t="str">
            <v>Pretzels, soft</v>
          </cell>
          <cell r="I3121">
            <v>55</v>
          </cell>
          <cell r="J3121">
            <v>185.9</v>
          </cell>
          <cell r="K3121">
            <v>3.38</v>
          </cell>
          <cell r="L3121">
            <v>0</v>
          </cell>
          <cell r="M3121">
            <v>0.38224999999999998</v>
          </cell>
          <cell r="N3121">
            <v>0</v>
          </cell>
          <cell r="O3121">
            <v>1.265E-2</v>
          </cell>
          <cell r="P3121">
            <v>0.93500000000000005</v>
          </cell>
          <cell r="Q3121">
            <v>0.52139999999999997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0.29975000000000002</v>
          </cell>
          <cell r="Y3121">
            <v>0</v>
          </cell>
          <cell r="Z3121">
            <v>0</v>
          </cell>
          <cell r="AA3121">
            <v>0</v>
          </cell>
          <cell r="AB3121">
            <v>4.8377200000000002E-2</v>
          </cell>
        </row>
        <row r="3122">
          <cell r="A3122">
            <v>54408030</v>
          </cell>
          <cell r="B3122" t="str">
            <v>Pretzels, hard, plain, unsalted</v>
          </cell>
          <cell r="I3122">
            <v>30</v>
          </cell>
          <cell r="J3122">
            <v>114.3</v>
          </cell>
          <cell r="K3122">
            <v>3.81</v>
          </cell>
          <cell r="L3122">
            <v>0</v>
          </cell>
          <cell r="M3122">
            <v>0.22500000000000001</v>
          </cell>
          <cell r="N3122">
            <v>0</v>
          </cell>
          <cell r="O3122">
            <v>1.0800000000000001E-2</v>
          </cell>
          <cell r="P3122">
            <v>0.84</v>
          </cell>
          <cell r="Q3122">
            <v>0.36599999999999999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7.4999999999999997E-2</v>
          </cell>
          <cell r="Y3122">
            <v>0</v>
          </cell>
          <cell r="Z3122">
            <v>0</v>
          </cell>
          <cell r="AA3122">
            <v>0</v>
          </cell>
          <cell r="AB3122">
            <v>0</v>
          </cell>
        </row>
        <row r="3123">
          <cell r="A3123">
            <v>54408035</v>
          </cell>
          <cell r="B3123" t="str">
            <v>Pretzels, hard, flavored</v>
          </cell>
          <cell r="I3123">
            <v>30</v>
          </cell>
          <cell r="J3123">
            <v>116.45929</v>
          </cell>
          <cell r="K3123">
            <v>3.8819763333333333</v>
          </cell>
          <cell r="L3123">
            <v>0</v>
          </cell>
          <cell r="M3123">
            <v>0.15645220000000001</v>
          </cell>
          <cell r="N3123">
            <v>0</v>
          </cell>
          <cell r="O3123">
            <v>8.0189000000000007E-3</v>
          </cell>
          <cell r="P3123">
            <v>1.0079051000000001</v>
          </cell>
          <cell r="Q3123">
            <v>0.50481149999999997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0.39056950000000001</v>
          </cell>
          <cell r="Y3123">
            <v>0</v>
          </cell>
          <cell r="Z3123">
            <v>0</v>
          </cell>
          <cell r="AA3123">
            <v>0</v>
          </cell>
          <cell r="AB3123">
            <v>9.0626999999999999E-3</v>
          </cell>
        </row>
        <row r="3124">
          <cell r="A3124">
            <v>54408040</v>
          </cell>
          <cell r="B3124" t="str">
            <v>Pretzels, soft, unsalted</v>
          </cell>
          <cell r="I3124">
            <v>55</v>
          </cell>
          <cell r="J3124">
            <v>189.75</v>
          </cell>
          <cell r="K3124">
            <v>3.45</v>
          </cell>
          <cell r="L3124">
            <v>0</v>
          </cell>
          <cell r="M3124">
            <v>0.38224999999999998</v>
          </cell>
          <cell r="N3124">
            <v>0</v>
          </cell>
          <cell r="O3124">
            <v>1.265E-2</v>
          </cell>
          <cell r="P3124">
            <v>0.93500000000000005</v>
          </cell>
          <cell r="Q3124">
            <v>0.52139999999999997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0.1386</v>
          </cell>
          <cell r="Y3124">
            <v>0</v>
          </cell>
          <cell r="Z3124">
            <v>0</v>
          </cell>
          <cell r="AA3124">
            <v>0</v>
          </cell>
          <cell r="AB3124">
            <v>3.9903300000000003E-2</v>
          </cell>
        </row>
        <row r="3125">
          <cell r="A3125">
            <v>54408070</v>
          </cell>
          <cell r="B3125" t="str">
            <v>Pretzels, hard, multigrain</v>
          </cell>
          <cell r="I3125">
            <v>30</v>
          </cell>
          <cell r="J3125">
            <v>114.21176</v>
          </cell>
          <cell r="K3125">
            <v>3.8070586666666668</v>
          </cell>
          <cell r="L3125">
            <v>0</v>
          </cell>
          <cell r="M3125">
            <v>0.1187059</v>
          </cell>
          <cell r="N3125">
            <v>0</v>
          </cell>
          <cell r="O3125">
            <v>8.3706000000000006E-3</v>
          </cell>
          <cell r="P3125">
            <v>1.2517647000000001</v>
          </cell>
          <cell r="Q3125">
            <v>0.3927176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0.36471759999999998</v>
          </cell>
          <cell r="Y3125">
            <v>0</v>
          </cell>
          <cell r="Z3125">
            <v>0</v>
          </cell>
          <cell r="AA3125">
            <v>0</v>
          </cell>
          <cell r="AB3125">
            <v>6.8257999999999999E-3</v>
          </cell>
        </row>
        <row r="3126">
          <cell r="A3126">
            <v>54408080</v>
          </cell>
          <cell r="B3126" t="str">
            <v>Pretzel, gluten free</v>
          </cell>
          <cell r="I3126">
            <v>30</v>
          </cell>
          <cell r="J3126">
            <v>116.7</v>
          </cell>
          <cell r="K3126">
            <v>3.89</v>
          </cell>
          <cell r="L3126">
            <v>0</v>
          </cell>
          <cell r="M3126">
            <v>0.99209999999999998</v>
          </cell>
          <cell r="N3126">
            <v>0</v>
          </cell>
          <cell r="O3126">
            <v>0</v>
          </cell>
          <cell r="P3126">
            <v>0.99</v>
          </cell>
          <cell r="Q3126">
            <v>0.189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0.47010000000000002</v>
          </cell>
          <cell r="Y3126">
            <v>0</v>
          </cell>
          <cell r="Z3126">
            <v>0</v>
          </cell>
          <cell r="AA3126">
            <v>0</v>
          </cell>
          <cell r="AB3126">
            <v>3.1050000000000001E-2</v>
          </cell>
        </row>
        <row r="3127">
          <cell r="A3127">
            <v>54408081</v>
          </cell>
          <cell r="B3127" t="str">
            <v>Pretzels, hard, plain, gluten free</v>
          </cell>
          <cell r="I3127">
            <v>30</v>
          </cell>
          <cell r="J3127">
            <v>116.7</v>
          </cell>
          <cell r="K3127">
            <v>3.89</v>
          </cell>
          <cell r="L3127">
            <v>0</v>
          </cell>
          <cell r="M3127">
            <v>0.99209999999999998</v>
          </cell>
          <cell r="N3127">
            <v>0</v>
          </cell>
          <cell r="O3127">
            <v>0</v>
          </cell>
          <cell r="P3127">
            <v>0.99</v>
          </cell>
          <cell r="Q3127">
            <v>0.189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0.47010000000000002</v>
          </cell>
          <cell r="Y3127">
            <v>0</v>
          </cell>
          <cell r="Z3127">
            <v>0</v>
          </cell>
          <cell r="AA3127">
            <v>0</v>
          </cell>
          <cell r="AB3127">
            <v>3.0275799999999999E-2</v>
          </cell>
        </row>
        <row r="3128">
          <cell r="A3128">
            <v>54408110</v>
          </cell>
          <cell r="B3128" t="str">
            <v>Pretzel chips, hard, flavored</v>
          </cell>
          <cell r="I3128">
            <v>30</v>
          </cell>
          <cell r="J3128">
            <v>111.08968</v>
          </cell>
          <cell r="K3128">
            <v>3.7029893333333335</v>
          </cell>
          <cell r="L3128">
            <v>0</v>
          </cell>
          <cell r="M3128">
            <v>0.1131148</v>
          </cell>
          <cell r="N3128">
            <v>0</v>
          </cell>
          <cell r="O3128">
            <v>8.0678999999999994E-3</v>
          </cell>
          <cell r="P3128">
            <v>0.9836066</v>
          </cell>
          <cell r="Q3128">
            <v>0.37348120000000001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0.77359089999999997</v>
          </cell>
          <cell r="Y3128">
            <v>0</v>
          </cell>
          <cell r="Z3128">
            <v>0</v>
          </cell>
          <cell r="AA3128">
            <v>0</v>
          </cell>
          <cell r="AB3128">
            <v>1.1571999999999999E-3</v>
          </cell>
        </row>
        <row r="3129">
          <cell r="A3129">
            <v>54408190</v>
          </cell>
          <cell r="B3129" t="str">
            <v>Pretzels, hard, coated, NFS</v>
          </cell>
          <cell r="I3129">
            <v>30</v>
          </cell>
          <cell r="J3129">
            <v>140.1</v>
          </cell>
          <cell r="K3129">
            <v>4.67</v>
          </cell>
          <cell r="L3129">
            <v>0</v>
          </cell>
          <cell r="M3129">
            <v>2.5832999999999999</v>
          </cell>
          <cell r="N3129">
            <v>0</v>
          </cell>
          <cell r="O3129">
            <v>4.2299999999999997E-2</v>
          </cell>
          <cell r="P3129">
            <v>1.05</v>
          </cell>
          <cell r="Q3129">
            <v>0.84599999999999997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0.1482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</row>
        <row r="3130">
          <cell r="A3130">
            <v>54408200</v>
          </cell>
          <cell r="B3130" t="str">
            <v>Pretzels, hard, chocolate coated</v>
          </cell>
          <cell r="I3130">
            <v>30</v>
          </cell>
          <cell r="J3130">
            <v>140.1</v>
          </cell>
          <cell r="K3130">
            <v>4.67</v>
          </cell>
          <cell r="L3130">
            <v>0</v>
          </cell>
          <cell r="M3130">
            <v>2.5832999999999999</v>
          </cell>
          <cell r="N3130">
            <v>0</v>
          </cell>
          <cell r="O3130">
            <v>4.2299999999999997E-2</v>
          </cell>
          <cell r="P3130">
            <v>1.05</v>
          </cell>
          <cell r="Q3130">
            <v>0.84599999999999997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0.1482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</row>
        <row r="3131">
          <cell r="A3131">
            <v>54408210</v>
          </cell>
          <cell r="B3131" t="str">
            <v>Pretzels, hard, white chocolate coated</v>
          </cell>
          <cell r="I3131">
            <v>30</v>
          </cell>
          <cell r="J3131">
            <v>132.55951999999999</v>
          </cell>
          <cell r="K3131">
            <v>4.4186506666666663</v>
          </cell>
          <cell r="L3131">
            <v>0</v>
          </cell>
          <cell r="M3131">
            <v>2.4002381000000002</v>
          </cell>
          <cell r="N3131">
            <v>0</v>
          </cell>
          <cell r="O3131">
            <v>2.8092900000000001E-2</v>
          </cell>
          <cell r="P3131">
            <v>0.35714289999999999</v>
          </cell>
          <cell r="Q3131">
            <v>0.26583329999999999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0.13281670000000001</v>
          </cell>
          <cell r="Y3131">
            <v>0</v>
          </cell>
          <cell r="Z3131">
            <v>0</v>
          </cell>
          <cell r="AA3131">
            <v>0</v>
          </cell>
          <cell r="AB3131">
            <v>0.2944292</v>
          </cell>
        </row>
        <row r="3132">
          <cell r="A3132">
            <v>54408250</v>
          </cell>
          <cell r="B3132" t="str">
            <v>Pretzels, hard, yogurt coated</v>
          </cell>
          <cell r="I3132">
            <v>30</v>
          </cell>
          <cell r="J3132">
            <v>130.53570999999999</v>
          </cell>
          <cell r="K3132">
            <v>4.3511903333333333</v>
          </cell>
          <cell r="L3132">
            <v>0</v>
          </cell>
          <cell r="M3132">
            <v>2.9588095000000001</v>
          </cell>
          <cell r="N3132">
            <v>0</v>
          </cell>
          <cell r="O3132">
            <v>2.8807099999999999E-2</v>
          </cell>
          <cell r="P3132">
            <v>0.3333333</v>
          </cell>
          <cell r="Q3132">
            <v>0.207619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0.13257859999999999</v>
          </cell>
          <cell r="Y3132">
            <v>0</v>
          </cell>
          <cell r="Z3132">
            <v>0</v>
          </cell>
          <cell r="AA3132">
            <v>0</v>
          </cell>
          <cell r="AB3132">
            <v>8.6583199999999999E-2</v>
          </cell>
        </row>
        <row r="3133">
          <cell r="A3133">
            <v>54408300</v>
          </cell>
          <cell r="B3133" t="str">
            <v>Pretzels, hard, cheese filled</v>
          </cell>
          <cell r="I3133">
            <v>30</v>
          </cell>
          <cell r="J3133">
            <v>138.9</v>
          </cell>
          <cell r="K3133">
            <v>4.63</v>
          </cell>
          <cell r="L3133">
            <v>0</v>
          </cell>
          <cell r="M3133">
            <v>2.8967999999999998</v>
          </cell>
          <cell r="N3133">
            <v>0</v>
          </cell>
          <cell r="O3133">
            <v>5.91E-2</v>
          </cell>
          <cell r="P3133">
            <v>1.08</v>
          </cell>
          <cell r="Q3133">
            <v>0.40620000000000001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0.33510000000000001</v>
          </cell>
          <cell r="Y3133">
            <v>0</v>
          </cell>
          <cell r="Z3133">
            <v>0</v>
          </cell>
          <cell r="AA3133">
            <v>0</v>
          </cell>
          <cell r="AB3133">
            <v>1.29E-2</v>
          </cell>
        </row>
        <row r="3134">
          <cell r="A3134">
            <v>54408310</v>
          </cell>
          <cell r="B3134" t="str">
            <v>Pretzels, hard, peanut butter filled</v>
          </cell>
          <cell r="I3134">
            <v>30</v>
          </cell>
          <cell r="J3134">
            <v>136.05578</v>
          </cell>
          <cell r="K3134">
            <v>4.5351926666666662</v>
          </cell>
          <cell r="L3134">
            <v>0</v>
          </cell>
          <cell r="M3134">
            <v>1.1062749000000001</v>
          </cell>
          <cell r="N3134">
            <v>0</v>
          </cell>
          <cell r="O3134">
            <v>1.0287599999999999E-2</v>
          </cell>
          <cell r="P3134">
            <v>1.1752988</v>
          </cell>
          <cell r="Q3134">
            <v>1.5056773000000001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0.33576650000000002</v>
          </cell>
          <cell r="Y3134">
            <v>8.8240786999999994</v>
          </cell>
          <cell r="Z3134">
            <v>0</v>
          </cell>
          <cell r="AA3134">
            <v>0</v>
          </cell>
          <cell r="AB3134">
            <v>8.2669000000000006E-3</v>
          </cell>
        </row>
        <row r="3135">
          <cell r="A3135">
            <v>54408405</v>
          </cell>
          <cell r="B3135" t="str">
            <v>Pretzels, soft, ready-to-eat, NFS</v>
          </cell>
          <cell r="I3135">
            <v>55</v>
          </cell>
          <cell r="J3135">
            <v>187.52999</v>
          </cell>
          <cell r="K3135">
            <v>3.4096361818181817</v>
          </cell>
          <cell r="L3135">
            <v>0</v>
          </cell>
          <cell r="M3135">
            <v>0.71074930000000003</v>
          </cell>
          <cell r="N3135">
            <v>0</v>
          </cell>
          <cell r="O3135">
            <v>1.2551E-2</v>
          </cell>
          <cell r="P3135">
            <v>0.91937069999999999</v>
          </cell>
          <cell r="Q3135">
            <v>0.53266179999999996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0.44147419999999998</v>
          </cell>
          <cell r="Y3135">
            <v>0</v>
          </cell>
          <cell r="Z3135">
            <v>0</v>
          </cell>
          <cell r="AA3135">
            <v>0</v>
          </cell>
          <cell r="AB3135">
            <v>5.8946900000000003E-2</v>
          </cell>
        </row>
        <row r="3136">
          <cell r="A3136">
            <v>54408410</v>
          </cell>
          <cell r="B3136" t="str">
            <v>Pretzels, soft, ready-to-eat, salted, buttered</v>
          </cell>
          <cell r="I3136">
            <v>55</v>
          </cell>
          <cell r="J3136">
            <v>187.52999</v>
          </cell>
          <cell r="K3136">
            <v>3.4096361818181817</v>
          </cell>
          <cell r="L3136">
            <v>0</v>
          </cell>
          <cell r="M3136">
            <v>0.71074930000000003</v>
          </cell>
          <cell r="N3136">
            <v>0</v>
          </cell>
          <cell r="O3136">
            <v>1.2551E-2</v>
          </cell>
          <cell r="P3136">
            <v>0.91937069999999999</v>
          </cell>
          <cell r="Q3136">
            <v>0.53266179999999996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0.44147419999999998</v>
          </cell>
          <cell r="Y3136">
            <v>0</v>
          </cell>
          <cell r="Z3136">
            <v>0</v>
          </cell>
          <cell r="AA3136">
            <v>0</v>
          </cell>
          <cell r="AB3136">
            <v>5.8850800000000002E-2</v>
          </cell>
        </row>
        <row r="3137">
          <cell r="A3137">
            <v>54408415</v>
          </cell>
          <cell r="B3137" t="str">
            <v>Pretzels, soft, ready-to-eat, salted, no butter</v>
          </cell>
          <cell r="I3137">
            <v>55</v>
          </cell>
          <cell r="J3137">
            <v>184.60775000000001</v>
          </cell>
          <cell r="K3137">
            <v>3.3565045454545457</v>
          </cell>
          <cell r="L3137">
            <v>1.221E-16</v>
          </cell>
          <cell r="M3137">
            <v>0.37959290000000001</v>
          </cell>
          <cell r="N3137">
            <v>0</v>
          </cell>
          <cell r="O3137">
            <v>1.26538E-2</v>
          </cell>
          <cell r="P3137">
            <v>0.92850049999999995</v>
          </cell>
          <cell r="Q3137">
            <v>0.5177756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0.4458474</v>
          </cell>
          <cell r="Y3137">
            <v>0</v>
          </cell>
          <cell r="Z3137">
            <v>0</v>
          </cell>
          <cell r="AA3137">
            <v>0</v>
          </cell>
          <cell r="AB3137">
            <v>3.9405200000000001E-2</v>
          </cell>
        </row>
        <row r="3138">
          <cell r="A3138">
            <v>54408416</v>
          </cell>
          <cell r="B3138" t="str">
            <v>Pretzels, soft, ready-to-eat, unsalted, no butter</v>
          </cell>
          <cell r="I3138">
            <v>55</v>
          </cell>
          <cell r="J3138">
            <v>189.75</v>
          </cell>
          <cell r="K3138">
            <v>3.45</v>
          </cell>
          <cell r="L3138">
            <v>0</v>
          </cell>
          <cell r="M3138">
            <v>0.38224999999999998</v>
          </cell>
          <cell r="N3138">
            <v>0</v>
          </cell>
          <cell r="O3138">
            <v>1.265E-2</v>
          </cell>
          <cell r="P3138">
            <v>0.93500000000000005</v>
          </cell>
          <cell r="Q3138">
            <v>0.52139999999999997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0.1386</v>
          </cell>
          <cell r="Y3138">
            <v>0</v>
          </cell>
          <cell r="Z3138">
            <v>0</v>
          </cell>
          <cell r="AA3138">
            <v>0</v>
          </cell>
          <cell r="AB3138">
            <v>3.9695099999999997E-2</v>
          </cell>
        </row>
        <row r="3139">
          <cell r="A3139">
            <v>54408420</v>
          </cell>
          <cell r="B3139" t="str">
            <v>Pretzels, soft, ready-to-eat, cinnamon sugar coated</v>
          </cell>
          <cell r="I3139">
            <v>55</v>
          </cell>
          <cell r="J3139">
            <v>204.15450999999999</v>
          </cell>
          <cell r="K3139">
            <v>3.7119001818181814</v>
          </cell>
          <cell r="L3139">
            <v>0</v>
          </cell>
          <cell r="M3139">
            <v>1.5682183000000001</v>
          </cell>
          <cell r="N3139">
            <v>0</v>
          </cell>
          <cell r="O3139">
            <v>1.7789300000000001E-2</v>
          </cell>
          <cell r="P3139">
            <v>1.1302675</v>
          </cell>
          <cell r="Q3139">
            <v>0.46825499999999998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0.13629089999999999</v>
          </cell>
          <cell r="Y3139">
            <v>0</v>
          </cell>
          <cell r="Z3139">
            <v>0</v>
          </cell>
          <cell r="AA3139">
            <v>0</v>
          </cell>
          <cell r="AB3139">
            <v>0.1061512</v>
          </cell>
        </row>
        <row r="3140">
          <cell r="A3140">
            <v>54408422</v>
          </cell>
          <cell r="B3140" t="str">
            <v>Pretzels, soft, ready-to-eat, coated or flavored</v>
          </cell>
          <cell r="I3140">
            <v>55</v>
          </cell>
          <cell r="J3140">
            <v>200.5102</v>
          </cell>
          <cell r="K3140">
            <v>3.6456399999999998</v>
          </cell>
          <cell r="L3140">
            <v>-1.2200000000000001E-16</v>
          </cell>
          <cell r="M3140">
            <v>2.0127092000000002</v>
          </cell>
          <cell r="N3140">
            <v>0</v>
          </cell>
          <cell r="O3140">
            <v>1.6409199999999999E-2</v>
          </cell>
          <cell r="P3140">
            <v>0.86734690000000003</v>
          </cell>
          <cell r="Q3140">
            <v>0.58497960000000004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0.49376730000000002</v>
          </cell>
          <cell r="Y3140">
            <v>0</v>
          </cell>
          <cell r="Z3140">
            <v>0</v>
          </cell>
          <cell r="AA3140">
            <v>0</v>
          </cell>
          <cell r="AB3140">
            <v>0.13593479999999999</v>
          </cell>
        </row>
        <row r="3141">
          <cell r="A3141">
            <v>54408456</v>
          </cell>
          <cell r="B3141" t="str">
            <v>Pretzels, soft, from frozen, unsalted</v>
          </cell>
          <cell r="I3141">
            <v>55</v>
          </cell>
          <cell r="J3141">
            <v>189.75</v>
          </cell>
          <cell r="K3141">
            <v>3.45</v>
          </cell>
          <cell r="L3141">
            <v>0</v>
          </cell>
          <cell r="M3141">
            <v>0.38224999999999998</v>
          </cell>
          <cell r="N3141">
            <v>0</v>
          </cell>
          <cell r="O3141">
            <v>1.265E-2</v>
          </cell>
          <cell r="P3141">
            <v>0.93500000000000005</v>
          </cell>
          <cell r="Q3141">
            <v>0.52139999999999997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0.1386</v>
          </cell>
          <cell r="Y3141">
            <v>0</v>
          </cell>
          <cell r="Z3141">
            <v>0</v>
          </cell>
          <cell r="AA3141">
            <v>0</v>
          </cell>
          <cell r="AB3141">
            <v>3.9485199999999998E-2</v>
          </cell>
        </row>
        <row r="3142">
          <cell r="A3142">
            <v>54408485</v>
          </cell>
          <cell r="B3142" t="str">
            <v>Pretzels, soft, gluten free</v>
          </cell>
          <cell r="I3142">
            <v>55</v>
          </cell>
          <cell r="J3142">
            <v>163.54249999999999</v>
          </cell>
          <cell r="K3142">
            <v>2.9735</v>
          </cell>
          <cell r="L3142">
            <v>1.53725</v>
          </cell>
          <cell r="M3142">
            <v>0.98587499999999995</v>
          </cell>
          <cell r="N3142">
            <v>0</v>
          </cell>
          <cell r="O3142">
            <v>4.9334999999999997E-2</v>
          </cell>
          <cell r="P3142">
            <v>0.63524999999999998</v>
          </cell>
          <cell r="Q3142">
            <v>0.30574499999999999</v>
          </cell>
          <cell r="R3142">
            <v>13.041600000000001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0.46145000000000003</v>
          </cell>
          <cell r="Y3142">
            <v>0</v>
          </cell>
          <cell r="Z3142">
            <v>0</v>
          </cell>
          <cell r="AA3142">
            <v>0</v>
          </cell>
          <cell r="AB3142">
            <v>0.1143633</v>
          </cell>
        </row>
        <row r="3143">
          <cell r="A3143">
            <v>54420010</v>
          </cell>
          <cell r="B3143" t="str">
            <v>Multigrain mixture, pretzels, cereal and/or crackers, nuts</v>
          </cell>
          <cell r="I3143">
            <v>30</v>
          </cell>
          <cell r="J3143">
            <v>128.4</v>
          </cell>
          <cell r="K3143">
            <v>4.28</v>
          </cell>
          <cell r="L3143">
            <v>0.62904269999999995</v>
          </cell>
          <cell r="M3143">
            <v>0.4803</v>
          </cell>
          <cell r="N3143">
            <v>0</v>
          </cell>
          <cell r="O3143">
            <v>1.4999999999999999E-2</v>
          </cell>
          <cell r="P3143">
            <v>1.1109572999999999</v>
          </cell>
          <cell r="Q3143">
            <v>1.1253</v>
          </cell>
          <cell r="R3143">
            <v>4.2240000000000002</v>
          </cell>
          <cell r="S3143">
            <v>0</v>
          </cell>
          <cell r="T3143">
            <v>0</v>
          </cell>
          <cell r="U3143">
            <v>0</v>
          </cell>
          <cell r="V3143">
            <v>0</v>
          </cell>
          <cell r="W3143">
            <v>0</v>
          </cell>
          <cell r="X3143">
            <v>0.20880000000000001</v>
          </cell>
          <cell r="Y3143">
            <v>0</v>
          </cell>
          <cell r="Z3143">
            <v>0</v>
          </cell>
          <cell r="AA3143">
            <v>0</v>
          </cell>
          <cell r="AB3143">
            <v>0.22500000000000001</v>
          </cell>
        </row>
        <row r="3144">
          <cell r="A3144">
            <v>54420100</v>
          </cell>
          <cell r="B3144" t="str">
            <v>Oriental party mix, with peanuts, sesame sticks, chili rice crackers and fried green peas</v>
          </cell>
          <cell r="I3144">
            <v>30</v>
          </cell>
          <cell r="J3144">
            <v>151.80000000000001</v>
          </cell>
          <cell r="K3144">
            <v>5.0600000000000005</v>
          </cell>
          <cell r="L3144">
            <v>3.8748005999999999</v>
          </cell>
          <cell r="M3144">
            <v>1.1355</v>
          </cell>
          <cell r="N3144">
            <v>0</v>
          </cell>
          <cell r="O3144">
            <v>1.6199999999999999E-2</v>
          </cell>
          <cell r="P3144">
            <v>8.5199399999999995E-2</v>
          </cell>
          <cell r="Q3144">
            <v>3.1928999999999998</v>
          </cell>
          <cell r="R3144">
            <v>18.28575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0.1239</v>
          </cell>
          <cell r="Y3144">
            <v>6.0810750000000002</v>
          </cell>
          <cell r="Z3144">
            <v>0</v>
          </cell>
          <cell r="AA3144">
            <v>0</v>
          </cell>
          <cell r="AB3144">
            <v>0.12550520000000001</v>
          </cell>
        </row>
        <row r="3145">
          <cell r="A3145">
            <v>54420200</v>
          </cell>
          <cell r="B3145" t="str">
            <v>Multigrain mixture, bread sticks, sesame nuggets, pretzels, rye chips</v>
          </cell>
          <cell r="I3145">
            <v>30</v>
          </cell>
          <cell r="J3145">
            <v>143.49744000000001</v>
          </cell>
          <cell r="K3145">
            <v>4.7832480000000004</v>
          </cell>
          <cell r="L3145">
            <v>0.98974359999999995</v>
          </cell>
          <cell r="M3145">
            <v>1.5482872000000001</v>
          </cell>
          <cell r="N3145">
            <v>0</v>
          </cell>
          <cell r="O3145">
            <v>1.5830799999999999E-2</v>
          </cell>
          <cell r="P3145">
            <v>0.48205130000000002</v>
          </cell>
          <cell r="Q3145">
            <v>1.7601948999999999</v>
          </cell>
          <cell r="R3145">
            <v>7.7046153999999998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0.33510509999999999</v>
          </cell>
          <cell r="Y3145">
            <v>0.34165380000000001</v>
          </cell>
          <cell r="Z3145">
            <v>0</v>
          </cell>
          <cell r="AA3145">
            <v>0</v>
          </cell>
          <cell r="AB3145">
            <v>1.1875179</v>
          </cell>
        </row>
        <row r="3146">
          <cell r="A3146">
            <v>54420210</v>
          </cell>
          <cell r="B3146" t="str">
            <v>Multigrain chips (Sun Chips)</v>
          </cell>
          <cell r="I3146">
            <v>30</v>
          </cell>
          <cell r="J3146">
            <v>147.30000000000001</v>
          </cell>
          <cell r="K3146">
            <v>4.91</v>
          </cell>
          <cell r="L3146">
            <v>2.64</v>
          </cell>
          <cell r="M3146">
            <v>0.64980000000000004</v>
          </cell>
          <cell r="N3146">
            <v>0</v>
          </cell>
          <cell r="O3146">
            <v>6.0000000000000001E-3</v>
          </cell>
          <cell r="P3146">
            <v>0</v>
          </cell>
          <cell r="Q3146">
            <v>1.9539</v>
          </cell>
          <cell r="R3146">
            <v>21.6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0.12690000000000001</v>
          </cell>
          <cell r="Y3146">
            <v>0</v>
          </cell>
          <cell r="Z3146">
            <v>0</v>
          </cell>
          <cell r="AA3146">
            <v>0</v>
          </cell>
          <cell r="AB3146">
            <v>2.64E-2</v>
          </cell>
        </row>
        <row r="3147">
          <cell r="A3147">
            <v>54420220</v>
          </cell>
          <cell r="B3147" t="str">
            <v>Snack mix, plain (Chex Mix)</v>
          </cell>
          <cell r="I3147">
            <v>30</v>
          </cell>
          <cell r="J3147">
            <v>128.4</v>
          </cell>
          <cell r="K3147">
            <v>4.28</v>
          </cell>
          <cell r="L3147">
            <v>0.6699155</v>
          </cell>
          <cell r="M3147">
            <v>0.4803</v>
          </cell>
          <cell r="N3147">
            <v>0</v>
          </cell>
          <cell r="O3147">
            <v>1.4999999999999999E-2</v>
          </cell>
          <cell r="P3147">
            <v>1.0700845000000001</v>
          </cell>
          <cell r="Q3147">
            <v>1.1253</v>
          </cell>
          <cell r="R3147">
            <v>4.2240000000000002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0.20880000000000001</v>
          </cell>
          <cell r="Y3147">
            <v>0</v>
          </cell>
          <cell r="Z3147">
            <v>0</v>
          </cell>
          <cell r="AA3147">
            <v>0</v>
          </cell>
          <cell r="AB3147">
            <v>0.22500000000000001</v>
          </cell>
        </row>
        <row r="3148">
          <cell r="A3148">
            <v>54440010</v>
          </cell>
          <cell r="B3148" t="str">
            <v>Bagel chips</v>
          </cell>
          <cell r="I3148">
            <v>30</v>
          </cell>
          <cell r="J3148">
            <v>135.30000000000001</v>
          </cell>
          <cell r="K3148">
            <v>4.5100000000000007</v>
          </cell>
          <cell r="L3148">
            <v>0</v>
          </cell>
          <cell r="M3148">
            <v>2.0505</v>
          </cell>
          <cell r="N3148">
            <v>0</v>
          </cell>
          <cell r="O3148">
            <v>7.1999999999999998E-3</v>
          </cell>
          <cell r="P3148">
            <v>1.23</v>
          </cell>
          <cell r="Q3148">
            <v>0.62549999999999994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6.9900000000000004E-2</v>
          </cell>
          <cell r="Y3148">
            <v>0</v>
          </cell>
          <cell r="Z3148">
            <v>0</v>
          </cell>
          <cell r="AA3148">
            <v>0</v>
          </cell>
          <cell r="AB3148">
            <v>1.7100000000000001E-2</v>
          </cell>
        </row>
        <row r="3149">
          <cell r="A3149">
            <v>54440020</v>
          </cell>
          <cell r="B3149" t="str">
            <v>Cracker chips</v>
          </cell>
          <cell r="I3149">
            <v>30</v>
          </cell>
          <cell r="J3149">
            <v>147.30000000000001</v>
          </cell>
          <cell r="K3149">
            <v>4.91</v>
          </cell>
          <cell r="L3149">
            <v>2.64</v>
          </cell>
          <cell r="M3149">
            <v>0.64980000000000004</v>
          </cell>
          <cell r="N3149">
            <v>0</v>
          </cell>
          <cell r="O3149">
            <v>6.0000000000000001E-3</v>
          </cell>
          <cell r="P3149">
            <v>0</v>
          </cell>
          <cell r="Q3149">
            <v>1.9539</v>
          </cell>
          <cell r="R3149">
            <v>21.6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0.12690000000000001</v>
          </cell>
          <cell r="Y3149">
            <v>0</v>
          </cell>
          <cell r="Z3149">
            <v>0</v>
          </cell>
          <cell r="AA3149">
            <v>0</v>
          </cell>
          <cell r="AB3149">
            <v>2.64E-2</v>
          </cell>
        </row>
        <row r="3150">
          <cell r="A3150">
            <v>55100005</v>
          </cell>
          <cell r="B3150" t="str">
            <v>Pancakes, NFS</v>
          </cell>
          <cell r="I3150">
            <v>110</v>
          </cell>
          <cell r="J3150">
            <v>260.36182000000002</v>
          </cell>
          <cell r="K3150">
            <v>2.3669256363636366</v>
          </cell>
          <cell r="L3150">
            <v>2.442E-16</v>
          </cell>
          <cell r="M3150">
            <v>2.8958198999999998</v>
          </cell>
          <cell r="N3150">
            <v>0</v>
          </cell>
          <cell r="O3150">
            <v>0.190663</v>
          </cell>
          <cell r="P3150">
            <v>1.9942446</v>
          </cell>
          <cell r="Q3150">
            <v>3.5036113000000002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0.60976189999999997</v>
          </cell>
          <cell r="Y3150">
            <v>0</v>
          </cell>
          <cell r="Z3150">
            <v>0</v>
          </cell>
          <cell r="AA3150">
            <v>0</v>
          </cell>
          <cell r="AB3150">
            <v>0.19768450000000001</v>
          </cell>
        </row>
        <row r="3151">
          <cell r="A3151">
            <v>55100010</v>
          </cell>
          <cell r="B3151" t="str">
            <v>Pancakes, plain, from frozen</v>
          </cell>
          <cell r="I3151">
            <v>110</v>
          </cell>
          <cell r="J3151">
            <v>256.3</v>
          </cell>
          <cell r="K3151">
            <v>2.33</v>
          </cell>
          <cell r="L3151">
            <v>0</v>
          </cell>
          <cell r="M3151">
            <v>1.2782</v>
          </cell>
          <cell r="N3151">
            <v>0</v>
          </cell>
          <cell r="O3151">
            <v>8.5800000000000001E-2</v>
          </cell>
          <cell r="P3151">
            <v>1.1000000000000001</v>
          </cell>
          <cell r="Q3151">
            <v>4.2141000000000002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0.5071</v>
          </cell>
          <cell r="Y3151">
            <v>0</v>
          </cell>
          <cell r="Z3151">
            <v>0</v>
          </cell>
          <cell r="AA3151">
            <v>0</v>
          </cell>
          <cell r="AB3151">
            <v>3.3000000000000002E-2</v>
          </cell>
        </row>
        <row r="3152">
          <cell r="A3152">
            <v>55100020</v>
          </cell>
          <cell r="B3152" t="str">
            <v>Pancakes, with fruit, from frozen</v>
          </cell>
          <cell r="I3152">
            <v>110</v>
          </cell>
          <cell r="J3152">
            <v>246.29</v>
          </cell>
          <cell r="K3152">
            <v>2.2389999999999999</v>
          </cell>
          <cell r="L3152">
            <v>0.14849999999999999</v>
          </cell>
          <cell r="M3152">
            <v>1.2172050000000001</v>
          </cell>
          <cell r="N3152">
            <v>0</v>
          </cell>
          <cell r="O3152">
            <v>8.1949999999999995E-2</v>
          </cell>
          <cell r="P3152">
            <v>1.0449999999999999</v>
          </cell>
          <cell r="Q3152">
            <v>4.0187400000000002</v>
          </cell>
          <cell r="R3152">
            <v>0</v>
          </cell>
          <cell r="S3152">
            <v>0</v>
          </cell>
          <cell r="T3152">
            <v>5.5</v>
          </cell>
          <cell r="U3152">
            <v>0</v>
          </cell>
          <cell r="V3152">
            <v>0</v>
          </cell>
          <cell r="W3152">
            <v>0</v>
          </cell>
          <cell r="X3152">
            <v>0.48180000000000001</v>
          </cell>
          <cell r="Y3152">
            <v>0</v>
          </cell>
          <cell r="Z3152">
            <v>0</v>
          </cell>
          <cell r="AA3152">
            <v>0</v>
          </cell>
          <cell r="AB3152">
            <v>3.1350000000000003E-2</v>
          </cell>
        </row>
        <row r="3153">
          <cell r="A3153">
            <v>55100030</v>
          </cell>
          <cell r="B3153" t="str">
            <v>Pancakes, whole grain, from frozen</v>
          </cell>
          <cell r="I3153">
            <v>110</v>
          </cell>
          <cell r="J3153">
            <v>255.739</v>
          </cell>
          <cell r="K3153">
            <v>2.3249</v>
          </cell>
          <cell r="L3153">
            <v>0</v>
          </cell>
          <cell r="M3153">
            <v>1.2606440000000001</v>
          </cell>
          <cell r="N3153">
            <v>0</v>
          </cell>
          <cell r="O3153">
            <v>8.5635000000000003E-2</v>
          </cell>
          <cell r="P3153">
            <v>2.4794</v>
          </cell>
          <cell r="Q3153">
            <v>4.1606730000000001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0.49195299999999997</v>
          </cell>
          <cell r="Y3153">
            <v>0</v>
          </cell>
          <cell r="Z3153">
            <v>0</v>
          </cell>
          <cell r="AA3153">
            <v>0</v>
          </cell>
          <cell r="AB3153">
            <v>0.35835159999999999</v>
          </cell>
        </row>
        <row r="3154">
          <cell r="A3154">
            <v>55100050</v>
          </cell>
          <cell r="B3154" t="str">
            <v>Pancakes, plain, from fast food / restaurant</v>
          </cell>
          <cell r="I3154">
            <v>110</v>
          </cell>
          <cell r="J3154">
            <v>283.21928000000003</v>
          </cell>
          <cell r="K3154">
            <v>2.5747207272727275</v>
          </cell>
          <cell r="L3154">
            <v>0</v>
          </cell>
          <cell r="M3154">
            <v>3.2866181999999999</v>
          </cell>
          <cell r="N3154">
            <v>0</v>
          </cell>
          <cell r="O3154">
            <v>0.1842955</v>
          </cell>
          <cell r="P3154">
            <v>1.9272305999999999</v>
          </cell>
          <cell r="Q3154">
            <v>4.8559166999999999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0.63869140000000002</v>
          </cell>
          <cell r="Y3154">
            <v>0</v>
          </cell>
          <cell r="Z3154">
            <v>0</v>
          </cell>
          <cell r="AA3154">
            <v>0</v>
          </cell>
          <cell r="AB3154">
            <v>0.20556630000000001</v>
          </cell>
        </row>
        <row r="3155">
          <cell r="A3155">
            <v>55100065</v>
          </cell>
          <cell r="B3155" t="str">
            <v>Pancakes, whole grain, from fast food / restaurant</v>
          </cell>
          <cell r="I3155">
            <v>110</v>
          </cell>
          <cell r="J3155">
            <v>276.95344999999998</v>
          </cell>
          <cell r="K3155">
            <v>2.5177586363636362</v>
          </cell>
          <cell r="L3155">
            <v>2.1052938000000001</v>
          </cell>
          <cell r="M3155">
            <v>3.2967162999999999</v>
          </cell>
          <cell r="N3155">
            <v>0</v>
          </cell>
          <cell r="O3155">
            <v>0.1222777</v>
          </cell>
          <cell r="P3155">
            <v>0.8017552</v>
          </cell>
          <cell r="Q3155">
            <v>4.8349105999999997</v>
          </cell>
          <cell r="R3155">
            <v>16.191158999999999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0.70854249999999996</v>
          </cell>
          <cell r="Y3155">
            <v>0</v>
          </cell>
          <cell r="Z3155">
            <v>0</v>
          </cell>
          <cell r="AA3155">
            <v>0</v>
          </cell>
          <cell r="AB3155">
            <v>0.24027470000000001</v>
          </cell>
        </row>
        <row r="3156">
          <cell r="A3156">
            <v>55101000</v>
          </cell>
          <cell r="B3156" t="str">
            <v>Pancakes, plain</v>
          </cell>
          <cell r="I3156">
            <v>110</v>
          </cell>
          <cell r="J3156">
            <v>260.36182000000002</v>
          </cell>
          <cell r="K3156">
            <v>2.3669256363636366</v>
          </cell>
          <cell r="L3156">
            <v>2.442E-16</v>
          </cell>
          <cell r="M3156">
            <v>2.8958198999999998</v>
          </cell>
          <cell r="N3156">
            <v>0</v>
          </cell>
          <cell r="O3156">
            <v>0.190663</v>
          </cell>
          <cell r="P3156">
            <v>1.9942446</v>
          </cell>
          <cell r="Q3156">
            <v>3.5036113000000002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0.60976189999999997</v>
          </cell>
          <cell r="Y3156">
            <v>0</v>
          </cell>
          <cell r="Z3156">
            <v>0</v>
          </cell>
          <cell r="AA3156">
            <v>0</v>
          </cell>
          <cell r="AB3156">
            <v>0.43688100000000002</v>
          </cell>
        </row>
        <row r="3157">
          <cell r="A3157">
            <v>55101015</v>
          </cell>
          <cell r="B3157" t="str">
            <v>Pancakes, plain, reduced fat</v>
          </cell>
          <cell r="I3157">
            <v>110</v>
          </cell>
          <cell r="J3157">
            <v>244.61626999999999</v>
          </cell>
          <cell r="K3157">
            <v>2.2237842727272725</v>
          </cell>
          <cell r="L3157">
            <v>0</v>
          </cell>
          <cell r="M3157">
            <v>2.6278408</v>
          </cell>
          <cell r="N3157">
            <v>0</v>
          </cell>
          <cell r="O3157">
            <v>0.1948627</v>
          </cell>
          <cell r="P3157">
            <v>2.0382353000000002</v>
          </cell>
          <cell r="Q3157">
            <v>2.5814396999999998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0.62320039999999999</v>
          </cell>
          <cell r="Y3157">
            <v>0</v>
          </cell>
          <cell r="Z3157">
            <v>0</v>
          </cell>
          <cell r="AA3157">
            <v>0</v>
          </cell>
          <cell r="AB3157">
            <v>0.1272556</v>
          </cell>
        </row>
        <row r="3158">
          <cell r="A3158">
            <v>55101020</v>
          </cell>
          <cell r="B3158" t="str">
            <v>Pancakes, plain, fat free</v>
          </cell>
          <cell r="I3158">
            <v>110</v>
          </cell>
          <cell r="J3158">
            <v>268.73151000000001</v>
          </cell>
          <cell r="K3158">
            <v>2.4430137272727275</v>
          </cell>
          <cell r="L3158">
            <v>7.3764041000000002</v>
          </cell>
          <cell r="M3158">
            <v>0.37878420000000002</v>
          </cell>
          <cell r="N3158">
            <v>0</v>
          </cell>
          <cell r="O3158">
            <v>5.0223299999999998E-2</v>
          </cell>
          <cell r="P3158">
            <v>0.18082190000000001</v>
          </cell>
          <cell r="Q3158">
            <v>0.8561955</v>
          </cell>
          <cell r="R3158">
            <v>68.938355999999999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0.30730679999999999</v>
          </cell>
          <cell r="Y3158">
            <v>0</v>
          </cell>
          <cell r="Z3158">
            <v>0</v>
          </cell>
          <cell r="AA3158">
            <v>0</v>
          </cell>
          <cell r="AB3158">
            <v>8.9569000000000003E-3</v>
          </cell>
        </row>
        <row r="3159">
          <cell r="A3159">
            <v>55103000</v>
          </cell>
          <cell r="B3159" t="str">
            <v>Pancakes, with fruit</v>
          </cell>
          <cell r="I3159">
            <v>110</v>
          </cell>
          <cell r="J3159">
            <v>214.71672000000001</v>
          </cell>
          <cell r="K3159">
            <v>1.9519701818181818</v>
          </cell>
          <cell r="L3159">
            <v>0.66368720000000003</v>
          </cell>
          <cell r="M3159">
            <v>2.2617371999999998</v>
          </cell>
          <cell r="N3159">
            <v>0</v>
          </cell>
          <cell r="O3159">
            <v>0.1500232</v>
          </cell>
          <cell r="P3159">
            <v>1.5486034</v>
          </cell>
          <cell r="Q3159">
            <v>2.7892624000000001</v>
          </cell>
          <cell r="R3159">
            <v>0</v>
          </cell>
          <cell r="S3159">
            <v>0</v>
          </cell>
          <cell r="T3159">
            <v>24.581005999999999</v>
          </cell>
          <cell r="U3159">
            <v>0</v>
          </cell>
          <cell r="V3159">
            <v>0</v>
          </cell>
          <cell r="W3159">
            <v>0</v>
          </cell>
          <cell r="X3159">
            <v>0.47374810000000001</v>
          </cell>
          <cell r="Y3159">
            <v>0</v>
          </cell>
          <cell r="Z3159">
            <v>0</v>
          </cell>
          <cell r="AA3159">
            <v>0</v>
          </cell>
          <cell r="AB3159">
            <v>0.36422009999999999</v>
          </cell>
        </row>
        <row r="3160">
          <cell r="A3160">
            <v>55103100</v>
          </cell>
          <cell r="B3160" t="str">
            <v>Pancakes, with chocolate</v>
          </cell>
          <cell r="I3160">
            <v>110</v>
          </cell>
          <cell r="J3160">
            <v>315.92307</v>
          </cell>
          <cell r="K3160">
            <v>2.8720279090909089</v>
          </cell>
          <cell r="L3160">
            <v>0</v>
          </cell>
          <cell r="M3160">
            <v>5.8528852999999996</v>
          </cell>
          <cell r="N3160">
            <v>0</v>
          </cell>
          <cell r="O3160">
            <v>0.19358159999999999</v>
          </cell>
          <cell r="P3160">
            <v>2.2898405999999998</v>
          </cell>
          <cell r="Q3160">
            <v>3.1666571999999999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0.52122950000000001</v>
          </cell>
          <cell r="Y3160">
            <v>0</v>
          </cell>
          <cell r="Z3160">
            <v>0</v>
          </cell>
          <cell r="AA3160">
            <v>0</v>
          </cell>
          <cell r="AB3160">
            <v>0.72586019999999996</v>
          </cell>
        </row>
        <row r="3161">
          <cell r="A3161">
            <v>55105000</v>
          </cell>
          <cell r="B3161" t="str">
            <v>Pancakes, buckwheat</v>
          </cell>
          <cell r="I3161">
            <v>110</v>
          </cell>
          <cell r="J3161">
            <v>184.8287</v>
          </cell>
          <cell r="K3161">
            <v>1.6802609090909091</v>
          </cell>
          <cell r="L3161">
            <v>2.4033929000000001</v>
          </cell>
          <cell r="M3161">
            <v>2.0816523999999998</v>
          </cell>
          <cell r="N3161">
            <v>0</v>
          </cell>
          <cell r="O3161">
            <v>0.2305854</v>
          </cell>
          <cell r="P3161">
            <v>0.256741</v>
          </cell>
          <cell r="Q3161">
            <v>1.5401464</v>
          </cell>
          <cell r="R3161">
            <v>22.082241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0.26025399999999999</v>
          </cell>
          <cell r="Y3161">
            <v>0</v>
          </cell>
          <cell r="Z3161">
            <v>0</v>
          </cell>
          <cell r="AA3161">
            <v>0</v>
          </cell>
          <cell r="AB3161">
            <v>0.35023470000000001</v>
          </cell>
        </row>
        <row r="3162">
          <cell r="A3162">
            <v>55105100</v>
          </cell>
          <cell r="B3162" t="str">
            <v>Pancakes, cornmeal</v>
          </cell>
          <cell r="I3162">
            <v>110</v>
          </cell>
          <cell r="J3162">
            <v>186.29834</v>
          </cell>
          <cell r="K3162">
            <v>1.6936212727272726</v>
          </cell>
          <cell r="L3162">
            <v>0</v>
          </cell>
          <cell r="M3162">
            <v>1.2810747</v>
          </cell>
          <cell r="N3162">
            <v>0</v>
          </cell>
          <cell r="O3162">
            <v>0.12172810000000001</v>
          </cell>
          <cell r="P3162">
            <v>1.1717298</v>
          </cell>
          <cell r="Q3162">
            <v>1.5429272999999999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0.60477119999999995</v>
          </cell>
          <cell r="Y3162">
            <v>0</v>
          </cell>
          <cell r="Z3162">
            <v>0</v>
          </cell>
          <cell r="AA3162">
            <v>0</v>
          </cell>
          <cell r="AB3162">
            <v>0.70363450000000005</v>
          </cell>
        </row>
        <row r="3163">
          <cell r="A3163">
            <v>55105200</v>
          </cell>
          <cell r="B3163" t="str">
            <v>Pancakes, whole grain</v>
          </cell>
          <cell r="I3163">
            <v>110</v>
          </cell>
          <cell r="J3163">
            <v>253.13559000000001</v>
          </cell>
          <cell r="K3163">
            <v>2.3012326363636366</v>
          </cell>
          <cell r="L3163">
            <v>2.1808551</v>
          </cell>
          <cell r="M3163">
            <v>2.8937051999999999</v>
          </cell>
          <cell r="N3163">
            <v>0</v>
          </cell>
          <cell r="O3163">
            <v>0.12662419999999999</v>
          </cell>
          <cell r="P3163">
            <v>0.83053100000000002</v>
          </cell>
          <cell r="Q3163">
            <v>3.4383363999999998</v>
          </cell>
          <cell r="R3163">
            <v>16.772276999999999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0.68118920000000005</v>
          </cell>
          <cell r="Y3163">
            <v>0</v>
          </cell>
          <cell r="Z3163">
            <v>0</v>
          </cell>
          <cell r="AA3163">
            <v>0</v>
          </cell>
          <cell r="AB3163">
            <v>0.13719890000000001</v>
          </cell>
        </row>
        <row r="3164">
          <cell r="A3164">
            <v>55105205</v>
          </cell>
          <cell r="B3164" t="str">
            <v>Pancakes, whole grain, reduced fat</v>
          </cell>
          <cell r="I3164">
            <v>110</v>
          </cell>
          <cell r="J3164">
            <v>236.70719</v>
          </cell>
          <cell r="K3164">
            <v>2.1518835454545453</v>
          </cell>
          <cell r="L3164">
            <v>2.2305454999999998</v>
          </cell>
          <cell r="M3164">
            <v>2.6168583999999999</v>
          </cell>
          <cell r="N3164">
            <v>0</v>
          </cell>
          <cell r="O3164">
            <v>0.12950300000000001</v>
          </cell>
          <cell r="P3164">
            <v>0.8494545</v>
          </cell>
          <cell r="Q3164">
            <v>2.4843275999999999</v>
          </cell>
          <cell r="R3164">
            <v>17.154430000000001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0.69669740000000002</v>
          </cell>
          <cell r="Y3164">
            <v>0</v>
          </cell>
          <cell r="Z3164">
            <v>0</v>
          </cell>
          <cell r="AA3164">
            <v>0</v>
          </cell>
          <cell r="AB3164">
            <v>0.16417570000000001</v>
          </cell>
        </row>
        <row r="3165">
          <cell r="A3165">
            <v>55105210</v>
          </cell>
          <cell r="B3165" t="str">
            <v>Pancakes, whole wheat, fat free</v>
          </cell>
          <cell r="I3165">
            <v>110</v>
          </cell>
          <cell r="J3165">
            <v>165.28679</v>
          </cell>
          <cell r="K3165">
            <v>1.5026071818181819</v>
          </cell>
          <cell r="L3165">
            <v>3.2709587999999998</v>
          </cell>
          <cell r="M3165">
            <v>1.2468971</v>
          </cell>
          <cell r="N3165">
            <v>0</v>
          </cell>
          <cell r="O3165">
            <v>9.1629600000000005E-2</v>
          </cell>
          <cell r="P3165">
            <v>0</v>
          </cell>
          <cell r="Q3165">
            <v>0.65834009999999998</v>
          </cell>
          <cell r="R3165">
            <v>30.569707999999999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0.50289729999999999</v>
          </cell>
          <cell r="Y3165">
            <v>0</v>
          </cell>
          <cell r="Z3165">
            <v>0</v>
          </cell>
          <cell r="AA3165">
            <v>0</v>
          </cell>
          <cell r="AB3165">
            <v>6.9018399999999994E-2</v>
          </cell>
        </row>
        <row r="3166">
          <cell r="A3166">
            <v>55106000</v>
          </cell>
          <cell r="B3166" t="str">
            <v>Pancakes, gluten free</v>
          </cell>
          <cell r="I3166">
            <v>110</v>
          </cell>
          <cell r="J3166">
            <v>236.5</v>
          </cell>
          <cell r="K3166">
            <v>2.15</v>
          </cell>
          <cell r="L3166">
            <v>1.4632464000000001</v>
          </cell>
          <cell r="M3166">
            <v>0.52800000000000002</v>
          </cell>
          <cell r="N3166">
            <v>0</v>
          </cell>
          <cell r="O3166">
            <v>4.2900000000000001E-2</v>
          </cell>
          <cell r="P3166">
            <v>0.18675359999999999</v>
          </cell>
          <cell r="Q3166">
            <v>1.3651</v>
          </cell>
          <cell r="R3166">
            <v>27.456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0.36409999999999998</v>
          </cell>
          <cell r="Y3166">
            <v>0</v>
          </cell>
          <cell r="Z3166">
            <v>0</v>
          </cell>
          <cell r="AA3166">
            <v>0</v>
          </cell>
          <cell r="AB3166">
            <v>1.43E-2</v>
          </cell>
        </row>
        <row r="3167">
          <cell r="A3167">
            <v>55200020</v>
          </cell>
          <cell r="B3167" t="str">
            <v>Waffle, plain, from frozen</v>
          </cell>
          <cell r="I3167">
            <v>85</v>
          </cell>
          <cell r="J3167">
            <v>262.64999999999998</v>
          </cell>
          <cell r="K3167">
            <v>3.09</v>
          </cell>
          <cell r="L3167">
            <v>0</v>
          </cell>
          <cell r="M3167">
            <v>1.94055</v>
          </cell>
          <cell r="N3167">
            <v>0</v>
          </cell>
          <cell r="O3167">
            <v>0.25414999999999999</v>
          </cell>
          <cell r="P3167">
            <v>2.21</v>
          </cell>
          <cell r="Q3167">
            <v>1.2970999999999999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0.60350000000000004</v>
          </cell>
          <cell r="Y3167">
            <v>0</v>
          </cell>
          <cell r="Z3167">
            <v>0</v>
          </cell>
          <cell r="AA3167">
            <v>0</v>
          </cell>
          <cell r="AB3167">
            <v>0.2087415</v>
          </cell>
        </row>
        <row r="3168">
          <cell r="A3168">
            <v>55200030</v>
          </cell>
          <cell r="B3168" t="str">
            <v>Waffle, plain, reduced fat, from frozen</v>
          </cell>
          <cell r="I3168">
            <v>85</v>
          </cell>
          <cell r="J3168">
            <v>172.19005999999999</v>
          </cell>
          <cell r="K3168">
            <v>2.0257654117647057</v>
          </cell>
          <cell r="L3168">
            <v>0</v>
          </cell>
          <cell r="M3168">
            <v>1.088155</v>
          </cell>
          <cell r="N3168">
            <v>0</v>
          </cell>
          <cell r="O3168">
            <v>5.9182100000000001E-2</v>
          </cell>
          <cell r="P3168">
            <v>0.89748600000000001</v>
          </cell>
          <cell r="Q3168">
            <v>1.2720788999999999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0.30421029999999999</v>
          </cell>
          <cell r="Y3168">
            <v>0</v>
          </cell>
          <cell r="Z3168">
            <v>0</v>
          </cell>
          <cell r="AA3168">
            <v>0</v>
          </cell>
          <cell r="AB3168">
            <v>8.5016900000000006E-2</v>
          </cell>
        </row>
        <row r="3169">
          <cell r="A3169">
            <v>55200040</v>
          </cell>
          <cell r="B3169" t="str">
            <v>Waffle, fruit, from frozen</v>
          </cell>
          <cell r="I3169">
            <v>85</v>
          </cell>
          <cell r="J3169">
            <v>251.685</v>
          </cell>
          <cell r="K3169">
            <v>2.9609999999999999</v>
          </cell>
          <cell r="L3169">
            <v>0.11475</v>
          </cell>
          <cell r="M3169">
            <v>1.8457749999999999</v>
          </cell>
          <cell r="N3169">
            <v>0</v>
          </cell>
          <cell r="O3169">
            <v>0.24178250000000001</v>
          </cell>
          <cell r="P3169">
            <v>2.0994999999999999</v>
          </cell>
          <cell r="Q3169">
            <v>1.2441024999999999</v>
          </cell>
          <cell r="R3169">
            <v>0</v>
          </cell>
          <cell r="S3169">
            <v>0</v>
          </cell>
          <cell r="T3169">
            <v>4.25</v>
          </cell>
          <cell r="U3169">
            <v>0</v>
          </cell>
          <cell r="V3169">
            <v>0</v>
          </cell>
          <cell r="W3169">
            <v>0</v>
          </cell>
          <cell r="X3169">
            <v>0.57336750000000003</v>
          </cell>
          <cell r="Y3169">
            <v>0</v>
          </cell>
          <cell r="Z3169">
            <v>0</v>
          </cell>
          <cell r="AA3169">
            <v>0</v>
          </cell>
          <cell r="AB3169">
            <v>0.20133000000000001</v>
          </cell>
        </row>
        <row r="3170">
          <cell r="A3170">
            <v>55200060</v>
          </cell>
          <cell r="B3170" t="str">
            <v>Waffle, whole grain, from frozen</v>
          </cell>
          <cell r="I3170">
            <v>85</v>
          </cell>
          <cell r="J3170">
            <v>245.16550000000001</v>
          </cell>
          <cell r="K3170">
            <v>2.8843000000000001</v>
          </cell>
          <cell r="L3170">
            <v>2.377707</v>
          </cell>
          <cell r="M3170">
            <v>1.1578084</v>
          </cell>
          <cell r="N3170">
            <v>0</v>
          </cell>
          <cell r="O3170">
            <v>0.11548310000000001</v>
          </cell>
          <cell r="P3170">
            <v>1.094543</v>
          </cell>
          <cell r="Q3170">
            <v>2.9044818999999999</v>
          </cell>
          <cell r="R3170">
            <v>18.217199999999998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0.4497988</v>
          </cell>
          <cell r="Y3170">
            <v>0</v>
          </cell>
          <cell r="Z3170">
            <v>0</v>
          </cell>
          <cell r="AA3170">
            <v>0</v>
          </cell>
          <cell r="AB3170">
            <v>5.9496399999999998E-2</v>
          </cell>
        </row>
        <row r="3171">
          <cell r="A3171">
            <v>55200070</v>
          </cell>
          <cell r="B3171" t="str">
            <v>Waffle, whole grain, reduced fat, from frozen</v>
          </cell>
          <cell r="I3171">
            <v>85</v>
          </cell>
          <cell r="J3171">
            <v>218.45</v>
          </cell>
          <cell r="K3171">
            <v>2.57</v>
          </cell>
          <cell r="L3171">
            <v>2.5028494999999999</v>
          </cell>
          <cell r="M3171">
            <v>0.6069</v>
          </cell>
          <cell r="N3171">
            <v>0</v>
          </cell>
          <cell r="O3171">
            <v>0.12155000000000001</v>
          </cell>
          <cell r="P3171">
            <v>1.1521505000000001</v>
          </cell>
          <cell r="Q3171">
            <v>1.21465</v>
          </cell>
          <cell r="R3171">
            <v>19.175999999999998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0.47344999999999998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</row>
        <row r="3172">
          <cell r="A3172">
            <v>55200090</v>
          </cell>
          <cell r="B3172" t="str">
            <v>Waffle, gluten free, from frozen</v>
          </cell>
          <cell r="I3172">
            <v>85</v>
          </cell>
          <cell r="J3172">
            <v>223.55</v>
          </cell>
          <cell r="K3172">
            <v>2.6300000000000003</v>
          </cell>
          <cell r="L3172">
            <v>0.97828420000000005</v>
          </cell>
          <cell r="M3172">
            <v>0.66385000000000005</v>
          </cell>
          <cell r="N3172">
            <v>0</v>
          </cell>
          <cell r="O3172">
            <v>3.4000000000000002E-2</v>
          </cell>
          <cell r="P3172">
            <v>0.21171580000000001</v>
          </cell>
          <cell r="Q3172">
            <v>2.0187499999999998</v>
          </cell>
          <cell r="R3172">
            <v>18.768000000000001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0.42925000000000002</v>
          </cell>
          <cell r="Y3172">
            <v>0</v>
          </cell>
          <cell r="Z3172">
            <v>0</v>
          </cell>
          <cell r="AA3172">
            <v>0</v>
          </cell>
          <cell r="AB3172">
            <v>8.5000000000000006E-3</v>
          </cell>
        </row>
        <row r="3173">
          <cell r="A3173">
            <v>55200100</v>
          </cell>
          <cell r="B3173" t="str">
            <v>Waffle, plain, from fast food / restaurant</v>
          </cell>
          <cell r="I3173">
            <v>85</v>
          </cell>
          <cell r="J3173">
            <v>251.38542000000001</v>
          </cell>
          <cell r="K3173">
            <v>2.9574755294117647</v>
          </cell>
          <cell r="L3173">
            <v>0</v>
          </cell>
          <cell r="M3173">
            <v>3.0932860999999998</v>
          </cell>
          <cell r="N3173">
            <v>0</v>
          </cell>
          <cell r="O3173">
            <v>0.13374520000000001</v>
          </cell>
          <cell r="P3173">
            <v>1.3984766</v>
          </cell>
          <cell r="Q3173">
            <v>5.6570907000000004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0.46348620000000001</v>
          </cell>
          <cell r="Y3173">
            <v>0</v>
          </cell>
          <cell r="Z3173">
            <v>0</v>
          </cell>
          <cell r="AA3173">
            <v>0</v>
          </cell>
          <cell r="AB3173">
            <v>0.21148890000000001</v>
          </cell>
        </row>
        <row r="3174">
          <cell r="A3174">
            <v>55200110</v>
          </cell>
          <cell r="B3174" t="str">
            <v>Waffle, chocolate, from fast food / restaurant</v>
          </cell>
          <cell r="I3174">
            <v>85</v>
          </cell>
          <cell r="J3174">
            <v>283.13195999999999</v>
          </cell>
          <cell r="K3174">
            <v>3.3309642352941173</v>
          </cell>
          <cell r="L3174">
            <v>0</v>
          </cell>
          <cell r="M3174">
            <v>5.0663733000000004</v>
          </cell>
          <cell r="N3174">
            <v>0</v>
          </cell>
          <cell r="O3174">
            <v>0.13794519999999999</v>
          </cell>
          <cell r="P3174">
            <v>1.6313131000000001</v>
          </cell>
          <cell r="Q3174">
            <v>4.9565641999999999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0.40161560000000002</v>
          </cell>
          <cell r="Y3174">
            <v>0</v>
          </cell>
          <cell r="Z3174">
            <v>0</v>
          </cell>
          <cell r="AA3174">
            <v>0</v>
          </cell>
          <cell r="AB3174">
            <v>0.49308449999999998</v>
          </cell>
        </row>
        <row r="3175">
          <cell r="A3175">
            <v>55200120</v>
          </cell>
          <cell r="B3175" t="str">
            <v>Waffle, fruit, from fast food / restaurant</v>
          </cell>
          <cell r="I3175">
            <v>85</v>
          </cell>
          <cell r="J3175">
            <v>208.30646999999999</v>
          </cell>
          <cell r="K3175">
            <v>2.4506643529411765</v>
          </cell>
          <cell r="L3175">
            <v>0.47523729999999997</v>
          </cell>
          <cell r="M3175">
            <v>2.4620725000000001</v>
          </cell>
          <cell r="N3175">
            <v>0</v>
          </cell>
          <cell r="O3175">
            <v>0.107458</v>
          </cell>
          <cell r="P3175">
            <v>1.108887</v>
          </cell>
          <cell r="Q3175">
            <v>4.5347562000000003</v>
          </cell>
          <cell r="R3175">
            <v>0</v>
          </cell>
          <cell r="S3175">
            <v>0</v>
          </cell>
          <cell r="T3175">
            <v>17.601381</v>
          </cell>
          <cell r="U3175">
            <v>0</v>
          </cell>
          <cell r="V3175">
            <v>0</v>
          </cell>
          <cell r="W3175">
            <v>0</v>
          </cell>
          <cell r="X3175">
            <v>0.36768580000000001</v>
          </cell>
          <cell r="Y3175">
            <v>0</v>
          </cell>
          <cell r="Z3175">
            <v>0</v>
          </cell>
          <cell r="AA3175">
            <v>0</v>
          </cell>
          <cell r="AB3175">
            <v>0.1755418</v>
          </cell>
        </row>
        <row r="3176">
          <cell r="A3176">
            <v>55200130</v>
          </cell>
          <cell r="B3176" t="str">
            <v>Waffle, whole grain, from fast food / restaurant</v>
          </cell>
          <cell r="I3176">
            <v>85</v>
          </cell>
          <cell r="J3176">
            <v>247.79451</v>
          </cell>
          <cell r="K3176">
            <v>2.9152295294117647</v>
          </cell>
          <cell r="L3176">
            <v>1.5248003000000001</v>
          </cell>
          <cell r="M3176">
            <v>3.1167189</v>
          </cell>
          <cell r="N3176">
            <v>0</v>
          </cell>
          <cell r="O3176">
            <v>8.8575299999999996E-2</v>
          </cell>
          <cell r="P3176">
            <v>0.58068690000000001</v>
          </cell>
          <cell r="Q3176">
            <v>5.6973352999999998</v>
          </cell>
          <cell r="R3176">
            <v>11.726763999999999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0.51320239999999995</v>
          </cell>
          <cell r="Y3176">
            <v>0</v>
          </cell>
          <cell r="Z3176">
            <v>0</v>
          </cell>
          <cell r="AA3176">
            <v>0</v>
          </cell>
          <cell r="AB3176">
            <v>0.24002290000000001</v>
          </cell>
        </row>
        <row r="3177">
          <cell r="A3177">
            <v>55201000</v>
          </cell>
          <cell r="B3177" t="str">
            <v>Waffle, plain</v>
          </cell>
          <cell r="I3177">
            <v>85</v>
          </cell>
          <cell r="J3177">
            <v>219.10515000000001</v>
          </cell>
          <cell r="K3177">
            <v>2.5777076470588236</v>
          </cell>
          <cell r="L3177">
            <v>-1.8899999999999999E-16</v>
          </cell>
          <cell r="M3177">
            <v>2.5426058</v>
          </cell>
          <cell r="N3177">
            <v>0</v>
          </cell>
          <cell r="O3177">
            <v>0.1425517</v>
          </cell>
          <cell r="P3177">
            <v>1.4909513000000001</v>
          </cell>
          <cell r="Q3177">
            <v>3.7566522999999998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0.45588830000000002</v>
          </cell>
          <cell r="Y3177">
            <v>0</v>
          </cell>
          <cell r="Z3177">
            <v>0</v>
          </cell>
          <cell r="AA3177">
            <v>0</v>
          </cell>
          <cell r="AB3177">
            <v>0.192965</v>
          </cell>
        </row>
        <row r="3178">
          <cell r="A3178">
            <v>55202000</v>
          </cell>
          <cell r="B3178" t="str">
            <v>Waffle, wheat, bran, or multigrain</v>
          </cell>
          <cell r="I3178">
            <v>85</v>
          </cell>
          <cell r="J3178">
            <v>156.21788000000001</v>
          </cell>
          <cell r="K3178">
            <v>1.837857411764706</v>
          </cell>
          <cell r="L3178">
            <v>0</v>
          </cell>
          <cell r="M3178">
            <v>0.71298050000000002</v>
          </cell>
          <cell r="N3178">
            <v>0</v>
          </cell>
          <cell r="O3178">
            <v>0.14856179999999999</v>
          </cell>
          <cell r="P3178">
            <v>3.5334843999999999</v>
          </cell>
          <cell r="Q3178">
            <v>2.1001216999999999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0.38845869999999999</v>
          </cell>
          <cell r="Y3178">
            <v>0</v>
          </cell>
          <cell r="Z3178">
            <v>0</v>
          </cell>
          <cell r="AA3178">
            <v>0</v>
          </cell>
          <cell r="AB3178">
            <v>4.8236000000000001E-2</v>
          </cell>
        </row>
        <row r="3179">
          <cell r="A3179">
            <v>55203000</v>
          </cell>
          <cell r="B3179" t="str">
            <v>Waffle, fruit</v>
          </cell>
          <cell r="I3179">
            <v>85</v>
          </cell>
          <cell r="J3179">
            <v>180.82817</v>
          </cell>
          <cell r="K3179">
            <v>2.1273902352941176</v>
          </cell>
          <cell r="L3179">
            <v>0.4998185</v>
          </cell>
          <cell r="M3179">
            <v>1.9986735</v>
          </cell>
          <cell r="N3179">
            <v>0</v>
          </cell>
          <cell r="O3179">
            <v>0.1129869</v>
          </cell>
          <cell r="P3179">
            <v>1.1662432</v>
          </cell>
          <cell r="Q3179">
            <v>2.9901545</v>
          </cell>
          <cell r="R3179">
            <v>0</v>
          </cell>
          <cell r="S3179">
            <v>0</v>
          </cell>
          <cell r="T3179">
            <v>18.511797000000001</v>
          </cell>
          <cell r="U3179">
            <v>0</v>
          </cell>
          <cell r="V3179">
            <v>0</v>
          </cell>
          <cell r="W3179">
            <v>0</v>
          </cell>
          <cell r="X3179">
            <v>0.35678739999999998</v>
          </cell>
          <cell r="Y3179">
            <v>0</v>
          </cell>
          <cell r="Z3179">
            <v>0</v>
          </cell>
          <cell r="AA3179">
            <v>0</v>
          </cell>
          <cell r="AB3179">
            <v>0.16569110000000001</v>
          </cell>
        </row>
        <row r="3180">
          <cell r="A3180">
            <v>55203500</v>
          </cell>
          <cell r="B3180" t="str">
            <v>Waffle, nut and honey</v>
          </cell>
          <cell r="I3180">
            <v>85</v>
          </cell>
          <cell r="J3180">
            <v>249.27598</v>
          </cell>
          <cell r="K3180">
            <v>2.9326585882352942</v>
          </cell>
          <cell r="L3180">
            <v>0</v>
          </cell>
          <cell r="M3180">
            <v>1.7782777000000001</v>
          </cell>
          <cell r="N3180">
            <v>0</v>
          </cell>
          <cell r="O3180">
            <v>7.8049300000000002E-2</v>
          </cell>
          <cell r="P3180">
            <v>1.0521921999999999</v>
          </cell>
          <cell r="Q3180">
            <v>3.1434665000000002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0.42431249999999998</v>
          </cell>
          <cell r="Y3180">
            <v>6.5767967000000001</v>
          </cell>
          <cell r="Z3180">
            <v>0</v>
          </cell>
          <cell r="AA3180">
            <v>0</v>
          </cell>
          <cell r="AB3180">
            <v>0.85252300000000003</v>
          </cell>
        </row>
        <row r="3181">
          <cell r="A3181">
            <v>55203600</v>
          </cell>
          <cell r="B3181" t="str">
            <v>Waffle, chocolate</v>
          </cell>
          <cell r="I3181">
            <v>85</v>
          </cell>
          <cell r="J3181">
            <v>257.92261999999999</v>
          </cell>
          <cell r="K3181">
            <v>3.0343837647058822</v>
          </cell>
          <cell r="L3181">
            <v>0</v>
          </cell>
          <cell r="M3181">
            <v>4.7153843999999996</v>
          </cell>
          <cell r="N3181">
            <v>0</v>
          </cell>
          <cell r="O3181">
            <v>0.145533</v>
          </cell>
          <cell r="P3181">
            <v>1.7214147</v>
          </cell>
          <cell r="Q3181">
            <v>3.3304906000000001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0.39185199999999998</v>
          </cell>
          <cell r="Y3181">
            <v>0</v>
          </cell>
          <cell r="Z3181">
            <v>0</v>
          </cell>
          <cell r="AA3181">
            <v>0</v>
          </cell>
          <cell r="AB3181">
            <v>9.1177800000000003E-2</v>
          </cell>
        </row>
        <row r="3182">
          <cell r="A3182">
            <v>55205000</v>
          </cell>
          <cell r="B3182" t="str">
            <v>Waffle, whole grain</v>
          </cell>
          <cell r="I3182">
            <v>85</v>
          </cell>
          <cell r="J3182">
            <v>214.26548</v>
          </cell>
          <cell r="K3182">
            <v>2.5207703529411765</v>
          </cell>
          <cell r="L3182">
            <v>1.6287639</v>
          </cell>
          <cell r="M3182">
            <v>2.5505097999999999</v>
          </cell>
          <cell r="N3182">
            <v>0</v>
          </cell>
          <cell r="O3182">
            <v>9.4575900000000004E-2</v>
          </cell>
          <cell r="P3182">
            <v>0.62027920000000003</v>
          </cell>
          <cell r="Q3182">
            <v>3.7405362000000002</v>
          </cell>
          <cell r="R3182">
            <v>12.526316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0.50875789999999999</v>
          </cell>
          <cell r="Y3182">
            <v>0</v>
          </cell>
          <cell r="Z3182">
            <v>0</v>
          </cell>
          <cell r="AA3182">
            <v>0</v>
          </cell>
          <cell r="AB3182">
            <v>0.4805469</v>
          </cell>
        </row>
        <row r="3183">
          <cell r="A3183">
            <v>55207000</v>
          </cell>
          <cell r="B3183" t="str">
            <v>Waffle, multi-bran</v>
          </cell>
          <cell r="I3183">
            <v>85</v>
          </cell>
          <cell r="J3183">
            <v>207.29665</v>
          </cell>
          <cell r="K3183">
            <v>2.4387841176470588</v>
          </cell>
          <cell r="L3183">
            <v>0.1398847</v>
          </cell>
          <cell r="M3183">
            <v>1.6107009999999999</v>
          </cell>
          <cell r="N3183">
            <v>0</v>
          </cell>
          <cell r="O3183">
            <v>8.3273299999999995E-2</v>
          </cell>
          <cell r="P3183">
            <v>1.9866299999999999</v>
          </cell>
          <cell r="Q3183">
            <v>3.2668466999999999</v>
          </cell>
          <cell r="R3183">
            <v>0.89098529999999998</v>
          </cell>
          <cell r="S3183">
            <v>0</v>
          </cell>
          <cell r="T3183">
            <v>22.274633000000001</v>
          </cell>
          <cell r="U3183">
            <v>0</v>
          </cell>
          <cell r="V3183">
            <v>0</v>
          </cell>
          <cell r="W3183">
            <v>0</v>
          </cell>
          <cell r="X3183">
            <v>0.32986330000000003</v>
          </cell>
          <cell r="Y3183">
            <v>0</v>
          </cell>
          <cell r="Z3183">
            <v>0</v>
          </cell>
          <cell r="AA3183">
            <v>0</v>
          </cell>
          <cell r="AB3183">
            <v>1.0367327</v>
          </cell>
        </row>
        <row r="3184">
          <cell r="A3184">
            <v>55208000</v>
          </cell>
          <cell r="B3184" t="str">
            <v>Waffle, gluten free</v>
          </cell>
          <cell r="I3184">
            <v>85</v>
          </cell>
          <cell r="J3184">
            <v>223.55</v>
          </cell>
          <cell r="K3184">
            <v>2.6300000000000003</v>
          </cell>
          <cell r="L3184">
            <v>0.97828420000000005</v>
          </cell>
          <cell r="M3184">
            <v>0.66385000000000005</v>
          </cell>
          <cell r="N3184">
            <v>0</v>
          </cell>
          <cell r="O3184">
            <v>3.4000000000000002E-2</v>
          </cell>
          <cell r="P3184">
            <v>0.21171580000000001</v>
          </cell>
          <cell r="Q3184">
            <v>2.0187499999999998</v>
          </cell>
          <cell r="R3184">
            <v>18.768000000000001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0.42925000000000002</v>
          </cell>
          <cell r="Y3184">
            <v>0</v>
          </cell>
          <cell r="Z3184">
            <v>0</v>
          </cell>
          <cell r="AA3184">
            <v>0</v>
          </cell>
          <cell r="AB3184">
            <v>8.5000000000000006E-3</v>
          </cell>
        </row>
        <row r="3185">
          <cell r="A3185">
            <v>55211000</v>
          </cell>
          <cell r="B3185" t="str">
            <v>Waffle, plain, fat free</v>
          </cell>
          <cell r="I3185">
            <v>85</v>
          </cell>
          <cell r="J3185">
            <v>199.12270000000001</v>
          </cell>
          <cell r="K3185">
            <v>2.3426200000000001</v>
          </cell>
          <cell r="L3185">
            <v>0</v>
          </cell>
          <cell r="M3185">
            <v>4.6992300000000001E-2</v>
          </cell>
          <cell r="N3185">
            <v>0</v>
          </cell>
          <cell r="O3185">
            <v>8.1526899999999999E-2</v>
          </cell>
          <cell r="P3185">
            <v>0.94052500000000006</v>
          </cell>
          <cell r="Q3185">
            <v>0.12304089999999999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0.3507789</v>
          </cell>
          <cell r="Y3185">
            <v>0</v>
          </cell>
          <cell r="Z3185">
            <v>0</v>
          </cell>
          <cell r="AA3185">
            <v>0</v>
          </cell>
          <cell r="AB3185">
            <v>1.30691E-2</v>
          </cell>
        </row>
        <row r="3186">
          <cell r="A3186">
            <v>55211050</v>
          </cell>
          <cell r="B3186" t="str">
            <v>Waffle, plain, reduced fat</v>
          </cell>
          <cell r="I3186">
            <v>85</v>
          </cell>
          <cell r="J3186">
            <v>201.18868000000001</v>
          </cell>
          <cell r="K3186">
            <v>2.3669256470588236</v>
          </cell>
          <cell r="L3186">
            <v>1.8869999999999999E-16</v>
          </cell>
          <cell r="M3186">
            <v>2.237679</v>
          </cell>
          <cell r="N3186">
            <v>0</v>
          </cell>
          <cell r="O3186">
            <v>0.1473305</v>
          </cell>
          <cell r="P3186">
            <v>1.5410071999999999</v>
          </cell>
          <cell r="Q3186">
            <v>2.7073360000000002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0.47117969999999998</v>
          </cell>
          <cell r="Y3186">
            <v>0</v>
          </cell>
          <cell r="Z3186">
            <v>0</v>
          </cell>
          <cell r="AA3186">
            <v>0</v>
          </cell>
          <cell r="AB3186">
            <v>0.1106882</v>
          </cell>
        </row>
        <row r="3187">
          <cell r="A3187">
            <v>55212000</v>
          </cell>
          <cell r="B3187" t="str">
            <v>Waffle, whole grain, reduced fat</v>
          </cell>
          <cell r="I3187">
            <v>85</v>
          </cell>
          <cell r="J3187">
            <v>195.60478000000001</v>
          </cell>
          <cell r="K3187">
            <v>2.3012327058823532</v>
          </cell>
          <cell r="L3187">
            <v>1.6852062000000001</v>
          </cell>
          <cell r="M3187">
            <v>2.2360449</v>
          </cell>
          <cell r="N3187">
            <v>0</v>
          </cell>
          <cell r="O3187">
            <v>9.78459E-2</v>
          </cell>
          <cell r="P3187">
            <v>0.64177399999999996</v>
          </cell>
          <cell r="Q3187">
            <v>2.6568963000000001</v>
          </cell>
          <cell r="R3187">
            <v>12.960395999999999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0.52637339999999999</v>
          </cell>
          <cell r="Y3187">
            <v>0</v>
          </cell>
          <cell r="Z3187">
            <v>0</v>
          </cell>
          <cell r="AA3187">
            <v>0</v>
          </cell>
          <cell r="AB3187">
            <v>0.10601729999999999</v>
          </cell>
        </row>
        <row r="3188">
          <cell r="A3188">
            <v>55300010</v>
          </cell>
          <cell r="B3188" t="str">
            <v>French toast, NFS</v>
          </cell>
          <cell r="I3188">
            <v>110</v>
          </cell>
          <cell r="J3188">
            <v>252.52552</v>
          </cell>
          <cell r="K3188">
            <v>2.2956865454545454</v>
          </cell>
          <cell r="L3188">
            <v>0</v>
          </cell>
          <cell r="M3188">
            <v>3.0468196999999999</v>
          </cell>
          <cell r="N3188">
            <v>0</v>
          </cell>
          <cell r="O3188">
            <v>0.10474650000000001</v>
          </cell>
          <cell r="P3188">
            <v>1.2638297999999999</v>
          </cell>
          <cell r="Q3188">
            <v>2.9716919000000002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0.30833500000000003</v>
          </cell>
          <cell r="Y3188">
            <v>0</v>
          </cell>
          <cell r="Z3188">
            <v>0</v>
          </cell>
          <cell r="AA3188">
            <v>0</v>
          </cell>
          <cell r="AB3188">
            <v>0.17116010000000001</v>
          </cell>
        </row>
        <row r="3189">
          <cell r="A3189">
            <v>55300050</v>
          </cell>
          <cell r="B3189" t="str">
            <v>French toast, plain, from fast food / restaurant</v>
          </cell>
          <cell r="I3189">
            <v>110</v>
          </cell>
          <cell r="J3189">
            <v>285.88686999999999</v>
          </cell>
          <cell r="K3189">
            <v>2.5989715454545452</v>
          </cell>
          <cell r="L3189">
            <v>0</v>
          </cell>
          <cell r="M3189">
            <v>4.6166271999999999</v>
          </cell>
          <cell r="N3189">
            <v>0</v>
          </cell>
          <cell r="O3189">
            <v>0.108056</v>
          </cell>
          <cell r="P3189">
            <v>1.4606557</v>
          </cell>
          <cell r="Q3189">
            <v>3.3249024999999999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0.36546410000000001</v>
          </cell>
          <cell r="Y3189">
            <v>0</v>
          </cell>
          <cell r="Z3189">
            <v>0</v>
          </cell>
          <cell r="AA3189">
            <v>0</v>
          </cell>
          <cell r="AB3189">
            <v>0.3289049</v>
          </cell>
        </row>
        <row r="3190">
          <cell r="A3190">
            <v>55301000</v>
          </cell>
          <cell r="B3190" t="str">
            <v>French toast, plain</v>
          </cell>
          <cell r="I3190">
            <v>110</v>
          </cell>
          <cell r="J3190">
            <v>252.52552</v>
          </cell>
          <cell r="K3190">
            <v>2.2956865454545454</v>
          </cell>
          <cell r="L3190">
            <v>0</v>
          </cell>
          <cell r="M3190">
            <v>3.0468196999999999</v>
          </cell>
          <cell r="N3190">
            <v>0</v>
          </cell>
          <cell r="O3190">
            <v>0.10474650000000001</v>
          </cell>
          <cell r="P3190">
            <v>1.2638297999999999</v>
          </cell>
          <cell r="Q3190">
            <v>2.9716919000000002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0.30833500000000003</v>
          </cell>
          <cell r="Y3190">
            <v>0</v>
          </cell>
          <cell r="Z3190">
            <v>0</v>
          </cell>
          <cell r="AA3190">
            <v>0</v>
          </cell>
          <cell r="AB3190">
            <v>0.44833840000000003</v>
          </cell>
        </row>
        <row r="3191">
          <cell r="A3191">
            <v>55301015</v>
          </cell>
          <cell r="B3191" t="str">
            <v>French toast, whole grain</v>
          </cell>
          <cell r="I3191">
            <v>110</v>
          </cell>
          <cell r="J3191">
            <v>251.05105</v>
          </cell>
          <cell r="K3191">
            <v>2.2822822727272727</v>
          </cell>
          <cell r="L3191">
            <v>1.9204558</v>
          </cell>
          <cell r="M3191">
            <v>3.055409</v>
          </cell>
          <cell r="N3191">
            <v>0</v>
          </cell>
          <cell r="O3191">
            <v>0.1125869</v>
          </cell>
          <cell r="P3191">
            <v>0.60252300000000003</v>
          </cell>
          <cell r="Q3191">
            <v>2.9519153</v>
          </cell>
          <cell r="R3191">
            <v>16.180765999999998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0.29628179999999998</v>
          </cell>
          <cell r="Y3191">
            <v>4.6445699999999999E-2</v>
          </cell>
          <cell r="Z3191">
            <v>0</v>
          </cell>
          <cell r="AA3191">
            <v>0</v>
          </cell>
          <cell r="AB3191">
            <v>0.2102936</v>
          </cell>
        </row>
        <row r="3192">
          <cell r="A3192">
            <v>55301031</v>
          </cell>
          <cell r="B3192" t="str">
            <v>French toast sticks, plain, from frozen</v>
          </cell>
          <cell r="I3192">
            <v>110</v>
          </cell>
          <cell r="J3192">
            <v>280.12117000000001</v>
          </cell>
          <cell r="K3192">
            <v>2.5465560909090912</v>
          </cell>
          <cell r="L3192">
            <v>0</v>
          </cell>
          <cell r="M3192">
            <v>1.3350305</v>
          </cell>
          <cell r="N3192">
            <v>0</v>
          </cell>
          <cell r="O3192">
            <v>8.4422800000000006E-2</v>
          </cell>
          <cell r="P3192">
            <v>2.0249280999999999</v>
          </cell>
          <cell r="Q3192">
            <v>3.5944851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0.48898259999999999</v>
          </cell>
          <cell r="Y3192">
            <v>0</v>
          </cell>
          <cell r="Z3192">
            <v>0</v>
          </cell>
          <cell r="AA3192">
            <v>0</v>
          </cell>
          <cell r="AB3192">
            <v>0.19478409999999999</v>
          </cell>
        </row>
        <row r="3193">
          <cell r="A3193">
            <v>55301040</v>
          </cell>
          <cell r="B3193" t="str">
            <v>French toast sticks, plain, from fast food / restaurant</v>
          </cell>
          <cell r="I3193">
            <v>110</v>
          </cell>
          <cell r="J3193">
            <v>374</v>
          </cell>
          <cell r="K3193">
            <v>3.4</v>
          </cell>
          <cell r="L3193">
            <v>0</v>
          </cell>
          <cell r="M3193">
            <v>4.3879000000000001</v>
          </cell>
          <cell r="N3193">
            <v>0</v>
          </cell>
          <cell r="O3193">
            <v>5.8299999999999998E-2</v>
          </cell>
          <cell r="P3193">
            <v>1.54</v>
          </cell>
          <cell r="Q3193">
            <v>2.8226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0.44</v>
          </cell>
          <cell r="Y3193">
            <v>0</v>
          </cell>
          <cell r="Z3193">
            <v>0</v>
          </cell>
          <cell r="AA3193">
            <v>0</v>
          </cell>
          <cell r="AB3193">
            <v>0.63479940000000001</v>
          </cell>
        </row>
        <row r="3194">
          <cell r="A3194">
            <v>55301050</v>
          </cell>
          <cell r="B3194" t="str">
            <v>French toast sticks, plain</v>
          </cell>
          <cell r="I3194">
            <v>110</v>
          </cell>
          <cell r="J3194">
            <v>374</v>
          </cell>
          <cell r="K3194">
            <v>3.4</v>
          </cell>
          <cell r="L3194">
            <v>0</v>
          </cell>
          <cell r="M3194">
            <v>4.3879000000000001</v>
          </cell>
          <cell r="N3194">
            <v>0</v>
          </cell>
          <cell r="O3194">
            <v>5.8299999999999998E-2</v>
          </cell>
          <cell r="P3194">
            <v>1.54</v>
          </cell>
          <cell r="Q3194">
            <v>2.8226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0.44</v>
          </cell>
          <cell r="Y3194">
            <v>0</v>
          </cell>
          <cell r="Z3194">
            <v>0</v>
          </cell>
          <cell r="AA3194">
            <v>0</v>
          </cell>
          <cell r="AB3194">
            <v>1.3566723999999999</v>
          </cell>
        </row>
        <row r="3195">
          <cell r="A3195">
            <v>55401000</v>
          </cell>
          <cell r="B3195" t="str">
            <v>Crepe, plain</v>
          </cell>
          <cell r="I3195">
            <v>110</v>
          </cell>
          <cell r="J3195">
            <v>195.94829999999999</v>
          </cell>
          <cell r="K3195">
            <v>1.7813481818181818</v>
          </cell>
          <cell r="L3195">
            <v>0</v>
          </cell>
          <cell r="M3195">
            <v>2.9982386000000001</v>
          </cell>
          <cell r="N3195">
            <v>0</v>
          </cell>
          <cell r="O3195">
            <v>8.1877800000000001E-2</v>
          </cell>
          <cell r="P3195">
            <v>0.53347259999999996</v>
          </cell>
          <cell r="Q3195">
            <v>2.2516145999999999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0.2522199</v>
          </cell>
          <cell r="Y3195">
            <v>0</v>
          </cell>
          <cell r="Z3195">
            <v>0</v>
          </cell>
          <cell r="AA3195">
            <v>0</v>
          </cell>
          <cell r="AB3195">
            <v>0.73736550000000001</v>
          </cell>
        </row>
        <row r="3196">
          <cell r="A3196">
            <v>55501000</v>
          </cell>
          <cell r="B3196" t="str">
            <v>Chinese pancake</v>
          </cell>
          <cell r="I3196">
            <v>110</v>
          </cell>
          <cell r="J3196">
            <v>227.86606</v>
          </cell>
          <cell r="K3196">
            <v>2.0715096363636363</v>
          </cell>
          <cell r="L3196">
            <v>0</v>
          </cell>
          <cell r="M3196">
            <v>0.11237229999999999</v>
          </cell>
          <cell r="N3196">
            <v>0</v>
          </cell>
          <cell r="O3196">
            <v>1.8907299999999998E-2</v>
          </cell>
          <cell r="P3196">
            <v>0.81157780000000002</v>
          </cell>
          <cell r="Q3196">
            <v>0.1104994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5.0242999999999998E-3</v>
          </cell>
          <cell r="Y3196">
            <v>0</v>
          </cell>
          <cell r="Z3196">
            <v>0</v>
          </cell>
          <cell r="AA3196">
            <v>0</v>
          </cell>
          <cell r="AB3196">
            <v>2.7718999999999999E-3</v>
          </cell>
        </row>
        <row r="3197">
          <cell r="A3197">
            <v>55502000</v>
          </cell>
          <cell r="B3197" t="str">
            <v>Flour and water gravy</v>
          </cell>
          <cell r="I3197">
            <v>60</v>
          </cell>
          <cell r="J3197">
            <v>45.462114999999997</v>
          </cell>
          <cell r="K3197">
            <v>0.75770191666666664</v>
          </cell>
          <cell r="L3197">
            <v>0</v>
          </cell>
          <cell r="M3197">
            <v>1.9358899999999998E-2</v>
          </cell>
          <cell r="N3197">
            <v>0</v>
          </cell>
          <cell r="O3197">
            <v>3.3302000000000002E-3</v>
          </cell>
          <cell r="P3197">
            <v>0.33721899999999999</v>
          </cell>
          <cell r="Q3197">
            <v>5.1582000000000003E-2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6.0232800000000003E-2</v>
          </cell>
          <cell r="Y3197">
            <v>0</v>
          </cell>
          <cell r="Z3197">
            <v>0</v>
          </cell>
          <cell r="AA3197">
            <v>0</v>
          </cell>
          <cell r="AB3197">
            <v>4.7526000000000001E-3</v>
          </cell>
        </row>
        <row r="3198">
          <cell r="A3198">
            <v>55610300</v>
          </cell>
          <cell r="B3198" t="str">
            <v>Dumpling, plain</v>
          </cell>
          <cell r="I3198">
            <v>140</v>
          </cell>
          <cell r="J3198">
            <v>173.34875</v>
          </cell>
          <cell r="K3198">
            <v>1.2382053571428571</v>
          </cell>
          <cell r="L3198">
            <v>0</v>
          </cell>
          <cell r="M3198">
            <v>1.3367378999999999</v>
          </cell>
          <cell r="N3198">
            <v>0</v>
          </cell>
          <cell r="O3198">
            <v>0.19439609999999999</v>
          </cell>
          <cell r="P3198">
            <v>0.92632239999999999</v>
          </cell>
          <cell r="Q3198">
            <v>1.1574408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0.60123789999999999</v>
          </cell>
          <cell r="Y3198">
            <v>0</v>
          </cell>
          <cell r="Z3198">
            <v>0</v>
          </cell>
          <cell r="AA3198">
            <v>0</v>
          </cell>
          <cell r="AB3198">
            <v>0.47088819999999998</v>
          </cell>
        </row>
        <row r="3199">
          <cell r="A3199">
            <v>55701000</v>
          </cell>
          <cell r="B3199" t="str">
            <v>Cake made with glutinous rice</v>
          </cell>
          <cell r="I3199">
            <v>110</v>
          </cell>
          <cell r="J3199">
            <v>270.53892999999999</v>
          </cell>
          <cell r="K3199">
            <v>2.4594448181818183</v>
          </cell>
          <cell r="L3199">
            <v>0</v>
          </cell>
          <cell r="M3199">
            <v>5.3644501</v>
          </cell>
          <cell r="N3199">
            <v>0</v>
          </cell>
          <cell r="O3199">
            <v>2.3830799999999999E-2</v>
          </cell>
          <cell r="P3199">
            <v>1.1930388999999999</v>
          </cell>
          <cell r="Q3199">
            <v>0.16680980000000001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3.4050499999999997E-2</v>
          </cell>
          <cell r="Y3199">
            <v>0</v>
          </cell>
          <cell r="Z3199">
            <v>0</v>
          </cell>
          <cell r="AA3199">
            <v>0</v>
          </cell>
          <cell r="AB3199">
            <v>0.1141908</v>
          </cell>
        </row>
        <row r="3200">
          <cell r="A3200">
            <v>55702000</v>
          </cell>
          <cell r="B3200" t="str">
            <v>Cake or pancake made with rice flour and/or dried beans</v>
          </cell>
          <cell r="I3200">
            <v>110</v>
          </cell>
          <cell r="J3200">
            <v>118.29731</v>
          </cell>
          <cell r="K3200">
            <v>1.0754300909090908</v>
          </cell>
          <cell r="L3200">
            <v>4.8104300999999996</v>
          </cell>
          <cell r="M3200">
            <v>5.1362900000000003E-2</v>
          </cell>
          <cell r="N3200">
            <v>0</v>
          </cell>
          <cell r="O3200">
            <v>9.2849000000000004E-3</v>
          </cell>
          <cell r="P3200">
            <v>0.51451610000000003</v>
          </cell>
          <cell r="Q3200">
            <v>0.13113060000000001</v>
          </cell>
          <cell r="R3200">
            <v>0</v>
          </cell>
          <cell r="S3200">
            <v>57.812097000000001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0.23294570000000001</v>
          </cell>
          <cell r="Y3200">
            <v>0</v>
          </cell>
          <cell r="Z3200">
            <v>0</v>
          </cell>
          <cell r="AA3200">
            <v>0</v>
          </cell>
          <cell r="AB3200">
            <v>3.1169999999999999E-4</v>
          </cell>
        </row>
        <row r="3201">
          <cell r="A3201">
            <v>55702100</v>
          </cell>
          <cell r="B3201" t="str">
            <v>Dosa (Indian), plain</v>
          </cell>
          <cell r="I3201">
            <v>110</v>
          </cell>
          <cell r="J3201">
            <v>229.87163000000001</v>
          </cell>
          <cell r="K3201">
            <v>2.0897420909090911</v>
          </cell>
          <cell r="L3201">
            <v>1.481838</v>
          </cell>
          <cell r="M3201">
            <v>0.63177499999999998</v>
          </cell>
          <cell r="N3201">
            <v>0</v>
          </cell>
          <cell r="O3201">
            <v>1.7912999999999998E-2</v>
          </cell>
          <cell r="P3201">
            <v>0.52503759999999999</v>
          </cell>
          <cell r="Q3201">
            <v>1.7667257999999999</v>
          </cell>
          <cell r="R3201">
            <v>0</v>
          </cell>
          <cell r="S3201">
            <v>13.848953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0.34038210000000002</v>
          </cell>
          <cell r="Y3201">
            <v>0</v>
          </cell>
          <cell r="Z3201">
            <v>0</v>
          </cell>
          <cell r="AA3201">
            <v>0</v>
          </cell>
          <cell r="AB3201">
            <v>1.4482399999999999E-2</v>
          </cell>
        </row>
        <row r="3202">
          <cell r="A3202">
            <v>55703000</v>
          </cell>
          <cell r="B3202" t="str">
            <v>Cake made with glutinous rice and dried beans</v>
          </cell>
          <cell r="I3202">
            <v>110</v>
          </cell>
          <cell r="J3202">
            <v>143.71096</v>
          </cell>
          <cell r="K3202">
            <v>1.3064632727272727</v>
          </cell>
          <cell r="L3202">
            <v>3.7001399999999997E-2</v>
          </cell>
          <cell r="M3202">
            <v>4.66747E-2</v>
          </cell>
          <cell r="N3202">
            <v>0</v>
          </cell>
          <cell r="O3202">
            <v>2.1962499999999999E-2</v>
          </cell>
          <cell r="P3202">
            <v>2.3921432</v>
          </cell>
          <cell r="Q3202">
            <v>9.8912799999999995E-2</v>
          </cell>
          <cell r="R3202">
            <v>0</v>
          </cell>
          <cell r="S3202">
            <v>7.4002882999999997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0.74969569999999996</v>
          </cell>
          <cell r="Y3202">
            <v>3.169451</v>
          </cell>
          <cell r="Z3202">
            <v>0</v>
          </cell>
          <cell r="AA3202">
            <v>0</v>
          </cell>
          <cell r="AB3202">
            <v>0</v>
          </cell>
        </row>
        <row r="3203">
          <cell r="A3203">
            <v>55801000</v>
          </cell>
          <cell r="B3203" t="str">
            <v>Funnel cake with sugar</v>
          </cell>
          <cell r="I3203">
            <v>110</v>
          </cell>
          <cell r="J3203">
            <v>265.24880000000002</v>
          </cell>
          <cell r="K3203">
            <v>2.4113527272727273</v>
          </cell>
          <cell r="L3203">
            <v>0</v>
          </cell>
          <cell r="M3203">
            <v>2.3855854000000001</v>
          </cell>
          <cell r="N3203">
            <v>0</v>
          </cell>
          <cell r="O3203">
            <v>0.1009529</v>
          </cell>
          <cell r="P3203">
            <v>0.72244549999999996</v>
          </cell>
          <cell r="Q3203">
            <v>4.4865481999999997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0.21557960000000001</v>
          </cell>
          <cell r="Y3203">
            <v>0</v>
          </cell>
          <cell r="Z3203">
            <v>0</v>
          </cell>
          <cell r="AA3203">
            <v>0</v>
          </cell>
          <cell r="AB3203">
            <v>2.948369</v>
          </cell>
        </row>
        <row r="3204">
          <cell r="A3204">
            <v>56101000</v>
          </cell>
          <cell r="B3204" t="str">
            <v>Macaroni, cooked, NS as to fat added in cooking</v>
          </cell>
          <cell r="I3204">
            <v>140</v>
          </cell>
          <cell r="J3204">
            <v>219.88072</v>
          </cell>
          <cell r="K3204">
            <v>1.5705765714285713</v>
          </cell>
          <cell r="L3204">
            <v>0</v>
          </cell>
          <cell r="M3204">
            <v>0.24493039999999999</v>
          </cell>
          <cell r="N3204">
            <v>0</v>
          </cell>
          <cell r="O3204">
            <v>9.9419E-3</v>
          </cell>
          <cell r="P3204">
            <v>2.5049701999999998</v>
          </cell>
          <cell r="Q3204">
            <v>0.45367790000000002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0.3250171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</row>
        <row r="3205">
          <cell r="A3205">
            <v>56101010</v>
          </cell>
          <cell r="B3205" t="str">
            <v>Macaroni, cooked, fat not added in cooking</v>
          </cell>
          <cell r="I3205">
            <v>140</v>
          </cell>
          <cell r="J3205">
            <v>219.88072</v>
          </cell>
          <cell r="K3205">
            <v>1.5705765714285713</v>
          </cell>
          <cell r="L3205">
            <v>0</v>
          </cell>
          <cell r="M3205">
            <v>0.24493039999999999</v>
          </cell>
          <cell r="N3205">
            <v>0</v>
          </cell>
          <cell r="O3205">
            <v>9.9419E-3</v>
          </cell>
          <cell r="P3205">
            <v>2.5049701999999998</v>
          </cell>
          <cell r="Q3205">
            <v>0.45367790000000002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0.3250171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</row>
        <row r="3206">
          <cell r="A3206">
            <v>56101030</v>
          </cell>
          <cell r="B3206" t="str">
            <v>Macaroni, cooked, fat added in cooking</v>
          </cell>
          <cell r="I3206">
            <v>140</v>
          </cell>
          <cell r="J3206">
            <v>251.90205</v>
          </cell>
          <cell r="K3206">
            <v>1.7993003571428572</v>
          </cell>
          <cell r="L3206">
            <v>0</v>
          </cell>
          <cell r="M3206">
            <v>0.83598850000000002</v>
          </cell>
          <cell r="N3206">
            <v>0</v>
          </cell>
          <cell r="O3206">
            <v>9.6273999999999995E-3</v>
          </cell>
          <cell r="P3206">
            <v>2.4282135</v>
          </cell>
          <cell r="Q3206">
            <v>2.2424729999999999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0.2814682</v>
          </cell>
          <cell r="Y3206">
            <v>0</v>
          </cell>
          <cell r="Z3206">
            <v>0</v>
          </cell>
          <cell r="AA3206">
            <v>0</v>
          </cell>
          <cell r="AB3206">
            <v>6.1938699999999999E-2</v>
          </cell>
        </row>
        <row r="3207">
          <cell r="A3207">
            <v>56102010</v>
          </cell>
          <cell r="B3207" t="str">
            <v>Macaroni, whole wheat, cooked, fat not added in cooking</v>
          </cell>
          <cell r="I3207">
            <v>140</v>
          </cell>
          <cell r="J3207">
            <v>207.35586000000001</v>
          </cell>
          <cell r="K3207">
            <v>1.4811132857142857</v>
          </cell>
          <cell r="L3207">
            <v>5.4274354000000002</v>
          </cell>
          <cell r="M3207">
            <v>0.338171</v>
          </cell>
          <cell r="N3207">
            <v>0</v>
          </cell>
          <cell r="O3207">
            <v>1.82918E-2</v>
          </cell>
          <cell r="P3207">
            <v>0</v>
          </cell>
          <cell r="Q3207">
            <v>0.79880720000000005</v>
          </cell>
          <cell r="R3207">
            <v>55.629125000000002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0.32919199999999998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</row>
        <row r="3208">
          <cell r="A3208">
            <v>56102020</v>
          </cell>
          <cell r="B3208" t="str">
            <v>Macaroni, whole wheat, cooked, fat added in cooking</v>
          </cell>
          <cell r="I3208">
            <v>140</v>
          </cell>
          <cell r="J3208">
            <v>239.76098999999999</v>
          </cell>
          <cell r="K3208">
            <v>1.7125785</v>
          </cell>
          <cell r="L3208">
            <v>5.2611293000000003</v>
          </cell>
          <cell r="M3208">
            <v>0.92637199999999997</v>
          </cell>
          <cell r="N3208">
            <v>0</v>
          </cell>
          <cell r="O3208">
            <v>1.7721500000000001E-2</v>
          </cell>
          <cell r="P3208">
            <v>0</v>
          </cell>
          <cell r="Q3208">
            <v>2.5770268000000001</v>
          </cell>
          <cell r="R3208">
            <v>53.924551999999998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0.28551520000000002</v>
          </cell>
          <cell r="Y3208">
            <v>0</v>
          </cell>
          <cell r="Z3208">
            <v>0</v>
          </cell>
          <cell r="AA3208">
            <v>0</v>
          </cell>
          <cell r="AB3208">
            <v>5.1117700000000002E-2</v>
          </cell>
        </row>
        <row r="3209">
          <cell r="A3209">
            <v>56104000</v>
          </cell>
          <cell r="B3209" t="str">
            <v>Pasta, vegetable, cooked</v>
          </cell>
          <cell r="I3209">
            <v>91</v>
          </cell>
          <cell r="J3209">
            <v>116.20112</v>
          </cell>
          <cell r="K3209">
            <v>1.2769353846153846</v>
          </cell>
          <cell r="L3209">
            <v>0</v>
          </cell>
          <cell r="M3209">
            <v>1.4525100000000001E-2</v>
          </cell>
          <cell r="N3209">
            <v>0</v>
          </cell>
          <cell r="O3209">
            <v>1.00383E-2</v>
          </cell>
          <cell r="P3209">
            <v>3.9036312999999998</v>
          </cell>
          <cell r="Q3209">
            <v>3.9944100000000003E-2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8.9891700000000005E-2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</row>
        <row r="3210">
          <cell r="A3210">
            <v>56104020</v>
          </cell>
          <cell r="B3210" t="str">
            <v>Macaroni, cooked, vegetable, fat added in cooking</v>
          </cell>
          <cell r="I3210">
            <v>96</v>
          </cell>
          <cell r="J3210">
            <v>147.13337000000001</v>
          </cell>
          <cell r="K3210">
            <v>1.5326392708333334</v>
          </cell>
          <cell r="L3210">
            <v>0</v>
          </cell>
          <cell r="M3210">
            <v>0.45777139999999999</v>
          </cell>
          <cell r="N3210">
            <v>0</v>
          </cell>
          <cell r="O3210">
            <v>1.02407E-2</v>
          </cell>
          <cell r="P3210">
            <v>3.9791786999999998</v>
          </cell>
          <cell r="Q3210">
            <v>1.3747981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9.1647599999999996E-2</v>
          </cell>
          <cell r="Y3210">
            <v>0</v>
          </cell>
          <cell r="Z3210">
            <v>0</v>
          </cell>
          <cell r="AA3210">
            <v>0</v>
          </cell>
          <cell r="AB3210">
            <v>1.14769E-2</v>
          </cell>
        </row>
        <row r="3211">
          <cell r="A3211">
            <v>56112000</v>
          </cell>
          <cell r="B3211" t="str">
            <v>Noodles, cooked</v>
          </cell>
          <cell r="I3211">
            <v>140</v>
          </cell>
          <cell r="J3211">
            <v>192.04771</v>
          </cell>
          <cell r="K3211">
            <v>1.3717693571428571</v>
          </cell>
          <cell r="L3211">
            <v>0</v>
          </cell>
          <cell r="M3211">
            <v>0.58310139999999999</v>
          </cell>
          <cell r="N3211">
            <v>0</v>
          </cell>
          <cell r="O3211">
            <v>1.6900200000000001E-2</v>
          </cell>
          <cell r="P3211">
            <v>1.6699801000000001</v>
          </cell>
          <cell r="Q3211">
            <v>0.76819090000000001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0.33058369999999998</v>
          </cell>
          <cell r="Y3211">
            <v>0</v>
          </cell>
          <cell r="Z3211">
            <v>0</v>
          </cell>
          <cell r="AA3211">
            <v>0</v>
          </cell>
          <cell r="AB3211">
            <v>4.0357900000000002E-2</v>
          </cell>
        </row>
        <row r="3212">
          <cell r="A3212">
            <v>56112010</v>
          </cell>
          <cell r="B3212" t="str">
            <v>Noodles, cooked, fat not added in cooking</v>
          </cell>
          <cell r="I3212">
            <v>140</v>
          </cell>
          <cell r="J3212">
            <v>192.04771</v>
          </cell>
          <cell r="K3212">
            <v>1.3717693571428571</v>
          </cell>
          <cell r="L3212">
            <v>0</v>
          </cell>
          <cell r="M3212">
            <v>0.58310139999999999</v>
          </cell>
          <cell r="N3212">
            <v>0</v>
          </cell>
          <cell r="O3212">
            <v>1.6900200000000001E-2</v>
          </cell>
          <cell r="P3212">
            <v>1.6699801000000001</v>
          </cell>
          <cell r="Q3212">
            <v>0.76819090000000001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0.33058369999999998</v>
          </cell>
          <cell r="Y3212">
            <v>0</v>
          </cell>
          <cell r="Z3212">
            <v>0</v>
          </cell>
          <cell r="AA3212">
            <v>0</v>
          </cell>
          <cell r="AB3212">
            <v>4.0357900000000002E-2</v>
          </cell>
        </row>
        <row r="3213">
          <cell r="A3213">
            <v>56112030</v>
          </cell>
          <cell r="B3213" t="str">
            <v>Noodles, cooked, fat added in cooking</v>
          </cell>
          <cell r="I3213">
            <v>140</v>
          </cell>
          <cell r="J3213">
            <v>221.08362</v>
          </cell>
          <cell r="K3213">
            <v>1.5791687142857143</v>
          </cell>
          <cell r="L3213">
            <v>0</v>
          </cell>
          <cell r="M3213">
            <v>1.0939576</v>
          </cell>
          <cell r="N3213">
            <v>0</v>
          </cell>
          <cell r="O3213">
            <v>1.64242E-2</v>
          </cell>
          <cell r="P3213">
            <v>1.6262129999999999</v>
          </cell>
          <cell r="Q3213">
            <v>2.3326318000000001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0.25300119999999998</v>
          </cell>
          <cell r="Y3213">
            <v>0</v>
          </cell>
          <cell r="Z3213">
            <v>0</v>
          </cell>
          <cell r="AA3213">
            <v>0</v>
          </cell>
          <cell r="AB3213">
            <v>9.3192499999999998E-2</v>
          </cell>
        </row>
        <row r="3214">
          <cell r="A3214">
            <v>56113000</v>
          </cell>
          <cell r="B3214" t="str">
            <v>Noodles, whole grain, cooked</v>
          </cell>
          <cell r="I3214">
            <v>140</v>
          </cell>
          <cell r="J3214">
            <v>207.48845</v>
          </cell>
          <cell r="K3214">
            <v>1.4820603571428572</v>
          </cell>
          <cell r="L3214">
            <v>5.4309059</v>
          </cell>
          <cell r="M3214">
            <v>0.3383872</v>
          </cell>
          <cell r="N3214">
            <v>0</v>
          </cell>
          <cell r="O3214">
            <v>1.8282099999999999E-2</v>
          </cell>
          <cell r="P3214">
            <v>0</v>
          </cell>
          <cell r="Q3214">
            <v>0.79931790000000003</v>
          </cell>
          <cell r="R3214">
            <v>55.664695999999999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0.29470619999999997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</row>
        <row r="3215">
          <cell r="A3215">
            <v>56113010</v>
          </cell>
          <cell r="B3215" t="str">
            <v>Noodles, cooked, whole wheat, fat not added in cooking</v>
          </cell>
          <cell r="I3215">
            <v>140</v>
          </cell>
          <cell r="J3215">
            <v>207.35586000000001</v>
          </cell>
          <cell r="K3215">
            <v>1.4811132857142857</v>
          </cell>
          <cell r="L3215">
            <v>5.4274354000000002</v>
          </cell>
          <cell r="M3215">
            <v>0.338171</v>
          </cell>
          <cell r="N3215">
            <v>0</v>
          </cell>
          <cell r="O3215">
            <v>1.82918E-2</v>
          </cell>
          <cell r="P3215">
            <v>0</v>
          </cell>
          <cell r="Q3215">
            <v>0.79880720000000005</v>
          </cell>
          <cell r="R3215">
            <v>55.629125000000002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0.32919199999999998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</row>
        <row r="3216">
          <cell r="A3216">
            <v>56113990</v>
          </cell>
          <cell r="B3216" t="str">
            <v>Noodles, vegetable, cooked</v>
          </cell>
          <cell r="I3216">
            <v>160</v>
          </cell>
          <cell r="J3216">
            <v>209.94036</v>
          </cell>
          <cell r="K3216">
            <v>1.3121272500000001</v>
          </cell>
          <cell r="L3216">
            <v>0</v>
          </cell>
          <cell r="M3216">
            <v>0.57415510000000003</v>
          </cell>
          <cell r="N3216">
            <v>0</v>
          </cell>
          <cell r="O3216">
            <v>3.0447700000000001E-2</v>
          </cell>
          <cell r="P3216">
            <v>3.6580517000000001</v>
          </cell>
          <cell r="Q3216">
            <v>0.55506960000000005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0.38894309999999999</v>
          </cell>
          <cell r="Y3216">
            <v>0</v>
          </cell>
          <cell r="Z3216">
            <v>0</v>
          </cell>
          <cell r="AA3216">
            <v>0</v>
          </cell>
          <cell r="AB3216">
            <v>3.92669E-2</v>
          </cell>
        </row>
        <row r="3217">
          <cell r="A3217">
            <v>56114000</v>
          </cell>
          <cell r="B3217" t="str">
            <v>Noodles, cooked, spinach, fat not added in cooking</v>
          </cell>
          <cell r="I3217">
            <v>160</v>
          </cell>
          <cell r="J3217">
            <v>192</v>
          </cell>
          <cell r="K3217">
            <v>1.2</v>
          </cell>
          <cell r="L3217">
            <v>7.1050000000000001E-16</v>
          </cell>
          <cell r="M3217">
            <v>0.1166452</v>
          </cell>
          <cell r="N3217">
            <v>0</v>
          </cell>
          <cell r="O3217">
            <v>3.3349700000000003E-2</v>
          </cell>
          <cell r="P3217">
            <v>5.4709677000000001</v>
          </cell>
          <cell r="Q3217">
            <v>0.33083869999999999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0.32294709999999999</v>
          </cell>
          <cell r="Y3217">
            <v>0</v>
          </cell>
          <cell r="Z3217">
            <v>0</v>
          </cell>
          <cell r="AA3217">
            <v>0</v>
          </cell>
          <cell r="AB3217">
            <v>3.2799999999999999E-3</v>
          </cell>
        </row>
        <row r="3218">
          <cell r="A3218">
            <v>56116000</v>
          </cell>
          <cell r="B3218" t="str">
            <v>Noodles, chow mein</v>
          </cell>
          <cell r="I3218">
            <v>45</v>
          </cell>
          <cell r="J3218">
            <v>234.45</v>
          </cell>
          <cell r="K3218">
            <v>5.21</v>
          </cell>
          <cell r="L3218">
            <v>0</v>
          </cell>
          <cell r="M3218">
            <v>2.21895</v>
          </cell>
          <cell r="N3218">
            <v>0</v>
          </cell>
          <cell r="O3218">
            <v>9.4500000000000001E-3</v>
          </cell>
          <cell r="P3218">
            <v>0.85499999999999998</v>
          </cell>
          <cell r="Q3218">
            <v>7.6270499999999997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0.1701</v>
          </cell>
          <cell r="Y3218">
            <v>0</v>
          </cell>
          <cell r="Z3218">
            <v>0</v>
          </cell>
          <cell r="AA3218">
            <v>0</v>
          </cell>
          <cell r="AB3218">
            <v>6.1199999999999997E-2</v>
          </cell>
        </row>
        <row r="3219">
          <cell r="A3219">
            <v>56117010</v>
          </cell>
          <cell r="B3219" t="str">
            <v>Long rice noodles (made from mung beans), cooked, fat added in cooking</v>
          </cell>
          <cell r="I3219">
            <v>140</v>
          </cell>
          <cell r="J3219">
            <v>151.35256000000001</v>
          </cell>
          <cell r="K3219">
            <v>1.0810897142857143</v>
          </cell>
          <cell r="L3219">
            <v>0.162996</v>
          </cell>
          <cell r="M3219">
            <v>0.57585149999999996</v>
          </cell>
          <cell r="N3219">
            <v>0</v>
          </cell>
          <cell r="O3219">
            <v>1.12572E-2</v>
          </cell>
          <cell r="P3219">
            <v>0</v>
          </cell>
          <cell r="Q3219">
            <v>1.7234727999999999</v>
          </cell>
          <cell r="R3219">
            <v>0</v>
          </cell>
          <cell r="S3219">
            <v>32.599204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7.4099999999999999E-3</v>
          </cell>
          <cell r="Y3219">
            <v>0</v>
          </cell>
          <cell r="Z3219">
            <v>0</v>
          </cell>
          <cell r="AA3219">
            <v>0</v>
          </cell>
          <cell r="AB3219">
            <v>1.4776299999999999E-2</v>
          </cell>
        </row>
        <row r="3220">
          <cell r="A3220">
            <v>56117090</v>
          </cell>
          <cell r="B3220" t="str">
            <v>Rice noodles, cooked</v>
          </cell>
          <cell r="I3220">
            <v>140</v>
          </cell>
          <cell r="J3220">
            <v>150.29821000000001</v>
          </cell>
          <cell r="K3220">
            <v>1.0735586428571429</v>
          </cell>
          <cell r="L3220">
            <v>0</v>
          </cell>
          <cell r="M3220">
            <v>3.2008000000000002E-2</v>
          </cell>
          <cell r="N3220">
            <v>0</v>
          </cell>
          <cell r="O3220">
            <v>5.7670000000000004E-3</v>
          </cell>
          <cell r="P3220">
            <v>1.3916500999999999</v>
          </cell>
          <cell r="Q3220">
            <v>3.2008000000000002E-2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0.35006680000000001</v>
          </cell>
          <cell r="Y3220">
            <v>0</v>
          </cell>
          <cell r="Z3220">
            <v>0</v>
          </cell>
          <cell r="AA3220">
            <v>0</v>
          </cell>
          <cell r="AB3220">
            <v>2.13747E-2</v>
          </cell>
        </row>
        <row r="3221">
          <cell r="A3221">
            <v>56117100</v>
          </cell>
          <cell r="B3221" t="str">
            <v>Chow fun rice noodles, cooked, fat not added in cooking</v>
          </cell>
          <cell r="I3221">
            <v>140</v>
          </cell>
          <cell r="J3221">
            <v>150.29821000000001</v>
          </cell>
          <cell r="K3221">
            <v>1.0735586428571429</v>
          </cell>
          <cell r="L3221">
            <v>0</v>
          </cell>
          <cell r="M3221">
            <v>3.2008000000000002E-2</v>
          </cell>
          <cell r="N3221">
            <v>0</v>
          </cell>
          <cell r="O3221">
            <v>5.7670000000000004E-3</v>
          </cell>
          <cell r="P3221">
            <v>1.3916500999999999</v>
          </cell>
          <cell r="Q3221">
            <v>3.2008000000000002E-2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0.35006680000000001</v>
          </cell>
          <cell r="Y3221">
            <v>0</v>
          </cell>
          <cell r="Z3221">
            <v>0</v>
          </cell>
          <cell r="AA3221">
            <v>0</v>
          </cell>
          <cell r="AB3221">
            <v>1.7048500000000001E-2</v>
          </cell>
        </row>
        <row r="3222">
          <cell r="A3222">
            <v>56117110</v>
          </cell>
          <cell r="B3222" t="str">
            <v>Chow fun rice noodles, cooked, fat added in cooking</v>
          </cell>
          <cell r="I3222">
            <v>140</v>
          </cell>
          <cell r="J3222">
            <v>181.84864999999999</v>
          </cell>
          <cell r="K3222">
            <v>1.2989189285714284</v>
          </cell>
          <cell r="L3222">
            <v>0</v>
          </cell>
          <cell r="M3222">
            <v>0.58553580000000005</v>
          </cell>
          <cell r="N3222">
            <v>0</v>
          </cell>
          <cell r="O3222">
            <v>5.6100999999999998E-3</v>
          </cell>
          <cell r="P3222">
            <v>1.3513514</v>
          </cell>
          <cell r="Q3222">
            <v>1.7009358000000001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0.33994999999999997</v>
          </cell>
          <cell r="Y3222">
            <v>0</v>
          </cell>
          <cell r="Z3222">
            <v>0</v>
          </cell>
          <cell r="AA3222">
            <v>0</v>
          </cell>
          <cell r="AB3222">
            <v>3.3025400000000003E-2</v>
          </cell>
        </row>
        <row r="3223">
          <cell r="A3223">
            <v>56130000</v>
          </cell>
          <cell r="B3223" t="str">
            <v>Pasta, cooked</v>
          </cell>
          <cell r="I3223">
            <v>140</v>
          </cell>
          <cell r="J3223">
            <v>219.88072</v>
          </cell>
          <cell r="K3223">
            <v>1.5705765714285713</v>
          </cell>
          <cell r="L3223">
            <v>0</v>
          </cell>
          <cell r="M3223">
            <v>0.24493039999999999</v>
          </cell>
          <cell r="N3223">
            <v>0</v>
          </cell>
          <cell r="O3223">
            <v>9.9419E-3</v>
          </cell>
          <cell r="P3223">
            <v>2.5049701999999998</v>
          </cell>
          <cell r="Q3223">
            <v>0.45367790000000002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0.3250171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</row>
        <row r="3224">
          <cell r="A3224">
            <v>56130010</v>
          </cell>
          <cell r="B3224" t="str">
            <v>Spaghetti, cooked, fat not added in cooking</v>
          </cell>
          <cell r="I3224">
            <v>140</v>
          </cell>
          <cell r="J3224">
            <v>219.88072</v>
          </cell>
          <cell r="K3224">
            <v>1.5705765714285713</v>
          </cell>
          <cell r="L3224">
            <v>0</v>
          </cell>
          <cell r="M3224">
            <v>0.24493039999999999</v>
          </cell>
          <cell r="N3224">
            <v>0</v>
          </cell>
          <cell r="O3224">
            <v>9.9419E-3</v>
          </cell>
          <cell r="P3224">
            <v>2.5049701999999998</v>
          </cell>
          <cell r="Q3224">
            <v>0.45367790000000002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0.3250171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</row>
        <row r="3225">
          <cell r="A3225">
            <v>56131000</v>
          </cell>
          <cell r="B3225" t="str">
            <v>Spaghetti, cooked, fat added in cooking</v>
          </cell>
          <cell r="I3225">
            <v>140</v>
          </cell>
          <cell r="J3225">
            <v>251.90205</v>
          </cell>
          <cell r="K3225">
            <v>1.7993003571428572</v>
          </cell>
          <cell r="L3225">
            <v>0</v>
          </cell>
          <cell r="M3225">
            <v>0.83598850000000002</v>
          </cell>
          <cell r="N3225">
            <v>0</v>
          </cell>
          <cell r="O3225">
            <v>9.6273999999999995E-3</v>
          </cell>
          <cell r="P3225">
            <v>2.4282135</v>
          </cell>
          <cell r="Q3225">
            <v>2.2424729999999999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0.2814682</v>
          </cell>
          <cell r="Y3225">
            <v>0</v>
          </cell>
          <cell r="Z3225">
            <v>0</v>
          </cell>
          <cell r="AA3225">
            <v>0</v>
          </cell>
          <cell r="AB3225">
            <v>5.5228699999999999E-2</v>
          </cell>
        </row>
        <row r="3226">
          <cell r="A3226">
            <v>56132990</v>
          </cell>
          <cell r="B3226" t="str">
            <v>Pasta, whole grain, cooked</v>
          </cell>
          <cell r="I3226">
            <v>140</v>
          </cell>
          <cell r="J3226">
            <v>207.35586000000001</v>
          </cell>
          <cell r="K3226">
            <v>1.4811132857142857</v>
          </cell>
          <cell r="L3226">
            <v>5.4274354000000002</v>
          </cell>
          <cell r="M3226">
            <v>0.338171</v>
          </cell>
          <cell r="N3226">
            <v>0</v>
          </cell>
          <cell r="O3226">
            <v>1.82918E-2</v>
          </cell>
          <cell r="P3226">
            <v>0</v>
          </cell>
          <cell r="Q3226">
            <v>0.79880720000000005</v>
          </cell>
          <cell r="R3226">
            <v>55.629125000000002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0.32919199999999998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</row>
        <row r="3227">
          <cell r="A3227">
            <v>56133000</v>
          </cell>
          <cell r="B3227" t="str">
            <v>Spaghetti, cooked, whole wheat, fat not added in cooking</v>
          </cell>
          <cell r="I3227">
            <v>140</v>
          </cell>
          <cell r="J3227">
            <v>207.35586000000001</v>
          </cell>
          <cell r="K3227">
            <v>1.4811132857142857</v>
          </cell>
          <cell r="L3227">
            <v>5.4274354000000002</v>
          </cell>
          <cell r="M3227">
            <v>0.338171</v>
          </cell>
          <cell r="N3227">
            <v>0</v>
          </cell>
          <cell r="O3227">
            <v>1.82918E-2</v>
          </cell>
          <cell r="P3227">
            <v>0</v>
          </cell>
          <cell r="Q3227">
            <v>0.79880720000000005</v>
          </cell>
          <cell r="R3227">
            <v>55.629125000000002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0.32919199999999998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</row>
        <row r="3228">
          <cell r="A3228">
            <v>56133010</v>
          </cell>
          <cell r="B3228" t="str">
            <v>Spaghetti, cooked, whole wheat, fat added in cooking</v>
          </cell>
          <cell r="I3228">
            <v>140</v>
          </cell>
          <cell r="J3228">
            <v>239.76098999999999</v>
          </cell>
          <cell r="K3228">
            <v>1.7125785</v>
          </cell>
          <cell r="L3228">
            <v>5.2611293000000003</v>
          </cell>
          <cell r="M3228">
            <v>0.92637199999999997</v>
          </cell>
          <cell r="N3228">
            <v>0</v>
          </cell>
          <cell r="O3228">
            <v>1.7721500000000001E-2</v>
          </cell>
          <cell r="P3228">
            <v>0</v>
          </cell>
          <cell r="Q3228">
            <v>2.5770268000000001</v>
          </cell>
          <cell r="R3228">
            <v>53.924551999999998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0.28551520000000002</v>
          </cell>
          <cell r="Y3228">
            <v>0</v>
          </cell>
          <cell r="Z3228">
            <v>0</v>
          </cell>
          <cell r="AA3228">
            <v>0</v>
          </cell>
          <cell r="AB3228">
            <v>5.4026999999999999E-2</v>
          </cell>
        </row>
        <row r="3229">
          <cell r="A3229">
            <v>56140100</v>
          </cell>
          <cell r="B3229" t="str">
            <v>Pasta, gluten free</v>
          </cell>
          <cell r="I3229">
            <v>140</v>
          </cell>
          <cell r="J3229">
            <v>250.6</v>
          </cell>
          <cell r="K3229">
            <v>1.79</v>
          </cell>
          <cell r="L3229">
            <v>0</v>
          </cell>
          <cell r="M3229">
            <v>0.21</v>
          </cell>
          <cell r="N3229">
            <v>0</v>
          </cell>
          <cell r="O3229">
            <v>2.8E-3</v>
          </cell>
          <cell r="P3229">
            <v>1.96</v>
          </cell>
          <cell r="Q3229">
            <v>0.46060000000000001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5.5999999999999999E-3</v>
          </cell>
          <cell r="Y3229">
            <v>0</v>
          </cell>
          <cell r="Z3229">
            <v>0</v>
          </cell>
          <cell r="AA3229">
            <v>0</v>
          </cell>
          <cell r="AB3229">
            <v>5.5999999999999999E-3</v>
          </cell>
        </row>
        <row r="3230">
          <cell r="A3230">
            <v>56200300</v>
          </cell>
          <cell r="B3230" t="str">
            <v>Cereal, cooked, NFS</v>
          </cell>
          <cell r="I3230">
            <v>240</v>
          </cell>
          <cell r="J3230">
            <v>163.19999999999999</v>
          </cell>
          <cell r="K3230">
            <v>0.67999999999999994</v>
          </cell>
          <cell r="L3230">
            <v>4.08</v>
          </cell>
          <cell r="M3230">
            <v>0.54239999999999999</v>
          </cell>
          <cell r="N3230">
            <v>0</v>
          </cell>
          <cell r="O3230">
            <v>0.192</v>
          </cell>
          <cell r="P3230">
            <v>0</v>
          </cell>
          <cell r="Q3230">
            <v>1.0224</v>
          </cell>
          <cell r="R3230">
            <v>57.153599999999997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0.1176</v>
          </cell>
          <cell r="Y3230">
            <v>0</v>
          </cell>
          <cell r="Z3230">
            <v>0</v>
          </cell>
          <cell r="AA3230">
            <v>0</v>
          </cell>
          <cell r="AB3230">
            <v>7.6376899999999998E-2</v>
          </cell>
        </row>
        <row r="3231">
          <cell r="A3231">
            <v>56200350</v>
          </cell>
          <cell r="B3231" t="str">
            <v>Cereal, cooked, instant, NS as to grain</v>
          </cell>
          <cell r="I3231">
            <v>234</v>
          </cell>
          <cell r="J3231">
            <v>159.12</v>
          </cell>
          <cell r="K3231">
            <v>0.68</v>
          </cell>
          <cell r="L3231">
            <v>3.9780000000000002</v>
          </cell>
          <cell r="M3231">
            <v>0.52883999999999998</v>
          </cell>
          <cell r="N3231">
            <v>0</v>
          </cell>
          <cell r="O3231">
            <v>0.18720000000000001</v>
          </cell>
          <cell r="P3231">
            <v>0</v>
          </cell>
          <cell r="Q3231">
            <v>0.99683999999999995</v>
          </cell>
          <cell r="R3231">
            <v>55.724760000000003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0.11466</v>
          </cell>
          <cell r="Y3231">
            <v>0</v>
          </cell>
          <cell r="Z3231">
            <v>0</v>
          </cell>
          <cell r="AA3231">
            <v>0</v>
          </cell>
          <cell r="AB3231">
            <v>7.0200000000000002E-3</v>
          </cell>
        </row>
        <row r="3232">
          <cell r="A3232">
            <v>56200390</v>
          </cell>
          <cell r="B3232" t="str">
            <v>Barley, NS as to fat added in cooking</v>
          </cell>
          <cell r="I3232">
            <v>162</v>
          </cell>
          <cell r="J3232">
            <v>198.31264999999999</v>
          </cell>
          <cell r="K3232">
            <v>1.224152160493827</v>
          </cell>
          <cell r="L3232">
            <v>0</v>
          </cell>
          <cell r="M3232">
            <v>0.14994370000000001</v>
          </cell>
          <cell r="N3232">
            <v>0</v>
          </cell>
          <cell r="O3232">
            <v>1.7920100000000001E-2</v>
          </cell>
          <cell r="P3232">
            <v>6.1267322000000002</v>
          </cell>
          <cell r="Q3232">
            <v>0.3450318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0.30335329999999999</v>
          </cell>
          <cell r="Y3232">
            <v>0</v>
          </cell>
          <cell r="Z3232">
            <v>0</v>
          </cell>
          <cell r="AA3232">
            <v>0</v>
          </cell>
          <cell r="AB3232">
            <v>3.1565999999999999E-3</v>
          </cell>
        </row>
        <row r="3233">
          <cell r="A3233">
            <v>56200400</v>
          </cell>
          <cell r="B3233" t="str">
            <v>Barley, fat not added in cooking</v>
          </cell>
          <cell r="I3233">
            <v>162</v>
          </cell>
          <cell r="J3233">
            <v>198.31264999999999</v>
          </cell>
          <cell r="K3233">
            <v>1.224152160493827</v>
          </cell>
          <cell r="L3233">
            <v>0</v>
          </cell>
          <cell r="M3233">
            <v>0.14994370000000001</v>
          </cell>
          <cell r="N3233">
            <v>0</v>
          </cell>
          <cell r="O3233">
            <v>1.7920100000000001E-2</v>
          </cell>
          <cell r="P3233">
            <v>6.1267322000000002</v>
          </cell>
          <cell r="Q3233">
            <v>0.3450318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0.30335329999999999</v>
          </cell>
          <cell r="Y3233">
            <v>0</v>
          </cell>
          <cell r="Z3233">
            <v>0</v>
          </cell>
          <cell r="AA3233">
            <v>0</v>
          </cell>
          <cell r="AB3233">
            <v>2.7526E-3</v>
          </cell>
        </row>
        <row r="3234">
          <cell r="A3234">
            <v>56200500</v>
          </cell>
          <cell r="B3234" t="str">
            <v>Buckwheat groats, fat not added in cooking</v>
          </cell>
          <cell r="I3234">
            <v>168</v>
          </cell>
          <cell r="J3234">
            <v>153.97675000000001</v>
          </cell>
          <cell r="K3234">
            <v>0.91652827380952384</v>
          </cell>
          <cell r="L3234">
            <v>4.5188829999999998</v>
          </cell>
          <cell r="M3234">
            <v>0.22427050000000001</v>
          </cell>
          <cell r="N3234">
            <v>0</v>
          </cell>
          <cell r="O3234">
            <v>1.18678E-2</v>
          </cell>
          <cell r="P3234">
            <v>0</v>
          </cell>
          <cell r="Q3234">
            <v>0.31464819999999999</v>
          </cell>
          <cell r="R3234">
            <v>57.886890999999999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0.25240570000000001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</row>
        <row r="3235">
          <cell r="A3235">
            <v>56200510</v>
          </cell>
          <cell r="B3235" t="str">
            <v>Buckwheat groats, fat added in cooking</v>
          </cell>
          <cell r="I3235">
            <v>173</v>
          </cell>
          <cell r="J3235">
            <v>193.53726</v>
          </cell>
          <cell r="K3235">
            <v>1.1187124855491331</v>
          </cell>
          <cell r="L3235">
            <v>4.4401992999999997</v>
          </cell>
          <cell r="M3235">
            <v>1.1782111</v>
          </cell>
          <cell r="N3235">
            <v>0</v>
          </cell>
          <cell r="O3235">
            <v>1.3325399999999999E-2</v>
          </cell>
          <cell r="P3235">
            <v>0</v>
          </cell>
          <cell r="Q3235">
            <v>2.4075376999999998</v>
          </cell>
          <cell r="R3235">
            <v>56.878953000000003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0.29877199999999998</v>
          </cell>
          <cell r="Y3235">
            <v>0</v>
          </cell>
          <cell r="Z3235">
            <v>0</v>
          </cell>
          <cell r="AA3235">
            <v>0</v>
          </cell>
          <cell r="AB3235">
            <v>0.2903811</v>
          </cell>
        </row>
        <row r="3236">
          <cell r="A3236">
            <v>56200990</v>
          </cell>
          <cell r="B3236" t="str">
            <v>Grits, NS as to regular, quick, or instant, NS as to fat added in cooking</v>
          </cell>
          <cell r="I3236">
            <v>242</v>
          </cell>
          <cell r="J3236">
            <v>144.88292999999999</v>
          </cell>
          <cell r="K3236">
            <v>0.59868979338842965</v>
          </cell>
          <cell r="L3236">
            <v>0</v>
          </cell>
          <cell r="M3236">
            <v>1.6355223999999999</v>
          </cell>
          <cell r="N3236">
            <v>0</v>
          </cell>
          <cell r="O3236">
            <v>8.4974000000000004E-3</v>
          </cell>
          <cell r="P3236">
            <v>1.4585127</v>
          </cell>
          <cell r="Q3236">
            <v>0.80944890000000003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0.16956019999999999</v>
          </cell>
          <cell r="Y3236">
            <v>0</v>
          </cell>
          <cell r="Z3236">
            <v>0</v>
          </cell>
          <cell r="AA3236">
            <v>0</v>
          </cell>
          <cell r="AB3236">
            <v>0.14706810000000001</v>
          </cell>
        </row>
        <row r="3237">
          <cell r="A3237">
            <v>56201000</v>
          </cell>
          <cell r="B3237" t="str">
            <v>Grits, NS as to regular, quick, or instant, fat not added in cooking</v>
          </cell>
          <cell r="I3237">
            <v>242</v>
          </cell>
          <cell r="J3237">
            <v>119.4297</v>
          </cell>
          <cell r="K3237">
            <v>0.49351115702479337</v>
          </cell>
          <cell r="L3237">
            <v>0</v>
          </cell>
          <cell r="M3237">
            <v>0.1097462</v>
          </cell>
          <cell r="N3237">
            <v>0</v>
          </cell>
          <cell r="O3237">
            <v>7.6560999999999999E-3</v>
          </cell>
          <cell r="P3237">
            <v>1.4848017</v>
          </cell>
          <cell r="Q3237">
            <v>0.28243509999999999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0.1439455</v>
          </cell>
          <cell r="Y3237">
            <v>0</v>
          </cell>
          <cell r="Z3237">
            <v>0</v>
          </cell>
          <cell r="AA3237">
            <v>0</v>
          </cell>
          <cell r="AB3237">
            <v>8.2565E-3</v>
          </cell>
        </row>
        <row r="3238">
          <cell r="A3238">
            <v>56201010</v>
          </cell>
          <cell r="B3238" t="str">
            <v>Grits, cooked, corn or hominy, regular, fat not added in cooking</v>
          </cell>
          <cell r="I3238">
            <v>242</v>
          </cell>
          <cell r="J3238">
            <v>93.587006000000002</v>
          </cell>
          <cell r="K3238">
            <v>0.38672316528925621</v>
          </cell>
          <cell r="L3238">
            <v>0</v>
          </cell>
          <cell r="M3238">
            <v>8.5998900000000003E-2</v>
          </cell>
          <cell r="N3238">
            <v>0</v>
          </cell>
          <cell r="O3238">
            <v>7.6565000000000001E-3</v>
          </cell>
          <cell r="P3238">
            <v>1.1635141</v>
          </cell>
          <cell r="Q3238">
            <v>0.22132060000000001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0.27384969999999997</v>
          </cell>
          <cell r="Y3238">
            <v>0</v>
          </cell>
          <cell r="Z3238">
            <v>0</v>
          </cell>
          <cell r="AA3238">
            <v>0</v>
          </cell>
          <cell r="AB3238">
            <v>1.51442E-2</v>
          </cell>
        </row>
        <row r="3239">
          <cell r="A3239">
            <v>56201020</v>
          </cell>
          <cell r="B3239" t="str">
            <v>Grits, cooked, corn or hominy, regular, fat added in cooking</v>
          </cell>
          <cell r="I3239">
            <v>247</v>
          </cell>
          <cell r="J3239">
            <v>137.88025999999999</v>
          </cell>
          <cell r="K3239">
            <v>0.55821967611336032</v>
          </cell>
          <cell r="L3239">
            <v>0</v>
          </cell>
          <cell r="M3239">
            <v>1.1203970000000001</v>
          </cell>
          <cell r="N3239">
            <v>0</v>
          </cell>
          <cell r="O3239">
            <v>9.3431E-3</v>
          </cell>
          <cell r="P3239">
            <v>1.1463540000000001</v>
          </cell>
          <cell r="Q3239">
            <v>2.4869081999999998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0.32469609999999999</v>
          </cell>
          <cell r="Y3239">
            <v>0</v>
          </cell>
          <cell r="Z3239">
            <v>0</v>
          </cell>
          <cell r="AA3239">
            <v>0</v>
          </cell>
          <cell r="AB3239">
            <v>0.3211444</v>
          </cell>
        </row>
        <row r="3240">
          <cell r="A3240">
            <v>56201030</v>
          </cell>
          <cell r="B3240" t="str">
            <v>Grits, cooked, corn or hominy, regular, NS as to fat added in cooking</v>
          </cell>
          <cell r="I3240">
            <v>242</v>
          </cell>
          <cell r="J3240">
            <v>91.315580999999995</v>
          </cell>
          <cell r="K3240">
            <v>0.37733711157024791</v>
          </cell>
          <cell r="L3240">
            <v>0</v>
          </cell>
          <cell r="M3240">
            <v>8.3911600000000003E-2</v>
          </cell>
          <cell r="N3240">
            <v>0</v>
          </cell>
          <cell r="O3240">
            <v>7.6508000000000001E-3</v>
          </cell>
          <cell r="P3240">
            <v>1.1352747999999999</v>
          </cell>
          <cell r="Q3240">
            <v>0.215949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0.27461859999999999</v>
          </cell>
          <cell r="Y3240">
            <v>0</v>
          </cell>
          <cell r="Z3240">
            <v>0</v>
          </cell>
          <cell r="AA3240">
            <v>0</v>
          </cell>
          <cell r="AB3240">
            <v>1.6882299999999999E-2</v>
          </cell>
        </row>
        <row r="3241">
          <cell r="A3241">
            <v>56201040</v>
          </cell>
          <cell r="B3241" t="str">
            <v>Grits, NS as to regular, quick, or instant, fat added in cooking</v>
          </cell>
          <cell r="I3241">
            <v>247</v>
          </cell>
          <cell r="J3241">
            <v>147.87638000000001</v>
          </cell>
          <cell r="K3241">
            <v>0.59868979757085028</v>
          </cell>
          <cell r="L3241">
            <v>0</v>
          </cell>
          <cell r="M3241">
            <v>1.6693142000000001</v>
          </cell>
          <cell r="N3241">
            <v>0</v>
          </cell>
          <cell r="O3241">
            <v>8.6730000000000002E-3</v>
          </cell>
          <cell r="P3241">
            <v>1.4886473</v>
          </cell>
          <cell r="Q3241">
            <v>0.82617300000000005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0.17306360000000001</v>
          </cell>
          <cell r="Y3241">
            <v>0</v>
          </cell>
          <cell r="Z3241">
            <v>0</v>
          </cell>
          <cell r="AA3241">
            <v>0</v>
          </cell>
          <cell r="AB3241">
            <v>0.29963640000000002</v>
          </cell>
        </row>
        <row r="3242">
          <cell r="A3242">
            <v>56201050</v>
          </cell>
          <cell r="B3242" t="str">
            <v>Grits, regular or quick, made with water, NS as to fat added in cooking</v>
          </cell>
          <cell r="I3242">
            <v>242</v>
          </cell>
          <cell r="J3242">
            <v>144.88292999999999</v>
          </cell>
          <cell r="K3242">
            <v>0.59868979338842965</v>
          </cell>
          <cell r="L3242">
            <v>0</v>
          </cell>
          <cell r="M3242">
            <v>1.6355223999999999</v>
          </cell>
          <cell r="N3242">
            <v>0</v>
          </cell>
          <cell r="O3242">
            <v>8.4974000000000004E-3</v>
          </cell>
          <cell r="P3242">
            <v>1.4585127</v>
          </cell>
          <cell r="Q3242">
            <v>0.80944890000000003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0.16956019999999999</v>
          </cell>
          <cell r="Y3242">
            <v>0</v>
          </cell>
          <cell r="Z3242">
            <v>0</v>
          </cell>
          <cell r="AA3242">
            <v>0</v>
          </cell>
          <cell r="AB3242">
            <v>0.14706810000000001</v>
          </cell>
        </row>
        <row r="3243">
          <cell r="A3243">
            <v>56201051</v>
          </cell>
          <cell r="B3243" t="str">
            <v>Grits, regular or quick, made with water, fat not added in cooking</v>
          </cell>
          <cell r="I3243">
            <v>242</v>
          </cell>
          <cell r="J3243">
            <v>119.4297</v>
          </cell>
          <cell r="K3243">
            <v>0.49351115702479337</v>
          </cell>
          <cell r="L3243">
            <v>0</v>
          </cell>
          <cell r="M3243">
            <v>0.1097462</v>
          </cell>
          <cell r="N3243">
            <v>0</v>
          </cell>
          <cell r="O3243">
            <v>7.6560999999999999E-3</v>
          </cell>
          <cell r="P3243">
            <v>1.4848017</v>
          </cell>
          <cell r="Q3243">
            <v>0.28243509999999999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0.1439455</v>
          </cell>
          <cell r="Y3243">
            <v>0</v>
          </cell>
          <cell r="Z3243">
            <v>0</v>
          </cell>
          <cell r="AA3243">
            <v>0</v>
          </cell>
          <cell r="AB3243">
            <v>8.6577000000000008E-3</v>
          </cell>
        </row>
        <row r="3244">
          <cell r="A3244">
            <v>56201052</v>
          </cell>
          <cell r="B3244" t="str">
            <v>Grits, regular or quick, made with water, fat added in cooking</v>
          </cell>
          <cell r="I3244">
            <v>242</v>
          </cell>
          <cell r="J3244">
            <v>144.88292999999999</v>
          </cell>
          <cell r="K3244">
            <v>0.59868979338842965</v>
          </cell>
          <cell r="L3244">
            <v>0</v>
          </cell>
          <cell r="M3244">
            <v>1.6355223999999999</v>
          </cell>
          <cell r="N3244">
            <v>0</v>
          </cell>
          <cell r="O3244">
            <v>8.4974000000000004E-3</v>
          </cell>
          <cell r="P3244">
            <v>1.4585127</v>
          </cell>
          <cell r="Q3244">
            <v>0.80944890000000003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0.16956019999999999</v>
          </cell>
          <cell r="Y3244">
            <v>0</v>
          </cell>
          <cell r="Z3244">
            <v>0</v>
          </cell>
          <cell r="AA3244">
            <v>0</v>
          </cell>
          <cell r="AB3244">
            <v>0.14706810000000001</v>
          </cell>
        </row>
        <row r="3245">
          <cell r="A3245">
            <v>56201055</v>
          </cell>
          <cell r="B3245" t="str">
            <v>Grits, regular or quick, made with milk, NS as to fat added in cooking</v>
          </cell>
          <cell r="I3245">
            <v>242</v>
          </cell>
          <cell r="J3245">
            <v>249.21715</v>
          </cell>
          <cell r="K3245">
            <v>1.0298229338842975</v>
          </cell>
          <cell r="L3245">
            <v>0</v>
          </cell>
          <cell r="M3245">
            <v>4.1685220000000003</v>
          </cell>
          <cell r="N3245">
            <v>0</v>
          </cell>
          <cell r="O3245">
            <v>0.24628810000000001</v>
          </cell>
          <cell r="P3245">
            <v>1.4585127</v>
          </cell>
          <cell r="Q3245">
            <v>1.0182818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0.25293710000000003</v>
          </cell>
          <cell r="Y3245">
            <v>0</v>
          </cell>
          <cell r="Z3245">
            <v>0</v>
          </cell>
          <cell r="AA3245">
            <v>0</v>
          </cell>
          <cell r="AB3245">
            <v>0.33068049999999999</v>
          </cell>
        </row>
        <row r="3246">
          <cell r="A3246">
            <v>56201056</v>
          </cell>
          <cell r="B3246" t="str">
            <v>Grits, regular or quick, made with milk, fat not added in cooking</v>
          </cell>
          <cell r="I3246">
            <v>242</v>
          </cell>
          <cell r="J3246">
            <v>225.64449999999999</v>
          </cell>
          <cell r="K3246">
            <v>0.93241528925619832</v>
          </cell>
          <cell r="L3246">
            <v>0</v>
          </cell>
          <cell r="M3246">
            <v>2.6884019000000001</v>
          </cell>
          <cell r="N3246">
            <v>0</v>
          </cell>
          <cell r="O3246">
            <v>0.2497328</v>
          </cell>
          <cell r="P3246">
            <v>1.4848017</v>
          </cell>
          <cell r="Q3246">
            <v>0.49503219999999998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0.22882520000000001</v>
          </cell>
          <cell r="Y3246">
            <v>0</v>
          </cell>
          <cell r="Z3246">
            <v>0</v>
          </cell>
          <cell r="AA3246">
            <v>0</v>
          </cell>
          <cell r="AB3246">
            <v>0.19656570000000001</v>
          </cell>
        </row>
        <row r="3247">
          <cell r="A3247">
            <v>56201057</v>
          </cell>
          <cell r="B3247" t="str">
            <v>Grits, regular or quick, made with milk, fat added in cooking</v>
          </cell>
          <cell r="I3247">
            <v>242</v>
          </cell>
          <cell r="J3247">
            <v>249.21715</v>
          </cell>
          <cell r="K3247">
            <v>1.0298229338842975</v>
          </cell>
          <cell r="L3247">
            <v>0</v>
          </cell>
          <cell r="M3247">
            <v>4.1685220000000003</v>
          </cell>
          <cell r="N3247">
            <v>0</v>
          </cell>
          <cell r="O3247">
            <v>0.24628810000000001</v>
          </cell>
          <cell r="P3247">
            <v>1.4585127</v>
          </cell>
          <cell r="Q3247">
            <v>1.0182818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0.25293710000000003</v>
          </cell>
          <cell r="Y3247">
            <v>0</v>
          </cell>
          <cell r="Z3247">
            <v>0</v>
          </cell>
          <cell r="AA3247">
            <v>0</v>
          </cell>
          <cell r="AB3247">
            <v>0.3302853</v>
          </cell>
        </row>
        <row r="3248">
          <cell r="A3248">
            <v>56201060</v>
          </cell>
          <cell r="B3248" t="str">
            <v>Grits, cooked, corn or hominy, with cheese, NS as to regular, quick, or instant, NS as to fat added in cooking</v>
          </cell>
          <cell r="I3248">
            <v>247</v>
          </cell>
          <cell r="J3248">
            <v>157.53265999999999</v>
          </cell>
          <cell r="K3248">
            <v>0.63778404858299598</v>
          </cell>
          <cell r="L3248">
            <v>0</v>
          </cell>
          <cell r="M3248">
            <v>3.1667055999999998</v>
          </cell>
          <cell r="N3248">
            <v>0</v>
          </cell>
          <cell r="O3248">
            <v>0.33555469999999998</v>
          </cell>
          <cell r="P3248">
            <v>1.0466530000000001</v>
          </cell>
          <cell r="Q3248">
            <v>0.43561240000000001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0.55874710000000005</v>
          </cell>
          <cell r="Y3248">
            <v>0</v>
          </cell>
          <cell r="Z3248">
            <v>0</v>
          </cell>
          <cell r="AA3248">
            <v>0</v>
          </cell>
          <cell r="AB3248">
            <v>0.20696100000000001</v>
          </cell>
        </row>
        <row r="3249">
          <cell r="A3249">
            <v>56201070</v>
          </cell>
          <cell r="B3249" t="str">
            <v>Grits, cooked, corn or hominy, with cheese, regular, NS as to fat added in cooking</v>
          </cell>
          <cell r="I3249">
            <v>235</v>
          </cell>
          <cell r="J3249">
            <v>228.30786000000001</v>
          </cell>
          <cell r="K3249">
            <v>0.97152280851063832</v>
          </cell>
          <cell r="L3249">
            <v>0</v>
          </cell>
          <cell r="M3249">
            <v>5.4179060000000003</v>
          </cell>
          <cell r="N3249">
            <v>0</v>
          </cell>
          <cell r="O3249">
            <v>0.52748510000000004</v>
          </cell>
          <cell r="P3249">
            <v>1.1227228</v>
          </cell>
          <cell r="Q3249">
            <v>0.89768349999999997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0.69835069999999999</v>
          </cell>
          <cell r="Y3249">
            <v>0</v>
          </cell>
          <cell r="Z3249">
            <v>0</v>
          </cell>
          <cell r="AA3249">
            <v>0</v>
          </cell>
          <cell r="AB3249">
            <v>0.36295670000000002</v>
          </cell>
        </row>
        <row r="3250">
          <cell r="A3250">
            <v>56201071</v>
          </cell>
          <cell r="B3250" t="str">
            <v>Grits, cooked, corn or hominy, with cheese, regular, fat not added in cooking</v>
          </cell>
          <cell r="I3250">
            <v>235</v>
          </cell>
          <cell r="J3250">
            <v>229.42596</v>
          </cell>
          <cell r="K3250">
            <v>0.9762806808510639</v>
          </cell>
          <cell r="L3250">
            <v>0</v>
          </cell>
          <cell r="M3250">
            <v>5.5520787</v>
          </cell>
          <cell r="N3250">
            <v>0</v>
          </cell>
          <cell r="O3250">
            <v>0.54910179999999997</v>
          </cell>
          <cell r="P3250">
            <v>1.1227228</v>
          </cell>
          <cell r="Q3250">
            <v>0.87793030000000005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0.69574179999999997</v>
          </cell>
          <cell r="Y3250">
            <v>0</v>
          </cell>
          <cell r="Z3250">
            <v>0</v>
          </cell>
          <cell r="AA3250">
            <v>0</v>
          </cell>
          <cell r="AB3250">
            <v>0.32798579999999999</v>
          </cell>
        </row>
        <row r="3251">
          <cell r="A3251">
            <v>56201072</v>
          </cell>
          <cell r="B3251" t="str">
            <v>Grits, cooked, corn or hominy, with cheese, regular, fat added in cooking</v>
          </cell>
          <cell r="I3251">
            <v>240</v>
          </cell>
          <cell r="J3251">
            <v>253.74651</v>
          </cell>
          <cell r="K3251">
            <v>1.0572771249999999</v>
          </cell>
          <cell r="L3251">
            <v>0</v>
          </cell>
          <cell r="M3251">
            <v>5.9950229999999998</v>
          </cell>
          <cell r="N3251">
            <v>0</v>
          </cell>
          <cell r="O3251">
            <v>0.52910060000000003</v>
          </cell>
          <cell r="P3251">
            <v>1.1240505999999999</v>
          </cell>
          <cell r="Q3251">
            <v>2.1490075000000002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0.72942149999999994</v>
          </cell>
          <cell r="Y3251">
            <v>0</v>
          </cell>
          <cell r="Z3251">
            <v>0</v>
          </cell>
          <cell r="AA3251">
            <v>0</v>
          </cell>
          <cell r="AB3251">
            <v>0.51228720000000005</v>
          </cell>
        </row>
        <row r="3252">
          <cell r="A3252">
            <v>56201082</v>
          </cell>
          <cell r="B3252" t="str">
            <v>Grits, cooked, corn or hominy, with cheese, quick, fat added in cooking</v>
          </cell>
          <cell r="I3252">
            <v>240</v>
          </cell>
          <cell r="J3252">
            <v>253.74651</v>
          </cell>
          <cell r="K3252">
            <v>1.0572771249999999</v>
          </cell>
          <cell r="L3252">
            <v>0</v>
          </cell>
          <cell r="M3252">
            <v>5.9950229999999998</v>
          </cell>
          <cell r="N3252">
            <v>0</v>
          </cell>
          <cell r="O3252">
            <v>0.52910060000000003</v>
          </cell>
          <cell r="P3252">
            <v>1.1240505999999999</v>
          </cell>
          <cell r="Q3252">
            <v>2.1490075000000002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0.72942149999999994</v>
          </cell>
          <cell r="Y3252">
            <v>0</v>
          </cell>
          <cell r="Z3252">
            <v>0</v>
          </cell>
          <cell r="AA3252">
            <v>0</v>
          </cell>
          <cell r="AB3252">
            <v>0.50836859999999995</v>
          </cell>
        </row>
        <row r="3253">
          <cell r="A3253">
            <v>56201090</v>
          </cell>
          <cell r="B3253" t="str">
            <v>Grits, with cheese, NS as to fat added in cooking</v>
          </cell>
          <cell r="I3253">
            <v>240</v>
          </cell>
          <cell r="J3253">
            <v>218.18814</v>
          </cell>
          <cell r="K3253">
            <v>0.90911724999999999</v>
          </cell>
          <cell r="L3253">
            <v>2.6649999999999999E-16</v>
          </cell>
          <cell r="M3253">
            <v>5.5602989999999997</v>
          </cell>
          <cell r="N3253">
            <v>0</v>
          </cell>
          <cell r="O3253">
            <v>0.16137840000000001</v>
          </cell>
          <cell r="P3253">
            <v>1.3159794</v>
          </cell>
          <cell r="Q3253">
            <v>1.0379845000000001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0.29436109999999999</v>
          </cell>
          <cell r="Y3253">
            <v>0</v>
          </cell>
          <cell r="Z3253">
            <v>0</v>
          </cell>
          <cell r="AA3253">
            <v>0</v>
          </cell>
          <cell r="AB3253">
            <v>0.46601140000000002</v>
          </cell>
        </row>
        <row r="3254">
          <cell r="A3254">
            <v>56201091</v>
          </cell>
          <cell r="B3254" t="str">
            <v>Grits, with cheese, fat not added in cooking</v>
          </cell>
          <cell r="I3254">
            <v>235</v>
          </cell>
          <cell r="J3254">
            <v>192.38605000000001</v>
          </cell>
          <cell r="K3254">
            <v>0.81866404255319158</v>
          </cell>
          <cell r="L3254">
            <v>0</v>
          </cell>
          <cell r="M3254">
            <v>4.1617930999999997</v>
          </cell>
          <cell r="N3254">
            <v>0</v>
          </cell>
          <cell r="O3254">
            <v>0.15972610000000001</v>
          </cell>
          <cell r="P3254">
            <v>1.3096595</v>
          </cell>
          <cell r="Q3254">
            <v>0.55528180000000005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0.26765840000000002</v>
          </cell>
          <cell r="Y3254">
            <v>0</v>
          </cell>
          <cell r="Z3254">
            <v>0</v>
          </cell>
          <cell r="AA3254">
            <v>0</v>
          </cell>
          <cell r="AB3254">
            <v>0.28337489999999999</v>
          </cell>
        </row>
        <row r="3255">
          <cell r="A3255">
            <v>56201092</v>
          </cell>
          <cell r="B3255" t="str">
            <v>Grits, with cheese, fat added in cooking</v>
          </cell>
          <cell r="I3255">
            <v>240</v>
          </cell>
          <cell r="J3255">
            <v>218.18814</v>
          </cell>
          <cell r="K3255">
            <v>0.90911724999999999</v>
          </cell>
          <cell r="L3255">
            <v>2.6649999999999999E-16</v>
          </cell>
          <cell r="M3255">
            <v>5.5602989999999997</v>
          </cell>
          <cell r="N3255">
            <v>0</v>
          </cell>
          <cell r="O3255">
            <v>0.16137840000000001</v>
          </cell>
          <cell r="P3255">
            <v>1.3159794</v>
          </cell>
          <cell r="Q3255">
            <v>1.0379845000000001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0.29436109999999999</v>
          </cell>
          <cell r="Y3255">
            <v>0</v>
          </cell>
          <cell r="Z3255">
            <v>0</v>
          </cell>
          <cell r="AA3255">
            <v>0</v>
          </cell>
          <cell r="AB3255">
            <v>0.51821300000000003</v>
          </cell>
        </row>
        <row r="3256">
          <cell r="A3256">
            <v>56201110</v>
          </cell>
          <cell r="B3256" t="str">
            <v>Grits, cooked, corn or hominy, quick, fat not added in cooking</v>
          </cell>
          <cell r="I3256">
            <v>242</v>
          </cell>
          <cell r="J3256">
            <v>120.47199999999999</v>
          </cell>
          <cell r="K3256">
            <v>0.49781818181818177</v>
          </cell>
          <cell r="L3256">
            <v>0</v>
          </cell>
          <cell r="M3256">
            <v>0.110704</v>
          </cell>
          <cell r="N3256">
            <v>0</v>
          </cell>
          <cell r="O3256">
            <v>7.7704000000000002E-3</v>
          </cell>
          <cell r="P3256">
            <v>1.49776</v>
          </cell>
          <cell r="Q3256">
            <v>0.28489999999999999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0.3497384</v>
          </cell>
          <cell r="Y3256">
            <v>0</v>
          </cell>
          <cell r="Z3256">
            <v>0</v>
          </cell>
          <cell r="AA3256">
            <v>0</v>
          </cell>
          <cell r="AB3256">
            <v>2.1080700000000001E-2</v>
          </cell>
        </row>
        <row r="3257">
          <cell r="A3257">
            <v>56201120</v>
          </cell>
          <cell r="B3257" t="str">
            <v>Grits, cooked, corn or hominy, quick, fat added in cooking</v>
          </cell>
          <cell r="I3257">
            <v>247</v>
          </cell>
          <cell r="J3257">
            <v>173.16355999999999</v>
          </cell>
          <cell r="K3257">
            <v>0.70106704453441293</v>
          </cell>
          <cell r="L3257">
            <v>0</v>
          </cell>
          <cell r="M3257">
            <v>1.4300759000000001</v>
          </cell>
          <cell r="N3257">
            <v>0</v>
          </cell>
          <cell r="O3257">
            <v>9.8738000000000003E-3</v>
          </cell>
          <cell r="P3257">
            <v>1.4265771</v>
          </cell>
          <cell r="Q3257">
            <v>3.1732558000000002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0.4125605</v>
          </cell>
          <cell r="Y3257">
            <v>0</v>
          </cell>
          <cell r="Z3257">
            <v>0</v>
          </cell>
          <cell r="AA3257">
            <v>0</v>
          </cell>
          <cell r="AB3257">
            <v>0.40157670000000001</v>
          </cell>
        </row>
        <row r="3258">
          <cell r="A3258">
            <v>56201210</v>
          </cell>
          <cell r="B3258" t="str">
            <v>Grits, instant, made with water, fat not added in cooking</v>
          </cell>
          <cell r="I3258">
            <v>242</v>
          </cell>
          <cell r="J3258">
            <v>157.03837999999999</v>
          </cell>
          <cell r="K3258">
            <v>0.64891892561983466</v>
          </cell>
          <cell r="L3258">
            <v>0</v>
          </cell>
          <cell r="M3258">
            <v>0.1657373</v>
          </cell>
          <cell r="N3258">
            <v>0</v>
          </cell>
          <cell r="O3258">
            <v>0.1789492</v>
          </cell>
          <cell r="P3258">
            <v>1.9229189</v>
          </cell>
          <cell r="Q3258">
            <v>0.44272919999999999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0.52108489999999996</v>
          </cell>
          <cell r="Y3258">
            <v>0</v>
          </cell>
          <cell r="Z3258">
            <v>0</v>
          </cell>
          <cell r="AA3258">
            <v>0</v>
          </cell>
          <cell r="AB3258">
            <v>4.0514000000000001E-2</v>
          </cell>
        </row>
        <row r="3259">
          <cell r="A3259">
            <v>56201220</v>
          </cell>
          <cell r="B3259" t="str">
            <v>Grits, instant, made with water, fat added in cooking</v>
          </cell>
          <cell r="I3259">
            <v>247</v>
          </cell>
          <cell r="J3259">
            <v>206.97953999999999</v>
          </cell>
          <cell r="K3259">
            <v>0.83797384615384607</v>
          </cell>
          <cell r="L3259">
            <v>0</v>
          </cell>
          <cell r="M3259">
            <v>3.0416839000000002</v>
          </cell>
          <cell r="N3259">
            <v>0</v>
          </cell>
          <cell r="O3259">
            <v>0.17851800000000001</v>
          </cell>
          <cell r="P3259">
            <v>1.8985098</v>
          </cell>
          <cell r="Q3259">
            <v>1.4393642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0.56752689999999995</v>
          </cell>
          <cell r="Y3259">
            <v>0</v>
          </cell>
          <cell r="Z3259">
            <v>0</v>
          </cell>
          <cell r="AA3259">
            <v>0</v>
          </cell>
          <cell r="AB3259">
            <v>0.44763849999999999</v>
          </cell>
        </row>
        <row r="3260">
          <cell r="A3260">
            <v>56201230</v>
          </cell>
          <cell r="B3260" t="str">
            <v>Grits, cooked, corn or hominy, instant, NS as to fat added in cooking</v>
          </cell>
          <cell r="I3260">
            <v>247</v>
          </cell>
          <cell r="J3260">
            <v>161.92410000000001</v>
          </cell>
          <cell r="K3260">
            <v>0.65556315789473685</v>
          </cell>
          <cell r="L3260">
            <v>-2.7400000000000001E-16</v>
          </cell>
          <cell r="M3260">
            <v>0.17089370000000001</v>
          </cell>
          <cell r="N3260">
            <v>0</v>
          </cell>
          <cell r="O3260">
            <v>0.18444070000000001</v>
          </cell>
          <cell r="P3260">
            <v>1.9827440000000001</v>
          </cell>
          <cell r="Q3260">
            <v>0.4565032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0.53719550000000005</v>
          </cell>
          <cell r="Y3260">
            <v>0</v>
          </cell>
          <cell r="Z3260">
            <v>0</v>
          </cell>
          <cell r="AA3260">
            <v>0</v>
          </cell>
          <cell r="AB3260">
            <v>0.27705970000000002</v>
          </cell>
        </row>
        <row r="3261">
          <cell r="A3261">
            <v>56201320</v>
          </cell>
          <cell r="B3261" t="str">
            <v>Grits, cooked, corn or hominy, regular, made with milk, fat added in cooking</v>
          </cell>
          <cell r="I3261">
            <v>242</v>
          </cell>
          <cell r="J3261">
            <v>243.81688</v>
          </cell>
          <cell r="K3261">
            <v>1.0075077685950413</v>
          </cell>
          <cell r="L3261">
            <v>0</v>
          </cell>
          <cell r="M3261">
            <v>3.9138728</v>
          </cell>
          <cell r="N3261">
            <v>0</v>
          </cell>
          <cell r="O3261">
            <v>0.247555</v>
          </cell>
          <cell r="P3261">
            <v>1.4395046</v>
          </cell>
          <cell r="Q3261">
            <v>0.96360109999999999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0.2495378</v>
          </cell>
          <cell r="Y3261">
            <v>0</v>
          </cell>
          <cell r="Z3261">
            <v>0</v>
          </cell>
          <cell r="AA3261">
            <v>0</v>
          </cell>
          <cell r="AB3261">
            <v>0.30000189999999999</v>
          </cell>
        </row>
        <row r="3262">
          <cell r="A3262">
            <v>56201322</v>
          </cell>
          <cell r="B3262" t="str">
            <v>Grits, cooked, corn or hominy, regular, made with milk, fat not added in cooking</v>
          </cell>
          <cell r="I3262">
            <v>242</v>
          </cell>
          <cell r="J3262">
            <v>221.74802</v>
          </cell>
          <cell r="K3262">
            <v>0.9163141322314049</v>
          </cell>
          <cell r="L3262">
            <v>-2.6899999999999998E-16</v>
          </cell>
          <cell r="M3262">
            <v>2.5295949000000002</v>
          </cell>
          <cell r="N3262">
            <v>0</v>
          </cell>
          <cell r="O3262">
            <v>0.25078800000000001</v>
          </cell>
          <cell r="P3262">
            <v>1.4636958</v>
          </cell>
          <cell r="Q3262">
            <v>0.47482740000000001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0.2269998</v>
          </cell>
          <cell r="Y3262">
            <v>0</v>
          </cell>
          <cell r="Z3262">
            <v>0</v>
          </cell>
          <cell r="AA3262">
            <v>0</v>
          </cell>
          <cell r="AB3262">
            <v>0.17646790000000001</v>
          </cell>
        </row>
        <row r="3263">
          <cell r="A3263">
            <v>56201324</v>
          </cell>
          <cell r="B3263" t="str">
            <v>Grits, cooked, corn or hominy, regular, made with milk, NS as to fat added in cooking</v>
          </cell>
          <cell r="I3263">
            <v>242</v>
          </cell>
          <cell r="J3263">
            <v>243.81688</v>
          </cell>
          <cell r="K3263">
            <v>1.0075077685950413</v>
          </cell>
          <cell r="L3263">
            <v>0</v>
          </cell>
          <cell r="M3263">
            <v>3.9138728</v>
          </cell>
          <cell r="N3263">
            <v>0</v>
          </cell>
          <cell r="O3263">
            <v>0.247555</v>
          </cell>
          <cell r="P3263">
            <v>1.4395046</v>
          </cell>
          <cell r="Q3263">
            <v>0.96360109999999999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0.2495378</v>
          </cell>
          <cell r="Y3263">
            <v>0</v>
          </cell>
          <cell r="Z3263">
            <v>0</v>
          </cell>
          <cell r="AA3263">
            <v>0</v>
          </cell>
          <cell r="AB3263">
            <v>0.29796840000000002</v>
          </cell>
        </row>
        <row r="3264">
          <cell r="A3264">
            <v>56201330</v>
          </cell>
          <cell r="B3264" t="str">
            <v>Grits, cooked, corn or hominy, quick, made with milk, fat added in cooking</v>
          </cell>
          <cell r="I3264">
            <v>242</v>
          </cell>
          <cell r="J3264">
            <v>243.81688</v>
          </cell>
          <cell r="K3264">
            <v>1.0075077685950413</v>
          </cell>
          <cell r="L3264">
            <v>0</v>
          </cell>
          <cell r="M3264">
            <v>3.9138728</v>
          </cell>
          <cell r="N3264">
            <v>0</v>
          </cell>
          <cell r="O3264">
            <v>0.247555</v>
          </cell>
          <cell r="P3264">
            <v>1.4395046</v>
          </cell>
          <cell r="Q3264">
            <v>0.96360109999999999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0.2495378</v>
          </cell>
          <cell r="Y3264">
            <v>0</v>
          </cell>
          <cell r="Z3264">
            <v>0</v>
          </cell>
          <cell r="AA3264">
            <v>0</v>
          </cell>
          <cell r="AB3264">
            <v>0.30061339999999998</v>
          </cell>
        </row>
        <row r="3265">
          <cell r="A3265">
            <v>56201332</v>
          </cell>
          <cell r="B3265" t="str">
            <v>Grits, cooked, corn or hominy, quick, made with milk, fat not added in cooking</v>
          </cell>
          <cell r="I3265">
            <v>242</v>
          </cell>
          <cell r="J3265">
            <v>221.74802</v>
          </cell>
          <cell r="K3265">
            <v>0.9163141322314049</v>
          </cell>
          <cell r="L3265">
            <v>-2.6899999999999998E-16</v>
          </cell>
          <cell r="M3265">
            <v>2.5295949000000002</v>
          </cell>
          <cell r="N3265">
            <v>0</v>
          </cell>
          <cell r="O3265">
            <v>0.25078800000000001</v>
          </cell>
          <cell r="P3265">
            <v>1.4636958</v>
          </cell>
          <cell r="Q3265">
            <v>0.47482740000000001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0.2269998</v>
          </cell>
          <cell r="Y3265">
            <v>0</v>
          </cell>
          <cell r="Z3265">
            <v>0</v>
          </cell>
          <cell r="AA3265">
            <v>0</v>
          </cell>
          <cell r="AB3265">
            <v>0.17808860000000001</v>
          </cell>
        </row>
        <row r="3266">
          <cell r="A3266">
            <v>56201342</v>
          </cell>
          <cell r="B3266" t="str">
            <v>Grits, instant, made with milk, fat not added in cooking</v>
          </cell>
          <cell r="I3266">
            <v>242</v>
          </cell>
          <cell r="J3266">
            <v>256.57886000000002</v>
          </cell>
          <cell r="K3266">
            <v>1.0602432231404959</v>
          </cell>
          <cell r="L3266">
            <v>0</v>
          </cell>
          <cell r="M3266">
            <v>2.5823558000000002</v>
          </cell>
          <cell r="N3266">
            <v>0</v>
          </cell>
          <cell r="O3266">
            <v>0.40581440000000002</v>
          </cell>
          <cell r="P3266">
            <v>1.9229189</v>
          </cell>
          <cell r="Q3266">
            <v>0.64196710000000001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0.60063089999999997</v>
          </cell>
          <cell r="Y3266">
            <v>0</v>
          </cell>
          <cell r="Z3266">
            <v>0</v>
          </cell>
          <cell r="AA3266">
            <v>0</v>
          </cell>
          <cell r="AB3266">
            <v>0.16731409999999999</v>
          </cell>
        </row>
        <row r="3267">
          <cell r="A3267">
            <v>56201510</v>
          </cell>
          <cell r="B3267" t="str">
            <v>Cornmeal mush, made with water</v>
          </cell>
          <cell r="I3267">
            <v>240</v>
          </cell>
          <cell r="J3267">
            <v>112.52893</v>
          </cell>
          <cell r="K3267">
            <v>0.4688705416666667</v>
          </cell>
          <cell r="L3267">
            <v>-1.3299999999999999E-16</v>
          </cell>
          <cell r="M3267">
            <v>6.6909099999999999E-2</v>
          </cell>
          <cell r="N3267">
            <v>0</v>
          </cell>
          <cell r="O3267">
            <v>7.3388000000000004E-3</v>
          </cell>
          <cell r="P3267">
            <v>1.1861157</v>
          </cell>
          <cell r="Q3267">
            <v>0.25182149999999998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0.26673720000000001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</row>
        <row r="3268">
          <cell r="A3268">
            <v>56201515</v>
          </cell>
          <cell r="B3268" t="str">
            <v>Cornmeal mush, NS as to fat added in cooking</v>
          </cell>
          <cell r="I3268">
            <v>240</v>
          </cell>
          <cell r="J3268">
            <v>143.68555000000001</v>
          </cell>
          <cell r="K3268">
            <v>0.59868979166666669</v>
          </cell>
          <cell r="L3268">
            <v>-2.6599999999999998E-16</v>
          </cell>
          <cell r="M3268">
            <v>1.5842719999999999</v>
          </cell>
          <cell r="N3268">
            <v>0</v>
          </cell>
          <cell r="O3268">
            <v>8.1127000000000005E-3</v>
          </cell>
          <cell r="P3268">
            <v>1.2263455999999999</v>
          </cell>
          <cell r="Q3268">
            <v>0.78798020000000002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0.17004559999999999</v>
          </cell>
          <cell r="Y3268">
            <v>0</v>
          </cell>
          <cell r="Z3268">
            <v>0</v>
          </cell>
          <cell r="AA3268">
            <v>0</v>
          </cell>
          <cell r="AB3268">
            <v>0.1458527</v>
          </cell>
        </row>
        <row r="3269">
          <cell r="A3269">
            <v>56201516</v>
          </cell>
          <cell r="B3269" t="str">
            <v>Cornmeal mush, fat not added in cooking</v>
          </cell>
          <cell r="I3269">
            <v>240</v>
          </cell>
          <cell r="J3269">
            <v>118.44268</v>
          </cell>
          <cell r="K3269">
            <v>0.49351116666666667</v>
          </cell>
          <cell r="L3269">
            <v>0</v>
          </cell>
          <cell r="M3269">
            <v>7.0425399999999999E-2</v>
          </cell>
          <cell r="N3269">
            <v>0</v>
          </cell>
          <cell r="O3269">
            <v>7.2727E-3</v>
          </cell>
          <cell r="P3269">
            <v>1.2484499</v>
          </cell>
          <cell r="Q3269">
            <v>0.2650555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0.14467659999999999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</row>
        <row r="3270">
          <cell r="A3270">
            <v>56201517</v>
          </cell>
          <cell r="B3270" t="str">
            <v>Cornmeal mush, fat added in cooking</v>
          </cell>
          <cell r="I3270">
            <v>240</v>
          </cell>
          <cell r="J3270">
            <v>143.68555000000001</v>
          </cell>
          <cell r="K3270">
            <v>0.59868979166666669</v>
          </cell>
          <cell r="L3270">
            <v>-2.6599999999999998E-16</v>
          </cell>
          <cell r="M3270">
            <v>1.5842719999999999</v>
          </cell>
          <cell r="N3270">
            <v>0</v>
          </cell>
          <cell r="O3270">
            <v>8.1127000000000005E-3</v>
          </cell>
          <cell r="P3270">
            <v>1.2263455999999999</v>
          </cell>
          <cell r="Q3270">
            <v>0.78798020000000002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0.17004559999999999</v>
          </cell>
          <cell r="Y3270">
            <v>0</v>
          </cell>
          <cell r="Z3270">
            <v>0</v>
          </cell>
          <cell r="AA3270">
            <v>0</v>
          </cell>
          <cell r="AB3270">
            <v>0.1458527</v>
          </cell>
        </row>
        <row r="3271">
          <cell r="A3271">
            <v>56201520</v>
          </cell>
          <cell r="B3271" t="str">
            <v>Cornmeal mush, fried</v>
          </cell>
          <cell r="I3271">
            <v>140</v>
          </cell>
          <cell r="J3271">
            <v>65.641873000000004</v>
          </cell>
          <cell r="K3271">
            <v>0.46887052142857144</v>
          </cell>
          <cell r="L3271">
            <v>-7.7699999999999998E-17</v>
          </cell>
          <cell r="M3271">
            <v>3.9030299999999997E-2</v>
          </cell>
          <cell r="N3271">
            <v>0</v>
          </cell>
          <cell r="O3271">
            <v>4.2810000000000001E-3</v>
          </cell>
          <cell r="P3271">
            <v>0.69190079999999998</v>
          </cell>
          <cell r="Q3271">
            <v>0.1468959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0.1555967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</row>
        <row r="3272">
          <cell r="A3272">
            <v>56201530</v>
          </cell>
          <cell r="B3272" t="str">
            <v>Cornmeal mush, made with milk</v>
          </cell>
          <cell r="I3272">
            <v>240</v>
          </cell>
          <cell r="J3272">
            <v>213.65870000000001</v>
          </cell>
          <cell r="K3272">
            <v>0.89024458333333334</v>
          </cell>
          <cell r="L3272">
            <v>0</v>
          </cell>
          <cell r="M3272">
            <v>2.4851177</v>
          </cell>
          <cell r="N3272">
            <v>0</v>
          </cell>
          <cell r="O3272">
            <v>0.25031999999999999</v>
          </cell>
          <cell r="P3272">
            <v>1.1563832000000001</v>
          </cell>
          <cell r="Q3272">
            <v>0.44179249999999998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0.34520089999999998</v>
          </cell>
          <cell r="Y3272">
            <v>0</v>
          </cell>
          <cell r="Z3272">
            <v>0</v>
          </cell>
          <cell r="AA3272">
            <v>0</v>
          </cell>
          <cell r="AB3272">
            <v>0.25769130000000001</v>
          </cell>
        </row>
        <row r="3273">
          <cell r="A3273">
            <v>56201540</v>
          </cell>
          <cell r="B3273" t="str">
            <v>Cornmeal, Puerto Rican Style</v>
          </cell>
          <cell r="I3273">
            <v>227</v>
          </cell>
          <cell r="J3273">
            <v>252.29371</v>
          </cell>
          <cell r="K3273">
            <v>1.1114260352422907</v>
          </cell>
          <cell r="L3273">
            <v>0</v>
          </cell>
          <cell r="M3273">
            <v>2.0439642</v>
          </cell>
          <cell r="N3273">
            <v>0</v>
          </cell>
          <cell r="O3273">
            <v>0.1936272</v>
          </cell>
          <cell r="P3273">
            <v>0.89260899999999999</v>
          </cell>
          <cell r="Q3273">
            <v>0.35387099999999999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0.2675476</v>
          </cell>
          <cell r="Y3273">
            <v>0</v>
          </cell>
          <cell r="Z3273">
            <v>0</v>
          </cell>
          <cell r="AA3273">
            <v>0</v>
          </cell>
          <cell r="AB3273">
            <v>0.18021380000000001</v>
          </cell>
        </row>
        <row r="3274">
          <cell r="A3274">
            <v>56201550</v>
          </cell>
          <cell r="B3274" t="str">
            <v>Cornmeal dumpling</v>
          </cell>
          <cell r="I3274">
            <v>240</v>
          </cell>
          <cell r="J3274">
            <v>542.11441000000002</v>
          </cell>
          <cell r="K3274">
            <v>2.2588100416666665</v>
          </cell>
          <cell r="L3274">
            <v>0</v>
          </cell>
          <cell r="M3274">
            <v>4.1393392999999996</v>
          </cell>
          <cell r="N3274">
            <v>0</v>
          </cell>
          <cell r="O3274">
            <v>0.2795396</v>
          </cell>
          <cell r="P3274">
            <v>3.6236541999999998</v>
          </cell>
          <cell r="Q3274">
            <v>3.9132079000000002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1.1407801</v>
          </cell>
          <cell r="Y3274">
            <v>0</v>
          </cell>
          <cell r="Z3274">
            <v>0</v>
          </cell>
          <cell r="AA3274">
            <v>0</v>
          </cell>
          <cell r="AB3274">
            <v>1.2645748000000001</v>
          </cell>
        </row>
        <row r="3275">
          <cell r="A3275">
            <v>56201600</v>
          </cell>
          <cell r="B3275" t="str">
            <v>Masa harina, cooked</v>
          </cell>
          <cell r="I3275">
            <v>240</v>
          </cell>
          <cell r="J3275">
            <v>93.255211000000003</v>
          </cell>
          <cell r="K3275">
            <v>0.38856337916666667</v>
          </cell>
          <cell r="L3275">
            <v>0</v>
          </cell>
          <cell r="M3275">
            <v>0.1366715</v>
          </cell>
          <cell r="N3275">
            <v>0</v>
          </cell>
          <cell r="O3275">
            <v>4.2023699999999997E-2</v>
          </cell>
          <cell r="P3275">
            <v>1.644169</v>
          </cell>
          <cell r="Q3275">
            <v>0.44289800000000001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0.27185579999999998</v>
          </cell>
          <cell r="Y3275">
            <v>0</v>
          </cell>
          <cell r="Z3275">
            <v>0</v>
          </cell>
          <cell r="AA3275">
            <v>0</v>
          </cell>
          <cell r="AB3275">
            <v>5.5479800000000003E-2</v>
          </cell>
        </row>
        <row r="3276">
          <cell r="A3276">
            <v>56201700</v>
          </cell>
          <cell r="B3276" t="str">
            <v>Cornstarch with milk, eaten as a cereal (2 tbsp cornstarch in 2-1/2 cups milk)</v>
          </cell>
          <cell r="I3276">
            <v>250</v>
          </cell>
          <cell r="J3276">
            <v>145.10264000000001</v>
          </cell>
          <cell r="K3276">
            <v>0.58041056000000002</v>
          </cell>
          <cell r="L3276">
            <v>0</v>
          </cell>
          <cell r="M3276">
            <v>2.8117152999999999</v>
          </cell>
          <cell r="N3276">
            <v>0</v>
          </cell>
          <cell r="O3276">
            <v>0.2897073</v>
          </cell>
          <cell r="P3276">
            <v>5.7507999999999997E-2</v>
          </cell>
          <cell r="Q3276">
            <v>0.2296166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0.10895730000000001</v>
          </cell>
          <cell r="Y3276">
            <v>0</v>
          </cell>
          <cell r="Z3276">
            <v>0</v>
          </cell>
          <cell r="AA3276">
            <v>0</v>
          </cell>
          <cell r="AB3276">
            <v>0.18110699999999999</v>
          </cell>
        </row>
        <row r="3277">
          <cell r="A3277">
            <v>56202000</v>
          </cell>
          <cell r="B3277" t="str">
            <v>Millet, fat not added in cooking</v>
          </cell>
          <cell r="I3277">
            <v>174</v>
          </cell>
          <cell r="J3277">
            <v>206.17133000000001</v>
          </cell>
          <cell r="K3277">
            <v>1.1848927011494255</v>
          </cell>
          <cell r="L3277">
            <v>2.2522918000000001</v>
          </cell>
          <cell r="M3277">
            <v>0.29799550000000002</v>
          </cell>
          <cell r="N3277">
            <v>0</v>
          </cell>
          <cell r="O3277">
            <v>5.3768000000000002E-3</v>
          </cell>
          <cell r="P3277">
            <v>0</v>
          </cell>
          <cell r="Q3277">
            <v>0.88012639999999998</v>
          </cell>
          <cell r="R3277">
            <v>59.923090999999999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0.29290250000000001</v>
          </cell>
          <cell r="Y3277">
            <v>0</v>
          </cell>
          <cell r="Z3277">
            <v>0</v>
          </cell>
          <cell r="AA3277">
            <v>0</v>
          </cell>
          <cell r="AB3277">
            <v>1.37555E-2</v>
          </cell>
        </row>
        <row r="3278">
          <cell r="A3278">
            <v>56202100</v>
          </cell>
          <cell r="B3278" t="str">
            <v>Millet, fat added in cooking</v>
          </cell>
          <cell r="I3278">
            <v>179</v>
          </cell>
          <cell r="J3278">
            <v>250.51264</v>
          </cell>
          <cell r="K3278">
            <v>1.3995119553072626</v>
          </cell>
          <cell r="L3278">
            <v>2.1970459999999998</v>
          </cell>
          <cell r="M3278">
            <v>1.4108164000000001</v>
          </cell>
          <cell r="N3278">
            <v>0</v>
          </cell>
          <cell r="O3278">
            <v>7.1912E-3</v>
          </cell>
          <cell r="P3278">
            <v>0</v>
          </cell>
          <cell r="Q3278">
            <v>3.3124259999999999</v>
          </cell>
          <cell r="R3278">
            <v>58.453254000000001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0.34507949999999998</v>
          </cell>
          <cell r="Y3278">
            <v>0</v>
          </cell>
          <cell r="Z3278">
            <v>0</v>
          </cell>
          <cell r="AA3278">
            <v>0</v>
          </cell>
          <cell r="AB3278">
            <v>0.33957949999999998</v>
          </cell>
        </row>
        <row r="3279">
          <cell r="A3279">
            <v>56202900</v>
          </cell>
          <cell r="B3279" t="str">
            <v>Oatmeal, from fast food, plain</v>
          </cell>
          <cell r="I3279">
            <v>234</v>
          </cell>
          <cell r="J3279">
            <v>157.25134</v>
          </cell>
          <cell r="K3279">
            <v>0.67201427350427345</v>
          </cell>
          <cell r="L3279">
            <v>3.3702673999999999</v>
          </cell>
          <cell r="M3279">
            <v>2.1302759</v>
          </cell>
          <cell r="N3279">
            <v>0</v>
          </cell>
          <cell r="O3279">
            <v>4.9486200000000001E-2</v>
          </cell>
          <cell r="P3279">
            <v>0</v>
          </cell>
          <cell r="Q3279">
            <v>0.90613480000000002</v>
          </cell>
          <cell r="R3279">
            <v>33.368983999999998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0.1859403</v>
          </cell>
          <cell r="Y3279">
            <v>0</v>
          </cell>
          <cell r="Z3279">
            <v>0</v>
          </cell>
          <cell r="AA3279">
            <v>0</v>
          </cell>
          <cell r="AB3279">
            <v>0.11612409999999999</v>
          </cell>
        </row>
        <row r="3280">
          <cell r="A3280">
            <v>56202905</v>
          </cell>
          <cell r="B3280" t="str">
            <v>Oatmeal, from fast food, maple flavored</v>
          </cell>
          <cell r="I3280">
            <v>234</v>
          </cell>
          <cell r="J3280">
            <v>216.79411999999999</v>
          </cell>
          <cell r="K3280">
            <v>0.9264705982905983</v>
          </cell>
          <cell r="L3280">
            <v>3.0894118000000002</v>
          </cell>
          <cell r="M3280">
            <v>1.9527528999999999</v>
          </cell>
          <cell r="N3280">
            <v>0</v>
          </cell>
          <cell r="O3280">
            <v>6.1321800000000003E-2</v>
          </cell>
          <cell r="P3280">
            <v>0</v>
          </cell>
          <cell r="Q3280">
            <v>0.83062349999999996</v>
          </cell>
          <cell r="R3280">
            <v>30.588235000000001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0.32399060000000002</v>
          </cell>
          <cell r="Y3280">
            <v>0</v>
          </cell>
          <cell r="Z3280">
            <v>0</v>
          </cell>
          <cell r="AA3280">
            <v>0</v>
          </cell>
          <cell r="AB3280">
            <v>0.1064471</v>
          </cell>
        </row>
        <row r="3281">
          <cell r="A3281">
            <v>56202910</v>
          </cell>
          <cell r="B3281" t="str">
            <v>Oatmeal, from fast food, fruit flavored</v>
          </cell>
          <cell r="I3281">
            <v>234</v>
          </cell>
          <cell r="J3281">
            <v>241.75425000000001</v>
          </cell>
          <cell r="K3281">
            <v>1.0331378205128205</v>
          </cell>
          <cell r="L3281">
            <v>3.6575367000000001</v>
          </cell>
          <cell r="M3281">
            <v>1.7716065000000001</v>
          </cell>
          <cell r="N3281">
            <v>0</v>
          </cell>
          <cell r="O3281">
            <v>5.9899899999999999E-2</v>
          </cell>
          <cell r="P3281">
            <v>0</v>
          </cell>
          <cell r="Q3281">
            <v>0.77237160000000005</v>
          </cell>
          <cell r="R3281">
            <v>27.44868</v>
          </cell>
          <cell r="S3281">
            <v>0</v>
          </cell>
          <cell r="T3281">
            <v>20.354431999999999</v>
          </cell>
          <cell r="U3281">
            <v>0</v>
          </cell>
          <cell r="V3281">
            <v>0</v>
          </cell>
          <cell r="W3281">
            <v>0</v>
          </cell>
          <cell r="X3281">
            <v>0.29200589999999998</v>
          </cell>
          <cell r="Y3281">
            <v>0</v>
          </cell>
          <cell r="Z3281">
            <v>0</v>
          </cell>
          <cell r="AA3281">
            <v>0</v>
          </cell>
          <cell r="AB3281">
            <v>9.5727300000000001E-2</v>
          </cell>
        </row>
        <row r="3282">
          <cell r="A3282">
            <v>56202960</v>
          </cell>
          <cell r="B3282" t="str">
            <v>Oatmeal, NS as to regular, quick, or instant, NS as to fat added in cooking</v>
          </cell>
          <cell r="I3282">
            <v>234</v>
          </cell>
          <cell r="J3282">
            <v>150.67337000000001</v>
          </cell>
          <cell r="K3282">
            <v>0.64390329059829066</v>
          </cell>
          <cell r="L3282">
            <v>3.3124036000000001</v>
          </cell>
          <cell r="M3282">
            <v>1.8257247000000001</v>
          </cell>
          <cell r="N3282">
            <v>0</v>
          </cell>
          <cell r="O3282">
            <v>2.3970700000000001E-2</v>
          </cell>
          <cell r="P3282">
            <v>0</v>
          </cell>
          <cell r="Q3282">
            <v>1.2633293999999999</v>
          </cell>
          <cell r="R3282">
            <v>32.796075999999999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0.16389590000000001</v>
          </cell>
          <cell r="Y3282">
            <v>0</v>
          </cell>
          <cell r="Z3282">
            <v>0</v>
          </cell>
          <cell r="AA3282">
            <v>0</v>
          </cell>
          <cell r="AB3282">
            <v>0.14071159999999999</v>
          </cell>
        </row>
        <row r="3283">
          <cell r="A3283">
            <v>56202980</v>
          </cell>
          <cell r="B3283" t="str">
            <v>Oatmeal, cooked, regular, NS as to fat added in cooking</v>
          </cell>
          <cell r="I3283">
            <v>234</v>
          </cell>
          <cell r="J3283">
            <v>129.08474000000001</v>
          </cell>
          <cell r="K3283">
            <v>0.55164418803418813</v>
          </cell>
          <cell r="L3283">
            <v>3.4399891999999999</v>
          </cell>
          <cell r="M3283">
            <v>0.37805820000000001</v>
          </cell>
          <cell r="N3283">
            <v>0</v>
          </cell>
          <cell r="O3283">
            <v>2.3841500000000002E-2</v>
          </cell>
          <cell r="P3283">
            <v>0</v>
          </cell>
          <cell r="Q3283">
            <v>0.7833639</v>
          </cell>
          <cell r="R3283">
            <v>34.059299000000003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0.25447340000000002</v>
          </cell>
          <cell r="Y3283">
            <v>0</v>
          </cell>
          <cell r="Z3283">
            <v>0</v>
          </cell>
          <cell r="AA3283">
            <v>0</v>
          </cell>
          <cell r="AB3283">
            <v>7.03183E-2</v>
          </cell>
        </row>
        <row r="3284">
          <cell r="A3284">
            <v>56203000</v>
          </cell>
          <cell r="B3284" t="str">
            <v>Oatmeal, NS as to regular, quick, or instant, fat not added in cooking</v>
          </cell>
          <cell r="I3284">
            <v>234</v>
          </cell>
          <cell r="J3284">
            <v>126.51355</v>
          </cell>
          <cell r="K3284">
            <v>0.54065619658119657</v>
          </cell>
          <cell r="L3284">
            <v>3.3714692999999998</v>
          </cell>
          <cell r="M3284">
            <v>0.37052780000000002</v>
          </cell>
          <cell r="N3284">
            <v>0</v>
          </cell>
          <cell r="O3284">
            <v>2.3446700000000001E-2</v>
          </cell>
          <cell r="P3284">
            <v>0</v>
          </cell>
          <cell r="Q3284">
            <v>0.76776029999999995</v>
          </cell>
          <cell r="R3284">
            <v>33.380884000000002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0.13939190000000001</v>
          </cell>
          <cell r="Y3284">
            <v>0</v>
          </cell>
          <cell r="Z3284">
            <v>0</v>
          </cell>
          <cell r="AA3284">
            <v>0</v>
          </cell>
          <cell r="AB3284">
            <v>6.9820199999999999E-2</v>
          </cell>
        </row>
        <row r="3285">
          <cell r="A3285">
            <v>56203010</v>
          </cell>
          <cell r="B3285" t="str">
            <v>Oatmeal, cooked, regular, fat not added in cooking</v>
          </cell>
          <cell r="I3285">
            <v>234</v>
          </cell>
          <cell r="J3285">
            <v>129.08474000000001</v>
          </cell>
          <cell r="K3285">
            <v>0.55164418803418813</v>
          </cell>
          <cell r="L3285">
            <v>3.4399891999999999</v>
          </cell>
          <cell r="M3285">
            <v>0.37805820000000001</v>
          </cell>
          <cell r="N3285">
            <v>0</v>
          </cell>
          <cell r="O3285">
            <v>2.3841500000000002E-2</v>
          </cell>
          <cell r="P3285">
            <v>0</v>
          </cell>
          <cell r="Q3285">
            <v>0.7833639</v>
          </cell>
          <cell r="R3285">
            <v>34.059299000000003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0.25447340000000002</v>
          </cell>
          <cell r="Y3285">
            <v>0</v>
          </cell>
          <cell r="Z3285">
            <v>0</v>
          </cell>
          <cell r="AA3285">
            <v>0</v>
          </cell>
          <cell r="AB3285">
            <v>9.4177200000000003E-2</v>
          </cell>
        </row>
        <row r="3286">
          <cell r="A3286">
            <v>56203020</v>
          </cell>
          <cell r="B3286" t="str">
            <v>Oatmeal, cooked, quick (1 or 3 minutes), fat not added in cooking</v>
          </cell>
          <cell r="I3286">
            <v>234</v>
          </cell>
          <cell r="J3286">
            <v>129.08474000000001</v>
          </cell>
          <cell r="K3286">
            <v>0.55164418803418813</v>
          </cell>
          <cell r="L3286">
            <v>3.4399891999999999</v>
          </cell>
          <cell r="M3286">
            <v>0.37805820000000001</v>
          </cell>
          <cell r="N3286">
            <v>0</v>
          </cell>
          <cell r="O3286">
            <v>2.3841500000000002E-2</v>
          </cell>
          <cell r="P3286">
            <v>0</v>
          </cell>
          <cell r="Q3286">
            <v>0.7833639</v>
          </cell>
          <cell r="R3286">
            <v>34.059299000000003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0.25447340000000002</v>
          </cell>
          <cell r="Y3286">
            <v>0</v>
          </cell>
          <cell r="Z3286">
            <v>0</v>
          </cell>
          <cell r="AA3286">
            <v>0</v>
          </cell>
          <cell r="AB3286">
            <v>9.5138100000000003E-2</v>
          </cell>
        </row>
        <row r="3287">
          <cell r="A3287">
            <v>56203030</v>
          </cell>
          <cell r="B3287" t="str">
            <v>Oatmeal, cooked, instant, fat not added in cooking</v>
          </cell>
          <cell r="I3287">
            <v>234</v>
          </cell>
          <cell r="J3287">
            <v>203.97878</v>
          </cell>
          <cell r="K3287">
            <v>0.87170418803418803</v>
          </cell>
          <cell r="L3287">
            <v>4.8756269999999997</v>
          </cell>
          <cell r="M3287">
            <v>0.5493808</v>
          </cell>
          <cell r="N3287">
            <v>0</v>
          </cell>
          <cell r="O3287">
            <v>0.16028619999999999</v>
          </cell>
          <cell r="P3287">
            <v>0</v>
          </cell>
          <cell r="Q3287">
            <v>1.1206418</v>
          </cell>
          <cell r="R3287">
            <v>45.598022999999998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0.20369290000000001</v>
          </cell>
          <cell r="Y3287">
            <v>0</v>
          </cell>
          <cell r="Z3287">
            <v>0</v>
          </cell>
          <cell r="AA3287">
            <v>0</v>
          </cell>
          <cell r="AB3287">
            <v>4.4091E-3</v>
          </cell>
        </row>
        <row r="3288">
          <cell r="A3288">
            <v>56203040</v>
          </cell>
          <cell r="B3288" t="str">
            <v>Oatmeal, cooked, NS as to regular, quick, or instant, fat added in cooking</v>
          </cell>
          <cell r="I3288">
            <v>239</v>
          </cell>
          <cell r="J3288">
            <v>169.70788999999999</v>
          </cell>
          <cell r="K3288">
            <v>0.71007485355648536</v>
          </cell>
          <cell r="L3288">
            <v>3.3970003000000002</v>
          </cell>
          <cell r="M3288">
            <v>1.3310595000000001</v>
          </cell>
          <cell r="N3288">
            <v>0</v>
          </cell>
          <cell r="O3288">
            <v>2.52077E-2</v>
          </cell>
          <cell r="P3288">
            <v>0</v>
          </cell>
          <cell r="Q3288">
            <v>2.8716800999999998</v>
          </cell>
          <cell r="R3288">
            <v>33.633665999999998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0.30204819999999999</v>
          </cell>
          <cell r="Y3288">
            <v>0</v>
          </cell>
          <cell r="Z3288">
            <v>0</v>
          </cell>
          <cell r="AA3288">
            <v>0</v>
          </cell>
          <cell r="AB3288">
            <v>0.32939859999999999</v>
          </cell>
        </row>
        <row r="3289">
          <cell r="A3289">
            <v>56203050</v>
          </cell>
          <cell r="B3289" t="str">
            <v>Oatmeal, cooked, regular, fat added in cooking</v>
          </cell>
          <cell r="I3289">
            <v>239</v>
          </cell>
          <cell r="J3289">
            <v>169.70788999999999</v>
          </cell>
          <cell r="K3289">
            <v>0.71007485355648536</v>
          </cell>
          <cell r="L3289">
            <v>3.3970003000000002</v>
          </cell>
          <cell r="M3289">
            <v>1.3310595000000001</v>
          </cell>
          <cell r="N3289">
            <v>0</v>
          </cell>
          <cell r="O3289">
            <v>2.52077E-2</v>
          </cell>
          <cell r="P3289">
            <v>0</v>
          </cell>
          <cell r="Q3289">
            <v>2.8716800999999998</v>
          </cell>
          <cell r="R3289">
            <v>33.633665999999998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0.30204819999999999</v>
          </cell>
          <cell r="Y3289">
            <v>0</v>
          </cell>
          <cell r="Z3289">
            <v>0</v>
          </cell>
          <cell r="AA3289">
            <v>0</v>
          </cell>
          <cell r="AB3289">
            <v>0.36080259999999997</v>
          </cell>
        </row>
        <row r="3290">
          <cell r="A3290">
            <v>56203056</v>
          </cell>
          <cell r="B3290" t="str">
            <v>Oatmeal, regular or quick, made with water, fat not added in cooking</v>
          </cell>
          <cell r="I3290">
            <v>239</v>
          </cell>
          <cell r="J3290">
            <v>129.21682999999999</v>
          </cell>
          <cell r="K3290">
            <v>0.54065619246861918</v>
          </cell>
          <cell r="L3290">
            <v>3.4435093000000001</v>
          </cell>
          <cell r="M3290">
            <v>0.37844509999999998</v>
          </cell>
          <cell r="N3290">
            <v>0</v>
          </cell>
          <cell r="O3290">
            <v>2.3947699999999999E-2</v>
          </cell>
          <cell r="P3290">
            <v>0</v>
          </cell>
          <cell r="Q3290">
            <v>0.78416549999999996</v>
          </cell>
          <cell r="R3290">
            <v>34.094150999999997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0.14237040000000001</v>
          </cell>
          <cell r="Y3290">
            <v>0</v>
          </cell>
          <cell r="Z3290">
            <v>0</v>
          </cell>
          <cell r="AA3290">
            <v>0</v>
          </cell>
          <cell r="AB3290">
            <v>7.4698399999999998E-2</v>
          </cell>
        </row>
        <row r="3291">
          <cell r="A3291">
            <v>56203057</v>
          </cell>
          <cell r="B3291" t="str">
            <v>Oatmeal, regular or quick, made with water, fat added in cooking</v>
          </cell>
          <cell r="I3291">
            <v>239</v>
          </cell>
          <cell r="J3291">
            <v>153.89288999999999</v>
          </cell>
          <cell r="K3291">
            <v>0.6439033054393305</v>
          </cell>
          <cell r="L3291">
            <v>3.3831815000000001</v>
          </cell>
          <cell r="M3291">
            <v>1.8647358999999999</v>
          </cell>
          <cell r="N3291">
            <v>0</v>
          </cell>
          <cell r="O3291">
            <v>2.4482799999999999E-2</v>
          </cell>
          <cell r="P3291">
            <v>0</v>
          </cell>
          <cell r="Q3291">
            <v>1.2903237000000001</v>
          </cell>
          <cell r="R3291">
            <v>33.496847000000002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0.16739799999999999</v>
          </cell>
          <cell r="Y3291">
            <v>0</v>
          </cell>
          <cell r="Z3291">
            <v>0</v>
          </cell>
          <cell r="AA3291">
            <v>0</v>
          </cell>
          <cell r="AB3291">
            <v>0.20678840000000001</v>
          </cell>
        </row>
        <row r="3292">
          <cell r="A3292">
            <v>56203060</v>
          </cell>
          <cell r="B3292" t="str">
            <v>Oatmeal, cooked, quick (1 or 3 minutes), fat added in cooking</v>
          </cell>
          <cell r="I3292">
            <v>239</v>
          </cell>
          <cell r="J3292">
            <v>169.70788999999999</v>
          </cell>
          <cell r="K3292">
            <v>0.71007485355648536</v>
          </cell>
          <cell r="L3292">
            <v>3.3970003000000002</v>
          </cell>
          <cell r="M3292">
            <v>1.3310595000000001</v>
          </cell>
          <cell r="N3292">
            <v>0</v>
          </cell>
          <cell r="O3292">
            <v>2.52077E-2</v>
          </cell>
          <cell r="P3292">
            <v>0</v>
          </cell>
          <cell r="Q3292">
            <v>2.8716800999999998</v>
          </cell>
          <cell r="R3292">
            <v>33.633665999999998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0.30204819999999999</v>
          </cell>
          <cell r="Y3292">
            <v>0</v>
          </cell>
          <cell r="Z3292">
            <v>0</v>
          </cell>
          <cell r="AA3292">
            <v>0</v>
          </cell>
          <cell r="AB3292">
            <v>0.37572689999999997</v>
          </cell>
        </row>
        <row r="3293">
          <cell r="A3293">
            <v>56203066</v>
          </cell>
          <cell r="B3293" t="str">
            <v>Oatmeal, regular or quick, made with milk, fat not added in cooking</v>
          </cell>
          <cell r="I3293">
            <v>239</v>
          </cell>
          <cell r="J3293">
            <v>232.99261000000001</v>
          </cell>
          <cell r="K3293">
            <v>0.97486447698744771</v>
          </cell>
          <cell r="L3293">
            <v>3.4435093000000001</v>
          </cell>
          <cell r="M3293">
            <v>2.8978869</v>
          </cell>
          <cell r="N3293">
            <v>0</v>
          </cell>
          <cell r="O3293">
            <v>0.26046570000000002</v>
          </cell>
          <cell r="P3293">
            <v>0</v>
          </cell>
          <cell r="Q3293">
            <v>0.99188069999999995</v>
          </cell>
          <cell r="R3293">
            <v>34.094150999999997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0.225301</v>
          </cell>
          <cell r="Y3293">
            <v>0</v>
          </cell>
          <cell r="Z3293">
            <v>0</v>
          </cell>
          <cell r="AA3293">
            <v>0</v>
          </cell>
          <cell r="AB3293">
            <v>0.25905820000000002</v>
          </cell>
        </row>
        <row r="3294">
          <cell r="A3294">
            <v>56203067</v>
          </cell>
          <cell r="B3294" t="str">
            <v>Oatmeal, regular or quick, made with milk, fat added in cooking</v>
          </cell>
          <cell r="I3294">
            <v>239</v>
          </cell>
          <cell r="J3294">
            <v>255.85059000000001</v>
          </cell>
          <cell r="K3294">
            <v>1.0705045606694561</v>
          </cell>
          <cell r="L3294">
            <v>3.3831815000000001</v>
          </cell>
          <cell r="M3294">
            <v>4.340039</v>
          </cell>
          <cell r="N3294">
            <v>0</v>
          </cell>
          <cell r="O3294">
            <v>0.25685720000000001</v>
          </cell>
          <cell r="P3294">
            <v>0</v>
          </cell>
          <cell r="Q3294">
            <v>1.4943998000000001</v>
          </cell>
          <cell r="R3294">
            <v>33.496847000000002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0.24887570000000001</v>
          </cell>
          <cell r="Y3294">
            <v>0</v>
          </cell>
          <cell r="Z3294">
            <v>0</v>
          </cell>
          <cell r="AA3294">
            <v>0</v>
          </cell>
          <cell r="AB3294">
            <v>0.38731510000000002</v>
          </cell>
        </row>
        <row r="3295">
          <cell r="A3295">
            <v>56203070</v>
          </cell>
          <cell r="B3295" t="str">
            <v>Oatmeal, cooked, instant, fat added in cooking</v>
          </cell>
          <cell r="I3295">
            <v>239</v>
          </cell>
          <cell r="J3295">
            <v>255.21508</v>
          </cell>
          <cell r="K3295">
            <v>1.0678455230125523</v>
          </cell>
          <cell r="L3295">
            <v>4.7607220000000003</v>
          </cell>
          <cell r="M3295">
            <v>1.8072438</v>
          </cell>
          <cell r="N3295">
            <v>0</v>
          </cell>
          <cell r="O3295">
            <v>0.15871679999999999</v>
          </cell>
          <cell r="P3295">
            <v>0</v>
          </cell>
          <cell r="Q3295">
            <v>3.8782166</v>
          </cell>
          <cell r="R3295">
            <v>44.523403999999999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0.26623920000000001</v>
          </cell>
          <cell r="Y3295">
            <v>0</v>
          </cell>
          <cell r="Z3295">
            <v>0</v>
          </cell>
          <cell r="AA3295">
            <v>0</v>
          </cell>
          <cell r="AB3295">
            <v>0.38956489999999999</v>
          </cell>
        </row>
        <row r="3296">
          <cell r="A3296">
            <v>56203076</v>
          </cell>
          <cell r="B3296" t="str">
            <v>Oatmeal, regular or quick, made with non-dairy milk, fat not added in cooking</v>
          </cell>
          <cell r="I3296">
            <v>239</v>
          </cell>
          <cell r="J3296">
            <v>194.10481999999999</v>
          </cell>
          <cell r="K3296">
            <v>0.81215405857740586</v>
          </cell>
          <cell r="L3296">
            <v>3.4435093000000001</v>
          </cell>
          <cell r="M3296">
            <v>0.75991770000000003</v>
          </cell>
          <cell r="N3296">
            <v>0</v>
          </cell>
          <cell r="O3296">
            <v>0.3683941</v>
          </cell>
          <cell r="P3296">
            <v>0.38458199999999998</v>
          </cell>
          <cell r="Q3296">
            <v>1.6013614</v>
          </cell>
          <cell r="R3296">
            <v>34.094150999999997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0.2530809</v>
          </cell>
          <cell r="Y3296">
            <v>2.5981380000000001</v>
          </cell>
          <cell r="Z3296">
            <v>0</v>
          </cell>
          <cell r="AA3296">
            <v>0</v>
          </cell>
          <cell r="AB3296">
            <v>4.5438199999999998E-2</v>
          </cell>
        </row>
        <row r="3297">
          <cell r="A3297">
            <v>56203077</v>
          </cell>
          <cell r="B3297" t="str">
            <v>Oatmeal, regular or quick, made with non-dairy milk, fat added in cooking</v>
          </cell>
          <cell r="I3297">
            <v>239</v>
          </cell>
          <cell r="J3297">
            <v>217.64409000000001</v>
          </cell>
          <cell r="K3297">
            <v>0.91064472803347285</v>
          </cell>
          <cell r="L3297">
            <v>3.3831815000000001</v>
          </cell>
          <cell r="M3297">
            <v>2.2395255000000001</v>
          </cell>
          <cell r="N3297">
            <v>0</v>
          </cell>
          <cell r="O3297">
            <v>0.36289480000000002</v>
          </cell>
          <cell r="P3297">
            <v>0.37784440000000002</v>
          </cell>
          <cell r="Q3297">
            <v>2.0932029000000001</v>
          </cell>
          <cell r="R3297">
            <v>33.496847000000002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0.27616889999999999</v>
          </cell>
          <cell r="Y3297">
            <v>2.5526205000000002</v>
          </cell>
          <cell r="Z3297">
            <v>0</v>
          </cell>
          <cell r="AA3297">
            <v>0</v>
          </cell>
          <cell r="AB3297">
            <v>0.17659630000000001</v>
          </cell>
        </row>
        <row r="3298">
          <cell r="A3298">
            <v>56203080</v>
          </cell>
          <cell r="B3298" t="str">
            <v>Oatmeal, cooked, instant, NS as to fat added in cooking</v>
          </cell>
          <cell r="I3298">
            <v>234</v>
          </cell>
          <cell r="J3298">
            <v>203.97878</v>
          </cell>
          <cell r="K3298">
            <v>0.87170418803418803</v>
          </cell>
          <cell r="L3298">
            <v>4.8756269999999997</v>
          </cell>
          <cell r="M3298">
            <v>0.5493808</v>
          </cell>
          <cell r="N3298">
            <v>0</v>
          </cell>
          <cell r="O3298">
            <v>0.16028619999999999</v>
          </cell>
          <cell r="P3298">
            <v>0</v>
          </cell>
          <cell r="Q3298">
            <v>1.1206418</v>
          </cell>
          <cell r="R3298">
            <v>45.598022999999998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0.20369290000000001</v>
          </cell>
          <cell r="Y3298">
            <v>0</v>
          </cell>
          <cell r="Z3298">
            <v>0</v>
          </cell>
          <cell r="AA3298">
            <v>0</v>
          </cell>
          <cell r="AB3298">
            <v>4.4091E-3</v>
          </cell>
        </row>
        <row r="3299">
          <cell r="A3299">
            <v>56203086</v>
          </cell>
          <cell r="B3299" t="str">
            <v>Oatmeal, instant, plain, made with water, fat not added in cooking</v>
          </cell>
          <cell r="I3299">
            <v>234</v>
          </cell>
          <cell r="J3299">
            <v>160.25837999999999</v>
          </cell>
          <cell r="K3299">
            <v>0.68486487179487177</v>
          </cell>
          <cell r="L3299">
            <v>4.4270269999999998</v>
          </cell>
          <cell r="M3299">
            <v>0.59587780000000001</v>
          </cell>
          <cell r="N3299">
            <v>0</v>
          </cell>
          <cell r="O3299">
            <v>0.16108049999999999</v>
          </cell>
          <cell r="P3299">
            <v>0</v>
          </cell>
          <cell r="Q3299">
            <v>1.1213659</v>
          </cell>
          <cell r="R3299">
            <v>44.270269999999996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0.1049838</v>
          </cell>
          <cell r="Y3299">
            <v>0</v>
          </cell>
          <cell r="Z3299">
            <v>0</v>
          </cell>
          <cell r="AA3299">
            <v>0</v>
          </cell>
          <cell r="AB3299">
            <v>7.0832000000000004E-3</v>
          </cell>
        </row>
        <row r="3300">
          <cell r="A3300">
            <v>56203087</v>
          </cell>
          <cell r="B3300" t="str">
            <v>Oatmeal, instant, plain, made with water, fat added in cooking</v>
          </cell>
          <cell r="I3300">
            <v>234</v>
          </cell>
          <cell r="J3300">
            <v>204.22235000000001</v>
          </cell>
          <cell r="K3300">
            <v>0.87274508547008545</v>
          </cell>
          <cell r="L3300">
            <v>4.2823529000000002</v>
          </cell>
          <cell r="M3300">
            <v>3.3029788</v>
          </cell>
          <cell r="N3300">
            <v>0</v>
          </cell>
          <cell r="O3300">
            <v>0.15756000000000001</v>
          </cell>
          <cell r="P3300">
            <v>0</v>
          </cell>
          <cell r="Q3300">
            <v>2.0342247000000002</v>
          </cell>
          <cell r="R3300">
            <v>42.823529000000001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0.15181710000000001</v>
          </cell>
          <cell r="Y3300">
            <v>0</v>
          </cell>
          <cell r="Z3300">
            <v>0</v>
          </cell>
          <cell r="AA3300">
            <v>0</v>
          </cell>
          <cell r="AB3300">
            <v>0.2693294</v>
          </cell>
        </row>
        <row r="3301">
          <cell r="A3301">
            <v>56203096</v>
          </cell>
          <cell r="B3301" t="str">
            <v>Oatmeal, instant, plain, made with milk, fat not added in cooking</v>
          </cell>
          <cell r="I3301">
            <v>234</v>
          </cell>
          <cell r="J3301">
            <v>256.50826999999998</v>
          </cell>
          <cell r="K3301">
            <v>1.0961891880341879</v>
          </cell>
          <cell r="L3301">
            <v>4.4270269999999998</v>
          </cell>
          <cell r="M3301">
            <v>2.9326082000000002</v>
          </cell>
          <cell r="N3301">
            <v>0</v>
          </cell>
          <cell r="O3301">
            <v>0.38044610000000001</v>
          </cell>
          <cell r="P3301">
            <v>0</v>
          </cell>
          <cell r="Q3301">
            <v>1.3140175000000001</v>
          </cell>
          <cell r="R3301">
            <v>44.270269999999996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0.18190020000000001</v>
          </cell>
          <cell r="Y3301">
            <v>0</v>
          </cell>
          <cell r="Z3301">
            <v>0</v>
          </cell>
          <cell r="AA3301">
            <v>0</v>
          </cell>
          <cell r="AB3301">
            <v>0.1760137</v>
          </cell>
        </row>
        <row r="3302">
          <cell r="A3302">
            <v>56203097</v>
          </cell>
          <cell r="B3302" t="str">
            <v>Oatmeal,  instant, plain, made with milk, fat added in cooking</v>
          </cell>
          <cell r="I3302">
            <v>234</v>
          </cell>
          <cell r="J3302">
            <v>297.32682</v>
          </cell>
          <cell r="K3302">
            <v>1.2706274358974359</v>
          </cell>
          <cell r="L3302">
            <v>4.2823529000000002</v>
          </cell>
          <cell r="M3302">
            <v>5.5633454000000002</v>
          </cell>
          <cell r="N3302">
            <v>0</v>
          </cell>
          <cell r="O3302">
            <v>0.36975669999999999</v>
          </cell>
          <cell r="P3302">
            <v>0</v>
          </cell>
          <cell r="Q3302">
            <v>2.2205805000000001</v>
          </cell>
          <cell r="R3302">
            <v>42.823529000000001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0.2262199</v>
          </cell>
          <cell r="Y3302">
            <v>0</v>
          </cell>
          <cell r="Z3302">
            <v>0</v>
          </cell>
          <cell r="AA3302">
            <v>0</v>
          </cell>
          <cell r="AB3302">
            <v>0.37661850000000002</v>
          </cell>
        </row>
        <row r="3303">
          <cell r="A3303">
            <v>56203106</v>
          </cell>
          <cell r="B3303" t="str">
            <v>Oatmeal, instant, plain, made with non-dairy milk, fat not added in cooking</v>
          </cell>
          <cell r="I3303">
            <v>234</v>
          </cell>
          <cell r="J3303">
            <v>220.44065000000001</v>
          </cell>
          <cell r="K3303">
            <v>0.94205405982905988</v>
          </cell>
          <cell r="L3303">
            <v>4.4270269999999998</v>
          </cell>
          <cell r="M3303">
            <v>0.94968580000000002</v>
          </cell>
          <cell r="N3303">
            <v>0</v>
          </cell>
          <cell r="O3303">
            <v>0.48054750000000002</v>
          </cell>
          <cell r="P3303">
            <v>0.35669190000000001</v>
          </cell>
          <cell r="Q3303">
            <v>1.8792983000000001</v>
          </cell>
          <cell r="R3303">
            <v>44.270269999999996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0.2076655</v>
          </cell>
          <cell r="Y3303">
            <v>2.4097194000000002</v>
          </cell>
          <cell r="Z3303">
            <v>0</v>
          </cell>
          <cell r="AA3303">
            <v>0</v>
          </cell>
          <cell r="AB3303">
            <v>7.3299999999999997E-3</v>
          </cell>
        </row>
        <row r="3304">
          <cell r="A3304">
            <v>56203125</v>
          </cell>
          <cell r="B3304" t="str">
            <v>Oatmeal, instant, maple flavored, NS as to fat added in cooking</v>
          </cell>
          <cell r="I3304">
            <v>234</v>
          </cell>
          <cell r="J3304">
            <v>265.21393</v>
          </cell>
          <cell r="K3304">
            <v>1.1333928632478634</v>
          </cell>
          <cell r="L3304">
            <v>4.3122857000000003</v>
          </cell>
          <cell r="M3304">
            <v>2.9490964000000002</v>
          </cell>
          <cell r="N3304">
            <v>0</v>
          </cell>
          <cell r="O3304">
            <v>0.16112570000000001</v>
          </cell>
          <cell r="P3304">
            <v>0</v>
          </cell>
          <cell r="Q3304">
            <v>1.8230131999999999</v>
          </cell>
          <cell r="R3304">
            <v>41.260489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0.35492089999999998</v>
          </cell>
          <cell r="Y3304">
            <v>0</v>
          </cell>
          <cell r="Z3304">
            <v>0</v>
          </cell>
          <cell r="AA3304">
            <v>0</v>
          </cell>
          <cell r="AB3304">
            <v>0.24024000000000001</v>
          </cell>
        </row>
        <row r="3305">
          <cell r="A3305">
            <v>56203130</v>
          </cell>
          <cell r="B3305" t="str">
            <v>Oatmeal, instant, maple flavored, fat not added in cooking</v>
          </cell>
          <cell r="I3305">
            <v>234</v>
          </cell>
          <cell r="J3305">
            <v>227.16663</v>
          </cell>
          <cell r="K3305">
            <v>0.97079756410256413</v>
          </cell>
          <cell r="L3305">
            <v>4.4445644</v>
          </cell>
          <cell r="M3305">
            <v>0.48025990000000002</v>
          </cell>
          <cell r="N3305">
            <v>0</v>
          </cell>
          <cell r="O3305">
            <v>0.16443169999999999</v>
          </cell>
          <cell r="P3305">
            <v>0</v>
          </cell>
          <cell r="Q3305">
            <v>0.98768100000000003</v>
          </cell>
          <cell r="R3305">
            <v>42.526147999999999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0.31862760000000001</v>
          </cell>
          <cell r="Y3305">
            <v>0</v>
          </cell>
          <cell r="Z3305">
            <v>0</v>
          </cell>
          <cell r="AA3305">
            <v>0</v>
          </cell>
          <cell r="AB3305">
            <v>1.2346E-3</v>
          </cell>
        </row>
        <row r="3306">
          <cell r="A3306">
            <v>56203135</v>
          </cell>
          <cell r="B3306" t="str">
            <v>Oatmeal, instant, maple flavored, fat added in cooking</v>
          </cell>
          <cell r="I3306">
            <v>234</v>
          </cell>
          <cell r="J3306">
            <v>265.21393</v>
          </cell>
          <cell r="K3306">
            <v>1.1333928632478634</v>
          </cell>
          <cell r="L3306">
            <v>4.3122857000000003</v>
          </cell>
          <cell r="M3306">
            <v>2.9490964000000002</v>
          </cell>
          <cell r="N3306">
            <v>0</v>
          </cell>
          <cell r="O3306">
            <v>0.16112570000000001</v>
          </cell>
          <cell r="P3306">
            <v>0</v>
          </cell>
          <cell r="Q3306">
            <v>1.8230131999999999</v>
          </cell>
          <cell r="R3306">
            <v>41.260489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0.35492089999999998</v>
          </cell>
          <cell r="Y3306">
            <v>0</v>
          </cell>
          <cell r="Z3306">
            <v>0</v>
          </cell>
          <cell r="AA3306">
            <v>0</v>
          </cell>
          <cell r="AB3306">
            <v>0.24024000000000001</v>
          </cell>
        </row>
        <row r="3307">
          <cell r="A3307">
            <v>56203155</v>
          </cell>
          <cell r="B3307" t="str">
            <v>Oatmeal, instant, fruit flavored, fat not added in cooking</v>
          </cell>
          <cell r="I3307">
            <v>234</v>
          </cell>
          <cell r="J3307">
            <v>223.57767000000001</v>
          </cell>
          <cell r="K3307">
            <v>0.95546012820512827</v>
          </cell>
          <cell r="L3307">
            <v>4.4876319000000002</v>
          </cell>
          <cell r="M3307">
            <v>0.45941520000000002</v>
          </cell>
          <cell r="N3307">
            <v>0</v>
          </cell>
          <cell r="O3307">
            <v>0.15742600000000001</v>
          </cell>
          <cell r="P3307">
            <v>0</v>
          </cell>
          <cell r="Q3307">
            <v>0.94441249999999999</v>
          </cell>
          <cell r="R3307">
            <v>40.548188000000003</v>
          </cell>
          <cell r="S3307">
            <v>0</v>
          </cell>
          <cell r="T3307">
            <v>2.8711655999999999</v>
          </cell>
          <cell r="U3307">
            <v>0</v>
          </cell>
          <cell r="V3307">
            <v>0</v>
          </cell>
          <cell r="W3307">
            <v>0</v>
          </cell>
          <cell r="X3307">
            <v>0.30662610000000001</v>
          </cell>
          <cell r="Y3307">
            <v>0</v>
          </cell>
          <cell r="Z3307">
            <v>0</v>
          </cell>
          <cell r="AA3307">
            <v>0</v>
          </cell>
          <cell r="AB3307">
            <v>6.6603099999999998E-2</v>
          </cell>
        </row>
        <row r="3308">
          <cell r="A3308">
            <v>56203160</v>
          </cell>
          <cell r="B3308" t="str">
            <v>Oatmeal, instant, fruit flavored, fat added in cooking</v>
          </cell>
          <cell r="I3308">
            <v>234</v>
          </cell>
          <cell r="J3308">
            <v>261.73178999999999</v>
          </cell>
          <cell r="K3308">
            <v>1.1185119230769229</v>
          </cell>
          <cell r="L3308">
            <v>4.3540713999999996</v>
          </cell>
          <cell r="M3308">
            <v>2.9288721</v>
          </cell>
          <cell r="N3308">
            <v>0</v>
          </cell>
          <cell r="O3308">
            <v>0.15432860000000001</v>
          </cell>
          <cell r="P3308">
            <v>0</v>
          </cell>
          <cell r="Q3308">
            <v>1.7810325</v>
          </cell>
          <cell r="R3308">
            <v>39.341396000000003</v>
          </cell>
          <cell r="S3308">
            <v>0</v>
          </cell>
          <cell r="T3308">
            <v>2.7857143</v>
          </cell>
          <cell r="U3308">
            <v>0</v>
          </cell>
          <cell r="V3308">
            <v>0</v>
          </cell>
          <cell r="W3308">
            <v>0</v>
          </cell>
          <cell r="X3308">
            <v>0.34327659999999999</v>
          </cell>
          <cell r="Y3308">
            <v>0</v>
          </cell>
          <cell r="Z3308">
            <v>0</v>
          </cell>
          <cell r="AA3308">
            <v>0</v>
          </cell>
          <cell r="AB3308">
            <v>0.25493250000000001</v>
          </cell>
        </row>
        <row r="3309">
          <cell r="A3309">
            <v>56203175</v>
          </cell>
          <cell r="B3309" t="str">
            <v>Oatmeal, instant, other flavors, fat not added in cooking</v>
          </cell>
          <cell r="I3309">
            <v>234</v>
          </cell>
          <cell r="J3309">
            <v>227.16663</v>
          </cell>
          <cell r="K3309">
            <v>0.97079756410256413</v>
          </cell>
          <cell r="L3309">
            <v>4.4445644</v>
          </cell>
          <cell r="M3309">
            <v>0.48025990000000002</v>
          </cell>
          <cell r="N3309">
            <v>0</v>
          </cell>
          <cell r="O3309">
            <v>0.16443169999999999</v>
          </cell>
          <cell r="P3309">
            <v>0</v>
          </cell>
          <cell r="Q3309">
            <v>0.98768100000000003</v>
          </cell>
          <cell r="R3309">
            <v>42.526147999999999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0.31862760000000001</v>
          </cell>
          <cell r="Y3309">
            <v>0</v>
          </cell>
          <cell r="Z3309">
            <v>0</v>
          </cell>
          <cell r="AA3309">
            <v>0</v>
          </cell>
          <cell r="AB3309">
            <v>1.2346E-3</v>
          </cell>
        </row>
        <row r="3310">
          <cell r="A3310">
            <v>56203180</v>
          </cell>
          <cell r="B3310" t="str">
            <v>Oatmeal, instant, other flavors, fat added in cooking</v>
          </cell>
          <cell r="I3310">
            <v>234</v>
          </cell>
          <cell r="J3310">
            <v>265.21393</v>
          </cell>
          <cell r="K3310">
            <v>1.1333928632478634</v>
          </cell>
          <cell r="L3310">
            <v>4.3122857000000003</v>
          </cell>
          <cell r="M3310">
            <v>2.9490964000000002</v>
          </cell>
          <cell r="N3310">
            <v>0</v>
          </cell>
          <cell r="O3310">
            <v>0.16112570000000001</v>
          </cell>
          <cell r="P3310">
            <v>0</v>
          </cell>
          <cell r="Q3310">
            <v>1.8230131999999999</v>
          </cell>
          <cell r="R3310">
            <v>41.260489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0.35492089999999998</v>
          </cell>
          <cell r="Y3310">
            <v>0</v>
          </cell>
          <cell r="Z3310">
            <v>0</v>
          </cell>
          <cell r="AA3310">
            <v>0</v>
          </cell>
          <cell r="AB3310">
            <v>0.24024000000000001</v>
          </cell>
        </row>
        <row r="3311">
          <cell r="A3311">
            <v>56203200</v>
          </cell>
          <cell r="B3311" t="str">
            <v>Oatmeal with fruit, cooked</v>
          </cell>
          <cell r="I3311">
            <v>234</v>
          </cell>
          <cell r="J3311">
            <v>168.45945</v>
          </cell>
          <cell r="K3311">
            <v>0.71991217948717945</v>
          </cell>
          <cell r="L3311">
            <v>3.8000778</v>
          </cell>
          <cell r="M3311">
            <v>0.36133480000000001</v>
          </cell>
          <cell r="N3311">
            <v>0</v>
          </cell>
          <cell r="O3311">
            <v>3.02703E-2</v>
          </cell>
          <cell r="P3311">
            <v>0</v>
          </cell>
          <cell r="Q3311">
            <v>0.73527969999999998</v>
          </cell>
          <cell r="R3311">
            <v>31.708908000000001</v>
          </cell>
          <cell r="S3311">
            <v>0</v>
          </cell>
          <cell r="T3311">
            <v>16.148054999999999</v>
          </cell>
          <cell r="U3311">
            <v>0</v>
          </cell>
          <cell r="V3311">
            <v>0</v>
          </cell>
          <cell r="W3311">
            <v>0</v>
          </cell>
          <cell r="X3311">
            <v>0.23868880000000001</v>
          </cell>
          <cell r="Y3311">
            <v>0</v>
          </cell>
          <cell r="Z3311">
            <v>0</v>
          </cell>
          <cell r="AA3311">
            <v>0</v>
          </cell>
          <cell r="AB3311">
            <v>6.6158900000000007E-2</v>
          </cell>
        </row>
        <row r="3312">
          <cell r="A3312">
            <v>56203210</v>
          </cell>
          <cell r="B3312" t="str">
            <v>Oatmeal, NS as to regular, quick, or instant, made with milk, fat not added in cooking</v>
          </cell>
          <cell r="I3312">
            <v>234</v>
          </cell>
          <cell r="J3312">
            <v>225.13695999999999</v>
          </cell>
          <cell r="K3312">
            <v>0.9621237606837606</v>
          </cell>
          <cell r="L3312">
            <v>3.3555723</v>
          </cell>
          <cell r="M3312">
            <v>2.6785416</v>
          </cell>
          <cell r="N3312">
            <v>0</v>
          </cell>
          <cell r="O3312">
            <v>0.25535560000000002</v>
          </cell>
          <cell r="P3312">
            <v>0</v>
          </cell>
          <cell r="Q3312">
            <v>0.95149119999999998</v>
          </cell>
          <cell r="R3312">
            <v>33.223488000000003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0.32950370000000001</v>
          </cell>
          <cell r="Y3312">
            <v>0</v>
          </cell>
          <cell r="Z3312">
            <v>0</v>
          </cell>
          <cell r="AA3312">
            <v>0</v>
          </cell>
          <cell r="AB3312">
            <v>0.2099839</v>
          </cell>
        </row>
        <row r="3313">
          <cell r="A3313">
            <v>56203211</v>
          </cell>
          <cell r="B3313" t="str">
            <v>Oatmeal, cooked, regular, made with milk, fat not added in cooking</v>
          </cell>
          <cell r="I3313">
            <v>234</v>
          </cell>
          <cell r="J3313">
            <v>225.13695999999999</v>
          </cell>
          <cell r="K3313">
            <v>0.9621237606837606</v>
          </cell>
          <cell r="L3313">
            <v>3.3555723</v>
          </cell>
          <cell r="M3313">
            <v>2.6785416</v>
          </cell>
          <cell r="N3313">
            <v>0</v>
          </cell>
          <cell r="O3313">
            <v>0.25535560000000002</v>
          </cell>
          <cell r="P3313">
            <v>0</v>
          </cell>
          <cell r="Q3313">
            <v>0.95149119999999998</v>
          </cell>
          <cell r="R3313">
            <v>33.223488000000003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0.32950370000000001</v>
          </cell>
          <cell r="Y3313">
            <v>0</v>
          </cell>
          <cell r="Z3313">
            <v>0</v>
          </cell>
          <cell r="AA3313">
            <v>0</v>
          </cell>
          <cell r="AB3313">
            <v>0.2200384</v>
          </cell>
        </row>
        <row r="3314">
          <cell r="A3314">
            <v>56203212</v>
          </cell>
          <cell r="B3314" t="str">
            <v>Oatmeal, cooked, quick (1 or 3 minutes), made with milk, fat not added in cooking</v>
          </cell>
          <cell r="I3314">
            <v>234</v>
          </cell>
          <cell r="J3314">
            <v>225.13695999999999</v>
          </cell>
          <cell r="K3314">
            <v>0.9621237606837606</v>
          </cell>
          <cell r="L3314">
            <v>3.3555723</v>
          </cell>
          <cell r="M3314">
            <v>2.6785416</v>
          </cell>
          <cell r="N3314">
            <v>0</v>
          </cell>
          <cell r="O3314">
            <v>0.25535560000000002</v>
          </cell>
          <cell r="P3314">
            <v>0</v>
          </cell>
          <cell r="Q3314">
            <v>0.95149119999999998</v>
          </cell>
          <cell r="R3314">
            <v>33.223488000000003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0.32950370000000001</v>
          </cell>
          <cell r="Y3314">
            <v>0</v>
          </cell>
          <cell r="Z3314">
            <v>0</v>
          </cell>
          <cell r="AA3314">
            <v>0</v>
          </cell>
          <cell r="AB3314">
            <v>0.219976</v>
          </cell>
        </row>
        <row r="3315">
          <cell r="A3315">
            <v>56203213</v>
          </cell>
          <cell r="B3315" t="str">
            <v>Oatmeal, cooked, instant, made with milk, fat not added in cooking</v>
          </cell>
          <cell r="I3315">
            <v>234</v>
          </cell>
          <cell r="J3315">
            <v>288.49020999999999</v>
          </cell>
          <cell r="K3315">
            <v>1.2328641452991453</v>
          </cell>
          <cell r="L3315">
            <v>4.7683019</v>
          </cell>
          <cell r="M3315">
            <v>2.6091720999999999</v>
          </cell>
          <cell r="N3315">
            <v>0</v>
          </cell>
          <cell r="O3315">
            <v>0.36495379999999999</v>
          </cell>
          <cell r="P3315">
            <v>0</v>
          </cell>
          <cell r="Q3315">
            <v>1.2640297</v>
          </cell>
          <cell r="R3315">
            <v>44.594292000000003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0.27211370000000001</v>
          </cell>
          <cell r="Y3315">
            <v>0</v>
          </cell>
          <cell r="Z3315">
            <v>0</v>
          </cell>
          <cell r="AA3315">
            <v>0</v>
          </cell>
          <cell r="AB3315">
            <v>0.17360639999999999</v>
          </cell>
        </row>
        <row r="3316">
          <cell r="A3316">
            <v>56203220</v>
          </cell>
          <cell r="B3316" t="str">
            <v>Oatmeal, NS as to regular, quick, or instant, made with milk, fat added in cooking</v>
          </cell>
          <cell r="I3316">
            <v>239</v>
          </cell>
          <cell r="J3316">
            <v>263.73786999999999</v>
          </cell>
          <cell r="K3316">
            <v>1.1035057322175732</v>
          </cell>
          <cell r="L3316">
            <v>3.3163366000000001</v>
          </cell>
          <cell r="M3316">
            <v>3.5822063000000002</v>
          </cell>
          <cell r="N3316">
            <v>0</v>
          </cell>
          <cell r="O3316">
            <v>0.25399430000000001</v>
          </cell>
          <cell r="P3316">
            <v>0</v>
          </cell>
          <cell r="Q3316">
            <v>2.9886507</v>
          </cell>
          <cell r="R3316">
            <v>32.835016000000003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0.37520049999999999</v>
          </cell>
          <cell r="Y3316">
            <v>0</v>
          </cell>
          <cell r="Z3316">
            <v>0</v>
          </cell>
          <cell r="AA3316">
            <v>0</v>
          </cell>
          <cell r="AB3316">
            <v>0.46266410000000002</v>
          </cell>
        </row>
        <row r="3317">
          <cell r="A3317">
            <v>56203221</v>
          </cell>
          <cell r="B3317" t="str">
            <v>Oatmeal, cooked, regular, made with milk, fat added in cooking</v>
          </cell>
          <cell r="I3317">
            <v>239</v>
          </cell>
          <cell r="J3317">
            <v>263.73786999999999</v>
          </cell>
          <cell r="K3317">
            <v>1.1035057322175732</v>
          </cell>
          <cell r="L3317">
            <v>3.3163366000000001</v>
          </cell>
          <cell r="M3317">
            <v>3.5822063000000002</v>
          </cell>
          <cell r="N3317">
            <v>0</v>
          </cell>
          <cell r="O3317">
            <v>0.25399430000000001</v>
          </cell>
          <cell r="P3317">
            <v>0</v>
          </cell>
          <cell r="Q3317">
            <v>2.9886507</v>
          </cell>
          <cell r="R3317">
            <v>32.835016000000003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0.37520049999999999</v>
          </cell>
          <cell r="Y3317">
            <v>0</v>
          </cell>
          <cell r="Z3317">
            <v>0</v>
          </cell>
          <cell r="AA3317">
            <v>0</v>
          </cell>
          <cell r="AB3317">
            <v>0.39544079999999998</v>
          </cell>
        </row>
        <row r="3318">
          <cell r="A3318">
            <v>56203222</v>
          </cell>
          <cell r="B3318" t="str">
            <v>Oatmeal, cooked, quick (1 or 3 minutes), made with milk, fat added in cooking</v>
          </cell>
          <cell r="I3318">
            <v>239</v>
          </cell>
          <cell r="J3318">
            <v>263.73786999999999</v>
          </cell>
          <cell r="K3318">
            <v>1.1035057322175732</v>
          </cell>
          <cell r="L3318">
            <v>3.3163366000000001</v>
          </cell>
          <cell r="M3318">
            <v>3.5822063000000002</v>
          </cell>
          <cell r="N3318">
            <v>0</v>
          </cell>
          <cell r="O3318">
            <v>0.25399430000000001</v>
          </cell>
          <cell r="P3318">
            <v>0</v>
          </cell>
          <cell r="Q3318">
            <v>2.9886507</v>
          </cell>
          <cell r="R3318">
            <v>32.835016000000003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0.37520049999999999</v>
          </cell>
          <cell r="Y3318">
            <v>0</v>
          </cell>
          <cell r="Z3318">
            <v>0</v>
          </cell>
          <cell r="AA3318">
            <v>0</v>
          </cell>
          <cell r="AB3318">
            <v>0.39574530000000002</v>
          </cell>
        </row>
        <row r="3319">
          <cell r="A3319">
            <v>56203223</v>
          </cell>
          <cell r="B3319" t="str">
            <v>Oatmeal, cooked, instant, made with milk, fat added in cooking</v>
          </cell>
          <cell r="I3319">
            <v>239</v>
          </cell>
          <cell r="J3319">
            <v>336.82733999999999</v>
          </cell>
          <cell r="K3319">
            <v>1.4093194142259413</v>
          </cell>
          <cell r="L3319">
            <v>4.6604396000000001</v>
          </cell>
          <cell r="M3319">
            <v>3.7941921000000001</v>
          </cell>
          <cell r="N3319">
            <v>0</v>
          </cell>
          <cell r="O3319">
            <v>0.35885980000000001</v>
          </cell>
          <cell r="P3319">
            <v>0</v>
          </cell>
          <cell r="Q3319">
            <v>3.9607782999999999</v>
          </cell>
          <cell r="R3319">
            <v>43.585538999999997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0.33188659999999998</v>
          </cell>
          <cell r="Y3319">
            <v>0</v>
          </cell>
          <cell r="Z3319">
            <v>0</v>
          </cell>
          <cell r="AA3319">
            <v>0</v>
          </cell>
          <cell r="AB3319">
            <v>0.43804080000000001</v>
          </cell>
        </row>
        <row r="3320">
          <cell r="A3320">
            <v>56203230</v>
          </cell>
          <cell r="B3320" t="str">
            <v>Oatmeal, NS as to regular, quick, or instant, made with milk, NS as to fat added in cooking</v>
          </cell>
          <cell r="I3320">
            <v>234</v>
          </cell>
          <cell r="J3320">
            <v>225.13695999999999</v>
          </cell>
          <cell r="K3320">
            <v>0.9621237606837606</v>
          </cell>
          <cell r="L3320">
            <v>3.3555723</v>
          </cell>
          <cell r="M3320">
            <v>2.6785416</v>
          </cell>
          <cell r="N3320">
            <v>0</v>
          </cell>
          <cell r="O3320">
            <v>0.25535560000000002</v>
          </cell>
          <cell r="P3320">
            <v>0</v>
          </cell>
          <cell r="Q3320">
            <v>0.95149119999999998</v>
          </cell>
          <cell r="R3320">
            <v>33.223488000000003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0.32950370000000001</v>
          </cell>
          <cell r="Y3320">
            <v>0</v>
          </cell>
          <cell r="Z3320">
            <v>0</v>
          </cell>
          <cell r="AA3320">
            <v>0</v>
          </cell>
          <cell r="AB3320">
            <v>0.20966080000000001</v>
          </cell>
        </row>
        <row r="3321">
          <cell r="A3321">
            <v>56203232</v>
          </cell>
          <cell r="B3321" t="str">
            <v>Oatmeal, cooked, quick (1 or 3 minutes), made with milk, NS as to fat added in cooking</v>
          </cell>
          <cell r="I3321">
            <v>234</v>
          </cell>
          <cell r="J3321">
            <v>225.13695999999999</v>
          </cell>
          <cell r="K3321">
            <v>0.9621237606837606</v>
          </cell>
          <cell r="L3321">
            <v>3.3555723</v>
          </cell>
          <cell r="M3321">
            <v>2.6785416</v>
          </cell>
          <cell r="N3321">
            <v>0</v>
          </cell>
          <cell r="O3321">
            <v>0.25535560000000002</v>
          </cell>
          <cell r="P3321">
            <v>0</v>
          </cell>
          <cell r="Q3321">
            <v>0.95149119999999998</v>
          </cell>
          <cell r="R3321">
            <v>33.223488000000003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0.32950370000000001</v>
          </cell>
          <cell r="Y3321">
            <v>0</v>
          </cell>
          <cell r="Z3321">
            <v>0</v>
          </cell>
          <cell r="AA3321">
            <v>0</v>
          </cell>
          <cell r="AB3321">
            <v>0.21988849999999999</v>
          </cell>
        </row>
        <row r="3322">
          <cell r="A3322">
            <v>56203233</v>
          </cell>
          <cell r="B3322" t="str">
            <v>Oatmeal, cooked, instant, made with milk, NS as to fat added in cooking</v>
          </cell>
          <cell r="I3322">
            <v>234</v>
          </cell>
          <cell r="J3322">
            <v>288.49020999999999</v>
          </cell>
          <cell r="K3322">
            <v>1.2328641452991453</v>
          </cell>
          <cell r="L3322">
            <v>4.7683019</v>
          </cell>
          <cell r="M3322">
            <v>2.6091720999999999</v>
          </cell>
          <cell r="N3322">
            <v>0</v>
          </cell>
          <cell r="O3322">
            <v>0.36495379999999999</v>
          </cell>
          <cell r="P3322">
            <v>0</v>
          </cell>
          <cell r="Q3322">
            <v>1.2640297</v>
          </cell>
          <cell r="R3322">
            <v>44.594292000000003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0.27211370000000001</v>
          </cell>
          <cell r="Y3322">
            <v>0</v>
          </cell>
          <cell r="Z3322">
            <v>0</v>
          </cell>
          <cell r="AA3322">
            <v>0</v>
          </cell>
          <cell r="AB3322">
            <v>0.179314</v>
          </cell>
        </row>
        <row r="3323">
          <cell r="A3323">
            <v>56203510</v>
          </cell>
          <cell r="B3323" t="str">
            <v>Oatmeal, reduced sugar, plain, fat not added in cooking</v>
          </cell>
          <cell r="I3323">
            <v>234</v>
          </cell>
          <cell r="J3323">
            <v>193.08774</v>
          </cell>
          <cell r="K3323">
            <v>0.82516128205128203</v>
          </cell>
          <cell r="L3323">
            <v>4.4384515999999996</v>
          </cell>
          <cell r="M3323">
            <v>0.53970969999999996</v>
          </cell>
          <cell r="N3323">
            <v>0</v>
          </cell>
          <cell r="O3323">
            <v>0.16281870000000001</v>
          </cell>
          <cell r="P3323">
            <v>0</v>
          </cell>
          <cell r="Q3323">
            <v>1.0566987000000001</v>
          </cell>
          <cell r="R3323">
            <v>43.445647999999998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0.20954320000000001</v>
          </cell>
          <cell r="Y3323">
            <v>0</v>
          </cell>
          <cell r="Z3323">
            <v>0</v>
          </cell>
          <cell r="AA3323">
            <v>0</v>
          </cell>
          <cell r="AB3323">
            <v>4.2271000000000001E-3</v>
          </cell>
        </row>
        <row r="3324">
          <cell r="A3324">
            <v>56203540</v>
          </cell>
          <cell r="B3324" t="str">
            <v>Oatmeal, made with milk and sugar, Puerto Rican style</v>
          </cell>
          <cell r="I3324">
            <v>234</v>
          </cell>
          <cell r="J3324">
            <v>303.49171000000001</v>
          </cell>
          <cell r="K3324">
            <v>1.2969731196581198</v>
          </cell>
          <cell r="L3324">
            <v>2.9588160999999999</v>
          </cell>
          <cell r="M3324">
            <v>2.3618361000000001</v>
          </cell>
          <cell r="N3324">
            <v>0</v>
          </cell>
          <cell r="O3324">
            <v>0.2255643</v>
          </cell>
          <cell r="P3324">
            <v>0</v>
          </cell>
          <cell r="Q3324">
            <v>0.83898870000000003</v>
          </cell>
          <cell r="R3324">
            <v>29.295209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0.50107869999999999</v>
          </cell>
          <cell r="Y3324">
            <v>0</v>
          </cell>
          <cell r="Z3324">
            <v>0</v>
          </cell>
          <cell r="AA3324">
            <v>0</v>
          </cell>
          <cell r="AB3324">
            <v>0.19485739999999999</v>
          </cell>
        </row>
        <row r="3325">
          <cell r="A3325">
            <v>56203555</v>
          </cell>
          <cell r="B3325" t="str">
            <v>Oatmeal, reduced sugar, flavored, fat not added in cooking</v>
          </cell>
          <cell r="I3325">
            <v>234</v>
          </cell>
          <cell r="J3325">
            <v>193.08774</v>
          </cell>
          <cell r="K3325">
            <v>0.82516128205128203</v>
          </cell>
          <cell r="L3325">
            <v>4.4384515999999996</v>
          </cell>
          <cell r="M3325">
            <v>0.53970969999999996</v>
          </cell>
          <cell r="N3325">
            <v>0</v>
          </cell>
          <cell r="O3325">
            <v>0.16281870000000001</v>
          </cell>
          <cell r="P3325">
            <v>0</v>
          </cell>
          <cell r="Q3325">
            <v>1.0566987000000001</v>
          </cell>
          <cell r="R3325">
            <v>43.445647999999998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0.20954320000000001</v>
          </cell>
          <cell r="Y3325">
            <v>0</v>
          </cell>
          <cell r="Z3325">
            <v>0</v>
          </cell>
          <cell r="AA3325">
            <v>0</v>
          </cell>
          <cell r="AB3325">
            <v>4.2271000000000001E-3</v>
          </cell>
        </row>
        <row r="3326">
          <cell r="A3326">
            <v>56203600</v>
          </cell>
          <cell r="B3326" t="str">
            <v>Oatmeal, multigrain, NS as to fat added in cooking</v>
          </cell>
          <cell r="I3326">
            <v>234</v>
          </cell>
          <cell r="J3326">
            <v>135.91514000000001</v>
          </cell>
          <cell r="K3326">
            <v>0.58083393162393171</v>
          </cell>
          <cell r="L3326">
            <v>3.4469318000000002</v>
          </cell>
          <cell r="M3326">
            <v>1.6092706000000001</v>
          </cell>
          <cell r="N3326">
            <v>0</v>
          </cell>
          <cell r="O3326">
            <v>1.8723299999999998E-2</v>
          </cell>
          <cell r="P3326">
            <v>0.45580120000000002</v>
          </cell>
          <cell r="Q3326">
            <v>0.87961529999999999</v>
          </cell>
          <cell r="R3326">
            <v>24.620283000000001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0.16422390000000001</v>
          </cell>
          <cell r="Y3326">
            <v>0</v>
          </cell>
          <cell r="Z3326">
            <v>0</v>
          </cell>
          <cell r="AA3326">
            <v>0</v>
          </cell>
          <cell r="AB3326">
            <v>0.14071159999999999</v>
          </cell>
        </row>
        <row r="3327">
          <cell r="A3327">
            <v>56203610</v>
          </cell>
          <cell r="B3327" t="str">
            <v>Oatmeal, multigrain, fat not added in cooking</v>
          </cell>
          <cell r="I3327">
            <v>234</v>
          </cell>
          <cell r="J3327">
            <v>111.49215</v>
          </cell>
          <cell r="K3327">
            <v>0.47646217948717945</v>
          </cell>
          <cell r="L3327">
            <v>3.5083962999999998</v>
          </cell>
          <cell r="M3327">
            <v>0.15021399999999999</v>
          </cell>
          <cell r="N3327">
            <v>0</v>
          </cell>
          <cell r="O3327">
            <v>1.8105799999999998E-2</v>
          </cell>
          <cell r="P3327">
            <v>0.46392889999999998</v>
          </cell>
          <cell r="Q3327">
            <v>0.37720399999999998</v>
          </cell>
          <cell r="R3327">
            <v>25.059304000000001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0.13972570000000001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</row>
        <row r="3328">
          <cell r="A3328">
            <v>56203620</v>
          </cell>
          <cell r="B3328" t="str">
            <v>Oatmeal, multigrain, fat added in cooking</v>
          </cell>
          <cell r="I3328">
            <v>234</v>
          </cell>
          <cell r="J3328">
            <v>135.91514000000001</v>
          </cell>
          <cell r="K3328">
            <v>0.58083393162393171</v>
          </cell>
          <cell r="L3328">
            <v>3.4469318000000002</v>
          </cell>
          <cell r="M3328">
            <v>1.6092706000000001</v>
          </cell>
          <cell r="N3328">
            <v>0</v>
          </cell>
          <cell r="O3328">
            <v>1.8723299999999998E-2</v>
          </cell>
          <cell r="P3328">
            <v>0.45580120000000002</v>
          </cell>
          <cell r="Q3328">
            <v>0.87961529999999999</v>
          </cell>
          <cell r="R3328">
            <v>24.620283000000001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0.16422390000000001</v>
          </cell>
          <cell r="Y3328">
            <v>0</v>
          </cell>
          <cell r="Z3328">
            <v>0</v>
          </cell>
          <cell r="AA3328">
            <v>0</v>
          </cell>
          <cell r="AB3328">
            <v>0.14071159999999999</v>
          </cell>
        </row>
        <row r="3329">
          <cell r="A3329">
            <v>56204000</v>
          </cell>
          <cell r="B3329" t="str">
            <v>Quinoa, NS as to fat added in cooking</v>
          </cell>
          <cell r="I3329">
            <v>170</v>
          </cell>
          <cell r="J3329">
            <v>237.52127999999999</v>
          </cell>
          <cell r="K3329">
            <v>1.397184</v>
          </cell>
          <cell r="L3329">
            <v>4.5091453000000001</v>
          </cell>
          <cell r="M3329">
            <v>1.3758953</v>
          </cell>
          <cell r="N3329">
            <v>0</v>
          </cell>
          <cell r="O3329">
            <v>2.9277899999999999E-2</v>
          </cell>
          <cell r="P3329">
            <v>0</v>
          </cell>
          <cell r="Q3329">
            <v>3.9352611</v>
          </cell>
          <cell r="R3329">
            <v>55.699216999999997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0.31751299999999999</v>
          </cell>
          <cell r="Y3329">
            <v>0</v>
          </cell>
          <cell r="Z3329">
            <v>0</v>
          </cell>
          <cell r="AA3329">
            <v>0</v>
          </cell>
          <cell r="AB3329">
            <v>0.30434020000000001</v>
          </cell>
        </row>
        <row r="3330">
          <cell r="A3330">
            <v>56204005</v>
          </cell>
          <cell r="B3330" t="str">
            <v>Quinoa, fat not added in cooking</v>
          </cell>
          <cell r="I3330">
            <v>170</v>
          </cell>
          <cell r="J3330">
            <v>203.17631</v>
          </cell>
          <cell r="K3330">
            <v>1.1951547647058824</v>
          </cell>
          <cell r="L3330">
            <v>4.7407805999999999</v>
          </cell>
          <cell r="M3330">
            <v>0.39111439999999997</v>
          </cell>
          <cell r="N3330">
            <v>0</v>
          </cell>
          <cell r="O3330">
            <v>2.8948000000000002E-2</v>
          </cell>
          <cell r="P3330">
            <v>0</v>
          </cell>
          <cell r="Q3330">
            <v>1.8252005</v>
          </cell>
          <cell r="R3330">
            <v>58.560493000000001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0.27788940000000001</v>
          </cell>
          <cell r="Y3330">
            <v>0</v>
          </cell>
          <cell r="Z3330">
            <v>0</v>
          </cell>
          <cell r="AA3330">
            <v>0</v>
          </cell>
          <cell r="AB3330">
            <v>0</v>
          </cell>
        </row>
        <row r="3331">
          <cell r="A3331">
            <v>56204010</v>
          </cell>
          <cell r="B3331" t="str">
            <v>Quinoa, fat added in cooking</v>
          </cell>
          <cell r="I3331">
            <v>170</v>
          </cell>
          <cell r="J3331">
            <v>237.52127999999999</v>
          </cell>
          <cell r="K3331">
            <v>1.397184</v>
          </cell>
          <cell r="L3331">
            <v>4.5091453000000001</v>
          </cell>
          <cell r="M3331">
            <v>1.3758953</v>
          </cell>
          <cell r="N3331">
            <v>0</v>
          </cell>
          <cell r="O3331">
            <v>2.9277899999999999E-2</v>
          </cell>
          <cell r="P3331">
            <v>0</v>
          </cell>
          <cell r="Q3331">
            <v>3.9352611</v>
          </cell>
          <cell r="R3331">
            <v>55.699216999999997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0.31751299999999999</v>
          </cell>
          <cell r="Y3331">
            <v>0</v>
          </cell>
          <cell r="Z3331">
            <v>0</v>
          </cell>
          <cell r="AA3331">
            <v>0</v>
          </cell>
          <cell r="AB3331">
            <v>0.30434020000000001</v>
          </cell>
        </row>
        <row r="3332">
          <cell r="A3332">
            <v>56205000</v>
          </cell>
          <cell r="B3332" t="str">
            <v>Rice, cooked, NFS</v>
          </cell>
          <cell r="I3332">
            <v>140</v>
          </cell>
          <cell r="J3332">
            <v>180.85307</v>
          </cell>
          <cell r="K3332">
            <v>1.2918076428571428</v>
          </cell>
          <cell r="L3332">
            <v>0</v>
          </cell>
          <cell r="M3332">
            <v>0.1071207</v>
          </cell>
          <cell r="N3332">
            <v>0</v>
          </cell>
          <cell r="O3332">
            <v>1.4123500000000001E-2</v>
          </cell>
          <cell r="P3332">
            <v>0.55647100000000005</v>
          </cell>
          <cell r="Q3332">
            <v>0.1057295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0.3433348</v>
          </cell>
          <cell r="Y3332">
            <v>0</v>
          </cell>
          <cell r="Z3332">
            <v>0</v>
          </cell>
          <cell r="AA3332">
            <v>0</v>
          </cell>
          <cell r="AB3332">
            <v>3.9566400000000002E-2</v>
          </cell>
        </row>
        <row r="3333">
          <cell r="A3333">
            <v>56205001</v>
          </cell>
          <cell r="B3333" t="str">
            <v>Rice, white, cooked, NS as to fat added in cooking</v>
          </cell>
          <cell r="I3333">
            <v>140</v>
          </cell>
          <cell r="J3333">
            <v>180.85534999999999</v>
          </cell>
          <cell r="K3333">
            <v>1.2918239285714286</v>
          </cell>
          <cell r="L3333">
            <v>7.7719999999999996E-17</v>
          </cell>
          <cell r="M3333">
            <v>0.107122</v>
          </cell>
          <cell r="N3333">
            <v>0</v>
          </cell>
          <cell r="O3333">
            <v>1.41233E-2</v>
          </cell>
          <cell r="P3333">
            <v>0.55647800000000003</v>
          </cell>
          <cell r="Q3333">
            <v>0.1057308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0.34265659999999998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</row>
        <row r="3334">
          <cell r="A3334">
            <v>56205002</v>
          </cell>
          <cell r="B3334" t="str">
            <v>Rice, white, cooked, fat added in cooking, made with oil</v>
          </cell>
          <cell r="I3334">
            <v>140</v>
          </cell>
          <cell r="J3334">
            <v>210.26362</v>
          </cell>
          <cell r="K3334">
            <v>1.5018830000000001</v>
          </cell>
          <cell r="L3334">
            <v>0</v>
          </cell>
          <cell r="M3334">
            <v>0.63590740000000001</v>
          </cell>
          <cell r="N3334">
            <v>0</v>
          </cell>
          <cell r="O3334">
            <v>1.3741E-2</v>
          </cell>
          <cell r="P3334">
            <v>0.54101650000000001</v>
          </cell>
          <cell r="Q3334">
            <v>1.7043033000000001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0.33381899999999998</v>
          </cell>
          <cell r="Y3334">
            <v>0</v>
          </cell>
          <cell r="Z3334">
            <v>0</v>
          </cell>
          <cell r="AA3334">
            <v>0</v>
          </cell>
          <cell r="AB3334">
            <v>1.45801E-2</v>
          </cell>
        </row>
        <row r="3335">
          <cell r="A3335">
            <v>56205004</v>
          </cell>
          <cell r="B3335" t="str">
            <v>Rice, white, cooked, fat added in cooking, made with butter</v>
          </cell>
          <cell r="I3335">
            <v>140</v>
          </cell>
          <cell r="J3335">
            <v>204.62203</v>
          </cell>
          <cell r="K3335">
            <v>1.4615859285714285</v>
          </cell>
          <cell r="L3335">
            <v>0</v>
          </cell>
          <cell r="M3335">
            <v>2.1811348000000002</v>
          </cell>
          <cell r="N3335">
            <v>0</v>
          </cell>
          <cell r="O3335">
            <v>1.4685999999999999E-2</v>
          </cell>
          <cell r="P3335">
            <v>0.54039859999999995</v>
          </cell>
          <cell r="Q3335">
            <v>0.22572200000000001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0.35941859999999998</v>
          </cell>
          <cell r="Y3335">
            <v>0</v>
          </cell>
          <cell r="Z3335">
            <v>0</v>
          </cell>
          <cell r="AA3335">
            <v>0</v>
          </cell>
          <cell r="AB3335">
            <v>0.13254869999999999</v>
          </cell>
        </row>
        <row r="3336">
          <cell r="A3336">
            <v>56205006</v>
          </cell>
          <cell r="B3336" t="str">
            <v>Rice, white, cooked, fat added in cooking, made with margarine</v>
          </cell>
          <cell r="I3336">
            <v>140</v>
          </cell>
          <cell r="J3336">
            <v>197.32264000000001</v>
          </cell>
          <cell r="K3336">
            <v>1.4094474285714287</v>
          </cell>
          <cell r="L3336">
            <v>0</v>
          </cell>
          <cell r="M3336">
            <v>0.59692149999999999</v>
          </cell>
          <cell r="N3336">
            <v>0</v>
          </cell>
          <cell r="O3336">
            <v>1.45685E-2</v>
          </cell>
          <cell r="P3336">
            <v>0.54025999999999996</v>
          </cell>
          <cell r="Q3336">
            <v>1.1825006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0.360842</v>
          </cell>
          <cell r="Y3336">
            <v>0</v>
          </cell>
          <cell r="Z3336">
            <v>0</v>
          </cell>
          <cell r="AA3336">
            <v>0</v>
          </cell>
          <cell r="AB3336">
            <v>0.1494344</v>
          </cell>
        </row>
        <row r="3337">
          <cell r="A3337">
            <v>56205007</v>
          </cell>
          <cell r="B3337" t="str">
            <v>Rice, white, cooked, fat added in cooking, NS as to type of fat</v>
          </cell>
          <cell r="I3337">
            <v>140</v>
          </cell>
          <cell r="J3337">
            <v>206.21277000000001</v>
          </cell>
          <cell r="K3337">
            <v>1.4729483571428572</v>
          </cell>
          <cell r="L3337">
            <v>-7.7699999999999998E-17</v>
          </cell>
          <cell r="M3337">
            <v>1.088557</v>
          </cell>
          <cell r="N3337">
            <v>0</v>
          </cell>
          <cell r="O3337">
            <v>1.41806E-2</v>
          </cell>
          <cell r="P3337">
            <v>0.54061320000000002</v>
          </cell>
          <cell r="Q3337">
            <v>1.1725114999999999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0.34601510000000002</v>
          </cell>
          <cell r="Y3337">
            <v>0</v>
          </cell>
          <cell r="Z3337">
            <v>0</v>
          </cell>
          <cell r="AA3337">
            <v>0</v>
          </cell>
          <cell r="AB3337">
            <v>7.5570300000000007E-2</v>
          </cell>
        </row>
        <row r="3338">
          <cell r="A3338">
            <v>56205008</v>
          </cell>
          <cell r="B3338" t="str">
            <v>Rice, white, cooked, fat not added in cooking</v>
          </cell>
          <cell r="I3338">
            <v>140</v>
          </cell>
          <cell r="J3338">
            <v>180.85307</v>
          </cell>
          <cell r="K3338">
            <v>1.2918076428571428</v>
          </cell>
          <cell r="L3338">
            <v>0</v>
          </cell>
          <cell r="M3338">
            <v>0.1071207</v>
          </cell>
          <cell r="N3338">
            <v>0</v>
          </cell>
          <cell r="O3338">
            <v>1.4123500000000001E-2</v>
          </cell>
          <cell r="P3338">
            <v>0.55647100000000005</v>
          </cell>
          <cell r="Q3338">
            <v>0.1057295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0.3433348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</row>
        <row r="3339">
          <cell r="A3339">
            <v>56205011</v>
          </cell>
          <cell r="B3339" t="str">
            <v>Rice, brown, cooked, NS as to fat added in cooking</v>
          </cell>
          <cell r="I3339">
            <v>140</v>
          </cell>
          <cell r="J3339">
            <v>171.32142999999999</v>
          </cell>
          <cell r="K3339">
            <v>1.2237244999999999</v>
          </cell>
          <cell r="L3339">
            <v>2.2285713999999999</v>
          </cell>
          <cell r="M3339">
            <v>0.36214289999999999</v>
          </cell>
          <cell r="N3339">
            <v>0</v>
          </cell>
          <cell r="O3339">
            <v>4.3499999999999997E-3</v>
          </cell>
          <cell r="P3339">
            <v>0</v>
          </cell>
          <cell r="Q3339">
            <v>0.50978570000000001</v>
          </cell>
          <cell r="R3339">
            <v>48.174750000000003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0.28241430000000001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</row>
        <row r="3340">
          <cell r="A3340">
            <v>56205012</v>
          </cell>
          <cell r="B3340" t="str">
            <v>Rice, brown, cooked, fat added in cooking, made with oil</v>
          </cell>
          <cell r="I3340">
            <v>140</v>
          </cell>
          <cell r="J3340">
            <v>195.51994999999999</v>
          </cell>
          <cell r="K3340">
            <v>1.3965710714285713</v>
          </cell>
          <cell r="L3340">
            <v>2.1780756000000001</v>
          </cell>
          <cell r="M3340">
            <v>0.78759000000000001</v>
          </cell>
          <cell r="N3340">
            <v>0</v>
          </cell>
          <cell r="O3340">
            <v>4.2596999999999999E-3</v>
          </cell>
          <cell r="P3340">
            <v>0</v>
          </cell>
          <cell r="Q3340">
            <v>1.8042693000000001</v>
          </cell>
          <cell r="R3340">
            <v>47.083188999999997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0.27657219999999999</v>
          </cell>
          <cell r="Y3340">
            <v>0</v>
          </cell>
          <cell r="Z3340">
            <v>0</v>
          </cell>
          <cell r="AA3340">
            <v>0</v>
          </cell>
          <cell r="AB3340">
            <v>1.12356E-2</v>
          </cell>
        </row>
        <row r="3341">
          <cell r="A3341">
            <v>56205014</v>
          </cell>
          <cell r="B3341" t="str">
            <v>Rice, brown, cooked, fat added in cooking, made with butter</v>
          </cell>
          <cell r="I3341">
            <v>140</v>
          </cell>
          <cell r="J3341">
            <v>190.93199000000001</v>
          </cell>
          <cell r="K3341">
            <v>1.3637999285714286</v>
          </cell>
          <cell r="L3341">
            <v>2.1760465</v>
          </cell>
          <cell r="M3341">
            <v>2.0478499999999999</v>
          </cell>
          <cell r="N3341">
            <v>0</v>
          </cell>
          <cell r="O3341">
            <v>5.0394000000000003E-3</v>
          </cell>
          <cell r="P3341">
            <v>0</v>
          </cell>
          <cell r="Q3341">
            <v>0.59813620000000001</v>
          </cell>
          <cell r="R3341">
            <v>47.039326000000003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0.29750650000000001</v>
          </cell>
          <cell r="Y3341">
            <v>0</v>
          </cell>
          <cell r="Z3341">
            <v>0</v>
          </cell>
          <cell r="AA3341">
            <v>0</v>
          </cell>
          <cell r="AB3341">
            <v>0.1081165</v>
          </cell>
        </row>
        <row r="3342">
          <cell r="A3342">
            <v>56205016</v>
          </cell>
          <cell r="B3342" t="str">
            <v>Rice, brown, cooked, fat added in cooking, made with margarine</v>
          </cell>
          <cell r="I3342">
            <v>140</v>
          </cell>
          <cell r="J3342">
            <v>184.98065</v>
          </cell>
          <cell r="K3342">
            <v>1.3212903571428571</v>
          </cell>
          <cell r="L3342">
            <v>2.1755912999999998</v>
          </cell>
          <cell r="M3342">
            <v>0.7556157</v>
          </cell>
          <cell r="N3342">
            <v>0</v>
          </cell>
          <cell r="O3342">
            <v>4.9455999999999996E-3</v>
          </cell>
          <cell r="P3342">
            <v>0</v>
          </cell>
          <cell r="Q3342">
            <v>1.3785144</v>
          </cell>
          <cell r="R3342">
            <v>47.029485999999999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0.29868050000000002</v>
          </cell>
          <cell r="Y3342">
            <v>0</v>
          </cell>
          <cell r="Z3342">
            <v>0</v>
          </cell>
          <cell r="AA3342">
            <v>0</v>
          </cell>
          <cell r="AB3342">
            <v>0.1218955</v>
          </cell>
        </row>
        <row r="3343">
          <cell r="A3343">
            <v>56205018</v>
          </cell>
          <cell r="B3343" t="str">
            <v>Rice, brown, cooked, fat not added in cooking</v>
          </cell>
          <cell r="I3343">
            <v>140</v>
          </cell>
          <cell r="J3343">
            <v>171.31968000000001</v>
          </cell>
          <cell r="K3343">
            <v>1.2237120000000001</v>
          </cell>
          <cell r="L3343">
            <v>2.2285487000000002</v>
          </cell>
          <cell r="M3343">
            <v>0.36213919999999999</v>
          </cell>
          <cell r="N3343">
            <v>0</v>
          </cell>
          <cell r="O3343">
            <v>4.3502999999999997E-3</v>
          </cell>
          <cell r="P3343">
            <v>0</v>
          </cell>
          <cell r="Q3343">
            <v>0.50978049999999997</v>
          </cell>
          <cell r="R3343">
            <v>48.174258000000002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0.28296510000000002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</row>
        <row r="3344">
          <cell r="A3344">
            <v>56205050</v>
          </cell>
          <cell r="B3344" t="str">
            <v>Rice, cream of, cooked, fat not added in cooking</v>
          </cell>
          <cell r="I3344">
            <v>244</v>
          </cell>
          <cell r="J3344">
            <v>146.53775999999999</v>
          </cell>
          <cell r="K3344">
            <v>0.60056459016393438</v>
          </cell>
          <cell r="L3344">
            <v>0</v>
          </cell>
          <cell r="M3344">
            <v>5.3862500000000001E-2</v>
          </cell>
          <cell r="N3344">
            <v>0</v>
          </cell>
          <cell r="O3344">
            <v>8.1843999999999997E-3</v>
          </cell>
          <cell r="P3344">
            <v>0.27723360000000002</v>
          </cell>
          <cell r="Q3344">
            <v>5.3070399999999997E-2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0.1440168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</row>
        <row r="3345">
          <cell r="A3345">
            <v>56205060</v>
          </cell>
          <cell r="B3345" t="str">
            <v>Rice, cooked, with milk</v>
          </cell>
          <cell r="I3345">
            <v>200</v>
          </cell>
          <cell r="J3345">
            <v>226.78084999999999</v>
          </cell>
          <cell r="K3345">
            <v>1.1339042499999998</v>
          </cell>
          <cell r="L3345">
            <v>0</v>
          </cell>
          <cell r="M3345">
            <v>2.0256523</v>
          </cell>
          <cell r="N3345">
            <v>0</v>
          </cell>
          <cell r="O3345">
            <v>0.19968330000000001</v>
          </cell>
          <cell r="P3345">
            <v>0.5211268</v>
          </cell>
          <cell r="Q3345">
            <v>0.2320093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0.57654669999999997</v>
          </cell>
          <cell r="Y3345">
            <v>0</v>
          </cell>
          <cell r="Z3345">
            <v>0</v>
          </cell>
          <cell r="AA3345">
            <v>0</v>
          </cell>
          <cell r="AB3345">
            <v>0.16262579999999999</v>
          </cell>
        </row>
        <row r="3346">
          <cell r="A3346">
            <v>56205070</v>
          </cell>
          <cell r="B3346" t="str">
            <v>Rice, sweet, cooked with honey</v>
          </cell>
          <cell r="I3346">
            <v>175</v>
          </cell>
          <cell r="J3346">
            <v>244.45899</v>
          </cell>
          <cell r="K3346">
            <v>1.3969085142857143</v>
          </cell>
          <cell r="L3346">
            <v>0</v>
          </cell>
          <cell r="M3346">
            <v>0.125169</v>
          </cell>
          <cell r="N3346">
            <v>0</v>
          </cell>
          <cell r="O3346">
            <v>1.72801E-2</v>
          </cell>
          <cell r="P3346">
            <v>0.67202779999999995</v>
          </cell>
          <cell r="Q3346">
            <v>0.1235435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0.60019990000000001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</row>
        <row r="3347">
          <cell r="A3347">
            <v>56205080</v>
          </cell>
          <cell r="B3347" t="str">
            <v>Rice, creamed, made with milk and sugar, Puerto Rican style</v>
          </cell>
          <cell r="I3347">
            <v>245</v>
          </cell>
          <cell r="J3347">
            <v>207.99734000000001</v>
          </cell>
          <cell r="K3347">
            <v>0.84896873469387757</v>
          </cell>
          <cell r="L3347">
            <v>0</v>
          </cell>
          <cell r="M3347">
            <v>1.3126164</v>
          </cell>
          <cell r="N3347">
            <v>0</v>
          </cell>
          <cell r="O3347">
            <v>0.132494</v>
          </cell>
          <cell r="P3347">
            <v>0.33736290000000002</v>
          </cell>
          <cell r="Q3347">
            <v>0.15030070000000001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0.29613020000000001</v>
          </cell>
          <cell r="Y3347">
            <v>0</v>
          </cell>
          <cell r="Z3347">
            <v>0</v>
          </cell>
          <cell r="AA3347">
            <v>0</v>
          </cell>
          <cell r="AB3347">
            <v>0.1232153</v>
          </cell>
        </row>
        <row r="3348">
          <cell r="A3348">
            <v>56205090</v>
          </cell>
          <cell r="B3348" t="str">
            <v>Rice, cream of, cooked, fat added in cooking</v>
          </cell>
          <cell r="I3348">
            <v>249</v>
          </cell>
          <cell r="J3348">
            <v>170.34720999999999</v>
          </cell>
          <cell r="K3348">
            <v>0.68412534136546177</v>
          </cell>
          <cell r="L3348">
            <v>0</v>
          </cell>
          <cell r="M3348">
            <v>1.5810814</v>
          </cell>
          <cell r="N3348">
            <v>0</v>
          </cell>
          <cell r="O3348">
            <v>9.1625999999999999E-3</v>
          </cell>
          <cell r="P3348">
            <v>0.27009300000000003</v>
          </cell>
          <cell r="Q3348">
            <v>0.58402679999999996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0.17165649999999999</v>
          </cell>
          <cell r="Y3348">
            <v>0</v>
          </cell>
          <cell r="Z3348">
            <v>0</v>
          </cell>
          <cell r="AA3348">
            <v>0</v>
          </cell>
          <cell r="AB3348">
            <v>0.26603359999999998</v>
          </cell>
        </row>
        <row r="3349">
          <cell r="A3349">
            <v>56205101</v>
          </cell>
          <cell r="B3349" t="str">
            <v>Congee</v>
          </cell>
          <cell r="I3349">
            <v>140</v>
          </cell>
          <cell r="J3349">
            <v>40.218181999999999</v>
          </cell>
          <cell r="K3349">
            <v>0.28727272857142855</v>
          </cell>
          <cell r="L3349">
            <v>0</v>
          </cell>
          <cell r="M3349">
            <v>2.3821499999999999E-2</v>
          </cell>
          <cell r="N3349">
            <v>0</v>
          </cell>
          <cell r="O3349">
            <v>6.5300999999999996E-3</v>
          </cell>
          <cell r="P3349">
            <v>0.12374830000000001</v>
          </cell>
          <cell r="Q3349">
            <v>2.35122E-2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0.30819970000000002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</row>
        <row r="3350">
          <cell r="A3350">
            <v>56205130</v>
          </cell>
          <cell r="B3350" t="str">
            <v>Yellow rice, cooked, NS as to fat added in cooking</v>
          </cell>
          <cell r="I3350">
            <v>140</v>
          </cell>
          <cell r="J3350">
            <v>110.54543</v>
          </cell>
          <cell r="K3350">
            <v>0.78961021428571421</v>
          </cell>
          <cell r="L3350">
            <v>0</v>
          </cell>
          <cell r="M3350">
            <v>0</v>
          </cell>
          <cell r="N3350">
            <v>0</v>
          </cell>
          <cell r="O3350">
            <v>1.45133E-2</v>
          </cell>
          <cell r="P3350">
            <v>0.58012180000000002</v>
          </cell>
          <cell r="Q3350">
            <v>0.26846750000000003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0.4284443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</row>
        <row r="3351">
          <cell r="A3351">
            <v>56205150</v>
          </cell>
          <cell r="B3351" t="str">
            <v>Yellow rice, cooked, fat not added in cooking</v>
          </cell>
          <cell r="I3351">
            <v>140</v>
          </cell>
          <cell r="J3351">
            <v>110.54543</v>
          </cell>
          <cell r="K3351">
            <v>0.78961021428571421</v>
          </cell>
          <cell r="L3351">
            <v>0</v>
          </cell>
          <cell r="M3351">
            <v>0</v>
          </cell>
          <cell r="N3351">
            <v>0</v>
          </cell>
          <cell r="O3351">
            <v>1.45133E-2</v>
          </cell>
          <cell r="P3351">
            <v>0.58012180000000002</v>
          </cell>
          <cell r="Q3351">
            <v>0.26846750000000003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0.4284443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</row>
        <row r="3352">
          <cell r="A3352">
            <v>56205170</v>
          </cell>
          <cell r="B3352" t="str">
            <v>Yellow rice, cooked, fat added in cooking</v>
          </cell>
          <cell r="I3352">
            <v>140</v>
          </cell>
          <cell r="J3352">
            <v>130.66407000000001</v>
          </cell>
          <cell r="K3352">
            <v>0.93331478571428583</v>
          </cell>
          <cell r="L3352">
            <v>0</v>
          </cell>
          <cell r="M3352">
            <v>0.47893940000000002</v>
          </cell>
          <cell r="N3352">
            <v>0</v>
          </cell>
          <cell r="O3352">
            <v>1.4281E-2</v>
          </cell>
          <cell r="P3352">
            <v>0.5670558</v>
          </cell>
          <cell r="Q3352">
            <v>1.0287113000000001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0.44247510000000001</v>
          </cell>
          <cell r="Y3352">
            <v>0</v>
          </cell>
          <cell r="Z3352">
            <v>0</v>
          </cell>
          <cell r="AA3352">
            <v>0</v>
          </cell>
          <cell r="AB3352">
            <v>0.46951140000000002</v>
          </cell>
        </row>
        <row r="3353">
          <cell r="A3353">
            <v>56205190</v>
          </cell>
          <cell r="B3353" t="str">
            <v>Rice, white, cooked, glutinous</v>
          </cell>
          <cell r="I3353">
            <v>140</v>
          </cell>
          <cell r="J3353">
            <v>135.02246</v>
          </cell>
          <cell r="K3353">
            <v>0.96444614285714281</v>
          </cell>
          <cell r="L3353">
            <v>0</v>
          </cell>
          <cell r="M3353">
            <v>5.42874E-2</v>
          </cell>
          <cell r="N3353">
            <v>0</v>
          </cell>
          <cell r="O3353">
            <v>2.9762999999999999E-3</v>
          </cell>
          <cell r="P3353">
            <v>1.3919840999999999</v>
          </cell>
          <cell r="Q3353">
            <v>9.6046900000000004E-2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0.31764049999999999</v>
          </cell>
          <cell r="Y3353">
            <v>0</v>
          </cell>
          <cell r="Z3353">
            <v>0</v>
          </cell>
          <cell r="AA3353">
            <v>0</v>
          </cell>
          <cell r="AB3353">
            <v>1.8576E-3</v>
          </cell>
        </row>
        <row r="3354">
          <cell r="A3354">
            <v>56205205</v>
          </cell>
          <cell r="B3354" t="str">
            <v>Rice, wild, 100%, cooked, NS as to fat added in cooking</v>
          </cell>
          <cell r="I3354">
            <v>140</v>
          </cell>
          <cell r="J3354">
            <v>169.99100000000001</v>
          </cell>
          <cell r="K3354">
            <v>1.2142214285714286</v>
          </cell>
          <cell r="L3354">
            <v>2.4375973000000002</v>
          </cell>
          <cell r="M3354">
            <v>0.57930000000000004</v>
          </cell>
          <cell r="N3354">
            <v>0</v>
          </cell>
          <cell r="O3354">
            <v>4.2706000000000003E-3</v>
          </cell>
          <cell r="P3354">
            <v>0</v>
          </cell>
          <cell r="Q3354">
            <v>1.8332832999999999</v>
          </cell>
          <cell r="R3354">
            <v>46.838433000000002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0.32476349999999998</v>
          </cell>
          <cell r="Y3354">
            <v>0</v>
          </cell>
          <cell r="Z3354">
            <v>0</v>
          </cell>
          <cell r="AA3354">
            <v>0</v>
          </cell>
          <cell r="AB3354">
            <v>1.329E-2</v>
          </cell>
        </row>
        <row r="3355">
          <cell r="A3355">
            <v>56205210</v>
          </cell>
          <cell r="B3355" t="str">
            <v>Rice, wild, 100%, cooked, fat not added in cooking</v>
          </cell>
          <cell r="I3355">
            <v>140</v>
          </cell>
          <cell r="J3355">
            <v>140.54132999999999</v>
          </cell>
          <cell r="K3355">
            <v>1.0038666428571428</v>
          </cell>
          <cell r="L3355">
            <v>2.5046968999999999</v>
          </cell>
          <cell r="M3355">
            <v>6.8183400000000005E-2</v>
          </cell>
          <cell r="N3355">
            <v>0</v>
          </cell>
          <cell r="O3355">
            <v>4.3784999999999996E-3</v>
          </cell>
          <cell r="P3355">
            <v>0</v>
          </cell>
          <cell r="Q3355">
            <v>0.29638910000000002</v>
          </cell>
          <cell r="R3355">
            <v>48.127751000000004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0.33368399999999998</v>
          </cell>
          <cell r="Y3355">
            <v>0</v>
          </cell>
          <cell r="Z3355">
            <v>0</v>
          </cell>
          <cell r="AA3355">
            <v>0</v>
          </cell>
          <cell r="AB3355">
            <v>0</v>
          </cell>
        </row>
        <row r="3356">
          <cell r="A3356">
            <v>56205215</v>
          </cell>
          <cell r="B3356" t="str">
            <v>Rice, wild, 100%, cooked, fat added in cooking</v>
          </cell>
          <cell r="I3356">
            <v>140</v>
          </cell>
          <cell r="J3356">
            <v>169.99100000000001</v>
          </cell>
          <cell r="K3356">
            <v>1.2142214285714286</v>
          </cell>
          <cell r="L3356">
            <v>2.4375973000000002</v>
          </cell>
          <cell r="M3356">
            <v>0.57930000000000004</v>
          </cell>
          <cell r="N3356">
            <v>0</v>
          </cell>
          <cell r="O3356">
            <v>4.2706000000000003E-3</v>
          </cell>
          <cell r="P3356">
            <v>0</v>
          </cell>
          <cell r="Q3356">
            <v>1.8332832999999999</v>
          </cell>
          <cell r="R3356">
            <v>46.838433000000002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0.32476349999999998</v>
          </cell>
          <cell r="Y3356">
            <v>0</v>
          </cell>
          <cell r="Z3356">
            <v>0</v>
          </cell>
          <cell r="AA3356">
            <v>0</v>
          </cell>
          <cell r="AB3356">
            <v>1.329E-2</v>
          </cell>
        </row>
        <row r="3357">
          <cell r="A3357">
            <v>56205230</v>
          </cell>
          <cell r="B3357" t="str">
            <v>Rice dessert bar, frozen, flavors other than chocolate, nondairy, carob covered</v>
          </cell>
          <cell r="I3357">
            <v>140</v>
          </cell>
          <cell r="J3357">
            <v>308.08071999999999</v>
          </cell>
          <cell r="K3357">
            <v>2.2005765714285714</v>
          </cell>
          <cell r="L3357">
            <v>5.2147912999999999</v>
          </cell>
          <cell r="M3357">
            <v>8.6990321999999995</v>
          </cell>
          <cell r="N3357">
            <v>0</v>
          </cell>
          <cell r="O3357">
            <v>3.4621499999999999E-2</v>
          </cell>
          <cell r="P3357">
            <v>0</v>
          </cell>
          <cell r="Q3357">
            <v>1.8329200999999999</v>
          </cell>
          <cell r="R3357">
            <v>36.099750999999998</v>
          </cell>
          <cell r="S3357">
            <v>8.9065606000000006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0.1158632</v>
          </cell>
          <cell r="Y3357">
            <v>0</v>
          </cell>
          <cell r="Z3357">
            <v>0</v>
          </cell>
          <cell r="AA3357">
            <v>0</v>
          </cell>
          <cell r="AB3357">
            <v>1.0033800000000001E-2</v>
          </cell>
        </row>
        <row r="3358">
          <cell r="A3358">
            <v>56205300</v>
          </cell>
          <cell r="B3358" t="str">
            <v>Rice, white and wild, cooked, fat not added in cooking</v>
          </cell>
          <cell r="I3358">
            <v>140</v>
          </cell>
          <cell r="J3358">
            <v>169.63472999999999</v>
          </cell>
          <cell r="K3358">
            <v>1.2116766428571428</v>
          </cell>
          <cell r="L3358">
            <v>0.44772279999999998</v>
          </cell>
          <cell r="M3358">
            <v>0</v>
          </cell>
          <cell r="N3358">
            <v>0</v>
          </cell>
          <cell r="O3358">
            <v>5.2940099999999997E-2</v>
          </cell>
          <cell r="P3358">
            <v>0.41239700000000001</v>
          </cell>
          <cell r="Q3358">
            <v>0.27237129999999998</v>
          </cell>
          <cell r="R3358">
            <v>13.411417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0.54843109999999995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</row>
        <row r="3359">
          <cell r="A3359">
            <v>56205320</v>
          </cell>
          <cell r="B3359" t="str">
            <v>Rice, white and wild, cooked, fat added in cooking</v>
          </cell>
          <cell r="I3359">
            <v>140</v>
          </cell>
          <cell r="J3359">
            <v>125.63135</v>
          </cell>
          <cell r="K3359">
            <v>0.89736678571428574</v>
          </cell>
          <cell r="L3359">
            <v>0.28717589999999998</v>
          </cell>
          <cell r="M3359">
            <v>0.46725050000000001</v>
          </cell>
          <cell r="N3359">
            <v>0</v>
          </cell>
          <cell r="O3359">
            <v>1.1457200000000001E-2</v>
          </cell>
          <cell r="P3359">
            <v>0.31863399999999997</v>
          </cell>
          <cell r="Q3359">
            <v>0.74013379999999995</v>
          </cell>
          <cell r="R3359">
            <v>4.6318697000000002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0.57242820000000005</v>
          </cell>
          <cell r="Y3359">
            <v>0</v>
          </cell>
          <cell r="Z3359">
            <v>0</v>
          </cell>
          <cell r="AA3359">
            <v>0</v>
          </cell>
          <cell r="AB3359">
            <v>0.407719</v>
          </cell>
        </row>
        <row r="3360">
          <cell r="A3360">
            <v>56205330</v>
          </cell>
          <cell r="B3360" t="str">
            <v>Rice, white and wild, cooked, NS as to fat added in cooking</v>
          </cell>
          <cell r="I3360">
            <v>140</v>
          </cell>
          <cell r="J3360">
            <v>125.63135</v>
          </cell>
          <cell r="K3360">
            <v>0.89736678571428574</v>
          </cell>
          <cell r="L3360">
            <v>0.28717589999999998</v>
          </cell>
          <cell r="M3360">
            <v>0.46725050000000001</v>
          </cell>
          <cell r="N3360">
            <v>0</v>
          </cell>
          <cell r="O3360">
            <v>1.1457200000000001E-2</v>
          </cell>
          <cell r="P3360">
            <v>0.31863399999999997</v>
          </cell>
          <cell r="Q3360">
            <v>0.74013379999999995</v>
          </cell>
          <cell r="R3360">
            <v>4.6318697000000002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0.57242820000000005</v>
          </cell>
          <cell r="Y3360">
            <v>0</v>
          </cell>
          <cell r="Z3360">
            <v>0</v>
          </cell>
          <cell r="AA3360">
            <v>0</v>
          </cell>
          <cell r="AB3360">
            <v>0.407719</v>
          </cell>
        </row>
        <row r="3361">
          <cell r="A3361">
            <v>56205340</v>
          </cell>
          <cell r="B3361" t="str">
            <v>Rice, brown and wild, cooked, fat added in cooking</v>
          </cell>
          <cell r="I3361">
            <v>140</v>
          </cell>
          <cell r="J3361">
            <v>192.20570000000001</v>
          </cell>
          <cell r="K3361">
            <v>1.3728978571428572</v>
          </cell>
          <cell r="L3361">
            <v>2.2117675999999999</v>
          </cell>
          <cell r="M3361">
            <v>0.76054909999999998</v>
          </cell>
          <cell r="N3361">
            <v>0</v>
          </cell>
          <cell r="O3361">
            <v>4.2611000000000003E-3</v>
          </cell>
          <cell r="P3361">
            <v>0</v>
          </cell>
          <cell r="Q3361">
            <v>1.808036</v>
          </cell>
          <cell r="R3361">
            <v>47.051414000000001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0.28282859999999999</v>
          </cell>
          <cell r="Y3361">
            <v>0</v>
          </cell>
          <cell r="Z3361">
            <v>0</v>
          </cell>
          <cell r="AA3361">
            <v>0</v>
          </cell>
          <cell r="AB3361">
            <v>3.52904E-2</v>
          </cell>
        </row>
        <row r="3362">
          <cell r="A3362">
            <v>56205350</v>
          </cell>
          <cell r="B3362" t="str">
            <v>Rice, brown and wild, cooked, NS as to fat added in cooking</v>
          </cell>
          <cell r="I3362">
            <v>140</v>
          </cell>
          <cell r="J3362">
            <v>126.12156</v>
          </cell>
          <cell r="K3362">
            <v>0.90086828571428568</v>
          </cell>
          <cell r="L3362">
            <v>1.1695471</v>
          </cell>
          <cell r="M3362">
            <v>0.56798789999999999</v>
          </cell>
          <cell r="N3362">
            <v>0</v>
          </cell>
          <cell r="O3362">
            <v>6.8002000000000002E-3</v>
          </cell>
          <cell r="P3362">
            <v>0</v>
          </cell>
          <cell r="Q3362">
            <v>0.94185359999999996</v>
          </cell>
          <cell r="R3362">
            <v>29.14218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0.57242820000000005</v>
          </cell>
          <cell r="Y3362">
            <v>0</v>
          </cell>
          <cell r="Z3362">
            <v>0</v>
          </cell>
          <cell r="AA3362">
            <v>0</v>
          </cell>
          <cell r="AB3362">
            <v>0.4079641</v>
          </cell>
        </row>
        <row r="3363">
          <cell r="A3363">
            <v>56205410</v>
          </cell>
          <cell r="B3363" t="str">
            <v>Rice, white, cooked with (fat) oil, Puerto Rican style (Arroz blanco)</v>
          </cell>
          <cell r="I3363">
            <v>140</v>
          </cell>
          <cell r="J3363">
            <v>223.65253000000001</v>
          </cell>
          <cell r="K3363">
            <v>1.5975180714285715</v>
          </cell>
          <cell r="L3363">
            <v>7.7719999999999996E-17</v>
          </cell>
          <cell r="M3363">
            <v>0.9906412</v>
          </cell>
          <cell r="N3363">
            <v>0</v>
          </cell>
          <cell r="O3363">
            <v>1.5610000000000001E-2</v>
          </cell>
          <cell r="P3363">
            <v>0.58684099999999995</v>
          </cell>
          <cell r="Q3363">
            <v>2.8187049000000002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0.57319750000000003</v>
          </cell>
          <cell r="Y3363">
            <v>0</v>
          </cell>
          <cell r="Z3363">
            <v>0</v>
          </cell>
          <cell r="AA3363">
            <v>0</v>
          </cell>
          <cell r="AB3363">
            <v>3.1578200000000001E-2</v>
          </cell>
        </row>
        <row r="3364">
          <cell r="A3364">
            <v>56206990</v>
          </cell>
          <cell r="B3364" t="str">
            <v>Wheat, cream of, cooked, NS as to regular, quick, or instant, NS as to fat added in cooking</v>
          </cell>
          <cell r="I3364">
            <v>251</v>
          </cell>
          <cell r="J3364">
            <v>93.204819000000001</v>
          </cell>
          <cell r="K3364">
            <v>0.37133394023904381</v>
          </cell>
          <cell r="L3364">
            <v>0</v>
          </cell>
          <cell r="M3364">
            <v>6.0065300000000002E-2</v>
          </cell>
          <cell r="N3364">
            <v>0</v>
          </cell>
          <cell r="O3364">
            <v>0.19098190000000001</v>
          </cell>
          <cell r="P3364">
            <v>1.0873896000000001</v>
          </cell>
          <cell r="Q3364">
            <v>0.1623317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0.31631029999999999</v>
          </cell>
          <cell r="Y3364">
            <v>0</v>
          </cell>
          <cell r="Z3364">
            <v>0</v>
          </cell>
          <cell r="AA3364">
            <v>0</v>
          </cell>
          <cell r="AB3364">
            <v>0.15528700000000001</v>
          </cell>
        </row>
        <row r="3365">
          <cell r="A3365">
            <v>56207000</v>
          </cell>
          <cell r="B3365" t="str">
            <v>Wheat, cream of, cooked, NS as to regular, quick, or instant, fat not added in cooking</v>
          </cell>
          <cell r="I3365">
            <v>251</v>
          </cell>
          <cell r="J3365">
            <v>93.204819000000001</v>
          </cell>
          <cell r="K3365">
            <v>0.37133394023904381</v>
          </cell>
          <cell r="L3365">
            <v>0</v>
          </cell>
          <cell r="M3365">
            <v>6.0065300000000002E-2</v>
          </cell>
          <cell r="N3365">
            <v>0</v>
          </cell>
          <cell r="O3365">
            <v>0.19098190000000001</v>
          </cell>
          <cell r="P3365">
            <v>1.0873896000000001</v>
          </cell>
          <cell r="Q3365">
            <v>0.1623317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0.31631029999999999</v>
          </cell>
          <cell r="Y3365">
            <v>0</v>
          </cell>
          <cell r="Z3365">
            <v>0</v>
          </cell>
          <cell r="AA3365">
            <v>0</v>
          </cell>
          <cell r="AB3365">
            <v>7.1916000000000002E-3</v>
          </cell>
        </row>
        <row r="3366">
          <cell r="A3366">
            <v>56207010</v>
          </cell>
          <cell r="B3366" t="str">
            <v>Wheat, cream of, cooked, regular, fat not added in cooking</v>
          </cell>
          <cell r="I3366">
            <v>251</v>
          </cell>
          <cell r="J3366">
            <v>93.332746</v>
          </cell>
          <cell r="K3366">
            <v>0.371843609561753</v>
          </cell>
          <cell r="L3366">
            <v>0</v>
          </cell>
          <cell r="M3366">
            <v>6.0035699999999997E-2</v>
          </cell>
          <cell r="N3366">
            <v>0</v>
          </cell>
          <cell r="O3366">
            <v>0.1597867</v>
          </cell>
          <cell r="P3366">
            <v>0.95855250000000003</v>
          </cell>
          <cell r="Q3366">
            <v>0.20911579999999999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0.28681190000000001</v>
          </cell>
          <cell r="Y3366">
            <v>0</v>
          </cell>
          <cell r="Z3366">
            <v>0</v>
          </cell>
          <cell r="AA3366">
            <v>0</v>
          </cell>
          <cell r="AB3366">
            <v>8.0614500000000006E-2</v>
          </cell>
        </row>
        <row r="3367">
          <cell r="A3367">
            <v>56207016</v>
          </cell>
          <cell r="B3367" t="str">
            <v>Cream of wheat, regular or quick, made with water, fat not added in cooking</v>
          </cell>
          <cell r="I3367">
            <v>251</v>
          </cell>
          <cell r="J3367">
            <v>109.09838000000001</v>
          </cell>
          <cell r="K3367">
            <v>0.43465490039840637</v>
          </cell>
          <cell r="L3367">
            <v>0</v>
          </cell>
          <cell r="M3367">
            <v>7.0176799999999998E-2</v>
          </cell>
          <cell r="N3367">
            <v>0</v>
          </cell>
          <cell r="O3367">
            <v>0.1854083</v>
          </cell>
          <cell r="P3367">
            <v>1.1204699</v>
          </cell>
          <cell r="Q3367">
            <v>0.2444394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0.15376239999999999</v>
          </cell>
          <cell r="Y3367">
            <v>0</v>
          </cell>
          <cell r="Z3367">
            <v>0</v>
          </cell>
          <cell r="AA3367">
            <v>0</v>
          </cell>
          <cell r="AB3367">
            <v>4.9277000000000001E-3</v>
          </cell>
        </row>
        <row r="3368">
          <cell r="A3368">
            <v>56207017</v>
          </cell>
          <cell r="B3368" t="str">
            <v>Cream of wheat, regular or quick, made with water, fat added in cooking</v>
          </cell>
          <cell r="I3368">
            <v>251</v>
          </cell>
          <cell r="J3368">
            <v>136.24034</v>
          </cell>
          <cell r="K3368">
            <v>0.54279019920318727</v>
          </cell>
          <cell r="L3368">
            <v>0</v>
          </cell>
          <cell r="M3368">
            <v>1.6820075999999999</v>
          </cell>
          <cell r="N3368">
            <v>0</v>
          </cell>
          <cell r="O3368">
            <v>0.18309790000000001</v>
          </cell>
          <cell r="P3368">
            <v>1.100274</v>
          </cell>
          <cell r="Q3368">
            <v>0.80177940000000003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0.1807281</v>
          </cell>
          <cell r="Y3368">
            <v>0</v>
          </cell>
          <cell r="Z3368">
            <v>0</v>
          </cell>
          <cell r="AA3368">
            <v>0</v>
          </cell>
          <cell r="AB3368">
            <v>0.15528700000000001</v>
          </cell>
        </row>
        <row r="3369">
          <cell r="A3369">
            <v>56207020</v>
          </cell>
          <cell r="B3369" t="str">
            <v>Wheat, cream of, cooked, quick, fat not added in cooking</v>
          </cell>
          <cell r="I3369">
            <v>239</v>
          </cell>
          <cell r="J3369">
            <v>88.748812000000001</v>
          </cell>
          <cell r="K3369">
            <v>0.37133394142259413</v>
          </cell>
          <cell r="L3369">
            <v>0</v>
          </cell>
          <cell r="M3369">
            <v>5.71937E-2</v>
          </cell>
          <cell r="N3369">
            <v>0</v>
          </cell>
          <cell r="O3369">
            <v>0.18185129999999999</v>
          </cell>
          <cell r="P3369">
            <v>1.0354028</v>
          </cell>
          <cell r="Q3369">
            <v>0.15457080000000001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0.30118790000000001</v>
          </cell>
          <cell r="Y3369">
            <v>0</v>
          </cell>
          <cell r="Z3369">
            <v>0</v>
          </cell>
          <cell r="AA3369">
            <v>0</v>
          </cell>
          <cell r="AB3369">
            <v>4.9299999999999995E-4</v>
          </cell>
        </row>
        <row r="3370">
          <cell r="A3370">
            <v>56207022</v>
          </cell>
          <cell r="B3370" t="str">
            <v>Cream of wheat, regular or quick, made with milk, fat not added in cooking</v>
          </cell>
          <cell r="I3370">
            <v>239</v>
          </cell>
          <cell r="J3370">
            <v>210.70605</v>
          </cell>
          <cell r="K3370">
            <v>0.88161527196652723</v>
          </cell>
          <cell r="L3370">
            <v>0</v>
          </cell>
          <cell r="M3370">
            <v>2.660256</v>
          </cell>
          <cell r="N3370">
            <v>0</v>
          </cell>
          <cell r="O3370">
            <v>0.4200083</v>
          </cell>
          <cell r="P3370">
            <v>1.0669016</v>
          </cell>
          <cell r="Q3370">
            <v>0.44656849999999998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0.23177739999999999</v>
          </cell>
          <cell r="Y3370">
            <v>0</v>
          </cell>
          <cell r="Z3370">
            <v>0</v>
          </cell>
          <cell r="AA3370">
            <v>0</v>
          </cell>
          <cell r="AB3370">
            <v>0.19555130000000001</v>
          </cell>
        </row>
        <row r="3371">
          <cell r="A3371">
            <v>56207023</v>
          </cell>
          <cell r="B3371" t="str">
            <v>Cream of wheat, regular or quick, made with milk, fat added in cooking</v>
          </cell>
          <cell r="I3371">
            <v>239</v>
          </cell>
          <cell r="J3371">
            <v>234.62494000000001</v>
          </cell>
          <cell r="K3371">
            <v>0.98169430962343096</v>
          </cell>
          <cell r="L3371">
            <v>0</v>
          </cell>
          <cell r="M3371">
            <v>4.1482818000000004</v>
          </cell>
          <cell r="N3371">
            <v>0</v>
          </cell>
          <cell r="O3371">
            <v>0.41342000000000001</v>
          </cell>
          <cell r="P3371">
            <v>1.0476711999999999</v>
          </cell>
          <cell r="Q3371">
            <v>0.97340890000000002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0.25591520000000001</v>
          </cell>
          <cell r="Y3371">
            <v>0</v>
          </cell>
          <cell r="Z3371">
            <v>0</v>
          </cell>
          <cell r="AA3371">
            <v>0</v>
          </cell>
          <cell r="AB3371">
            <v>0.32784669999999999</v>
          </cell>
        </row>
        <row r="3372">
          <cell r="A3372">
            <v>56207027</v>
          </cell>
          <cell r="B3372" t="str">
            <v>Cream of wheat, regular or quick, made with non-dairy milk, fat added in cooking</v>
          </cell>
          <cell r="I3372">
            <v>239</v>
          </cell>
          <cell r="J3372">
            <v>195.31658999999999</v>
          </cell>
          <cell r="K3372">
            <v>0.81722422594142252</v>
          </cell>
          <cell r="L3372">
            <v>0</v>
          </cell>
          <cell r="M3372">
            <v>1.9871911</v>
          </cell>
          <cell r="N3372">
            <v>0</v>
          </cell>
          <cell r="O3372">
            <v>0.52251570000000003</v>
          </cell>
          <cell r="P3372">
            <v>1.4364124</v>
          </cell>
          <cell r="Q3372">
            <v>1.5894809999999999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0.28399560000000001</v>
          </cell>
          <cell r="Y3372">
            <v>2.6262360999999999</v>
          </cell>
          <cell r="Z3372">
            <v>0</v>
          </cell>
          <cell r="AA3372">
            <v>0</v>
          </cell>
          <cell r="AB3372">
            <v>0.14786289999999999</v>
          </cell>
        </row>
        <row r="3373">
          <cell r="A3373">
            <v>56207030</v>
          </cell>
          <cell r="B3373" t="str">
            <v>Cream of wheat, instant, made with water, fat not added in cooking</v>
          </cell>
          <cell r="I3373">
            <v>241</v>
          </cell>
          <cell r="J3373">
            <v>160.13523000000001</v>
          </cell>
          <cell r="K3373">
            <v>0.66446153526970952</v>
          </cell>
          <cell r="L3373">
            <v>0</v>
          </cell>
          <cell r="M3373">
            <v>7.68234E-2</v>
          </cell>
          <cell r="N3373">
            <v>0</v>
          </cell>
          <cell r="O3373">
            <v>0.12955910000000001</v>
          </cell>
          <cell r="P3373">
            <v>1.1419691999999999</v>
          </cell>
          <cell r="Q3373">
            <v>0.26784370000000002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0.20559150000000001</v>
          </cell>
          <cell r="Y3373">
            <v>0</v>
          </cell>
          <cell r="Z3373">
            <v>0</v>
          </cell>
          <cell r="AA3373">
            <v>0</v>
          </cell>
          <cell r="AB3373">
            <v>4.7964899999999998E-2</v>
          </cell>
        </row>
        <row r="3374">
          <cell r="A3374">
            <v>56207060</v>
          </cell>
          <cell r="B3374" t="str">
            <v>Cream of wheat, instant, made with water, fat added in cooking</v>
          </cell>
          <cell r="I3374">
            <v>246</v>
          </cell>
          <cell r="J3374">
            <v>198.9402</v>
          </cell>
          <cell r="K3374">
            <v>0.80869999999999997</v>
          </cell>
          <cell r="L3374">
            <v>-1.3700000000000001E-16</v>
          </cell>
          <cell r="M3374">
            <v>2.2692516</v>
          </cell>
          <cell r="N3374">
            <v>0</v>
          </cell>
          <cell r="O3374">
            <v>0.13034309999999999</v>
          </cell>
          <cell r="P3374">
            <v>1.13652</v>
          </cell>
          <cell r="Q3374">
            <v>1.0301864999999999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0.24503449999999999</v>
          </cell>
          <cell r="Y3374">
            <v>0</v>
          </cell>
          <cell r="Z3374">
            <v>0</v>
          </cell>
          <cell r="AA3374">
            <v>0</v>
          </cell>
          <cell r="AB3374">
            <v>0.37815070000000001</v>
          </cell>
        </row>
        <row r="3375">
          <cell r="A3375">
            <v>56207087</v>
          </cell>
          <cell r="B3375" t="str">
            <v>Wheat, cream of, cooked, regular, made with milk, fat not added in cooking</v>
          </cell>
          <cell r="I3375">
            <v>256</v>
          </cell>
          <cell r="J3375">
            <v>199.87550999999999</v>
          </cell>
          <cell r="K3375">
            <v>0.78076371093749997</v>
          </cell>
          <cell r="L3375">
            <v>0</v>
          </cell>
          <cell r="M3375">
            <v>2.7417989</v>
          </cell>
          <cell r="N3375">
            <v>0</v>
          </cell>
          <cell r="O3375">
            <v>0.41519270000000003</v>
          </cell>
          <cell r="P3375">
            <v>0.8671141</v>
          </cell>
          <cell r="Q3375">
            <v>0.4071574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0.2161971</v>
          </cell>
          <cell r="Y3375">
            <v>0</v>
          </cell>
          <cell r="Z3375">
            <v>0</v>
          </cell>
          <cell r="AA3375">
            <v>0</v>
          </cell>
          <cell r="AB3375">
            <v>0.1935897</v>
          </cell>
        </row>
        <row r="3376">
          <cell r="A3376">
            <v>56207095</v>
          </cell>
          <cell r="B3376" t="str">
            <v>Cream of wheat, instant, made with milk, fat not added in cooking</v>
          </cell>
          <cell r="I3376">
            <v>256</v>
          </cell>
          <cell r="J3376">
            <v>276.66117000000003</v>
          </cell>
          <cell r="K3376">
            <v>1.0807076953125001</v>
          </cell>
          <cell r="L3376">
            <v>0</v>
          </cell>
          <cell r="M3376">
            <v>2.6686174999999999</v>
          </cell>
          <cell r="N3376">
            <v>0</v>
          </cell>
          <cell r="O3376">
            <v>0.3804843</v>
          </cell>
          <cell r="P3376">
            <v>1.2130462</v>
          </cell>
          <cell r="Q3376">
            <v>0.49780049999999998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0.30354249999999999</v>
          </cell>
          <cell r="Y3376">
            <v>0</v>
          </cell>
          <cell r="Z3376">
            <v>0</v>
          </cell>
          <cell r="AA3376">
            <v>0</v>
          </cell>
          <cell r="AB3376">
            <v>0.1593128</v>
          </cell>
        </row>
        <row r="3377">
          <cell r="A3377">
            <v>56207110</v>
          </cell>
          <cell r="B3377" t="str">
            <v>Bulgur, fat not added in cooking</v>
          </cell>
          <cell r="I3377">
            <v>135</v>
          </cell>
          <cell r="J3377">
            <v>111.43094000000001</v>
          </cell>
          <cell r="K3377">
            <v>0.82541437037037046</v>
          </cell>
          <cell r="L3377">
            <v>6.0414364999999997</v>
          </cell>
          <cell r="M3377">
            <v>5.6386699999999998E-2</v>
          </cell>
          <cell r="N3377">
            <v>0</v>
          </cell>
          <cell r="O3377">
            <v>1.3604399999999999E-2</v>
          </cell>
          <cell r="P3377">
            <v>0</v>
          </cell>
          <cell r="Q3377">
            <v>0.13156909999999999</v>
          </cell>
          <cell r="R3377">
            <v>46.434480999999998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0.29579169999999999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</row>
        <row r="3378">
          <cell r="A3378">
            <v>56207120</v>
          </cell>
          <cell r="B3378" t="str">
            <v>Bulgur, fat added in cooking</v>
          </cell>
          <cell r="I3378">
            <v>136</v>
          </cell>
          <cell r="J3378">
            <v>152.49019000000001</v>
          </cell>
          <cell r="K3378">
            <v>1.1212513970588236</v>
          </cell>
          <cell r="L3378">
            <v>5.6864796000000002</v>
          </cell>
          <cell r="M3378">
            <v>1.1325653</v>
          </cell>
          <cell r="N3378">
            <v>0</v>
          </cell>
          <cell r="O3378">
            <v>1.4680800000000001E-2</v>
          </cell>
          <cell r="P3378">
            <v>0</v>
          </cell>
          <cell r="Q3378">
            <v>2.4886987</v>
          </cell>
          <cell r="R3378">
            <v>43.706282999999999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0.33562069999999999</v>
          </cell>
          <cell r="Y3378">
            <v>0</v>
          </cell>
          <cell r="Z3378">
            <v>0</v>
          </cell>
          <cell r="AA3378">
            <v>0</v>
          </cell>
          <cell r="AB3378">
            <v>0.32725939999999998</v>
          </cell>
        </row>
        <row r="3379">
          <cell r="A3379">
            <v>56207130</v>
          </cell>
          <cell r="B3379" t="str">
            <v>Bulgur, NS as to fat added in cooking</v>
          </cell>
          <cell r="I3379">
            <v>135</v>
          </cell>
          <cell r="J3379">
            <v>111.43094000000001</v>
          </cell>
          <cell r="K3379">
            <v>0.82541437037037046</v>
          </cell>
          <cell r="L3379">
            <v>6.0414364999999997</v>
          </cell>
          <cell r="M3379">
            <v>5.6386699999999998E-2</v>
          </cell>
          <cell r="N3379">
            <v>0</v>
          </cell>
          <cell r="O3379">
            <v>1.3604399999999999E-2</v>
          </cell>
          <cell r="P3379">
            <v>0</v>
          </cell>
          <cell r="Q3379">
            <v>0.13156909999999999</v>
          </cell>
          <cell r="R3379">
            <v>46.434480999999998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0.29579169999999999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</row>
        <row r="3380">
          <cell r="A3380">
            <v>56207150</v>
          </cell>
          <cell r="B3380" t="str">
            <v>Couscous, plain, cooked, fat not added in cooking</v>
          </cell>
          <cell r="I3380">
            <v>157</v>
          </cell>
          <cell r="J3380">
            <v>175.00398999999999</v>
          </cell>
          <cell r="K3380">
            <v>1.1146750955414011</v>
          </cell>
          <cell r="L3380">
            <v>0</v>
          </cell>
          <cell r="M3380">
            <v>4.53135E-2</v>
          </cell>
          <cell r="N3380">
            <v>0</v>
          </cell>
          <cell r="O3380">
            <v>1.26794E-2</v>
          </cell>
          <cell r="P3380">
            <v>2.1875499</v>
          </cell>
          <cell r="Q3380">
            <v>0.1000023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0.29711569999999998</v>
          </cell>
          <cell r="Y3380">
            <v>0</v>
          </cell>
          <cell r="Z3380">
            <v>0</v>
          </cell>
          <cell r="AA3380">
            <v>0</v>
          </cell>
          <cell r="AB3380">
            <v>4.7459999999999999E-4</v>
          </cell>
        </row>
        <row r="3381">
          <cell r="A3381">
            <v>56207160</v>
          </cell>
          <cell r="B3381" t="str">
            <v>Couscous, plain, cooked</v>
          </cell>
          <cell r="I3381">
            <v>162</v>
          </cell>
          <cell r="J3381">
            <v>180.57737</v>
          </cell>
          <cell r="K3381">
            <v>1.1146751234567902</v>
          </cell>
          <cell r="L3381">
            <v>0</v>
          </cell>
          <cell r="M3381">
            <v>4.6756600000000002E-2</v>
          </cell>
          <cell r="N3381">
            <v>0</v>
          </cell>
          <cell r="O3381">
            <v>1.30832E-2</v>
          </cell>
          <cell r="P3381">
            <v>2.2572171000000001</v>
          </cell>
          <cell r="Q3381">
            <v>0.1031871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0.30657790000000001</v>
          </cell>
          <cell r="Y3381">
            <v>0</v>
          </cell>
          <cell r="Z3381">
            <v>0</v>
          </cell>
          <cell r="AA3381">
            <v>0</v>
          </cell>
          <cell r="AB3381">
            <v>5.7790000000000001E-4</v>
          </cell>
        </row>
        <row r="3382">
          <cell r="A3382">
            <v>56207180</v>
          </cell>
          <cell r="B3382" t="str">
            <v>Couscous, plain, cooked, fat added in cooking</v>
          </cell>
          <cell r="I3382">
            <v>162</v>
          </cell>
          <cell r="J3382">
            <v>248.85488000000001</v>
          </cell>
          <cell r="K3382">
            <v>1.5361412345679013</v>
          </cell>
          <cell r="L3382">
            <v>3.5970000000000001E-16</v>
          </cell>
          <cell r="M3382">
            <v>1.2504655</v>
          </cell>
          <cell r="N3382">
            <v>0</v>
          </cell>
          <cell r="O3382">
            <v>1.2393E-2</v>
          </cell>
          <cell r="P3382">
            <v>2.1343258999999999</v>
          </cell>
          <cell r="Q3382">
            <v>3.7304531000000001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0.28993079999999999</v>
          </cell>
          <cell r="Y3382">
            <v>0</v>
          </cell>
          <cell r="Z3382">
            <v>0</v>
          </cell>
          <cell r="AA3382">
            <v>0</v>
          </cell>
          <cell r="AB3382">
            <v>0.1027593</v>
          </cell>
        </row>
        <row r="3383">
          <cell r="A3383">
            <v>56207190</v>
          </cell>
          <cell r="B3383" t="str">
            <v>Whole wheat cereal, cooked, NS as to fat added in cooking</v>
          </cell>
          <cell r="I3383">
            <v>246</v>
          </cell>
          <cell r="J3383">
            <v>97.045283999999995</v>
          </cell>
          <cell r="K3383">
            <v>0.39449302439024386</v>
          </cell>
          <cell r="L3383">
            <v>2.6957023000000002</v>
          </cell>
          <cell r="M3383">
            <v>8.5127400000000006E-2</v>
          </cell>
          <cell r="N3383">
            <v>0</v>
          </cell>
          <cell r="O3383">
            <v>1.80232E-2</v>
          </cell>
          <cell r="P3383">
            <v>0</v>
          </cell>
          <cell r="Q3383">
            <v>0.28602820000000001</v>
          </cell>
          <cell r="R3383">
            <v>28.375813999999998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0.27532319999999999</v>
          </cell>
          <cell r="Y3383">
            <v>0</v>
          </cell>
          <cell r="Z3383">
            <v>0</v>
          </cell>
          <cell r="AA3383">
            <v>0</v>
          </cell>
          <cell r="AB3383">
            <v>0.15219369999999999</v>
          </cell>
        </row>
        <row r="3384">
          <cell r="A3384">
            <v>56207200</v>
          </cell>
          <cell r="B3384" t="str">
            <v>Whole wheat cereal, cooked, fat not added in cooking</v>
          </cell>
          <cell r="I3384">
            <v>246</v>
          </cell>
          <cell r="J3384">
            <v>98.833479999999994</v>
          </cell>
          <cell r="K3384">
            <v>0.40176211382113819</v>
          </cell>
          <cell r="L3384">
            <v>2.7453744000000002</v>
          </cell>
          <cell r="M3384">
            <v>8.6695999999999995E-2</v>
          </cell>
          <cell r="N3384">
            <v>0</v>
          </cell>
          <cell r="O3384">
            <v>1.8148399999999999E-2</v>
          </cell>
          <cell r="P3384">
            <v>0</v>
          </cell>
          <cell r="Q3384">
            <v>0.29129870000000002</v>
          </cell>
          <cell r="R3384">
            <v>28.898678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0.14925440000000001</v>
          </cell>
          <cell r="Y3384">
            <v>0</v>
          </cell>
          <cell r="Z3384">
            <v>0</v>
          </cell>
          <cell r="AA3384">
            <v>0</v>
          </cell>
          <cell r="AB3384">
            <v>3.7488399999999998E-2</v>
          </cell>
        </row>
        <row r="3385">
          <cell r="A3385">
            <v>56207210</v>
          </cell>
          <cell r="B3385" t="str">
            <v>Whole wheat cereal, cooked, fat added in cooking</v>
          </cell>
          <cell r="I3385">
            <v>246</v>
          </cell>
          <cell r="J3385">
            <v>125.58060999999999</v>
          </cell>
          <cell r="K3385">
            <v>0.51049028455284551</v>
          </cell>
          <cell r="L3385">
            <v>2.6958904000000001</v>
          </cell>
          <cell r="M3385">
            <v>1.6660957000000001</v>
          </cell>
          <cell r="N3385">
            <v>0</v>
          </cell>
          <cell r="O3385">
            <v>1.88322E-2</v>
          </cell>
          <cell r="P3385">
            <v>0</v>
          </cell>
          <cell r="Q3385">
            <v>0.83660400000000001</v>
          </cell>
          <cell r="R3385">
            <v>28.377794000000002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0.17570910000000001</v>
          </cell>
          <cell r="Y3385">
            <v>0</v>
          </cell>
          <cell r="Z3385">
            <v>0</v>
          </cell>
          <cell r="AA3385">
            <v>0</v>
          </cell>
          <cell r="AB3385">
            <v>0.15926399999999999</v>
          </cell>
        </row>
        <row r="3386">
          <cell r="A3386">
            <v>56207212</v>
          </cell>
          <cell r="B3386" t="str">
            <v>Whole wheat cereal, cooked, made with milk</v>
          </cell>
          <cell r="I3386">
            <v>246</v>
          </cell>
          <cell r="J3386">
            <v>203.50506999999999</v>
          </cell>
          <cell r="K3386">
            <v>0.82725638211382113</v>
          </cell>
          <cell r="L3386">
            <v>2.6554313999999999</v>
          </cell>
          <cell r="M3386">
            <v>2.5959036000000002</v>
          </cell>
          <cell r="N3386">
            <v>0</v>
          </cell>
          <cell r="O3386">
            <v>0.270036</v>
          </cell>
          <cell r="P3386">
            <v>0</v>
          </cell>
          <cell r="Q3386">
            <v>0.48551420000000001</v>
          </cell>
          <cell r="R3386">
            <v>27.951909000000001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0.23572589999999999</v>
          </cell>
          <cell r="Y3386">
            <v>0</v>
          </cell>
          <cell r="Z3386">
            <v>0</v>
          </cell>
          <cell r="AA3386">
            <v>0</v>
          </cell>
          <cell r="AB3386">
            <v>0.1707777</v>
          </cell>
        </row>
        <row r="3387">
          <cell r="A3387">
            <v>56207220</v>
          </cell>
          <cell r="B3387" t="str">
            <v>Wheat, cream of, cooked, regular, fat added in cooking</v>
          </cell>
          <cell r="I3387">
            <v>251</v>
          </cell>
          <cell r="J3387">
            <v>136.69507999999999</v>
          </cell>
          <cell r="K3387">
            <v>0.54460191235059752</v>
          </cell>
          <cell r="L3387">
            <v>-1.3899999999999999E-16</v>
          </cell>
          <cell r="M3387">
            <v>1.1149439999999999</v>
          </cell>
          <cell r="N3387">
            <v>0</v>
          </cell>
          <cell r="O3387">
            <v>0.15605579999999999</v>
          </cell>
          <cell r="P3387">
            <v>0.92515340000000001</v>
          </cell>
          <cell r="Q3387">
            <v>2.5174172000000001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0.33283439999999997</v>
          </cell>
          <cell r="Y3387">
            <v>0</v>
          </cell>
          <cell r="Z3387">
            <v>0</v>
          </cell>
          <cell r="AA3387">
            <v>0</v>
          </cell>
          <cell r="AB3387">
            <v>0.37733739999999999</v>
          </cell>
        </row>
        <row r="3388">
          <cell r="A3388">
            <v>56207230</v>
          </cell>
          <cell r="B3388" t="str">
            <v>Wheat, cream of, cooked, quick, fat added in cooking</v>
          </cell>
          <cell r="I3388">
            <v>244</v>
          </cell>
          <cell r="J3388">
            <v>132.64295999999999</v>
          </cell>
          <cell r="K3388">
            <v>0.54361868852459017</v>
          </cell>
          <cell r="L3388">
            <v>0</v>
          </cell>
          <cell r="M3388">
            <v>1.0809614999999999</v>
          </cell>
          <cell r="N3388">
            <v>0</v>
          </cell>
          <cell r="O3388">
            <v>0.1809856</v>
          </cell>
          <cell r="P3388">
            <v>1.0203371000000001</v>
          </cell>
          <cell r="Q3388">
            <v>2.3969299999999998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0.35110429999999998</v>
          </cell>
          <cell r="Y3388">
            <v>0</v>
          </cell>
          <cell r="Z3388">
            <v>0</v>
          </cell>
          <cell r="AA3388">
            <v>0</v>
          </cell>
          <cell r="AB3388">
            <v>0.3111043</v>
          </cell>
        </row>
        <row r="3389">
          <cell r="A3389">
            <v>56207300</v>
          </cell>
          <cell r="B3389" t="str">
            <v>Whole wheat cereal, wheat and barley, cooked, fat not added in cooking</v>
          </cell>
          <cell r="I3389">
            <v>249</v>
          </cell>
          <cell r="J3389">
            <v>140.55634000000001</v>
          </cell>
          <cell r="K3389">
            <v>0.56448329317269075</v>
          </cell>
          <cell r="L3389">
            <v>3.9043426999999999</v>
          </cell>
          <cell r="M3389">
            <v>0.123295</v>
          </cell>
          <cell r="N3389">
            <v>0</v>
          </cell>
          <cell r="O3389">
            <v>2.2815200000000001E-2</v>
          </cell>
          <cell r="P3389">
            <v>0</v>
          </cell>
          <cell r="Q3389">
            <v>0.41427130000000001</v>
          </cell>
          <cell r="R3389">
            <v>41.098343999999997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0.2653296</v>
          </cell>
          <cell r="Y3389">
            <v>0</v>
          </cell>
          <cell r="Z3389">
            <v>0</v>
          </cell>
          <cell r="AA3389">
            <v>0</v>
          </cell>
          <cell r="AB3389">
            <v>4.2753800000000002E-2</v>
          </cell>
        </row>
        <row r="3390">
          <cell r="A3390">
            <v>56207330</v>
          </cell>
          <cell r="B3390" t="str">
            <v>Whole wheat cereal, wheat and barley, cooked, fat added in cooking</v>
          </cell>
          <cell r="I3390">
            <v>254</v>
          </cell>
          <cell r="J3390">
            <v>219.40581</v>
          </cell>
          <cell r="K3390">
            <v>0.86380240157480315</v>
          </cell>
          <cell r="L3390">
            <v>3.7325895</v>
          </cell>
          <cell r="M3390">
            <v>2.0460210000000001</v>
          </cell>
          <cell r="N3390">
            <v>0</v>
          </cell>
          <cell r="O3390">
            <v>2.5161800000000002E-2</v>
          </cell>
          <cell r="P3390">
            <v>0</v>
          </cell>
          <cell r="Q3390">
            <v>4.6200770000000002</v>
          </cell>
          <cell r="R3390">
            <v>39.290416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0.3558403</v>
          </cell>
          <cell r="Y3390">
            <v>0</v>
          </cell>
          <cell r="Z3390">
            <v>0</v>
          </cell>
          <cell r="AA3390">
            <v>0</v>
          </cell>
          <cell r="AB3390">
            <v>0.58453920000000004</v>
          </cell>
        </row>
        <row r="3391">
          <cell r="A3391">
            <v>56207342</v>
          </cell>
          <cell r="B3391" t="str">
            <v>Whole wheat cereal, wheat and barley, cooked, made with milk</v>
          </cell>
          <cell r="I3391">
            <v>254</v>
          </cell>
          <cell r="J3391">
            <v>473.08577000000002</v>
          </cell>
          <cell r="K3391">
            <v>1.8625424015748033</v>
          </cell>
          <cell r="L3391">
            <v>0</v>
          </cell>
          <cell r="M3391">
            <v>1.7458749</v>
          </cell>
          <cell r="N3391">
            <v>0</v>
          </cell>
          <cell r="O3391">
            <v>0.48571979999999998</v>
          </cell>
          <cell r="P3391">
            <v>2.3121418999999999</v>
          </cell>
          <cell r="Q3391">
            <v>0.40972310000000001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0.15519530000000001</v>
          </cell>
          <cell r="Y3391">
            <v>0</v>
          </cell>
          <cell r="Z3391">
            <v>0</v>
          </cell>
          <cell r="AA3391">
            <v>0</v>
          </cell>
          <cell r="AB3391">
            <v>0.16477439999999999</v>
          </cell>
        </row>
        <row r="3392">
          <cell r="A3392">
            <v>56208500</v>
          </cell>
          <cell r="B3392" t="str">
            <v>Oat bran cereal, cooked, fat not added in cooking</v>
          </cell>
          <cell r="I3392">
            <v>242</v>
          </cell>
          <cell r="J3392">
            <v>93.866152999999997</v>
          </cell>
          <cell r="K3392">
            <v>0.38787666528925618</v>
          </cell>
          <cell r="L3392">
            <v>0</v>
          </cell>
          <cell r="M3392">
            <v>0.50672459999999997</v>
          </cell>
          <cell r="N3392">
            <v>0</v>
          </cell>
          <cell r="O3392">
            <v>2.8317599999999998E-2</v>
          </cell>
          <cell r="P3392">
            <v>5.8761738000000001</v>
          </cell>
          <cell r="Q3392">
            <v>1.0554219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0.1411231</v>
          </cell>
          <cell r="Y3392">
            <v>0</v>
          </cell>
          <cell r="Z3392">
            <v>0</v>
          </cell>
          <cell r="AA3392">
            <v>0</v>
          </cell>
          <cell r="AB3392">
            <v>2.1264100000000001E-2</v>
          </cell>
        </row>
        <row r="3393">
          <cell r="A3393">
            <v>56208510</v>
          </cell>
          <cell r="B3393" t="str">
            <v>Oat bran cereal, cooked, fat added in cooking</v>
          </cell>
          <cell r="I3393">
            <v>247</v>
          </cell>
          <cell r="J3393">
            <v>121.51822</v>
          </cell>
          <cell r="K3393">
            <v>0.49197659919028341</v>
          </cell>
          <cell r="L3393">
            <v>0</v>
          </cell>
          <cell r="M3393">
            <v>2.0246175000000002</v>
          </cell>
          <cell r="N3393">
            <v>0</v>
          </cell>
          <cell r="O3393">
            <v>2.9374600000000001E-2</v>
          </cell>
          <cell r="P3393">
            <v>5.8943181999999998</v>
          </cell>
          <cell r="Q3393">
            <v>1.5867283000000001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0.1695123</v>
          </cell>
          <cell r="Y3393">
            <v>0</v>
          </cell>
          <cell r="Z3393">
            <v>0</v>
          </cell>
          <cell r="AA3393">
            <v>0</v>
          </cell>
          <cell r="AB3393">
            <v>0.28044950000000002</v>
          </cell>
        </row>
        <row r="3394">
          <cell r="A3394">
            <v>56208530</v>
          </cell>
          <cell r="B3394" t="str">
            <v>Oat bran cereal, cooked, made with milk, fat not added in cooking</v>
          </cell>
          <cell r="I3394">
            <v>242</v>
          </cell>
          <cell r="J3394">
            <v>173.10410999999999</v>
          </cell>
          <cell r="K3394">
            <v>0.71530623966942142</v>
          </cell>
          <cell r="L3394">
            <v>0</v>
          </cell>
          <cell r="M3394">
            <v>2.8323429999999998</v>
          </cell>
          <cell r="N3394">
            <v>0</v>
          </cell>
          <cell r="O3394">
            <v>0.27047139999999997</v>
          </cell>
          <cell r="P3394">
            <v>4.1920925000000002</v>
          </cell>
          <cell r="Q3394">
            <v>0.95336010000000004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0.35143960000000002</v>
          </cell>
          <cell r="Y3394">
            <v>0</v>
          </cell>
          <cell r="Z3394">
            <v>0</v>
          </cell>
          <cell r="AA3394">
            <v>0</v>
          </cell>
          <cell r="AB3394">
            <v>0.20064180000000001</v>
          </cell>
        </row>
        <row r="3395">
          <cell r="A3395">
            <v>57000000</v>
          </cell>
          <cell r="B3395" t="str">
            <v>Cereal, NFS</v>
          </cell>
          <cell r="I3395">
            <v>40</v>
          </cell>
          <cell r="J3395">
            <v>150.4</v>
          </cell>
          <cell r="K3395">
            <v>3.7600000000000002</v>
          </cell>
          <cell r="L3395">
            <v>3.76</v>
          </cell>
          <cell r="M3395">
            <v>0.6</v>
          </cell>
          <cell r="N3395">
            <v>0</v>
          </cell>
          <cell r="O3395">
            <v>0.16039999999999999</v>
          </cell>
          <cell r="P3395">
            <v>0</v>
          </cell>
          <cell r="Q3395">
            <v>0.9728</v>
          </cell>
          <cell r="R3395">
            <v>37.1952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0.1988</v>
          </cell>
          <cell r="Y3395">
            <v>0</v>
          </cell>
          <cell r="Z3395">
            <v>0</v>
          </cell>
          <cell r="AA3395">
            <v>0</v>
          </cell>
          <cell r="AB3395">
            <v>8.0000000000000002E-3</v>
          </cell>
        </row>
        <row r="3396">
          <cell r="A3396">
            <v>57000050</v>
          </cell>
          <cell r="B3396" t="str">
            <v>Kashi cereal, NS as to ready to eat or cooked</v>
          </cell>
          <cell r="I3396">
            <v>40</v>
          </cell>
          <cell r="J3396">
            <v>134.4</v>
          </cell>
          <cell r="K3396">
            <v>3.3600000000000003</v>
          </cell>
          <cell r="L3396">
            <v>3.2</v>
          </cell>
          <cell r="M3396">
            <v>0.1852</v>
          </cell>
          <cell r="N3396">
            <v>0</v>
          </cell>
          <cell r="O3396">
            <v>1.52E-2</v>
          </cell>
          <cell r="P3396">
            <v>0</v>
          </cell>
          <cell r="Q3396">
            <v>0.42120000000000002</v>
          </cell>
          <cell r="R3396">
            <v>39.803400000000003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3.5999999999999999E-3</v>
          </cell>
          <cell r="Y3396">
            <v>0.2268</v>
          </cell>
          <cell r="Z3396">
            <v>0</v>
          </cell>
          <cell r="AA3396">
            <v>0</v>
          </cell>
          <cell r="AB3396">
            <v>0</v>
          </cell>
        </row>
        <row r="3397">
          <cell r="A3397">
            <v>57000100</v>
          </cell>
          <cell r="B3397" t="str">
            <v>Cereal, oat, NFS</v>
          </cell>
          <cell r="I3397">
            <v>40</v>
          </cell>
          <cell r="J3397">
            <v>150.4</v>
          </cell>
          <cell r="K3397">
            <v>3.7600000000000002</v>
          </cell>
          <cell r="L3397">
            <v>3.76</v>
          </cell>
          <cell r="M3397">
            <v>0.6</v>
          </cell>
          <cell r="N3397">
            <v>0</v>
          </cell>
          <cell r="O3397">
            <v>0.16039999999999999</v>
          </cell>
          <cell r="P3397">
            <v>0</v>
          </cell>
          <cell r="Q3397">
            <v>0.9728</v>
          </cell>
          <cell r="R3397">
            <v>37.648800000000001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0.1988</v>
          </cell>
          <cell r="Y3397">
            <v>0</v>
          </cell>
          <cell r="Z3397">
            <v>0</v>
          </cell>
          <cell r="AA3397">
            <v>0</v>
          </cell>
          <cell r="AB3397">
            <v>8.0000000000000002E-3</v>
          </cell>
        </row>
        <row r="3398">
          <cell r="A3398">
            <v>57100100</v>
          </cell>
          <cell r="B3398" t="str">
            <v>Cereal, ready-to-eat, NFS</v>
          </cell>
          <cell r="I3398">
            <v>40</v>
          </cell>
          <cell r="J3398">
            <v>149.69999999999999</v>
          </cell>
          <cell r="K3398">
            <v>3.7424999999999997</v>
          </cell>
          <cell r="L3398">
            <v>2.4893195000000001</v>
          </cell>
          <cell r="M3398">
            <v>0.35915999999999998</v>
          </cell>
          <cell r="N3398">
            <v>0</v>
          </cell>
          <cell r="O3398">
            <v>0.12396</v>
          </cell>
          <cell r="P3398">
            <v>0.22868050000000001</v>
          </cell>
          <cell r="Q3398">
            <v>0.59938000000000002</v>
          </cell>
          <cell r="R3398">
            <v>24.02946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0.20555999999999999</v>
          </cell>
          <cell r="Y3398">
            <v>0</v>
          </cell>
          <cell r="Z3398">
            <v>0</v>
          </cell>
          <cell r="AA3398">
            <v>0</v>
          </cell>
          <cell r="AB3398">
            <v>3.7599999999999999E-3</v>
          </cell>
        </row>
        <row r="3399">
          <cell r="A3399">
            <v>57101000</v>
          </cell>
          <cell r="B3399" t="str">
            <v>Cereal (Kellogg's All-Bran)</v>
          </cell>
          <cell r="I3399">
            <v>40</v>
          </cell>
          <cell r="J3399">
            <v>103.6</v>
          </cell>
          <cell r="K3399">
            <v>2.59</v>
          </cell>
          <cell r="L3399">
            <v>0</v>
          </cell>
          <cell r="M3399">
            <v>0.44</v>
          </cell>
          <cell r="N3399">
            <v>0</v>
          </cell>
          <cell r="O3399">
            <v>0.15559999999999999</v>
          </cell>
          <cell r="P3399">
            <v>11.72</v>
          </cell>
          <cell r="Q3399">
            <v>0.8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0.1032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</row>
        <row r="3400">
          <cell r="A3400">
            <v>57103020</v>
          </cell>
          <cell r="B3400" t="str">
            <v>Alpha-bits with marshmallows</v>
          </cell>
          <cell r="I3400">
            <v>40</v>
          </cell>
          <cell r="J3400">
            <v>160</v>
          </cell>
          <cell r="K3400">
            <v>4</v>
          </cell>
          <cell r="L3400">
            <v>1.72</v>
          </cell>
          <cell r="M3400">
            <v>0.248</v>
          </cell>
          <cell r="N3400">
            <v>0</v>
          </cell>
          <cell r="O3400">
            <v>0.13320000000000001</v>
          </cell>
          <cell r="P3400">
            <v>0</v>
          </cell>
          <cell r="Q3400">
            <v>0.51200000000000001</v>
          </cell>
          <cell r="R3400">
            <v>17.236799999999999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0.2132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</row>
        <row r="3401">
          <cell r="A3401">
            <v>57103100</v>
          </cell>
          <cell r="B3401" t="str">
            <v>Cereal (General Mills Cheerios Apple Cinnamon)</v>
          </cell>
          <cell r="I3401">
            <v>40</v>
          </cell>
          <cell r="J3401">
            <v>154.4</v>
          </cell>
          <cell r="K3401">
            <v>3.8600000000000003</v>
          </cell>
          <cell r="L3401">
            <v>2.8159592999999998</v>
          </cell>
          <cell r="M3401">
            <v>0.44</v>
          </cell>
          <cell r="N3401">
            <v>0</v>
          </cell>
          <cell r="O3401">
            <v>0.13320000000000001</v>
          </cell>
          <cell r="P3401">
            <v>0.1040407</v>
          </cell>
          <cell r="Q3401">
            <v>0.75600000000000001</v>
          </cell>
          <cell r="R3401">
            <v>21.999600000000001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0.156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</row>
        <row r="3402">
          <cell r="A3402">
            <v>57104000</v>
          </cell>
          <cell r="B3402" t="str">
            <v>Cereal (Kellogg's Apple Jacks)</v>
          </cell>
          <cell r="I3402">
            <v>40</v>
          </cell>
          <cell r="J3402">
            <v>150</v>
          </cell>
          <cell r="K3402">
            <v>3.75</v>
          </cell>
          <cell r="L3402">
            <v>3.3528600000000002</v>
          </cell>
          <cell r="M3402">
            <v>0.76</v>
          </cell>
          <cell r="N3402">
            <v>0</v>
          </cell>
          <cell r="O3402">
            <v>4.7999999999999996E-3</v>
          </cell>
          <cell r="P3402">
            <v>0.36714000000000002</v>
          </cell>
          <cell r="Q3402">
            <v>0.36</v>
          </cell>
          <cell r="R3402">
            <v>17.236799999999999</v>
          </cell>
          <cell r="S3402">
            <v>0</v>
          </cell>
          <cell r="T3402">
            <v>0.72</v>
          </cell>
          <cell r="U3402">
            <v>0</v>
          </cell>
          <cell r="V3402">
            <v>0</v>
          </cell>
          <cell r="W3402">
            <v>0</v>
          </cell>
          <cell r="X3402">
            <v>0.18640000000000001</v>
          </cell>
          <cell r="Y3402">
            <v>0</v>
          </cell>
          <cell r="Z3402">
            <v>0</v>
          </cell>
          <cell r="AA3402">
            <v>0</v>
          </cell>
          <cell r="AB3402">
            <v>0</v>
          </cell>
        </row>
        <row r="3403">
          <cell r="A3403">
            <v>57106050</v>
          </cell>
          <cell r="B3403" t="str">
            <v>Cereal (Post Great Grains Banana Nut Crunch)</v>
          </cell>
          <cell r="I3403">
            <v>60</v>
          </cell>
          <cell r="J3403">
            <v>234</v>
          </cell>
          <cell r="K3403">
            <v>3.9</v>
          </cell>
          <cell r="L3403">
            <v>6.4147796000000001</v>
          </cell>
          <cell r="M3403">
            <v>0.66</v>
          </cell>
          <cell r="N3403">
            <v>0</v>
          </cell>
          <cell r="O3403">
            <v>2.64E-2</v>
          </cell>
          <cell r="P3403">
            <v>0.3052204</v>
          </cell>
          <cell r="Q3403">
            <v>2.0640000000000001</v>
          </cell>
          <cell r="R3403">
            <v>35.380800000000001</v>
          </cell>
          <cell r="S3403">
            <v>0</v>
          </cell>
          <cell r="T3403">
            <v>1.8</v>
          </cell>
          <cell r="U3403">
            <v>0</v>
          </cell>
          <cell r="V3403">
            <v>0</v>
          </cell>
          <cell r="W3403">
            <v>0</v>
          </cell>
          <cell r="X3403">
            <v>0.14280000000000001</v>
          </cell>
          <cell r="Y3403">
            <v>2.97675</v>
          </cell>
          <cell r="Z3403">
            <v>0</v>
          </cell>
          <cell r="AA3403">
            <v>0</v>
          </cell>
          <cell r="AB3403">
            <v>0</v>
          </cell>
        </row>
        <row r="3404">
          <cell r="A3404">
            <v>57106060</v>
          </cell>
          <cell r="B3404" t="str">
            <v>Banana Nut Cheerios</v>
          </cell>
          <cell r="I3404">
            <v>60</v>
          </cell>
          <cell r="J3404">
            <v>225</v>
          </cell>
          <cell r="K3404">
            <v>3.75</v>
          </cell>
          <cell r="L3404">
            <v>3.66</v>
          </cell>
          <cell r="M3404">
            <v>0.41399999999999998</v>
          </cell>
          <cell r="N3404">
            <v>0</v>
          </cell>
          <cell r="O3404">
            <v>0.2142</v>
          </cell>
          <cell r="P3404">
            <v>0</v>
          </cell>
          <cell r="Q3404">
            <v>1.1339999999999999</v>
          </cell>
          <cell r="R3404">
            <v>36.5715</v>
          </cell>
          <cell r="S3404">
            <v>0</v>
          </cell>
          <cell r="T3404">
            <v>0.3</v>
          </cell>
          <cell r="U3404">
            <v>0</v>
          </cell>
          <cell r="V3404">
            <v>0</v>
          </cell>
          <cell r="W3404">
            <v>0</v>
          </cell>
          <cell r="X3404">
            <v>0.31979999999999997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</row>
        <row r="3405">
          <cell r="A3405">
            <v>57106100</v>
          </cell>
          <cell r="B3405" t="str">
            <v>Cereal (General Mills Basic 4)</v>
          </cell>
          <cell r="I3405">
            <v>60</v>
          </cell>
          <cell r="J3405">
            <v>214.8</v>
          </cell>
          <cell r="K3405">
            <v>3.58</v>
          </cell>
          <cell r="L3405">
            <v>3.8980356</v>
          </cell>
          <cell r="M3405">
            <v>0.77400000000000002</v>
          </cell>
          <cell r="N3405">
            <v>0</v>
          </cell>
          <cell r="O3405">
            <v>0.27300000000000002</v>
          </cell>
          <cell r="P3405">
            <v>1.5619643999999999</v>
          </cell>
          <cell r="Q3405">
            <v>0.66</v>
          </cell>
          <cell r="R3405">
            <v>18.540900000000001</v>
          </cell>
          <cell r="S3405">
            <v>0</v>
          </cell>
          <cell r="T3405">
            <v>6.3</v>
          </cell>
          <cell r="U3405">
            <v>0</v>
          </cell>
          <cell r="V3405">
            <v>0</v>
          </cell>
          <cell r="W3405">
            <v>0</v>
          </cell>
          <cell r="X3405">
            <v>0.30359999999999998</v>
          </cell>
          <cell r="Y3405">
            <v>2.3814000000000002</v>
          </cell>
          <cell r="Z3405">
            <v>0</v>
          </cell>
          <cell r="AA3405">
            <v>0</v>
          </cell>
          <cell r="AB3405">
            <v>0</v>
          </cell>
        </row>
        <row r="3406">
          <cell r="A3406">
            <v>57106250</v>
          </cell>
          <cell r="B3406" t="str">
            <v>Cereal (General Mills Kix Berry Berry)</v>
          </cell>
          <cell r="I3406">
            <v>40</v>
          </cell>
          <cell r="J3406">
            <v>150.4</v>
          </cell>
          <cell r="K3406">
            <v>3.7600000000000002</v>
          </cell>
          <cell r="L3406">
            <v>1.78735</v>
          </cell>
          <cell r="M3406">
            <v>0.24</v>
          </cell>
          <cell r="N3406">
            <v>0</v>
          </cell>
          <cell r="O3406">
            <v>0.16839999999999999</v>
          </cell>
          <cell r="P3406">
            <v>0.53264999999999996</v>
          </cell>
          <cell r="Q3406">
            <v>0.68</v>
          </cell>
          <cell r="R3406">
            <v>17.577000000000002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0.20680000000000001</v>
          </cell>
          <cell r="Y3406">
            <v>0</v>
          </cell>
          <cell r="Z3406">
            <v>0</v>
          </cell>
          <cell r="AA3406">
            <v>0</v>
          </cell>
          <cell r="AB3406">
            <v>0</v>
          </cell>
        </row>
        <row r="3407">
          <cell r="A3407">
            <v>57106260</v>
          </cell>
          <cell r="B3407" t="str">
            <v>Cereal (General Mills Cheerios Berry Burst)</v>
          </cell>
          <cell r="I3407">
            <v>40</v>
          </cell>
          <cell r="J3407">
            <v>151.19999999999999</v>
          </cell>
          <cell r="K3407">
            <v>3.78</v>
          </cell>
          <cell r="L3407">
            <v>2.9818498999999998</v>
          </cell>
          <cell r="M3407">
            <v>0.4</v>
          </cell>
          <cell r="N3407">
            <v>0</v>
          </cell>
          <cell r="O3407">
            <v>0.14799999999999999</v>
          </cell>
          <cell r="P3407">
            <v>5.8150100000000003E-2</v>
          </cell>
          <cell r="Q3407">
            <v>0.64</v>
          </cell>
          <cell r="R3407">
            <v>25.401599999999998</v>
          </cell>
          <cell r="S3407">
            <v>0</v>
          </cell>
          <cell r="T3407">
            <v>0.6</v>
          </cell>
          <cell r="U3407">
            <v>0</v>
          </cell>
          <cell r="V3407">
            <v>0</v>
          </cell>
          <cell r="W3407">
            <v>0</v>
          </cell>
          <cell r="X3407">
            <v>0.25559999999999999</v>
          </cell>
          <cell r="Y3407">
            <v>0</v>
          </cell>
          <cell r="Z3407">
            <v>0</v>
          </cell>
          <cell r="AA3407">
            <v>0</v>
          </cell>
          <cell r="AB3407">
            <v>0</v>
          </cell>
        </row>
        <row r="3408">
          <cell r="A3408">
            <v>57110000</v>
          </cell>
          <cell r="B3408" t="str">
            <v>Cereal (Kellogg's All-Bran Bran Buds)</v>
          </cell>
          <cell r="I3408">
            <v>40</v>
          </cell>
          <cell r="J3408">
            <v>102.8</v>
          </cell>
          <cell r="K3408">
            <v>2.57</v>
          </cell>
          <cell r="L3408">
            <v>0</v>
          </cell>
          <cell r="M3408">
            <v>0.2</v>
          </cell>
          <cell r="N3408">
            <v>0</v>
          </cell>
          <cell r="O3408">
            <v>2.52E-2</v>
          </cell>
          <cell r="P3408">
            <v>17</v>
          </cell>
          <cell r="Q3408">
            <v>0.6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0.27400000000000002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</row>
        <row r="3409">
          <cell r="A3409">
            <v>57117000</v>
          </cell>
          <cell r="B3409" t="str">
            <v>Cereal (Quaker Cap'n Crunch)</v>
          </cell>
          <cell r="I3409">
            <v>40</v>
          </cell>
          <cell r="J3409">
            <v>159.19999999999999</v>
          </cell>
          <cell r="K3409">
            <v>3.9799999999999995</v>
          </cell>
          <cell r="L3409">
            <v>0</v>
          </cell>
          <cell r="M3409">
            <v>1.3384</v>
          </cell>
          <cell r="N3409">
            <v>0</v>
          </cell>
          <cell r="O3409">
            <v>4.4000000000000003E-3</v>
          </cell>
          <cell r="P3409">
            <v>1</v>
          </cell>
          <cell r="Q3409">
            <v>0.29880000000000001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0.30159999999999998</v>
          </cell>
          <cell r="Y3409">
            <v>0</v>
          </cell>
          <cell r="Z3409">
            <v>0</v>
          </cell>
          <cell r="AA3409">
            <v>0</v>
          </cell>
          <cell r="AB3409">
            <v>8.0000000000000002E-3</v>
          </cell>
        </row>
        <row r="3410">
          <cell r="A3410">
            <v>57119000</v>
          </cell>
          <cell r="B3410" t="str">
            <v>Cereal (Quaker Cap'n Crunch's Crunchberries)</v>
          </cell>
          <cell r="I3410">
            <v>40</v>
          </cell>
          <cell r="J3410">
            <v>158.80000000000001</v>
          </cell>
          <cell r="K3410">
            <v>3.97</v>
          </cell>
          <cell r="L3410">
            <v>0</v>
          </cell>
          <cell r="M3410">
            <v>1.232</v>
          </cell>
          <cell r="N3410">
            <v>0</v>
          </cell>
          <cell r="O3410">
            <v>4.4000000000000003E-3</v>
          </cell>
          <cell r="P3410">
            <v>1.04</v>
          </cell>
          <cell r="Q3410">
            <v>0.3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0.28999999999999998</v>
          </cell>
          <cell r="Y3410">
            <v>0</v>
          </cell>
          <cell r="Z3410">
            <v>0</v>
          </cell>
          <cell r="AA3410">
            <v>0</v>
          </cell>
          <cell r="AB3410">
            <v>8.0000000000000002E-3</v>
          </cell>
        </row>
        <row r="3411">
          <cell r="A3411">
            <v>57120000</v>
          </cell>
          <cell r="B3411" t="str">
            <v>Cereal (Quaker Cap'n Crunch's Peanut Butter Crunch)</v>
          </cell>
          <cell r="I3411">
            <v>40</v>
          </cell>
          <cell r="J3411">
            <v>166.8</v>
          </cell>
          <cell r="K3411">
            <v>4.17</v>
          </cell>
          <cell r="L3411">
            <v>0</v>
          </cell>
          <cell r="M3411">
            <v>1.5680000000000001</v>
          </cell>
          <cell r="N3411">
            <v>0</v>
          </cell>
          <cell r="O3411">
            <v>3.5999999999999999E-3</v>
          </cell>
          <cell r="P3411">
            <v>1.08</v>
          </cell>
          <cell r="Q3411">
            <v>0.85919999999999996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0.29680000000000001</v>
          </cell>
          <cell r="Y3411">
            <v>4.4160000000000004</v>
          </cell>
          <cell r="Z3411">
            <v>0</v>
          </cell>
          <cell r="AA3411">
            <v>0</v>
          </cell>
          <cell r="AB3411">
            <v>7.1999999999999998E-3</v>
          </cell>
        </row>
        <row r="3412">
          <cell r="A3412">
            <v>57123000</v>
          </cell>
          <cell r="B3412" t="str">
            <v>Cereal (General Mills Cheerios)</v>
          </cell>
          <cell r="I3412">
            <v>40</v>
          </cell>
          <cell r="J3412">
            <v>150.4</v>
          </cell>
          <cell r="K3412">
            <v>3.7600000000000002</v>
          </cell>
          <cell r="L3412">
            <v>3.76</v>
          </cell>
          <cell r="M3412">
            <v>0.6</v>
          </cell>
          <cell r="N3412">
            <v>0</v>
          </cell>
          <cell r="O3412">
            <v>0.16039999999999999</v>
          </cell>
          <cell r="P3412">
            <v>0</v>
          </cell>
          <cell r="Q3412">
            <v>0.9728</v>
          </cell>
          <cell r="R3412">
            <v>37.648800000000001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0.1988</v>
          </cell>
          <cell r="Y3412">
            <v>0</v>
          </cell>
          <cell r="Z3412">
            <v>0</v>
          </cell>
          <cell r="AA3412">
            <v>0</v>
          </cell>
          <cell r="AB3412">
            <v>8.0000000000000002E-3</v>
          </cell>
        </row>
        <row r="3413">
          <cell r="A3413">
            <v>57124000</v>
          </cell>
          <cell r="B3413" t="str">
            <v>Chex cereal, NFS</v>
          </cell>
          <cell r="I3413">
            <v>40</v>
          </cell>
          <cell r="J3413">
            <v>150</v>
          </cell>
          <cell r="K3413">
            <v>3.75</v>
          </cell>
          <cell r="L3413">
            <v>0.55544899999999997</v>
          </cell>
          <cell r="M3413">
            <v>0.2</v>
          </cell>
          <cell r="N3413">
            <v>0</v>
          </cell>
          <cell r="O3413">
            <v>0.14799999999999999</v>
          </cell>
          <cell r="P3413">
            <v>0.24455099999999999</v>
          </cell>
          <cell r="Q3413">
            <v>0.27600000000000002</v>
          </cell>
          <cell r="R3413">
            <v>18.143999999999998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0.3236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</row>
        <row r="3414">
          <cell r="A3414">
            <v>57124030</v>
          </cell>
          <cell r="B3414" t="str">
            <v>Cereal (General Mills Chex Chocolate)</v>
          </cell>
          <cell r="I3414">
            <v>40</v>
          </cell>
          <cell r="J3414">
            <v>164.8</v>
          </cell>
          <cell r="K3414">
            <v>4.12</v>
          </cell>
          <cell r="L3414">
            <v>0.57973620000000003</v>
          </cell>
          <cell r="M3414">
            <v>0.64</v>
          </cell>
          <cell r="N3414">
            <v>0</v>
          </cell>
          <cell r="O3414">
            <v>0.1144</v>
          </cell>
          <cell r="P3414">
            <v>0.22026380000000001</v>
          </cell>
          <cell r="Q3414">
            <v>0.64</v>
          </cell>
          <cell r="R3414">
            <v>12.3606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0.25159999999999999</v>
          </cell>
          <cell r="Y3414">
            <v>0</v>
          </cell>
          <cell r="Z3414">
            <v>0</v>
          </cell>
          <cell r="AA3414">
            <v>0</v>
          </cell>
          <cell r="AB3414">
            <v>0.04</v>
          </cell>
        </row>
        <row r="3415">
          <cell r="A3415">
            <v>57124050</v>
          </cell>
          <cell r="B3415" t="str">
            <v>Cereal (General Mills Chex Cinnamon)</v>
          </cell>
          <cell r="I3415">
            <v>40</v>
          </cell>
          <cell r="J3415">
            <v>161.19999999999999</v>
          </cell>
          <cell r="K3415">
            <v>4.0299999999999994</v>
          </cell>
          <cell r="L3415">
            <v>0.75356650000000003</v>
          </cell>
          <cell r="M3415">
            <v>0.24</v>
          </cell>
          <cell r="N3415">
            <v>0</v>
          </cell>
          <cell r="O3415">
            <v>0.13320000000000001</v>
          </cell>
          <cell r="P3415">
            <v>0.20643349999999999</v>
          </cell>
          <cell r="Q3415">
            <v>0.48</v>
          </cell>
          <cell r="R3415">
            <v>15.9894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0.24199999999999999</v>
          </cell>
          <cell r="Y3415">
            <v>0.39689999999999998</v>
          </cell>
          <cell r="Z3415">
            <v>0</v>
          </cell>
          <cell r="AA3415">
            <v>0</v>
          </cell>
          <cell r="AB3415">
            <v>0.04</v>
          </cell>
        </row>
        <row r="3416">
          <cell r="A3416">
            <v>57124100</v>
          </cell>
          <cell r="B3416" t="str">
            <v>Cereal (General Mills Cheerios Chocolate)</v>
          </cell>
          <cell r="I3416">
            <v>40</v>
          </cell>
          <cell r="J3416">
            <v>152</v>
          </cell>
          <cell r="K3416">
            <v>3.8</v>
          </cell>
          <cell r="L3416">
            <v>2.3869118999999999</v>
          </cell>
          <cell r="M3416">
            <v>0.4</v>
          </cell>
          <cell r="N3416">
            <v>0</v>
          </cell>
          <cell r="O3416">
            <v>0.14799999999999999</v>
          </cell>
          <cell r="P3416">
            <v>9.3088099999999993E-2</v>
          </cell>
          <cell r="Q3416">
            <v>0.88</v>
          </cell>
          <cell r="R3416">
            <v>21.999600000000001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0.22239999999999999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</row>
        <row r="3417">
          <cell r="A3417">
            <v>57124200</v>
          </cell>
          <cell r="B3417" t="str">
            <v>Cereal, chocolate flavored, frosted, puffed corn</v>
          </cell>
          <cell r="I3417">
            <v>40</v>
          </cell>
          <cell r="J3417">
            <v>162</v>
          </cell>
          <cell r="K3417">
            <v>4.05</v>
          </cell>
          <cell r="L3417">
            <v>1.4112336999999999</v>
          </cell>
          <cell r="M3417">
            <v>0.38440000000000002</v>
          </cell>
          <cell r="N3417">
            <v>0</v>
          </cell>
          <cell r="O3417">
            <v>2.8000000000000001E-2</v>
          </cell>
          <cell r="P3417">
            <v>0.1087663</v>
          </cell>
          <cell r="Q3417">
            <v>9.2399999999999996E-2</v>
          </cell>
          <cell r="R3417">
            <v>17.577000000000002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0.21360000000000001</v>
          </cell>
          <cell r="Y3417">
            <v>0</v>
          </cell>
          <cell r="Z3417">
            <v>0</v>
          </cell>
          <cell r="AA3417">
            <v>0</v>
          </cell>
          <cell r="AB3417">
            <v>9.3123999999999998E-2</v>
          </cell>
        </row>
        <row r="3418">
          <cell r="A3418">
            <v>57125000</v>
          </cell>
          <cell r="B3418" t="str">
            <v>Cereal (General Mills Cinnamon Toast Crunch)</v>
          </cell>
          <cell r="I3418">
            <v>40</v>
          </cell>
          <cell r="J3418">
            <v>164</v>
          </cell>
          <cell r="K3418">
            <v>4.0999999999999996</v>
          </cell>
          <cell r="L3418">
            <v>2.251868</v>
          </cell>
          <cell r="M3418">
            <v>0.39</v>
          </cell>
          <cell r="N3418">
            <v>0</v>
          </cell>
          <cell r="O3418">
            <v>0.17760000000000001</v>
          </cell>
          <cell r="P3418">
            <v>0.46813199999999999</v>
          </cell>
          <cell r="Q3418">
            <v>0.84399999999999997</v>
          </cell>
          <cell r="R3418">
            <v>15.4224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0.2268</v>
          </cell>
          <cell r="Y3418">
            <v>0</v>
          </cell>
          <cell r="Z3418">
            <v>0</v>
          </cell>
          <cell r="AA3418">
            <v>0</v>
          </cell>
          <cell r="AB3418">
            <v>6.7999999999999996E-3</v>
          </cell>
        </row>
        <row r="3419">
          <cell r="A3419">
            <v>57125900</v>
          </cell>
          <cell r="B3419" t="str">
            <v>Cereal (General Mills Honey Nut Clusters)</v>
          </cell>
          <cell r="I3419">
            <v>60</v>
          </cell>
          <cell r="J3419">
            <v>224.4</v>
          </cell>
          <cell r="K3419">
            <v>3.74</v>
          </cell>
          <cell r="L3419">
            <v>2.8135691999999999</v>
          </cell>
          <cell r="M3419">
            <v>0.3</v>
          </cell>
          <cell r="N3419">
            <v>0</v>
          </cell>
          <cell r="O3419">
            <v>2.0400000000000001E-2</v>
          </cell>
          <cell r="P3419">
            <v>0.96643080000000003</v>
          </cell>
          <cell r="Q3419">
            <v>0.24</v>
          </cell>
          <cell r="R3419">
            <v>22.283100000000001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0.309</v>
          </cell>
          <cell r="Y3419">
            <v>1.7860499999999999</v>
          </cell>
          <cell r="Z3419">
            <v>0</v>
          </cell>
          <cell r="AA3419">
            <v>0</v>
          </cell>
          <cell r="AB3419">
            <v>0</v>
          </cell>
        </row>
        <row r="3420">
          <cell r="A3420">
            <v>57126000</v>
          </cell>
          <cell r="B3420" t="str">
            <v>Cereal (Kellogg's Cocoa Krispies)</v>
          </cell>
          <cell r="I3420">
            <v>40</v>
          </cell>
          <cell r="J3420">
            <v>155.6</v>
          </cell>
          <cell r="K3420">
            <v>3.8899999999999997</v>
          </cell>
          <cell r="L3420">
            <v>0</v>
          </cell>
          <cell r="M3420">
            <v>0.84</v>
          </cell>
          <cell r="N3420">
            <v>0</v>
          </cell>
          <cell r="O3420">
            <v>5.0799999999999998E-2</v>
          </cell>
          <cell r="P3420">
            <v>0.56000000000000005</v>
          </cell>
          <cell r="Q3420">
            <v>0.04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0.1696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</row>
        <row r="3421">
          <cell r="A3421">
            <v>57127000</v>
          </cell>
          <cell r="B3421" t="str">
            <v>Cereal (Post Cocoa Pebbles)</v>
          </cell>
          <cell r="I3421">
            <v>40</v>
          </cell>
          <cell r="J3421">
            <v>158.80000000000001</v>
          </cell>
          <cell r="K3421">
            <v>3.97</v>
          </cell>
          <cell r="L3421">
            <v>0</v>
          </cell>
          <cell r="M3421">
            <v>1.44</v>
          </cell>
          <cell r="N3421">
            <v>0</v>
          </cell>
          <cell r="O3421">
            <v>8.8000000000000005E-3</v>
          </cell>
          <cell r="P3421">
            <v>0.64</v>
          </cell>
          <cell r="Q3421">
            <v>0.04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0.23760000000000001</v>
          </cell>
          <cell r="Y3421">
            <v>0</v>
          </cell>
          <cell r="Z3421">
            <v>0</v>
          </cell>
          <cell r="AA3421">
            <v>0</v>
          </cell>
          <cell r="AB3421">
            <v>0.04</v>
          </cell>
        </row>
        <row r="3422">
          <cell r="A3422">
            <v>57128000</v>
          </cell>
          <cell r="B3422" t="str">
            <v>Cereal (General Mills Cocoa Puffs)</v>
          </cell>
          <cell r="I3422">
            <v>40</v>
          </cell>
          <cell r="J3422">
            <v>153.19999999999999</v>
          </cell>
          <cell r="K3422">
            <v>3.8299999999999996</v>
          </cell>
          <cell r="L3422">
            <v>2.0723630000000002</v>
          </cell>
          <cell r="M3422">
            <v>0.4</v>
          </cell>
          <cell r="N3422">
            <v>0</v>
          </cell>
          <cell r="O3422">
            <v>0.14799999999999999</v>
          </cell>
          <cell r="P3422">
            <v>0.20763699999999999</v>
          </cell>
          <cell r="Q3422">
            <v>0.84</v>
          </cell>
          <cell r="R3422">
            <v>17.577000000000002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0.22559999999999999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</row>
        <row r="3423">
          <cell r="A3423">
            <v>57130000</v>
          </cell>
          <cell r="B3423" t="str">
            <v>Cereal (General Mills Cookie Crisp)</v>
          </cell>
          <cell r="I3423">
            <v>40</v>
          </cell>
          <cell r="J3423">
            <v>152</v>
          </cell>
          <cell r="K3423">
            <v>3.8</v>
          </cell>
          <cell r="L3423">
            <v>1.6795169000000001</v>
          </cell>
          <cell r="M3423">
            <v>0.32</v>
          </cell>
          <cell r="N3423">
            <v>0</v>
          </cell>
          <cell r="O3423">
            <v>0.154</v>
          </cell>
          <cell r="P3423">
            <v>0.3604831</v>
          </cell>
          <cell r="Q3423">
            <v>0.68</v>
          </cell>
          <cell r="R3423">
            <v>15.9894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0.18279999999999999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</row>
        <row r="3424">
          <cell r="A3424">
            <v>57131000</v>
          </cell>
          <cell r="B3424" t="str">
            <v>Crunchy Corn Bran, Quaker</v>
          </cell>
          <cell r="I3424">
            <v>40</v>
          </cell>
          <cell r="J3424">
            <v>132.4</v>
          </cell>
          <cell r="K3424">
            <v>3.31</v>
          </cell>
          <cell r="L3424">
            <v>0</v>
          </cell>
          <cell r="M3424">
            <v>0.81200000000000006</v>
          </cell>
          <cell r="N3424">
            <v>0</v>
          </cell>
          <cell r="O3424">
            <v>2.8400000000000002E-2</v>
          </cell>
          <cell r="P3424">
            <v>6.12</v>
          </cell>
          <cell r="Q3424">
            <v>0.49199999999999999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0.30359999999999998</v>
          </cell>
          <cell r="Y3424">
            <v>0</v>
          </cell>
          <cell r="Z3424">
            <v>0</v>
          </cell>
          <cell r="AA3424">
            <v>0</v>
          </cell>
          <cell r="AB3424">
            <v>4.0000000000000001E-3</v>
          </cell>
        </row>
        <row r="3425">
          <cell r="A3425">
            <v>57132000</v>
          </cell>
          <cell r="B3425" t="str">
            <v>Cereal (General Mills Chex Corn)</v>
          </cell>
          <cell r="I3425">
            <v>40</v>
          </cell>
          <cell r="J3425">
            <v>148</v>
          </cell>
          <cell r="K3425">
            <v>3.7</v>
          </cell>
          <cell r="L3425">
            <v>1.3606161999999999</v>
          </cell>
          <cell r="M3425">
            <v>0.16</v>
          </cell>
          <cell r="N3425">
            <v>0</v>
          </cell>
          <cell r="O3425">
            <v>0.12920000000000001</v>
          </cell>
          <cell r="P3425">
            <v>0.51938379999999995</v>
          </cell>
          <cell r="Q3425">
            <v>0.51600000000000001</v>
          </cell>
          <cell r="R3425">
            <v>16.443000000000001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0.28760000000000002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</row>
        <row r="3426">
          <cell r="A3426">
            <v>57134000</v>
          </cell>
          <cell r="B3426" t="str">
            <v>Cereal, corn flakes</v>
          </cell>
          <cell r="I3426">
            <v>40</v>
          </cell>
          <cell r="J3426">
            <v>142.80000000000001</v>
          </cell>
          <cell r="K3426">
            <v>3.5700000000000003</v>
          </cell>
          <cell r="L3426">
            <v>0</v>
          </cell>
          <cell r="M3426">
            <v>4.6399999999999997E-2</v>
          </cell>
          <cell r="N3426">
            <v>0</v>
          </cell>
          <cell r="O3426">
            <v>2E-3</v>
          </cell>
          <cell r="P3426">
            <v>1.32</v>
          </cell>
          <cell r="Q3426">
            <v>7.8399999999999997E-2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0.29160000000000003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</row>
        <row r="3427">
          <cell r="A3427">
            <v>57135000</v>
          </cell>
          <cell r="B3427" t="str">
            <v>Cereal (Kellogg's Corn Flakes)</v>
          </cell>
          <cell r="I3427">
            <v>40</v>
          </cell>
          <cell r="J3427">
            <v>142.80000000000001</v>
          </cell>
          <cell r="K3427">
            <v>3.5700000000000003</v>
          </cell>
          <cell r="L3427">
            <v>0</v>
          </cell>
          <cell r="M3427">
            <v>4.6399999999999997E-2</v>
          </cell>
          <cell r="N3427">
            <v>0</v>
          </cell>
          <cell r="O3427">
            <v>2E-3</v>
          </cell>
          <cell r="P3427">
            <v>1.32</v>
          </cell>
          <cell r="Q3427">
            <v>7.8399999999999997E-2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0.29160000000000003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</row>
        <row r="3428">
          <cell r="A3428">
            <v>57137000</v>
          </cell>
          <cell r="B3428" t="str">
            <v>Cereal, corn puffs</v>
          </cell>
          <cell r="I3428">
            <v>15</v>
          </cell>
          <cell r="J3428">
            <v>53.55</v>
          </cell>
          <cell r="K3428">
            <v>3.57</v>
          </cell>
          <cell r="L3428">
            <v>1.0199123999999999</v>
          </cell>
          <cell r="M3428">
            <v>8.6400000000000005E-2</v>
          </cell>
          <cell r="N3428">
            <v>0</v>
          </cell>
          <cell r="O3428">
            <v>8.5500000000000007E-2</v>
          </cell>
          <cell r="P3428">
            <v>0.30008760000000001</v>
          </cell>
          <cell r="Q3428">
            <v>0.19155</v>
          </cell>
          <cell r="R3428">
            <v>7.6544999999999996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8.9399999999999993E-2</v>
          </cell>
          <cell r="Y3428">
            <v>0</v>
          </cell>
          <cell r="Z3428">
            <v>0</v>
          </cell>
          <cell r="AA3428">
            <v>0</v>
          </cell>
          <cell r="AB3428">
            <v>3.7499999999999999E-3</v>
          </cell>
        </row>
        <row r="3429">
          <cell r="A3429">
            <v>57143000</v>
          </cell>
          <cell r="B3429" t="str">
            <v>Cereal (Kellogg's Cracklin' Oat Bran)</v>
          </cell>
          <cell r="I3429">
            <v>60</v>
          </cell>
          <cell r="J3429">
            <v>237</v>
          </cell>
          <cell r="K3429">
            <v>3.95</v>
          </cell>
          <cell r="L3429">
            <v>5.1773845999999999</v>
          </cell>
          <cell r="M3429">
            <v>3.72</v>
          </cell>
          <cell r="N3429">
            <v>0</v>
          </cell>
          <cell r="O3429">
            <v>3.5400000000000001E-2</v>
          </cell>
          <cell r="P3429">
            <v>2.4426154000000002</v>
          </cell>
          <cell r="Q3429">
            <v>1.68</v>
          </cell>
          <cell r="R3429">
            <v>15.6492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0.16800000000000001</v>
          </cell>
          <cell r="Y3429">
            <v>0</v>
          </cell>
          <cell r="Z3429">
            <v>0</v>
          </cell>
          <cell r="AA3429">
            <v>0</v>
          </cell>
          <cell r="AB3429">
            <v>0.06</v>
          </cell>
        </row>
        <row r="3430">
          <cell r="A3430">
            <v>57143500</v>
          </cell>
          <cell r="B3430" t="str">
            <v>Cereal (Post Great Grains, Cranberry Almond Crunch)</v>
          </cell>
          <cell r="I3430">
            <v>60</v>
          </cell>
          <cell r="J3430">
            <v>230.4</v>
          </cell>
          <cell r="K3430">
            <v>3.8400000000000003</v>
          </cell>
          <cell r="L3430">
            <v>6.1381978999999998</v>
          </cell>
          <cell r="M3430">
            <v>0.48</v>
          </cell>
          <cell r="N3430">
            <v>0</v>
          </cell>
          <cell r="O3430">
            <v>2.4E-2</v>
          </cell>
          <cell r="P3430">
            <v>0.52180210000000005</v>
          </cell>
          <cell r="Q3430">
            <v>1.02</v>
          </cell>
          <cell r="R3430">
            <v>32.319000000000003</v>
          </cell>
          <cell r="S3430">
            <v>0</v>
          </cell>
          <cell r="T3430">
            <v>9.9</v>
          </cell>
          <cell r="U3430">
            <v>0</v>
          </cell>
          <cell r="V3430">
            <v>0</v>
          </cell>
          <cell r="W3430">
            <v>0</v>
          </cell>
          <cell r="X3430">
            <v>0.12839999999999999</v>
          </cell>
          <cell r="Y3430">
            <v>2.3814000000000002</v>
          </cell>
          <cell r="Z3430">
            <v>0</v>
          </cell>
          <cell r="AA3430">
            <v>0</v>
          </cell>
          <cell r="AB3430">
            <v>0</v>
          </cell>
        </row>
        <row r="3431">
          <cell r="A3431">
            <v>57148000</v>
          </cell>
          <cell r="B3431" t="str">
            <v>Cereal (Kellogg's Crispix)</v>
          </cell>
          <cell r="I3431">
            <v>40</v>
          </cell>
          <cell r="J3431">
            <v>151.19999999999999</v>
          </cell>
          <cell r="K3431">
            <v>3.78</v>
          </cell>
          <cell r="L3431">
            <v>0</v>
          </cell>
          <cell r="M3431">
            <v>0.08</v>
          </cell>
          <cell r="N3431">
            <v>0</v>
          </cell>
          <cell r="O3431">
            <v>3.5999999999999999E-3</v>
          </cell>
          <cell r="P3431">
            <v>0.4</v>
          </cell>
          <cell r="Q3431">
            <v>0.12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0.26400000000000001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</row>
        <row r="3432">
          <cell r="A3432">
            <v>57148500</v>
          </cell>
          <cell r="B3432" t="str">
            <v>Cereal, crispy brown rice</v>
          </cell>
          <cell r="I3432">
            <v>40</v>
          </cell>
          <cell r="J3432">
            <v>157.6</v>
          </cell>
          <cell r="K3432">
            <v>3.94</v>
          </cell>
          <cell r="L3432">
            <v>0</v>
          </cell>
          <cell r="M3432">
            <v>0.14399999999999999</v>
          </cell>
          <cell r="N3432">
            <v>0</v>
          </cell>
          <cell r="O3432">
            <v>2E-3</v>
          </cell>
          <cell r="P3432">
            <v>0.28000000000000003</v>
          </cell>
          <cell r="Q3432">
            <v>0.1172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0.218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</row>
        <row r="3433">
          <cell r="A3433">
            <v>57151000</v>
          </cell>
          <cell r="B3433" t="str">
            <v>Cereal, crispy rice</v>
          </cell>
          <cell r="I3433">
            <v>40</v>
          </cell>
          <cell r="J3433">
            <v>157.6</v>
          </cell>
          <cell r="K3433">
            <v>3.94</v>
          </cell>
          <cell r="L3433">
            <v>0</v>
          </cell>
          <cell r="M3433">
            <v>0.14399999999999999</v>
          </cell>
          <cell r="N3433">
            <v>0</v>
          </cell>
          <cell r="O3433">
            <v>2E-3</v>
          </cell>
          <cell r="P3433">
            <v>0.28000000000000003</v>
          </cell>
          <cell r="Q3433">
            <v>0.1172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0.218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</row>
        <row r="3434">
          <cell r="A3434">
            <v>57206700</v>
          </cell>
          <cell r="B3434" t="str">
            <v>Cereal (General Mills Fiber One)</v>
          </cell>
          <cell r="I3434">
            <v>40</v>
          </cell>
          <cell r="J3434">
            <v>82.8</v>
          </cell>
          <cell r="K3434">
            <v>2.0699999999999998</v>
          </cell>
          <cell r="L3434">
            <v>13.216951999999999</v>
          </cell>
          <cell r="M3434">
            <v>0.16</v>
          </cell>
          <cell r="N3434">
            <v>0</v>
          </cell>
          <cell r="O3434">
            <v>0.13320000000000001</v>
          </cell>
          <cell r="P3434">
            <v>5.2630477999999998</v>
          </cell>
          <cell r="Q3434">
            <v>0.51600000000000001</v>
          </cell>
          <cell r="R3434">
            <v>19.051200000000001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0.1424</v>
          </cell>
          <cell r="Y3434">
            <v>0</v>
          </cell>
          <cell r="Z3434">
            <v>0</v>
          </cell>
          <cell r="AA3434">
            <v>0</v>
          </cell>
          <cell r="AB3434">
            <v>0</v>
          </cell>
        </row>
        <row r="3435">
          <cell r="A3435">
            <v>57206705</v>
          </cell>
          <cell r="B3435" t="str">
            <v>Fiber One Caramel Delight</v>
          </cell>
          <cell r="I3435">
            <v>40</v>
          </cell>
          <cell r="J3435">
            <v>137.6</v>
          </cell>
          <cell r="K3435">
            <v>3.44</v>
          </cell>
          <cell r="L3435">
            <v>6.8345380000000002</v>
          </cell>
          <cell r="M3435">
            <v>0.48</v>
          </cell>
          <cell r="N3435">
            <v>0</v>
          </cell>
          <cell r="O3435">
            <v>0.08</v>
          </cell>
          <cell r="P3435">
            <v>0.80546200000000001</v>
          </cell>
          <cell r="Q3435">
            <v>1</v>
          </cell>
          <cell r="R3435">
            <v>22.453199999999999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0.188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</row>
        <row r="3436">
          <cell r="A3436">
            <v>57206710</v>
          </cell>
          <cell r="B3436" t="str">
            <v>Cereal (General Mills Fiber One Honey Clusters)</v>
          </cell>
          <cell r="I3436">
            <v>40</v>
          </cell>
          <cell r="J3436">
            <v>129.19999999999999</v>
          </cell>
          <cell r="K3436">
            <v>3.2299999999999995</v>
          </cell>
          <cell r="L3436">
            <v>5.6940675000000001</v>
          </cell>
          <cell r="M3436">
            <v>0.16</v>
          </cell>
          <cell r="N3436">
            <v>0</v>
          </cell>
          <cell r="O3436">
            <v>7.6799999999999993E-2</v>
          </cell>
          <cell r="P3436">
            <v>1.9059325</v>
          </cell>
          <cell r="Q3436">
            <v>0.27600000000000002</v>
          </cell>
          <cell r="R3436">
            <v>15.6492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0.15759999999999999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</row>
        <row r="3437">
          <cell r="A3437">
            <v>57206715</v>
          </cell>
          <cell r="B3437" t="str">
            <v>Cereal (General Mills Fiber One Raisin Bran Clusters)</v>
          </cell>
          <cell r="I3437">
            <v>40</v>
          </cell>
          <cell r="J3437">
            <v>126.8</v>
          </cell>
          <cell r="K3437">
            <v>3.17</v>
          </cell>
          <cell r="L3437">
            <v>6.1234853999999999</v>
          </cell>
          <cell r="M3437">
            <v>0.16</v>
          </cell>
          <cell r="N3437">
            <v>0</v>
          </cell>
          <cell r="O3437">
            <v>7.2800000000000004E-2</v>
          </cell>
          <cell r="P3437">
            <v>1.0365146000000001</v>
          </cell>
          <cell r="Q3437">
            <v>0.24</v>
          </cell>
          <cell r="R3437">
            <v>16.216200000000001</v>
          </cell>
          <cell r="S3437">
            <v>0</v>
          </cell>
          <cell r="T3437">
            <v>5.0999999999999996</v>
          </cell>
          <cell r="U3437">
            <v>0</v>
          </cell>
          <cell r="V3437">
            <v>0</v>
          </cell>
          <cell r="W3437">
            <v>0</v>
          </cell>
          <cell r="X3437">
            <v>0.1348</v>
          </cell>
          <cell r="Y3437">
            <v>0</v>
          </cell>
          <cell r="Z3437">
            <v>0</v>
          </cell>
          <cell r="AA3437">
            <v>0</v>
          </cell>
          <cell r="AB3437">
            <v>0.04</v>
          </cell>
        </row>
        <row r="3438">
          <cell r="A3438">
            <v>57207000</v>
          </cell>
          <cell r="B3438" t="str">
            <v>Cereal, bran flakes</v>
          </cell>
          <cell r="I3438">
            <v>60</v>
          </cell>
          <cell r="J3438">
            <v>196.2</v>
          </cell>
          <cell r="K3438">
            <v>3.27</v>
          </cell>
          <cell r="L3438">
            <v>9.0754728999999994</v>
          </cell>
          <cell r="M3438">
            <v>0.24</v>
          </cell>
          <cell r="N3438">
            <v>0</v>
          </cell>
          <cell r="O3438">
            <v>2.3400000000000001E-2</v>
          </cell>
          <cell r="P3438">
            <v>1.3045271000000001</v>
          </cell>
          <cell r="Q3438">
            <v>0.78</v>
          </cell>
          <cell r="R3438">
            <v>34.8705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0.43080000000000002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</row>
        <row r="3439">
          <cell r="A3439">
            <v>57208000</v>
          </cell>
          <cell r="B3439" t="str">
            <v>Cereal (Kellogg's All-Bran Complete Wheat Flakes)</v>
          </cell>
          <cell r="I3439">
            <v>40</v>
          </cell>
          <cell r="J3439">
            <v>130.80000000000001</v>
          </cell>
          <cell r="K3439">
            <v>3.2700000000000005</v>
          </cell>
          <cell r="L3439">
            <v>6.0503152</v>
          </cell>
          <cell r="M3439">
            <v>0.16</v>
          </cell>
          <cell r="N3439">
            <v>0</v>
          </cell>
          <cell r="O3439">
            <v>1.5599999999999999E-2</v>
          </cell>
          <cell r="P3439">
            <v>0.86968480000000004</v>
          </cell>
          <cell r="Q3439">
            <v>0.52</v>
          </cell>
          <cell r="R3439">
            <v>23.247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0.28720000000000001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</row>
        <row r="3440">
          <cell r="A3440">
            <v>57209000</v>
          </cell>
          <cell r="B3440" t="str">
            <v>Cereal (Post Bran Flakes)</v>
          </cell>
          <cell r="I3440">
            <v>40</v>
          </cell>
          <cell r="J3440">
            <v>131.19999999999999</v>
          </cell>
          <cell r="K3440">
            <v>3.28</v>
          </cell>
          <cell r="L3440">
            <v>5.0817870999999997</v>
          </cell>
          <cell r="M3440">
            <v>0.16</v>
          </cell>
          <cell r="N3440">
            <v>0</v>
          </cell>
          <cell r="O3440">
            <v>1.7600000000000001E-2</v>
          </cell>
          <cell r="P3440">
            <v>2.2382129000000002</v>
          </cell>
          <cell r="Q3440">
            <v>0.48</v>
          </cell>
          <cell r="R3440">
            <v>14.9688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0.216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</row>
        <row r="3441">
          <cell r="A3441">
            <v>57213000</v>
          </cell>
          <cell r="B3441" t="str">
            <v>Cereal (Kellogg's Froot Loops)</v>
          </cell>
          <cell r="I3441">
            <v>40</v>
          </cell>
          <cell r="J3441">
            <v>150</v>
          </cell>
          <cell r="K3441">
            <v>3.75</v>
          </cell>
          <cell r="L3441">
            <v>3.0010405000000002</v>
          </cell>
          <cell r="M3441">
            <v>0.72</v>
          </cell>
          <cell r="N3441">
            <v>0</v>
          </cell>
          <cell r="O3441">
            <v>4.0000000000000001E-3</v>
          </cell>
          <cell r="P3441">
            <v>0.71895949999999997</v>
          </cell>
          <cell r="Q3441">
            <v>0.36</v>
          </cell>
          <cell r="R3441">
            <v>13.9482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0.18759999999999999</v>
          </cell>
          <cell r="Y3441">
            <v>0</v>
          </cell>
          <cell r="Z3441">
            <v>0</v>
          </cell>
          <cell r="AA3441">
            <v>0</v>
          </cell>
          <cell r="AB3441">
            <v>0</v>
          </cell>
        </row>
        <row r="3442">
          <cell r="A3442">
            <v>57213010</v>
          </cell>
          <cell r="B3442" t="str">
            <v>Cereal (Kellogg's Froot Loops Marshmallow)</v>
          </cell>
          <cell r="I3442">
            <v>40</v>
          </cell>
          <cell r="J3442">
            <v>150.4</v>
          </cell>
          <cell r="K3442">
            <v>3.7600000000000002</v>
          </cell>
          <cell r="L3442">
            <v>2.7526280999999999</v>
          </cell>
          <cell r="M3442">
            <v>0.6</v>
          </cell>
          <cell r="N3442">
            <v>0</v>
          </cell>
          <cell r="O3442">
            <v>3.5999999999999999E-3</v>
          </cell>
          <cell r="P3442">
            <v>0.2073719</v>
          </cell>
          <cell r="Q3442">
            <v>0.27600000000000002</v>
          </cell>
          <cell r="R3442">
            <v>16.783200000000001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0.15720000000000001</v>
          </cell>
          <cell r="Y3442">
            <v>0</v>
          </cell>
          <cell r="Z3442">
            <v>0</v>
          </cell>
          <cell r="AA3442">
            <v>0</v>
          </cell>
          <cell r="AB3442">
            <v>0</v>
          </cell>
        </row>
        <row r="3443">
          <cell r="A3443">
            <v>57213850</v>
          </cell>
          <cell r="B3443" t="str">
            <v>Cereal (General Mills Cheerios Frosted)</v>
          </cell>
          <cell r="I3443">
            <v>40</v>
          </cell>
          <cell r="J3443">
            <v>150.4</v>
          </cell>
          <cell r="K3443">
            <v>3.7600000000000002</v>
          </cell>
          <cell r="L3443">
            <v>3</v>
          </cell>
          <cell r="M3443">
            <v>0.44</v>
          </cell>
          <cell r="N3443">
            <v>0</v>
          </cell>
          <cell r="O3443">
            <v>0.14799999999999999</v>
          </cell>
          <cell r="P3443">
            <v>0</v>
          </cell>
          <cell r="Q3443">
            <v>0.71599999999999997</v>
          </cell>
          <cell r="R3443">
            <v>25.174800000000001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0.22120000000000001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</row>
        <row r="3444">
          <cell r="A3444">
            <v>57214000</v>
          </cell>
          <cell r="B3444" t="str">
            <v>Cereal (Kellogg's Frosted Mini-Wheats)</v>
          </cell>
          <cell r="I3444">
            <v>60</v>
          </cell>
          <cell r="J3444">
            <v>210</v>
          </cell>
          <cell r="K3444">
            <v>3.5</v>
          </cell>
          <cell r="L3444">
            <v>6.48</v>
          </cell>
          <cell r="M3444">
            <v>0.24</v>
          </cell>
          <cell r="N3444">
            <v>0</v>
          </cell>
          <cell r="O3444">
            <v>1.6799999999999999E-2</v>
          </cell>
          <cell r="P3444">
            <v>0</v>
          </cell>
          <cell r="Q3444">
            <v>0.54</v>
          </cell>
          <cell r="R3444">
            <v>45.927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1.1999999999999999E-3</v>
          </cell>
          <cell r="Y3444">
            <v>0</v>
          </cell>
          <cell r="Z3444">
            <v>0</v>
          </cell>
          <cell r="AA3444">
            <v>0</v>
          </cell>
          <cell r="AB3444">
            <v>0</v>
          </cell>
        </row>
        <row r="3445">
          <cell r="A3445">
            <v>57214100</v>
          </cell>
          <cell r="B3445" t="str">
            <v>Frosted Wheat Bites</v>
          </cell>
          <cell r="I3445">
            <v>60</v>
          </cell>
          <cell r="J3445">
            <v>211.2</v>
          </cell>
          <cell r="K3445">
            <v>3.52</v>
          </cell>
          <cell r="L3445">
            <v>4.7161274999999998</v>
          </cell>
          <cell r="M3445">
            <v>0.18</v>
          </cell>
          <cell r="N3445">
            <v>0</v>
          </cell>
          <cell r="O3445">
            <v>7.7999999999999996E-3</v>
          </cell>
          <cell r="P3445">
            <v>1.0438725</v>
          </cell>
          <cell r="Q3445">
            <v>0.55500000000000005</v>
          </cell>
          <cell r="R3445">
            <v>31.128299999999999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1.14E-2</v>
          </cell>
          <cell r="Y3445">
            <v>0</v>
          </cell>
          <cell r="Z3445">
            <v>0</v>
          </cell>
          <cell r="AA3445">
            <v>0</v>
          </cell>
          <cell r="AB3445">
            <v>1.11132E-2</v>
          </cell>
        </row>
        <row r="3446">
          <cell r="A3446">
            <v>57218000</v>
          </cell>
          <cell r="B3446" t="str">
            <v>Cereal (Kellogg's Frosted Krispies)</v>
          </cell>
          <cell r="I3446">
            <v>40</v>
          </cell>
          <cell r="J3446">
            <v>153.6</v>
          </cell>
          <cell r="K3446">
            <v>3.84</v>
          </cell>
          <cell r="L3446">
            <v>0</v>
          </cell>
          <cell r="M3446">
            <v>0.04</v>
          </cell>
          <cell r="N3446">
            <v>0</v>
          </cell>
          <cell r="O3446">
            <v>2.3999999999999998E-3</v>
          </cell>
          <cell r="P3446">
            <v>0.2</v>
          </cell>
          <cell r="Q3446">
            <v>0.04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0.1484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</row>
        <row r="3447">
          <cell r="A3447">
            <v>57219000</v>
          </cell>
          <cell r="B3447" t="str">
            <v>Fruit &amp; Fibre (fiber), NFS</v>
          </cell>
          <cell r="I3447">
            <v>60</v>
          </cell>
          <cell r="J3447">
            <v>231</v>
          </cell>
          <cell r="K3447">
            <v>3.85</v>
          </cell>
          <cell r="L3447">
            <v>4.1068058000000001</v>
          </cell>
          <cell r="M3447">
            <v>0.48</v>
          </cell>
          <cell r="N3447">
            <v>0</v>
          </cell>
          <cell r="O3447">
            <v>2.58E-2</v>
          </cell>
          <cell r="P3447">
            <v>1.7131942</v>
          </cell>
          <cell r="Q3447">
            <v>1.3757999999999999</v>
          </cell>
          <cell r="R3447">
            <v>17.520299999999999</v>
          </cell>
          <cell r="S3447">
            <v>0</v>
          </cell>
          <cell r="T3447">
            <v>13.95</v>
          </cell>
          <cell r="U3447">
            <v>0</v>
          </cell>
          <cell r="V3447">
            <v>0</v>
          </cell>
          <cell r="W3447">
            <v>0</v>
          </cell>
          <cell r="X3447">
            <v>0.14699999999999999</v>
          </cell>
          <cell r="Y3447">
            <v>0.76544999999999996</v>
          </cell>
          <cell r="Z3447">
            <v>0</v>
          </cell>
          <cell r="AA3447">
            <v>0</v>
          </cell>
          <cell r="AB3447">
            <v>2.4094500000000001E-2</v>
          </cell>
        </row>
        <row r="3448">
          <cell r="A3448">
            <v>57221810</v>
          </cell>
          <cell r="B3448" t="str">
            <v>Cereal (General Mills Cheerios Fruity)</v>
          </cell>
          <cell r="I3448">
            <v>40</v>
          </cell>
          <cell r="J3448">
            <v>152.4</v>
          </cell>
          <cell r="K3448">
            <v>3.81</v>
          </cell>
          <cell r="L3448">
            <v>2.36</v>
          </cell>
          <cell r="M3448">
            <v>0.27600000000000002</v>
          </cell>
          <cell r="N3448">
            <v>0</v>
          </cell>
          <cell r="O3448">
            <v>0.14799999999999999</v>
          </cell>
          <cell r="P3448">
            <v>0</v>
          </cell>
          <cell r="Q3448">
            <v>0.75600000000000001</v>
          </cell>
          <cell r="R3448">
            <v>24.834599999999998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0.20039999999999999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</row>
        <row r="3449">
          <cell r="A3449">
            <v>57223000</v>
          </cell>
          <cell r="B3449" t="str">
            <v>Cereal (Post Fruity Pebbles)</v>
          </cell>
          <cell r="I3449">
            <v>40</v>
          </cell>
          <cell r="J3449">
            <v>160.80000000000001</v>
          </cell>
          <cell r="K3449">
            <v>4.0200000000000005</v>
          </cell>
          <cell r="L3449">
            <v>0</v>
          </cell>
          <cell r="M3449">
            <v>1.44</v>
          </cell>
          <cell r="N3449">
            <v>0</v>
          </cell>
          <cell r="O3449">
            <v>7.6E-3</v>
          </cell>
          <cell r="P3449">
            <v>0.32</v>
          </cell>
          <cell r="Q3449">
            <v>4.8000000000000001E-2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0.21240000000000001</v>
          </cell>
          <cell r="Y3449">
            <v>0</v>
          </cell>
          <cell r="Z3449">
            <v>0</v>
          </cell>
          <cell r="AA3449">
            <v>0</v>
          </cell>
          <cell r="AB3449">
            <v>3.5999999999999997E-2</v>
          </cell>
        </row>
        <row r="3450">
          <cell r="A3450">
            <v>57224000</v>
          </cell>
          <cell r="B3450" t="str">
            <v>Cereal (General Mills Golden Grahams)</v>
          </cell>
          <cell r="I3450">
            <v>40</v>
          </cell>
          <cell r="J3450">
            <v>149.6</v>
          </cell>
          <cell r="K3450">
            <v>3.7399999999999998</v>
          </cell>
          <cell r="L3450">
            <v>1.7504719</v>
          </cell>
          <cell r="M3450">
            <v>0.16</v>
          </cell>
          <cell r="N3450">
            <v>0</v>
          </cell>
          <cell r="O3450">
            <v>0.12920000000000001</v>
          </cell>
          <cell r="P3450">
            <v>0.48952810000000002</v>
          </cell>
          <cell r="Q3450">
            <v>0.4</v>
          </cell>
          <cell r="R3450">
            <v>14.855399999999999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0.30880000000000002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</row>
        <row r="3451">
          <cell r="A3451">
            <v>57227000</v>
          </cell>
          <cell r="B3451" t="str">
            <v>Cereal, granola</v>
          </cell>
          <cell r="I3451">
            <v>60</v>
          </cell>
          <cell r="J3451">
            <v>228.6</v>
          </cell>
          <cell r="K3451">
            <v>3.81</v>
          </cell>
          <cell r="L3451">
            <v>4.1760016000000002</v>
          </cell>
          <cell r="M3451">
            <v>0.72</v>
          </cell>
          <cell r="N3451">
            <v>0</v>
          </cell>
          <cell r="O3451">
            <v>2.1600000000000001E-2</v>
          </cell>
          <cell r="P3451">
            <v>0.26399840000000002</v>
          </cell>
          <cell r="Q3451">
            <v>0.96</v>
          </cell>
          <cell r="R3451">
            <v>29.427299999999999</v>
          </cell>
          <cell r="S3451">
            <v>0</v>
          </cell>
          <cell r="T3451">
            <v>4.95</v>
          </cell>
          <cell r="U3451">
            <v>0</v>
          </cell>
          <cell r="V3451">
            <v>0</v>
          </cell>
          <cell r="W3451">
            <v>0</v>
          </cell>
          <cell r="X3451">
            <v>0.14940000000000001</v>
          </cell>
          <cell r="Y3451">
            <v>1.7860499999999999</v>
          </cell>
          <cell r="Z3451">
            <v>0</v>
          </cell>
          <cell r="AA3451">
            <v>0</v>
          </cell>
          <cell r="AB3451">
            <v>0</v>
          </cell>
        </row>
        <row r="3452">
          <cell r="A3452">
            <v>57228000</v>
          </cell>
          <cell r="B3452" t="str">
            <v>Granola, homemade</v>
          </cell>
          <cell r="I3452">
            <v>60</v>
          </cell>
          <cell r="J3452">
            <v>293.39999999999998</v>
          </cell>
          <cell r="K3452">
            <v>4.8899999999999997</v>
          </cell>
          <cell r="L3452">
            <v>4.8917543999999999</v>
          </cell>
          <cell r="M3452">
            <v>2.3742000000000001</v>
          </cell>
          <cell r="N3452">
            <v>0</v>
          </cell>
          <cell r="O3452">
            <v>4.5600000000000002E-2</v>
          </cell>
          <cell r="P3452">
            <v>0.44824560000000002</v>
          </cell>
          <cell r="Q3452">
            <v>4.6853999999999996</v>
          </cell>
          <cell r="R3452">
            <v>21.602699999999999</v>
          </cell>
          <cell r="S3452">
            <v>0</v>
          </cell>
          <cell r="T3452">
            <v>4.95</v>
          </cell>
          <cell r="U3452">
            <v>0</v>
          </cell>
          <cell r="V3452">
            <v>0</v>
          </cell>
          <cell r="W3452">
            <v>0</v>
          </cell>
          <cell r="X3452">
            <v>1.5599999999999999E-2</v>
          </cell>
          <cell r="Y3452">
            <v>7.4843999999999999</v>
          </cell>
          <cell r="Z3452">
            <v>0</v>
          </cell>
          <cell r="AA3452">
            <v>0</v>
          </cell>
          <cell r="AB3452">
            <v>1.38E-2</v>
          </cell>
        </row>
        <row r="3453">
          <cell r="A3453">
            <v>57229000</v>
          </cell>
          <cell r="B3453" t="str">
            <v>Cereal (Kellogg's Low Fat Granola)</v>
          </cell>
          <cell r="I3453">
            <v>60</v>
          </cell>
          <cell r="J3453">
            <v>233.4</v>
          </cell>
          <cell r="K3453">
            <v>3.89</v>
          </cell>
          <cell r="L3453">
            <v>3.8800210000000002</v>
          </cell>
          <cell r="M3453">
            <v>0.83399999999999996</v>
          </cell>
          <cell r="N3453">
            <v>0</v>
          </cell>
          <cell r="O3453">
            <v>1.9800000000000002E-2</v>
          </cell>
          <cell r="P3453">
            <v>0.31997900000000001</v>
          </cell>
          <cell r="Q3453">
            <v>0.96</v>
          </cell>
          <cell r="R3453">
            <v>28.7469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0.1542</v>
          </cell>
          <cell r="Y3453">
            <v>1.1907000000000001</v>
          </cell>
          <cell r="Z3453">
            <v>0</v>
          </cell>
          <cell r="AA3453">
            <v>0</v>
          </cell>
          <cell r="AB3453">
            <v>0</v>
          </cell>
        </row>
        <row r="3454">
          <cell r="A3454">
            <v>57229500</v>
          </cell>
          <cell r="B3454" t="str">
            <v>Cereal (Kellogg's Low Fat Granola with Raisins)</v>
          </cell>
          <cell r="I3454">
            <v>60</v>
          </cell>
          <cell r="J3454">
            <v>228.6</v>
          </cell>
          <cell r="K3454">
            <v>3.81</v>
          </cell>
          <cell r="L3454">
            <v>4.1760016000000002</v>
          </cell>
          <cell r="M3454">
            <v>0.72</v>
          </cell>
          <cell r="N3454">
            <v>0</v>
          </cell>
          <cell r="O3454">
            <v>2.1600000000000001E-2</v>
          </cell>
          <cell r="P3454">
            <v>0.26399840000000002</v>
          </cell>
          <cell r="Q3454">
            <v>0.96</v>
          </cell>
          <cell r="R3454">
            <v>29.427299999999999</v>
          </cell>
          <cell r="S3454">
            <v>0</v>
          </cell>
          <cell r="T3454">
            <v>4.95</v>
          </cell>
          <cell r="U3454">
            <v>0</v>
          </cell>
          <cell r="V3454">
            <v>0</v>
          </cell>
          <cell r="W3454">
            <v>0</v>
          </cell>
          <cell r="X3454">
            <v>0.14940000000000001</v>
          </cell>
          <cell r="Y3454">
            <v>1.7860499999999999</v>
          </cell>
          <cell r="Z3454">
            <v>0</v>
          </cell>
          <cell r="AA3454">
            <v>0</v>
          </cell>
          <cell r="AB3454">
            <v>0</v>
          </cell>
        </row>
        <row r="3455">
          <cell r="A3455">
            <v>57230000</v>
          </cell>
          <cell r="B3455" t="str">
            <v>Cereal (Post Grape-Nuts)</v>
          </cell>
          <cell r="I3455">
            <v>60</v>
          </cell>
          <cell r="J3455">
            <v>216.6</v>
          </cell>
          <cell r="K3455">
            <v>3.61</v>
          </cell>
          <cell r="L3455">
            <v>5.7049534</v>
          </cell>
          <cell r="M3455">
            <v>0.20399999999999999</v>
          </cell>
          <cell r="N3455">
            <v>0</v>
          </cell>
          <cell r="O3455">
            <v>1.9199999999999998E-2</v>
          </cell>
          <cell r="P3455">
            <v>2.0950465999999999</v>
          </cell>
          <cell r="Q3455">
            <v>0.46800000000000003</v>
          </cell>
          <cell r="R3455">
            <v>30.617999999999999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0.27900000000000003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</row>
        <row r="3456">
          <cell r="A3456">
            <v>57231000</v>
          </cell>
          <cell r="B3456" t="str">
            <v>Cereal (Post Grape-Nuts Flakes)</v>
          </cell>
          <cell r="I3456">
            <v>40</v>
          </cell>
          <cell r="J3456">
            <v>150.4</v>
          </cell>
          <cell r="K3456">
            <v>3.7600000000000002</v>
          </cell>
          <cell r="L3456">
            <v>3.4025457000000001</v>
          </cell>
          <cell r="M3456">
            <v>0.2</v>
          </cell>
          <cell r="N3456">
            <v>0</v>
          </cell>
          <cell r="O3456">
            <v>1.44E-2</v>
          </cell>
          <cell r="P3456">
            <v>0.67745429999999995</v>
          </cell>
          <cell r="Q3456">
            <v>0.6</v>
          </cell>
          <cell r="R3456">
            <v>21.545999999999999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0.188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</row>
        <row r="3457">
          <cell r="A3457">
            <v>57231200</v>
          </cell>
          <cell r="B3457" t="str">
            <v>Cereal (Post Great Grains Raisins, Dates, and Pecans)</v>
          </cell>
          <cell r="I3457">
            <v>60</v>
          </cell>
          <cell r="J3457">
            <v>226.8</v>
          </cell>
          <cell r="K3457">
            <v>3.7800000000000002</v>
          </cell>
          <cell r="L3457">
            <v>5.4629488999999998</v>
          </cell>
          <cell r="M3457">
            <v>0.48</v>
          </cell>
          <cell r="N3457">
            <v>0</v>
          </cell>
          <cell r="O3457">
            <v>2.3400000000000001E-2</v>
          </cell>
          <cell r="P3457">
            <v>0.11705110000000001</v>
          </cell>
          <cell r="Q3457">
            <v>1.26</v>
          </cell>
          <cell r="R3457">
            <v>33.6798</v>
          </cell>
          <cell r="S3457">
            <v>0</v>
          </cell>
          <cell r="T3457">
            <v>9.4499999999999993</v>
          </cell>
          <cell r="U3457">
            <v>0</v>
          </cell>
          <cell r="V3457">
            <v>0</v>
          </cell>
          <cell r="W3457">
            <v>0</v>
          </cell>
          <cell r="X3457">
            <v>0.1482</v>
          </cell>
          <cell r="Y3457">
            <v>2.97675</v>
          </cell>
          <cell r="Z3457">
            <v>0</v>
          </cell>
          <cell r="AA3457">
            <v>0</v>
          </cell>
          <cell r="AB3457">
            <v>0.06</v>
          </cell>
        </row>
        <row r="3458">
          <cell r="A3458">
            <v>57231250</v>
          </cell>
          <cell r="B3458" t="str">
            <v>Cereal (Post Great Grains Double Pecan Whole Grain Cereal)</v>
          </cell>
          <cell r="I3458">
            <v>60</v>
          </cell>
          <cell r="J3458">
            <v>241.8</v>
          </cell>
          <cell r="K3458">
            <v>4.03</v>
          </cell>
          <cell r="L3458">
            <v>5.7393378000000004</v>
          </cell>
          <cell r="M3458">
            <v>0.6</v>
          </cell>
          <cell r="N3458">
            <v>0</v>
          </cell>
          <cell r="O3458">
            <v>2.3400000000000001E-2</v>
          </cell>
          <cell r="P3458">
            <v>8.0662200000000003E-2</v>
          </cell>
          <cell r="Q3458">
            <v>1.86</v>
          </cell>
          <cell r="R3458">
            <v>43.375500000000002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0.17219999999999999</v>
          </cell>
          <cell r="Y3458">
            <v>6.0385499999999999</v>
          </cell>
          <cell r="Z3458">
            <v>0</v>
          </cell>
          <cell r="AA3458">
            <v>0</v>
          </cell>
          <cell r="AB3458">
            <v>0.06</v>
          </cell>
        </row>
        <row r="3459">
          <cell r="A3459">
            <v>57237100</v>
          </cell>
          <cell r="B3459" t="str">
            <v>Cereal (Post Honey Bunches of Oats Honey Roasted)</v>
          </cell>
          <cell r="I3459">
            <v>40</v>
          </cell>
          <cell r="J3459">
            <v>160.4</v>
          </cell>
          <cell r="K3459">
            <v>4.01</v>
          </cell>
          <cell r="L3459">
            <v>0.99186510000000006</v>
          </cell>
          <cell r="M3459">
            <v>0.25600000000000001</v>
          </cell>
          <cell r="N3459">
            <v>0</v>
          </cell>
          <cell r="O3459">
            <v>9.1999999999999998E-3</v>
          </cell>
          <cell r="P3459">
            <v>0.68813489999999999</v>
          </cell>
          <cell r="Q3459">
            <v>0.52280000000000004</v>
          </cell>
          <cell r="R3459">
            <v>10.9998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0.18160000000000001</v>
          </cell>
          <cell r="Y3459">
            <v>0</v>
          </cell>
          <cell r="Z3459">
            <v>0</v>
          </cell>
          <cell r="AA3459">
            <v>0</v>
          </cell>
          <cell r="AB3459">
            <v>6.4000000000000003E-3</v>
          </cell>
        </row>
        <row r="3460">
          <cell r="A3460">
            <v>57237200</v>
          </cell>
          <cell r="B3460" t="str">
            <v>Cereal (Post Honey Bunches of Oats with Vanilla Bunches)</v>
          </cell>
          <cell r="I3460">
            <v>40</v>
          </cell>
          <cell r="J3460">
            <v>157.6</v>
          </cell>
          <cell r="K3460">
            <v>3.94</v>
          </cell>
          <cell r="L3460">
            <v>2.9986508000000001</v>
          </cell>
          <cell r="M3460">
            <v>0.24</v>
          </cell>
          <cell r="N3460">
            <v>0</v>
          </cell>
          <cell r="O3460">
            <v>1.32E-2</v>
          </cell>
          <cell r="P3460">
            <v>0.1213492</v>
          </cell>
          <cell r="Q3460">
            <v>0.68</v>
          </cell>
          <cell r="R3460">
            <v>27.8964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0.10680000000000001</v>
          </cell>
          <cell r="Y3460">
            <v>0</v>
          </cell>
          <cell r="Z3460">
            <v>0</v>
          </cell>
          <cell r="AA3460">
            <v>0</v>
          </cell>
          <cell r="AB3460">
            <v>0</v>
          </cell>
        </row>
        <row r="3461">
          <cell r="A3461">
            <v>57237300</v>
          </cell>
          <cell r="B3461" t="str">
            <v>Cereal (Post Honey Bunches of Oats with Almonds)</v>
          </cell>
          <cell r="I3461">
            <v>40</v>
          </cell>
          <cell r="J3461">
            <v>163.6</v>
          </cell>
          <cell r="K3461">
            <v>4.09</v>
          </cell>
          <cell r="L3461">
            <v>1.4469634</v>
          </cell>
          <cell r="M3461">
            <v>0.32</v>
          </cell>
          <cell r="N3461">
            <v>0</v>
          </cell>
          <cell r="O3461">
            <v>1.4E-2</v>
          </cell>
          <cell r="P3461">
            <v>0.75303659999999994</v>
          </cell>
          <cell r="Q3461">
            <v>0.84</v>
          </cell>
          <cell r="R3461">
            <v>11.4534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0.1668</v>
          </cell>
          <cell r="Y3461">
            <v>3.6288</v>
          </cell>
          <cell r="Z3461">
            <v>0</v>
          </cell>
          <cell r="AA3461">
            <v>0</v>
          </cell>
          <cell r="AB3461">
            <v>0.04</v>
          </cell>
        </row>
        <row r="3462">
          <cell r="A3462">
            <v>57237310</v>
          </cell>
          <cell r="B3462" t="str">
            <v>Honey Bunches of Oats with Pecan Bunches</v>
          </cell>
          <cell r="I3462">
            <v>40</v>
          </cell>
          <cell r="J3462">
            <v>160.4</v>
          </cell>
          <cell r="K3462">
            <v>4.01</v>
          </cell>
          <cell r="L3462">
            <v>1.2299977</v>
          </cell>
          <cell r="M3462">
            <v>0.24</v>
          </cell>
          <cell r="N3462">
            <v>0</v>
          </cell>
          <cell r="O3462">
            <v>8.0000000000000002E-3</v>
          </cell>
          <cell r="P3462">
            <v>0.81000229999999995</v>
          </cell>
          <cell r="Q3462">
            <v>0.68</v>
          </cell>
          <cell r="R3462">
            <v>11.226599999999999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0.19239999999999999</v>
          </cell>
          <cell r="Y3462">
            <v>1.9844999999999999</v>
          </cell>
          <cell r="Z3462">
            <v>0</v>
          </cell>
          <cell r="AA3462">
            <v>0</v>
          </cell>
          <cell r="AB3462">
            <v>0</v>
          </cell>
        </row>
        <row r="3463">
          <cell r="A3463">
            <v>57237900</v>
          </cell>
          <cell r="B3463" t="str">
            <v>Cereal (Post Honey Bunches of Oats Just Bunches)</v>
          </cell>
          <cell r="I3463">
            <v>40</v>
          </cell>
          <cell r="J3463">
            <v>160.4</v>
          </cell>
          <cell r="K3463">
            <v>4.01</v>
          </cell>
          <cell r="L3463">
            <v>0.99186510000000006</v>
          </cell>
          <cell r="M3463">
            <v>0.25600000000000001</v>
          </cell>
          <cell r="N3463">
            <v>0</v>
          </cell>
          <cell r="O3463">
            <v>9.1999999999999998E-3</v>
          </cell>
          <cell r="P3463">
            <v>0.68813489999999999</v>
          </cell>
          <cell r="Q3463">
            <v>0.52280000000000004</v>
          </cell>
          <cell r="R3463">
            <v>10.9998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0.18160000000000001</v>
          </cell>
          <cell r="Y3463">
            <v>0</v>
          </cell>
          <cell r="Z3463">
            <v>0</v>
          </cell>
          <cell r="AA3463">
            <v>0</v>
          </cell>
          <cell r="AB3463">
            <v>6.4000000000000003E-3</v>
          </cell>
        </row>
        <row r="3464">
          <cell r="A3464">
            <v>57238000</v>
          </cell>
          <cell r="B3464" t="str">
            <v>Cereal (Post Honeycomb)</v>
          </cell>
          <cell r="I3464">
            <v>40</v>
          </cell>
          <cell r="J3464">
            <v>157.6</v>
          </cell>
          <cell r="K3464">
            <v>3.94</v>
          </cell>
          <cell r="L3464">
            <v>0.67036320000000005</v>
          </cell>
          <cell r="M3464">
            <v>0.51600000000000001</v>
          </cell>
          <cell r="N3464">
            <v>0</v>
          </cell>
          <cell r="O3464">
            <v>4.4000000000000003E-3</v>
          </cell>
          <cell r="P3464">
            <v>0.60963679999999998</v>
          </cell>
          <cell r="Q3464">
            <v>0.36399999999999999</v>
          </cell>
          <cell r="R3464">
            <v>8.3916000000000004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0.22120000000000001</v>
          </cell>
          <cell r="Y3464">
            <v>0</v>
          </cell>
          <cell r="Z3464">
            <v>0</v>
          </cell>
          <cell r="AA3464">
            <v>0</v>
          </cell>
          <cell r="AB3464">
            <v>4.0000000000000001E-3</v>
          </cell>
        </row>
        <row r="3465">
          <cell r="A3465">
            <v>57239100</v>
          </cell>
          <cell r="B3465" t="str">
            <v>Honey Crunch Corn Flakes, Kellogg's</v>
          </cell>
          <cell r="I3465">
            <v>40</v>
          </cell>
          <cell r="J3465">
            <v>154</v>
          </cell>
          <cell r="K3465">
            <v>3.85</v>
          </cell>
          <cell r="L3465">
            <v>0</v>
          </cell>
          <cell r="M3465">
            <v>0.12</v>
          </cell>
          <cell r="N3465">
            <v>0</v>
          </cell>
          <cell r="O3465">
            <v>8.8000000000000005E-3</v>
          </cell>
          <cell r="P3465">
            <v>1.36</v>
          </cell>
          <cell r="Q3465">
            <v>0.24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0.28000000000000003</v>
          </cell>
          <cell r="Y3465">
            <v>0.79379999999999995</v>
          </cell>
          <cell r="Z3465">
            <v>0</v>
          </cell>
          <cell r="AA3465">
            <v>0</v>
          </cell>
          <cell r="AB3465">
            <v>0</v>
          </cell>
        </row>
        <row r="3466">
          <cell r="A3466">
            <v>57240100</v>
          </cell>
          <cell r="B3466" t="str">
            <v>Cereal (General Mills Chex Honey Nut)</v>
          </cell>
          <cell r="I3466">
            <v>40</v>
          </cell>
          <cell r="J3466">
            <v>150</v>
          </cell>
          <cell r="K3466">
            <v>3.75</v>
          </cell>
          <cell r="L3466">
            <v>1.1340981999999999</v>
          </cell>
          <cell r="M3466">
            <v>0.2</v>
          </cell>
          <cell r="N3466">
            <v>0</v>
          </cell>
          <cell r="O3466">
            <v>0.12520000000000001</v>
          </cell>
          <cell r="P3466">
            <v>0.4259018</v>
          </cell>
          <cell r="Q3466">
            <v>0.4</v>
          </cell>
          <cell r="R3466">
            <v>13.9482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0.24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</row>
        <row r="3467">
          <cell r="A3467">
            <v>57241000</v>
          </cell>
          <cell r="B3467" t="str">
            <v>Cereal (General Mills Cheerios Honey Nut)</v>
          </cell>
          <cell r="I3467">
            <v>40</v>
          </cell>
          <cell r="J3467">
            <v>150.4</v>
          </cell>
          <cell r="K3467">
            <v>3.7600000000000002</v>
          </cell>
          <cell r="L3467">
            <v>2.8151986</v>
          </cell>
          <cell r="M3467">
            <v>0.21160000000000001</v>
          </cell>
          <cell r="N3467">
            <v>0</v>
          </cell>
          <cell r="O3467">
            <v>0.17</v>
          </cell>
          <cell r="P3467">
            <v>2.4801400000000001E-2</v>
          </cell>
          <cell r="Q3467">
            <v>0.40960000000000002</v>
          </cell>
          <cell r="R3467">
            <v>25.628399999999999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0.22639999999999999</v>
          </cell>
          <cell r="Y3467">
            <v>0</v>
          </cell>
          <cell r="Z3467">
            <v>0</v>
          </cell>
          <cell r="AA3467">
            <v>0</v>
          </cell>
          <cell r="AB3467">
            <v>1.6000000000000001E-3</v>
          </cell>
        </row>
        <row r="3468">
          <cell r="A3468">
            <v>57241200</v>
          </cell>
          <cell r="B3468" t="str">
            <v>Honey Nut Shredded Wheat, Post</v>
          </cell>
          <cell r="I3468">
            <v>60</v>
          </cell>
          <cell r="J3468">
            <v>223.8</v>
          </cell>
          <cell r="K3468">
            <v>3.73</v>
          </cell>
          <cell r="L3468">
            <v>6.42</v>
          </cell>
          <cell r="M3468">
            <v>0.24</v>
          </cell>
          <cell r="N3468">
            <v>0</v>
          </cell>
          <cell r="O3468">
            <v>2.2800000000000001E-2</v>
          </cell>
          <cell r="P3468">
            <v>0</v>
          </cell>
          <cell r="Q3468">
            <v>0.72</v>
          </cell>
          <cell r="R3468">
            <v>46.267200000000003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6.1199999999999997E-2</v>
          </cell>
          <cell r="Y3468">
            <v>0.3402</v>
          </cell>
          <cell r="Z3468">
            <v>0</v>
          </cell>
          <cell r="AA3468">
            <v>0</v>
          </cell>
          <cell r="AB3468">
            <v>0</v>
          </cell>
        </row>
        <row r="3469">
          <cell r="A3469">
            <v>57243000</v>
          </cell>
          <cell r="B3469" t="str">
            <v>Cereal (Kellogg's Honey Smacks)</v>
          </cell>
          <cell r="I3469">
            <v>40</v>
          </cell>
          <cell r="J3469">
            <v>152</v>
          </cell>
          <cell r="K3469">
            <v>3.8</v>
          </cell>
          <cell r="L3469">
            <v>0</v>
          </cell>
          <cell r="M3469">
            <v>0.2</v>
          </cell>
          <cell r="N3469">
            <v>0</v>
          </cell>
          <cell r="O3469">
            <v>5.5999999999999999E-3</v>
          </cell>
          <cell r="P3469">
            <v>2</v>
          </cell>
          <cell r="Q3469">
            <v>0.2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5.6800000000000003E-2</v>
          </cell>
          <cell r="Y3469">
            <v>0</v>
          </cell>
          <cell r="Z3469">
            <v>0</v>
          </cell>
          <cell r="AA3469">
            <v>0</v>
          </cell>
          <cell r="AB3469">
            <v>0.2</v>
          </cell>
        </row>
        <row r="3470">
          <cell r="A3470">
            <v>57301500</v>
          </cell>
          <cell r="B3470" t="str">
            <v>Cereal (Kashi 7 Whole Grain Puffs)</v>
          </cell>
          <cell r="I3470">
            <v>15</v>
          </cell>
          <cell r="J3470">
            <v>50.4</v>
          </cell>
          <cell r="K3470">
            <v>3.36</v>
          </cell>
          <cell r="L3470">
            <v>1.2</v>
          </cell>
          <cell r="M3470">
            <v>6.9449999999999998E-2</v>
          </cell>
          <cell r="N3470">
            <v>0</v>
          </cell>
          <cell r="O3470">
            <v>5.7000000000000002E-3</v>
          </cell>
          <cell r="P3470">
            <v>0</v>
          </cell>
          <cell r="Q3470">
            <v>0.15795000000000001</v>
          </cell>
          <cell r="R3470">
            <v>14.926275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1.3500000000000001E-3</v>
          </cell>
          <cell r="Y3470">
            <v>8.5050000000000001E-2</v>
          </cell>
          <cell r="Z3470">
            <v>0</v>
          </cell>
          <cell r="AA3470">
            <v>0</v>
          </cell>
          <cell r="AB3470">
            <v>0</v>
          </cell>
        </row>
        <row r="3471">
          <cell r="A3471">
            <v>57301505</v>
          </cell>
          <cell r="B3471" t="str">
            <v>Cereal (Kashi Autumn Wheat)</v>
          </cell>
          <cell r="I3471">
            <v>60</v>
          </cell>
          <cell r="J3471">
            <v>202.8</v>
          </cell>
          <cell r="K3471">
            <v>3.3800000000000003</v>
          </cell>
          <cell r="L3471">
            <v>6.72</v>
          </cell>
          <cell r="M3471">
            <v>0.18</v>
          </cell>
          <cell r="N3471">
            <v>0</v>
          </cell>
          <cell r="O3471">
            <v>1.7399999999999999E-2</v>
          </cell>
          <cell r="P3471">
            <v>0</v>
          </cell>
          <cell r="Q3471">
            <v>0.54</v>
          </cell>
          <cell r="R3471">
            <v>51.03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2.3999999999999998E-3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</row>
        <row r="3472">
          <cell r="A3472">
            <v>57301510</v>
          </cell>
          <cell r="B3472" t="str">
            <v>Cereal (Kashi GOLEAN)</v>
          </cell>
          <cell r="I3472">
            <v>60</v>
          </cell>
          <cell r="J3472">
            <v>186.6</v>
          </cell>
          <cell r="K3472">
            <v>3.11</v>
          </cell>
          <cell r="L3472">
            <v>7.0137366999999999</v>
          </cell>
          <cell r="M3472">
            <v>0.24</v>
          </cell>
          <cell r="N3472">
            <v>0</v>
          </cell>
          <cell r="O3472">
            <v>7.1400000000000005E-2</v>
          </cell>
          <cell r="P3472">
            <v>5.0462632999999997</v>
          </cell>
          <cell r="Q3472">
            <v>0.41399999999999998</v>
          </cell>
          <cell r="R3472">
            <v>14.9688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0.1062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</row>
        <row r="3473">
          <cell r="A3473">
            <v>57301511</v>
          </cell>
          <cell r="B3473" t="str">
            <v>Cereal (Kashi GOLEAN Crunch)</v>
          </cell>
          <cell r="I3473">
            <v>60</v>
          </cell>
          <cell r="J3473">
            <v>220.2</v>
          </cell>
          <cell r="K3473">
            <v>3.67</v>
          </cell>
          <cell r="L3473">
            <v>8.6999999999999993</v>
          </cell>
          <cell r="M3473">
            <v>0.48</v>
          </cell>
          <cell r="N3473">
            <v>0</v>
          </cell>
          <cell r="O3473">
            <v>3.5400000000000001E-2</v>
          </cell>
          <cell r="P3473">
            <v>0</v>
          </cell>
          <cell r="Q3473">
            <v>1.254</v>
          </cell>
          <cell r="R3473">
            <v>36.401400000000002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0.1116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</row>
        <row r="3474">
          <cell r="A3474">
            <v>57301512</v>
          </cell>
          <cell r="B3474" t="str">
            <v>Cereal (Kashi GOLEAN Crunch Honey Almond Flax)</v>
          </cell>
          <cell r="I3474">
            <v>60</v>
          </cell>
          <cell r="J3474">
            <v>227.4</v>
          </cell>
          <cell r="K3474">
            <v>3.79</v>
          </cell>
          <cell r="L3474">
            <v>9</v>
          </cell>
          <cell r="M3474">
            <v>0.6</v>
          </cell>
          <cell r="N3474">
            <v>0</v>
          </cell>
          <cell r="O3474">
            <v>4.4999999999999998E-2</v>
          </cell>
          <cell r="P3474">
            <v>0</v>
          </cell>
          <cell r="Q3474">
            <v>2.2200000000000002</v>
          </cell>
          <cell r="R3474">
            <v>21.942900000000002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0.1608</v>
          </cell>
          <cell r="Y3474">
            <v>7.8246000000000002</v>
          </cell>
          <cell r="Z3474">
            <v>0</v>
          </cell>
          <cell r="AA3474">
            <v>0</v>
          </cell>
          <cell r="AB3474">
            <v>0</v>
          </cell>
        </row>
        <row r="3475">
          <cell r="A3475">
            <v>57301520</v>
          </cell>
          <cell r="B3475" t="str">
            <v>Kashi Good Friends</v>
          </cell>
          <cell r="I3475">
            <v>60</v>
          </cell>
          <cell r="J3475">
            <v>179.4</v>
          </cell>
          <cell r="K3475">
            <v>2.99</v>
          </cell>
          <cell r="L3475">
            <v>7.3175302999999996</v>
          </cell>
          <cell r="M3475">
            <v>0.3</v>
          </cell>
          <cell r="N3475">
            <v>0</v>
          </cell>
          <cell r="O3475">
            <v>1.5599999999999999E-2</v>
          </cell>
          <cell r="P3475">
            <v>5.7024697</v>
          </cell>
          <cell r="Q3475">
            <v>0.66</v>
          </cell>
          <cell r="R3475">
            <v>17.010000000000002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0.12239999999999999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</row>
        <row r="3476">
          <cell r="A3476">
            <v>57301530</v>
          </cell>
          <cell r="B3476" t="str">
            <v>Cereal (Kashi Heart to Heart Honey Toasted Oat)</v>
          </cell>
          <cell r="I3476">
            <v>60</v>
          </cell>
          <cell r="J3476">
            <v>218.4</v>
          </cell>
          <cell r="K3476">
            <v>3.64</v>
          </cell>
          <cell r="L3476">
            <v>7.3917617</v>
          </cell>
          <cell r="M3476">
            <v>0.6</v>
          </cell>
          <cell r="N3476">
            <v>0</v>
          </cell>
          <cell r="O3476">
            <v>2.46E-2</v>
          </cell>
          <cell r="P3476">
            <v>0.82823829999999998</v>
          </cell>
          <cell r="Q3476">
            <v>1.0740000000000001</v>
          </cell>
          <cell r="R3476">
            <v>39.293100000000003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0.16020000000000001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</row>
        <row r="3477">
          <cell r="A3477">
            <v>57301535</v>
          </cell>
          <cell r="B3477" t="str">
            <v>Kashi Heart to Heart Oat Flakes and Blueberry Clusters</v>
          </cell>
          <cell r="I3477">
            <v>60</v>
          </cell>
          <cell r="J3477">
            <v>225.6</v>
          </cell>
          <cell r="K3477">
            <v>3.76</v>
          </cell>
          <cell r="L3477">
            <v>2.7944010000000001</v>
          </cell>
          <cell r="M3477">
            <v>0.48</v>
          </cell>
          <cell r="N3477">
            <v>0</v>
          </cell>
          <cell r="O3477">
            <v>2.58E-2</v>
          </cell>
          <cell r="P3477">
            <v>1.645599</v>
          </cell>
          <cell r="Q3477">
            <v>0.72</v>
          </cell>
          <cell r="R3477">
            <v>19.221299999999999</v>
          </cell>
          <cell r="S3477">
            <v>0</v>
          </cell>
          <cell r="T3477">
            <v>0.9</v>
          </cell>
          <cell r="U3477">
            <v>0</v>
          </cell>
          <cell r="V3477">
            <v>0</v>
          </cell>
          <cell r="W3477">
            <v>0</v>
          </cell>
          <cell r="X3477">
            <v>0.1464</v>
          </cell>
          <cell r="Y3477">
            <v>0.3402</v>
          </cell>
          <cell r="Z3477">
            <v>0</v>
          </cell>
          <cell r="AA3477">
            <v>0</v>
          </cell>
          <cell r="AB3477">
            <v>0</v>
          </cell>
        </row>
        <row r="3478">
          <cell r="A3478">
            <v>57303100</v>
          </cell>
          <cell r="B3478" t="str">
            <v>Cereal (General Mills Kix)</v>
          </cell>
          <cell r="I3478">
            <v>40</v>
          </cell>
          <cell r="J3478">
            <v>142.80000000000001</v>
          </cell>
          <cell r="K3478">
            <v>3.5700000000000003</v>
          </cell>
          <cell r="L3478">
            <v>2.7197665</v>
          </cell>
          <cell r="M3478">
            <v>0.23039999999999999</v>
          </cell>
          <cell r="N3478">
            <v>0</v>
          </cell>
          <cell r="O3478">
            <v>0.22800000000000001</v>
          </cell>
          <cell r="P3478">
            <v>0.80023350000000004</v>
          </cell>
          <cell r="Q3478">
            <v>0.51080000000000003</v>
          </cell>
          <cell r="R3478">
            <v>20.411999999999999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0.2384</v>
          </cell>
          <cell r="Y3478">
            <v>0</v>
          </cell>
          <cell r="Z3478">
            <v>0</v>
          </cell>
          <cell r="AA3478">
            <v>0</v>
          </cell>
          <cell r="AB3478">
            <v>0.01</v>
          </cell>
        </row>
        <row r="3479">
          <cell r="A3479">
            <v>57304100</v>
          </cell>
          <cell r="B3479" t="str">
            <v>Cereal (Quaker Life)</v>
          </cell>
          <cell r="I3479">
            <v>60</v>
          </cell>
          <cell r="J3479">
            <v>224.4</v>
          </cell>
          <cell r="K3479">
            <v>3.74</v>
          </cell>
          <cell r="L3479">
            <v>3.5813834</v>
          </cell>
          <cell r="M3479">
            <v>0.498</v>
          </cell>
          <cell r="N3479">
            <v>0</v>
          </cell>
          <cell r="O3479">
            <v>0.21060000000000001</v>
          </cell>
          <cell r="P3479">
            <v>0.37861660000000003</v>
          </cell>
          <cell r="Q3479">
            <v>0.85199999999999998</v>
          </cell>
          <cell r="R3479">
            <v>38.442599999999999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0.30059999999999998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</row>
        <row r="3480">
          <cell r="A3480">
            <v>57305100</v>
          </cell>
          <cell r="B3480" t="str">
            <v>Cereal (General Mills Lucky Charms)</v>
          </cell>
          <cell r="I3480">
            <v>40</v>
          </cell>
          <cell r="J3480">
            <v>152</v>
          </cell>
          <cell r="K3480">
            <v>3.8</v>
          </cell>
          <cell r="L3480">
            <v>1.8534375000000001</v>
          </cell>
          <cell r="M3480">
            <v>0.35399999999999998</v>
          </cell>
          <cell r="N3480">
            <v>0</v>
          </cell>
          <cell r="O3480">
            <v>0.1736</v>
          </cell>
          <cell r="P3480">
            <v>0.14656250000000001</v>
          </cell>
          <cell r="Q3480">
            <v>0.61680000000000001</v>
          </cell>
          <cell r="R3480">
            <v>15.9894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0.25919999999999999</v>
          </cell>
          <cell r="Y3480">
            <v>0</v>
          </cell>
          <cell r="Z3480">
            <v>0</v>
          </cell>
          <cell r="AA3480">
            <v>0</v>
          </cell>
          <cell r="AB3480">
            <v>5.1999999999999998E-3</v>
          </cell>
        </row>
        <row r="3481">
          <cell r="A3481">
            <v>57305150</v>
          </cell>
          <cell r="B3481" t="str">
            <v>Cereal, frosted oat cereal with marshmallows</v>
          </cell>
          <cell r="I3481">
            <v>40</v>
          </cell>
          <cell r="J3481">
            <v>160</v>
          </cell>
          <cell r="K3481">
            <v>4</v>
          </cell>
          <cell r="L3481">
            <v>1.72</v>
          </cell>
          <cell r="M3481">
            <v>0.248</v>
          </cell>
          <cell r="N3481">
            <v>0</v>
          </cell>
          <cell r="O3481">
            <v>0.13320000000000001</v>
          </cell>
          <cell r="P3481">
            <v>0</v>
          </cell>
          <cell r="Q3481">
            <v>0.51200000000000001</v>
          </cell>
          <cell r="R3481">
            <v>17.236799999999999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0.2132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</row>
        <row r="3482">
          <cell r="A3482">
            <v>57305165</v>
          </cell>
          <cell r="B3482" t="str">
            <v>Cereal (Malt-O-Meal Cinnamon Toasters)</v>
          </cell>
          <cell r="I3482">
            <v>40</v>
          </cell>
          <cell r="J3482">
            <v>170</v>
          </cell>
          <cell r="K3482">
            <v>4.25</v>
          </cell>
          <cell r="L3482">
            <v>1.5764081000000001</v>
          </cell>
          <cell r="M3482">
            <v>0.74</v>
          </cell>
          <cell r="N3482">
            <v>0</v>
          </cell>
          <cell r="O3482">
            <v>0.13320000000000001</v>
          </cell>
          <cell r="P3482">
            <v>0.42359190000000002</v>
          </cell>
          <cell r="Q3482">
            <v>1.6519999999999999</v>
          </cell>
          <cell r="R3482">
            <v>13.9482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0.18920000000000001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</row>
        <row r="3483">
          <cell r="A3483">
            <v>57305170</v>
          </cell>
          <cell r="B3483" t="str">
            <v>Cereal (Malt-O-Meal Coco-Roos)</v>
          </cell>
          <cell r="I3483">
            <v>40</v>
          </cell>
          <cell r="J3483">
            <v>155.6</v>
          </cell>
          <cell r="K3483">
            <v>3.8899999999999997</v>
          </cell>
          <cell r="L3483">
            <v>0.94406800000000002</v>
          </cell>
          <cell r="M3483">
            <v>1.028</v>
          </cell>
          <cell r="N3483">
            <v>0</v>
          </cell>
          <cell r="O3483">
            <v>0.13320000000000001</v>
          </cell>
          <cell r="P3483">
            <v>0.37593199999999999</v>
          </cell>
          <cell r="Q3483">
            <v>0.222</v>
          </cell>
          <cell r="R3483">
            <v>9.1853999999999996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0.14000000000000001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</row>
        <row r="3484">
          <cell r="A3484">
            <v>57305174</v>
          </cell>
          <cell r="B3484" t="str">
            <v>Cereal (Malt-O-Meal Colossal Crunch)</v>
          </cell>
          <cell r="I3484">
            <v>40</v>
          </cell>
          <cell r="J3484">
            <v>160.4</v>
          </cell>
          <cell r="K3484">
            <v>4.01</v>
          </cell>
          <cell r="L3484">
            <v>0.20851020000000001</v>
          </cell>
          <cell r="M3484">
            <v>0.89600000000000002</v>
          </cell>
          <cell r="N3484">
            <v>0</v>
          </cell>
          <cell r="O3484">
            <v>0</v>
          </cell>
          <cell r="P3484">
            <v>0.47148980000000001</v>
          </cell>
          <cell r="Q3484">
            <v>0.27600000000000002</v>
          </cell>
          <cell r="R3484">
            <v>3.1751999999999998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0.32240000000000002</v>
          </cell>
          <cell r="Y3484">
            <v>0</v>
          </cell>
          <cell r="Z3484">
            <v>0</v>
          </cell>
          <cell r="AA3484">
            <v>0</v>
          </cell>
          <cell r="AB3484">
            <v>0.192</v>
          </cell>
        </row>
        <row r="3485">
          <cell r="A3485">
            <v>57305175</v>
          </cell>
          <cell r="B3485" t="str">
            <v>Cereal (Malt-O-Meal Cocoa Dyno-Bites)</v>
          </cell>
          <cell r="I3485">
            <v>40</v>
          </cell>
          <cell r="J3485">
            <v>158.80000000000001</v>
          </cell>
          <cell r="K3485">
            <v>3.97</v>
          </cell>
          <cell r="L3485">
            <v>0</v>
          </cell>
          <cell r="M3485">
            <v>1.032</v>
          </cell>
          <cell r="N3485">
            <v>0</v>
          </cell>
          <cell r="O3485">
            <v>6.7999999999999996E-3</v>
          </cell>
          <cell r="P3485">
            <v>0.44</v>
          </cell>
          <cell r="Q3485">
            <v>8.4000000000000005E-2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0.21360000000000001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</row>
        <row r="3486">
          <cell r="A3486">
            <v>57305200</v>
          </cell>
          <cell r="B3486" t="str">
            <v>Cereal (Malt-O-Meal Crispy Rice)</v>
          </cell>
          <cell r="I3486">
            <v>40</v>
          </cell>
          <cell r="J3486">
            <v>152.4</v>
          </cell>
          <cell r="K3486">
            <v>3.81</v>
          </cell>
          <cell r="L3486">
            <v>0</v>
          </cell>
          <cell r="M3486">
            <v>0.1832</v>
          </cell>
          <cell r="N3486">
            <v>0</v>
          </cell>
          <cell r="O3486">
            <v>2E-3</v>
          </cell>
          <cell r="P3486">
            <v>0.16</v>
          </cell>
          <cell r="Q3486">
            <v>0.25040000000000001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0.21079999999999999</v>
          </cell>
          <cell r="Y3486">
            <v>0</v>
          </cell>
          <cell r="Z3486">
            <v>0</v>
          </cell>
          <cell r="AA3486">
            <v>0</v>
          </cell>
          <cell r="AB3486">
            <v>1.1999999999999999E-3</v>
          </cell>
        </row>
        <row r="3487">
          <cell r="A3487">
            <v>57305210</v>
          </cell>
          <cell r="B3487" t="str">
            <v>Cereal (Malt-O-Meal Frosted Flakes)</v>
          </cell>
          <cell r="I3487">
            <v>40</v>
          </cell>
          <cell r="J3487">
            <v>155.6</v>
          </cell>
          <cell r="K3487">
            <v>3.8899999999999997</v>
          </cell>
          <cell r="L3487">
            <v>0</v>
          </cell>
          <cell r="M3487">
            <v>4.2799999999999998E-2</v>
          </cell>
          <cell r="N3487">
            <v>0</v>
          </cell>
          <cell r="O3487">
            <v>1.1999999999999999E-3</v>
          </cell>
          <cell r="P3487">
            <v>0.48</v>
          </cell>
          <cell r="Q3487">
            <v>0.17399999999999999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0.1804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</row>
        <row r="3488">
          <cell r="A3488">
            <v>57305215</v>
          </cell>
          <cell r="B3488" t="str">
            <v>Cereal (Malt-O-Meal Frosted Mini Spooners)</v>
          </cell>
          <cell r="I3488">
            <v>40</v>
          </cell>
          <cell r="J3488">
            <v>141.6</v>
          </cell>
          <cell r="K3488">
            <v>3.54</v>
          </cell>
          <cell r="L3488">
            <v>4.3600000000000003</v>
          </cell>
          <cell r="M3488">
            <v>9.1200000000000003E-2</v>
          </cell>
          <cell r="N3488">
            <v>0</v>
          </cell>
          <cell r="O3488">
            <v>1.1599999999999999E-2</v>
          </cell>
          <cell r="P3488">
            <v>0</v>
          </cell>
          <cell r="Q3488">
            <v>0.28839999999999999</v>
          </cell>
          <cell r="R3488">
            <v>31.9788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7.1999999999999998E-3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</row>
        <row r="3489">
          <cell r="A3489">
            <v>57305300</v>
          </cell>
          <cell r="B3489" t="str">
            <v>Cereal (Malt-O-Meal Fruity Dyno-Bites)</v>
          </cell>
          <cell r="I3489">
            <v>40</v>
          </cell>
          <cell r="J3489">
            <v>161.6</v>
          </cell>
          <cell r="K3489">
            <v>4.04</v>
          </cell>
          <cell r="L3489">
            <v>0</v>
          </cell>
          <cell r="M3489">
            <v>0.25600000000000001</v>
          </cell>
          <cell r="N3489">
            <v>0</v>
          </cell>
          <cell r="O3489">
            <v>1.1999999999999999E-3</v>
          </cell>
          <cell r="P3489">
            <v>0.4</v>
          </cell>
          <cell r="Q3489">
            <v>0.1032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0.252</v>
          </cell>
          <cell r="Y3489">
            <v>0</v>
          </cell>
          <cell r="Z3489">
            <v>0</v>
          </cell>
          <cell r="AA3489">
            <v>0</v>
          </cell>
          <cell r="AB3489">
            <v>5.6000000000000001E-2</v>
          </cell>
        </row>
        <row r="3490">
          <cell r="A3490">
            <v>57305500</v>
          </cell>
          <cell r="B3490" t="str">
            <v>Cereal (Malt-O-Meal Honey Nut Toasty O's)</v>
          </cell>
          <cell r="I3490">
            <v>40</v>
          </cell>
          <cell r="J3490">
            <v>150.4</v>
          </cell>
          <cell r="K3490">
            <v>3.7600000000000002</v>
          </cell>
          <cell r="L3490">
            <v>2.8151986</v>
          </cell>
          <cell r="M3490">
            <v>0.21160000000000001</v>
          </cell>
          <cell r="N3490">
            <v>0</v>
          </cell>
          <cell r="O3490">
            <v>0.17</v>
          </cell>
          <cell r="P3490">
            <v>2.4801400000000001E-2</v>
          </cell>
          <cell r="Q3490">
            <v>0.40960000000000002</v>
          </cell>
          <cell r="R3490">
            <v>25.628399999999999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0.22639999999999999</v>
          </cell>
          <cell r="Y3490">
            <v>0</v>
          </cell>
          <cell r="Z3490">
            <v>0</v>
          </cell>
          <cell r="AA3490">
            <v>0</v>
          </cell>
          <cell r="AB3490">
            <v>1.6000000000000001E-3</v>
          </cell>
        </row>
        <row r="3491">
          <cell r="A3491">
            <v>57305600</v>
          </cell>
          <cell r="B3491" t="str">
            <v>Cereal (Malt-O-Meal Marshmallow Mateys)</v>
          </cell>
          <cell r="I3491">
            <v>40</v>
          </cell>
          <cell r="J3491">
            <v>154.80000000000001</v>
          </cell>
          <cell r="K3491">
            <v>3.87</v>
          </cell>
          <cell r="L3491">
            <v>1.96</v>
          </cell>
          <cell r="M3491">
            <v>0.28760000000000002</v>
          </cell>
          <cell r="N3491">
            <v>0</v>
          </cell>
          <cell r="O3491">
            <v>0.13320000000000001</v>
          </cell>
          <cell r="P3491">
            <v>0</v>
          </cell>
          <cell r="Q3491">
            <v>0.52</v>
          </cell>
          <cell r="R3491">
            <v>15.9894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0.26679999999999998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</row>
        <row r="3492">
          <cell r="A3492">
            <v>57306120</v>
          </cell>
          <cell r="B3492" t="str">
            <v>Malt-O-Meal Puffed Wheat</v>
          </cell>
          <cell r="I3492">
            <v>15</v>
          </cell>
          <cell r="J3492">
            <v>54.9</v>
          </cell>
          <cell r="K3492">
            <v>3.6599999999999997</v>
          </cell>
          <cell r="L3492">
            <v>1.41</v>
          </cell>
          <cell r="M3492">
            <v>6.1949999999999998E-2</v>
          </cell>
          <cell r="N3492">
            <v>0</v>
          </cell>
          <cell r="O3492">
            <v>3.5999999999999999E-3</v>
          </cell>
          <cell r="P3492">
            <v>0</v>
          </cell>
          <cell r="Q3492">
            <v>0.16095000000000001</v>
          </cell>
          <cell r="R3492">
            <v>15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7.5000000000000002E-4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</row>
        <row r="3493">
          <cell r="A3493">
            <v>57306130</v>
          </cell>
          <cell r="B3493" t="str">
            <v>Cereal (Malt-O-Meal Raisin Bran)</v>
          </cell>
          <cell r="I3493">
            <v>60</v>
          </cell>
          <cell r="J3493">
            <v>205.2</v>
          </cell>
          <cell r="K3493">
            <v>3.42</v>
          </cell>
          <cell r="L3493">
            <v>0.5810206</v>
          </cell>
          <cell r="M3493">
            <v>0.25440000000000002</v>
          </cell>
          <cell r="N3493">
            <v>0</v>
          </cell>
          <cell r="O3493">
            <v>1.9800000000000002E-2</v>
          </cell>
          <cell r="P3493">
            <v>5.5389793999999997</v>
          </cell>
          <cell r="Q3493">
            <v>0.54479999999999995</v>
          </cell>
          <cell r="R3493">
            <v>0</v>
          </cell>
          <cell r="S3493">
            <v>0</v>
          </cell>
          <cell r="T3493">
            <v>10.8</v>
          </cell>
          <cell r="U3493">
            <v>0</v>
          </cell>
          <cell r="V3493">
            <v>0</v>
          </cell>
          <cell r="W3493">
            <v>0</v>
          </cell>
          <cell r="X3493">
            <v>0.27960000000000002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</row>
        <row r="3494">
          <cell r="A3494">
            <v>57306500</v>
          </cell>
          <cell r="B3494" t="str">
            <v>Cereal (Malt-O-Meal Golden Puffs)</v>
          </cell>
          <cell r="I3494">
            <v>40</v>
          </cell>
          <cell r="J3494">
            <v>152</v>
          </cell>
          <cell r="K3494">
            <v>3.8</v>
          </cell>
          <cell r="L3494">
            <v>0</v>
          </cell>
          <cell r="M3494">
            <v>0.2</v>
          </cell>
          <cell r="N3494">
            <v>0</v>
          </cell>
          <cell r="O3494">
            <v>5.5999999999999999E-3</v>
          </cell>
          <cell r="P3494">
            <v>2</v>
          </cell>
          <cell r="Q3494">
            <v>0.2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5.6800000000000003E-2</v>
          </cell>
          <cell r="Y3494">
            <v>0</v>
          </cell>
          <cell r="Z3494">
            <v>0</v>
          </cell>
          <cell r="AA3494">
            <v>0</v>
          </cell>
          <cell r="AB3494">
            <v>0.2</v>
          </cell>
        </row>
        <row r="3495">
          <cell r="A3495">
            <v>57306700</v>
          </cell>
          <cell r="B3495" t="str">
            <v>Malt-O-Meal Toasted Oat Cereal</v>
          </cell>
          <cell r="I3495">
            <v>40</v>
          </cell>
          <cell r="J3495">
            <v>150.4</v>
          </cell>
          <cell r="K3495">
            <v>3.7600000000000002</v>
          </cell>
          <cell r="L3495">
            <v>3.76</v>
          </cell>
          <cell r="M3495">
            <v>0.6</v>
          </cell>
          <cell r="N3495">
            <v>0</v>
          </cell>
          <cell r="O3495">
            <v>0.16039999999999999</v>
          </cell>
          <cell r="P3495">
            <v>0</v>
          </cell>
          <cell r="Q3495">
            <v>0.9728</v>
          </cell>
          <cell r="R3495">
            <v>37.1952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0.1988</v>
          </cell>
          <cell r="Y3495">
            <v>0</v>
          </cell>
          <cell r="Z3495">
            <v>0</v>
          </cell>
          <cell r="AA3495">
            <v>0</v>
          </cell>
          <cell r="AB3495">
            <v>8.0000000000000002E-3</v>
          </cell>
        </row>
        <row r="3496">
          <cell r="A3496">
            <v>57306800</v>
          </cell>
          <cell r="B3496" t="str">
            <v>Cereal (Malt-O-Meal Tootie Fruities)</v>
          </cell>
          <cell r="I3496">
            <v>40</v>
          </cell>
          <cell r="J3496">
            <v>156.4</v>
          </cell>
          <cell r="K3496">
            <v>3.91</v>
          </cell>
          <cell r="L3496">
            <v>0</v>
          </cell>
          <cell r="M3496">
            <v>0.27479999999999999</v>
          </cell>
          <cell r="N3496">
            <v>0</v>
          </cell>
          <cell r="O3496">
            <v>0.12520000000000001</v>
          </cell>
          <cell r="P3496">
            <v>0.88</v>
          </cell>
          <cell r="Q3496">
            <v>0.39040000000000002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0.1812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</row>
        <row r="3497">
          <cell r="A3497">
            <v>57307010</v>
          </cell>
          <cell r="B3497" t="str">
            <v>Maple Pecan Crunch Cereal, Post</v>
          </cell>
          <cell r="I3497">
            <v>60</v>
          </cell>
          <cell r="J3497">
            <v>247.8</v>
          </cell>
          <cell r="K3497">
            <v>4.13</v>
          </cell>
          <cell r="L3497">
            <v>3.7019424000000001</v>
          </cell>
          <cell r="M3497">
            <v>0.6</v>
          </cell>
          <cell r="N3497">
            <v>0</v>
          </cell>
          <cell r="O3497">
            <v>2.3400000000000001E-2</v>
          </cell>
          <cell r="P3497">
            <v>0.73805759999999998</v>
          </cell>
          <cell r="Q3497">
            <v>1.56</v>
          </cell>
          <cell r="R3497">
            <v>27.0459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0.1434</v>
          </cell>
          <cell r="Y3497">
            <v>3.5720999999999998</v>
          </cell>
          <cell r="Z3497">
            <v>0</v>
          </cell>
          <cell r="AA3497">
            <v>0</v>
          </cell>
          <cell r="AB3497">
            <v>0</v>
          </cell>
        </row>
        <row r="3498">
          <cell r="A3498">
            <v>57307500</v>
          </cell>
          <cell r="B3498" t="str">
            <v>Cereal, millet, puffed</v>
          </cell>
          <cell r="I3498">
            <v>40</v>
          </cell>
          <cell r="J3498">
            <v>141.6</v>
          </cell>
          <cell r="K3498">
            <v>3.54</v>
          </cell>
          <cell r="L3498">
            <v>1.08</v>
          </cell>
          <cell r="M3498">
            <v>0.26800000000000002</v>
          </cell>
          <cell r="N3498">
            <v>0</v>
          </cell>
          <cell r="O3498">
            <v>3.2000000000000002E-3</v>
          </cell>
          <cell r="P3498">
            <v>0</v>
          </cell>
          <cell r="Q3498">
            <v>0.79200000000000004</v>
          </cell>
          <cell r="R3498">
            <v>40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2E-3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</row>
        <row r="3499">
          <cell r="A3499">
            <v>57308150</v>
          </cell>
          <cell r="B3499" t="str">
            <v>Mueslix cereal, NFS</v>
          </cell>
          <cell r="I3499">
            <v>60</v>
          </cell>
          <cell r="J3499">
            <v>213</v>
          </cell>
          <cell r="K3499">
            <v>3.55</v>
          </cell>
          <cell r="L3499">
            <v>4.4445956999999998</v>
          </cell>
          <cell r="M3499">
            <v>0.36</v>
          </cell>
          <cell r="N3499">
            <v>0</v>
          </cell>
          <cell r="O3499">
            <v>2.1600000000000001E-2</v>
          </cell>
          <cell r="P3499">
            <v>0.17540430000000001</v>
          </cell>
          <cell r="Q3499">
            <v>0.83399999999999996</v>
          </cell>
          <cell r="R3499">
            <v>31.9788</v>
          </cell>
          <cell r="S3499">
            <v>0</v>
          </cell>
          <cell r="T3499">
            <v>18</v>
          </cell>
          <cell r="U3499">
            <v>0</v>
          </cell>
          <cell r="V3499">
            <v>0</v>
          </cell>
          <cell r="W3499">
            <v>0</v>
          </cell>
          <cell r="X3499">
            <v>0.1434</v>
          </cell>
          <cell r="Y3499">
            <v>1.8711</v>
          </cell>
          <cell r="Z3499">
            <v>0</v>
          </cell>
          <cell r="AA3499">
            <v>0</v>
          </cell>
          <cell r="AB3499">
            <v>0.06</v>
          </cell>
        </row>
        <row r="3500">
          <cell r="A3500">
            <v>57308190</v>
          </cell>
          <cell r="B3500" t="str">
            <v>Cereal, muesli</v>
          </cell>
          <cell r="I3500">
            <v>60</v>
          </cell>
          <cell r="J3500">
            <v>213</v>
          </cell>
          <cell r="K3500">
            <v>3.55</v>
          </cell>
          <cell r="L3500">
            <v>4.4603498999999998</v>
          </cell>
          <cell r="M3500">
            <v>0.36</v>
          </cell>
          <cell r="N3500">
            <v>0</v>
          </cell>
          <cell r="O3500">
            <v>2.1600000000000001E-2</v>
          </cell>
          <cell r="P3500">
            <v>0.15965009999999999</v>
          </cell>
          <cell r="Q3500">
            <v>0.83399999999999996</v>
          </cell>
          <cell r="R3500">
            <v>31.9788</v>
          </cell>
          <cell r="S3500">
            <v>0</v>
          </cell>
          <cell r="T3500">
            <v>18</v>
          </cell>
          <cell r="U3500">
            <v>0</v>
          </cell>
          <cell r="V3500">
            <v>0</v>
          </cell>
          <cell r="W3500">
            <v>0</v>
          </cell>
          <cell r="X3500">
            <v>0.1434</v>
          </cell>
          <cell r="Y3500">
            <v>1.8711</v>
          </cell>
          <cell r="Z3500">
            <v>0</v>
          </cell>
          <cell r="AA3500">
            <v>0</v>
          </cell>
          <cell r="AB3500">
            <v>0.06</v>
          </cell>
        </row>
        <row r="3501">
          <cell r="A3501">
            <v>57308400</v>
          </cell>
          <cell r="B3501" t="str">
            <v>Cereal (General Mills Cheerios Multigrain)</v>
          </cell>
          <cell r="I3501">
            <v>40</v>
          </cell>
          <cell r="J3501">
            <v>148</v>
          </cell>
          <cell r="K3501">
            <v>3.7</v>
          </cell>
          <cell r="L3501">
            <v>3.3350197000000001</v>
          </cell>
          <cell r="M3501">
            <v>0.35599999999999998</v>
          </cell>
          <cell r="N3501">
            <v>0</v>
          </cell>
          <cell r="O3501">
            <v>0.13800000000000001</v>
          </cell>
          <cell r="P3501">
            <v>0.14498030000000001</v>
          </cell>
          <cell r="Q3501">
            <v>0.68</v>
          </cell>
          <cell r="R3501">
            <v>25.968599999999999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0.16039999999999999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</row>
        <row r="3502">
          <cell r="A3502">
            <v>57309100</v>
          </cell>
          <cell r="B3502" t="str">
            <v>Cereal (Nature Valley Granola)</v>
          </cell>
          <cell r="I3502">
            <v>60</v>
          </cell>
          <cell r="J3502">
            <v>228.6</v>
          </cell>
          <cell r="K3502">
            <v>3.81</v>
          </cell>
          <cell r="L3502">
            <v>3</v>
          </cell>
          <cell r="M3502">
            <v>0.53400000000000003</v>
          </cell>
          <cell r="N3502">
            <v>0</v>
          </cell>
          <cell r="O3502">
            <v>2.1600000000000001E-2</v>
          </cell>
          <cell r="P3502">
            <v>0</v>
          </cell>
          <cell r="Q3502">
            <v>0.83399999999999996</v>
          </cell>
          <cell r="R3502">
            <v>36.5715</v>
          </cell>
          <cell r="S3502">
            <v>0</v>
          </cell>
          <cell r="T3502">
            <v>3.6</v>
          </cell>
          <cell r="U3502">
            <v>0</v>
          </cell>
          <cell r="V3502">
            <v>0</v>
          </cell>
          <cell r="W3502">
            <v>0</v>
          </cell>
          <cell r="X3502">
            <v>0.29820000000000002</v>
          </cell>
          <cell r="Y3502">
            <v>0</v>
          </cell>
          <cell r="Z3502">
            <v>0</v>
          </cell>
          <cell r="AA3502">
            <v>0</v>
          </cell>
          <cell r="AB3502">
            <v>0</v>
          </cell>
        </row>
        <row r="3503">
          <cell r="A3503">
            <v>57316300</v>
          </cell>
          <cell r="B3503" t="str">
            <v>Cereal (Health Valley Oat Bran Flakes)</v>
          </cell>
          <cell r="I3503">
            <v>60</v>
          </cell>
          <cell r="J3503">
            <v>228</v>
          </cell>
          <cell r="K3503">
            <v>3.8</v>
          </cell>
          <cell r="L3503">
            <v>3.4562263</v>
          </cell>
          <cell r="M3503">
            <v>0.6</v>
          </cell>
          <cell r="N3503">
            <v>0</v>
          </cell>
          <cell r="O3503">
            <v>4.8000000000000001E-2</v>
          </cell>
          <cell r="P3503">
            <v>1.3437737000000001</v>
          </cell>
          <cell r="Q3503">
            <v>0.53820000000000001</v>
          </cell>
          <cell r="R3503">
            <v>21.602699999999999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0.22800000000000001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</row>
        <row r="3504">
          <cell r="A3504">
            <v>57316385</v>
          </cell>
          <cell r="B3504" t="str">
            <v>Cereal (General Mills Cheerios Protein)</v>
          </cell>
          <cell r="I3504">
            <v>40</v>
          </cell>
          <cell r="J3504">
            <v>151.30799999999999</v>
          </cell>
          <cell r="K3504">
            <v>3.7826999999999997</v>
          </cell>
          <cell r="L3504">
            <v>2.6300794000000001</v>
          </cell>
          <cell r="M3504">
            <v>0.35574800000000001</v>
          </cell>
          <cell r="N3504">
            <v>0</v>
          </cell>
          <cell r="O3504">
            <v>0.13719600000000001</v>
          </cell>
          <cell r="P3504">
            <v>0.19752059999999999</v>
          </cell>
          <cell r="Q3504">
            <v>0.62858800000000004</v>
          </cell>
          <cell r="R3504">
            <v>25.310880000000001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0.19065599999999999</v>
          </cell>
          <cell r="Y3504">
            <v>0</v>
          </cell>
          <cell r="Z3504">
            <v>0</v>
          </cell>
          <cell r="AA3504">
            <v>0</v>
          </cell>
          <cell r="AB3504">
            <v>6.0071699999999999E-2</v>
          </cell>
        </row>
        <row r="3505">
          <cell r="A3505">
            <v>57316450</v>
          </cell>
          <cell r="B3505" t="str">
            <v>Cereal (General Mills Oatmeal Crisp with Almonds)</v>
          </cell>
          <cell r="I3505">
            <v>60</v>
          </cell>
          <cell r="J3505">
            <v>234</v>
          </cell>
          <cell r="K3505">
            <v>3.9</v>
          </cell>
          <cell r="L3505">
            <v>4.8064603999999997</v>
          </cell>
          <cell r="M3505">
            <v>0.66</v>
          </cell>
          <cell r="N3505">
            <v>0</v>
          </cell>
          <cell r="O3505">
            <v>1.9800000000000002E-2</v>
          </cell>
          <cell r="P3505">
            <v>0.1135396</v>
          </cell>
          <cell r="Q3505">
            <v>1.32</v>
          </cell>
          <cell r="R3505">
            <v>40.143599999999999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0.12720000000000001</v>
          </cell>
          <cell r="Y3505">
            <v>3.9123000000000001</v>
          </cell>
          <cell r="Z3505">
            <v>0</v>
          </cell>
          <cell r="AA3505">
            <v>0</v>
          </cell>
          <cell r="AB3505">
            <v>0</v>
          </cell>
        </row>
        <row r="3506">
          <cell r="A3506">
            <v>57316500</v>
          </cell>
          <cell r="B3506" t="str">
            <v>Oatmeal Crisp, Raisin (formerly Oatmeal Raisin Crisp)</v>
          </cell>
          <cell r="I3506">
            <v>60</v>
          </cell>
          <cell r="J3506">
            <v>222.6</v>
          </cell>
          <cell r="K3506">
            <v>3.71</v>
          </cell>
          <cell r="L3506">
            <v>4.3323881000000002</v>
          </cell>
          <cell r="M3506">
            <v>0.48</v>
          </cell>
          <cell r="N3506">
            <v>0</v>
          </cell>
          <cell r="O3506">
            <v>1.9199999999999998E-2</v>
          </cell>
          <cell r="P3506">
            <v>0.16761190000000001</v>
          </cell>
          <cell r="Q3506">
            <v>0.9</v>
          </cell>
          <cell r="R3506">
            <v>33.6798</v>
          </cell>
          <cell r="S3506">
            <v>0</v>
          </cell>
          <cell r="T3506">
            <v>3.6</v>
          </cell>
          <cell r="U3506">
            <v>0</v>
          </cell>
          <cell r="V3506">
            <v>0</v>
          </cell>
          <cell r="W3506">
            <v>0</v>
          </cell>
          <cell r="X3506">
            <v>0.1164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</row>
        <row r="3507">
          <cell r="A3507">
            <v>57316710</v>
          </cell>
          <cell r="B3507" t="str">
            <v>Cereal (Quaker Honey Graham Oh's)</v>
          </cell>
          <cell r="I3507">
            <v>40</v>
          </cell>
          <cell r="J3507">
            <v>164.8</v>
          </cell>
          <cell r="K3507">
            <v>4.12</v>
          </cell>
          <cell r="L3507">
            <v>0.1064782</v>
          </cell>
          <cell r="M3507">
            <v>2.2835999999999999</v>
          </cell>
          <cell r="N3507">
            <v>0</v>
          </cell>
          <cell r="O3507">
            <v>4.4000000000000003E-3</v>
          </cell>
          <cell r="P3507">
            <v>0.7335218</v>
          </cell>
          <cell r="Q3507">
            <v>0.2888</v>
          </cell>
          <cell r="R3507">
            <v>1.1339999999999999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0.27160000000000001</v>
          </cell>
          <cell r="Y3507">
            <v>0</v>
          </cell>
          <cell r="Z3507">
            <v>0</v>
          </cell>
          <cell r="AA3507">
            <v>0</v>
          </cell>
          <cell r="AB3507">
            <v>1.6400000000000001E-2</v>
          </cell>
        </row>
        <row r="3508">
          <cell r="A3508">
            <v>57319500</v>
          </cell>
          <cell r="B3508" t="str">
            <v>Sun Country 100% Natural Granola, with Almonds</v>
          </cell>
          <cell r="I3508">
            <v>60</v>
          </cell>
          <cell r="J3508">
            <v>280.2</v>
          </cell>
          <cell r="K3508">
            <v>4.67</v>
          </cell>
          <cell r="L3508">
            <v>3.12</v>
          </cell>
          <cell r="M3508">
            <v>1.3320000000000001</v>
          </cell>
          <cell r="N3508">
            <v>0</v>
          </cell>
          <cell r="O3508">
            <v>5.16E-2</v>
          </cell>
          <cell r="P3508">
            <v>0</v>
          </cell>
          <cell r="Q3508">
            <v>1.9079999999999999</v>
          </cell>
          <cell r="R3508">
            <v>35.720999999999997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1.9800000000000002E-2</v>
          </cell>
          <cell r="Y3508">
            <v>6.0385499999999999</v>
          </cell>
          <cell r="Z3508">
            <v>0</v>
          </cell>
          <cell r="AA3508">
            <v>0</v>
          </cell>
          <cell r="AB3508">
            <v>0.87518629999999997</v>
          </cell>
        </row>
        <row r="3509">
          <cell r="A3509">
            <v>57320500</v>
          </cell>
          <cell r="B3509" t="str">
            <v>Cereal (Quaker Granola with Oats, Honey, and Raisins)</v>
          </cell>
          <cell r="I3509">
            <v>60</v>
          </cell>
          <cell r="J3509">
            <v>247.2</v>
          </cell>
          <cell r="K3509">
            <v>4.12</v>
          </cell>
          <cell r="L3509">
            <v>5.64</v>
          </cell>
          <cell r="M3509">
            <v>0.67200000000000004</v>
          </cell>
          <cell r="N3509">
            <v>0</v>
          </cell>
          <cell r="O3509">
            <v>6.0600000000000001E-2</v>
          </cell>
          <cell r="P3509">
            <v>0</v>
          </cell>
          <cell r="Q3509">
            <v>1.4339999999999999</v>
          </cell>
          <cell r="R3509">
            <v>33.6798</v>
          </cell>
          <cell r="S3509">
            <v>0</v>
          </cell>
          <cell r="T3509">
            <v>5.85</v>
          </cell>
          <cell r="U3509">
            <v>0</v>
          </cell>
          <cell r="V3509">
            <v>0</v>
          </cell>
          <cell r="W3509">
            <v>0</v>
          </cell>
          <cell r="X3509">
            <v>3.2399999999999998E-2</v>
          </cell>
          <cell r="Y3509">
            <v>2.97675</v>
          </cell>
          <cell r="Z3509">
            <v>0</v>
          </cell>
          <cell r="AA3509">
            <v>0</v>
          </cell>
          <cell r="AB3509">
            <v>5.9999999999999995E-4</v>
          </cell>
        </row>
        <row r="3510">
          <cell r="A3510">
            <v>57321700</v>
          </cell>
          <cell r="B3510" t="str">
            <v>Optimum, Nature's Path</v>
          </cell>
          <cell r="I3510">
            <v>60</v>
          </cell>
          <cell r="J3510">
            <v>207</v>
          </cell>
          <cell r="K3510">
            <v>3.45</v>
          </cell>
          <cell r="L3510">
            <v>7.4312107000000003</v>
          </cell>
          <cell r="M3510">
            <v>0</v>
          </cell>
          <cell r="N3510">
            <v>0</v>
          </cell>
          <cell r="O3510">
            <v>0.27300000000000002</v>
          </cell>
          <cell r="P3510">
            <v>3.4887893000000001</v>
          </cell>
          <cell r="Q3510">
            <v>1.8660000000000001</v>
          </cell>
          <cell r="R3510">
            <v>15.6492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0.25080000000000002</v>
          </cell>
          <cell r="Y3510">
            <v>2.3814000000000002</v>
          </cell>
          <cell r="Z3510">
            <v>0</v>
          </cell>
          <cell r="AA3510">
            <v>0</v>
          </cell>
          <cell r="AB3510">
            <v>0</v>
          </cell>
        </row>
        <row r="3511">
          <cell r="A3511">
            <v>57321900</v>
          </cell>
          <cell r="B3511" t="str">
            <v>Cereal (Nature's Path Organic Flax Plus)</v>
          </cell>
          <cell r="I3511">
            <v>40</v>
          </cell>
          <cell r="J3511">
            <v>140</v>
          </cell>
          <cell r="K3511">
            <v>3.5</v>
          </cell>
          <cell r="L3511">
            <v>5.5579844999999999</v>
          </cell>
          <cell r="M3511">
            <v>0.248</v>
          </cell>
          <cell r="N3511">
            <v>0</v>
          </cell>
          <cell r="O3511">
            <v>2.1999999999999999E-2</v>
          </cell>
          <cell r="P3511">
            <v>1.0820155</v>
          </cell>
          <cell r="Q3511">
            <v>1.204</v>
          </cell>
          <cell r="R3511">
            <v>20.411999999999999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0.1832</v>
          </cell>
          <cell r="Y3511">
            <v>2.7783000000000002</v>
          </cell>
          <cell r="Z3511">
            <v>0</v>
          </cell>
          <cell r="AA3511">
            <v>0</v>
          </cell>
          <cell r="AB3511">
            <v>0</v>
          </cell>
        </row>
        <row r="3512">
          <cell r="A3512">
            <v>57321905</v>
          </cell>
          <cell r="B3512" t="str">
            <v>Organic Flax Plus, Pumpkin Granola, Nature's Path</v>
          </cell>
          <cell r="I3512">
            <v>40</v>
          </cell>
          <cell r="J3512">
            <v>186.8</v>
          </cell>
          <cell r="K3512">
            <v>4.67</v>
          </cell>
          <cell r="L3512">
            <v>3.36</v>
          </cell>
          <cell r="M3512">
            <v>1.1200000000000001</v>
          </cell>
          <cell r="N3512">
            <v>0</v>
          </cell>
          <cell r="O3512">
            <v>2.0400000000000001E-2</v>
          </cell>
          <cell r="P3512">
            <v>0</v>
          </cell>
          <cell r="Q3512">
            <v>3.42</v>
          </cell>
          <cell r="R3512">
            <v>20.752199999999998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2.9600000000000001E-2</v>
          </cell>
          <cell r="Y3512">
            <v>7.2008999999999999</v>
          </cell>
          <cell r="Z3512">
            <v>0</v>
          </cell>
          <cell r="AA3512">
            <v>0</v>
          </cell>
          <cell r="AB3512">
            <v>0</v>
          </cell>
        </row>
        <row r="3513">
          <cell r="A3513">
            <v>57327450</v>
          </cell>
          <cell r="B3513" t="str">
            <v>Cereal (Quaker Toasted Oat Bran)</v>
          </cell>
          <cell r="I3513">
            <v>60</v>
          </cell>
          <cell r="J3513">
            <v>223.2</v>
          </cell>
          <cell r="K3513">
            <v>3.7199999999999998</v>
          </cell>
          <cell r="L3513">
            <v>3.5710899</v>
          </cell>
          <cell r="M3513">
            <v>0.54600000000000004</v>
          </cell>
          <cell r="N3513">
            <v>0</v>
          </cell>
          <cell r="O3513">
            <v>0.1452</v>
          </cell>
          <cell r="P3513">
            <v>2.5489101000000001</v>
          </cell>
          <cell r="Q3513">
            <v>1.224</v>
          </cell>
          <cell r="R3513">
            <v>18.0306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0.219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</row>
        <row r="3514">
          <cell r="A3514">
            <v>57327500</v>
          </cell>
          <cell r="B3514" t="str">
            <v>Cereal (Quaker Oatmeal Squares)</v>
          </cell>
          <cell r="I3514">
            <v>60</v>
          </cell>
          <cell r="J3514">
            <v>227.4</v>
          </cell>
          <cell r="K3514">
            <v>3.79</v>
          </cell>
          <cell r="L3514">
            <v>4.9800000000000004</v>
          </cell>
          <cell r="M3514">
            <v>0.52380000000000004</v>
          </cell>
          <cell r="N3514">
            <v>0</v>
          </cell>
          <cell r="O3514">
            <v>0.1206</v>
          </cell>
          <cell r="P3514">
            <v>0</v>
          </cell>
          <cell r="Q3514">
            <v>0.91379999999999995</v>
          </cell>
          <cell r="R3514">
            <v>48.308399999999999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0.2082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</row>
        <row r="3515">
          <cell r="A3515">
            <v>57329000</v>
          </cell>
          <cell r="B3515" t="str">
            <v>Cereal, raisin bran</v>
          </cell>
          <cell r="I3515">
            <v>60</v>
          </cell>
          <cell r="J3515">
            <v>190.8</v>
          </cell>
          <cell r="K3515">
            <v>3.18</v>
          </cell>
          <cell r="L3515">
            <v>6.1298374000000004</v>
          </cell>
          <cell r="M3515">
            <v>0.28799999999999998</v>
          </cell>
          <cell r="N3515">
            <v>0</v>
          </cell>
          <cell r="O3515">
            <v>2.58E-2</v>
          </cell>
          <cell r="P3515">
            <v>0.71016259999999998</v>
          </cell>
          <cell r="Q3515">
            <v>0.56940000000000002</v>
          </cell>
          <cell r="R3515">
            <v>25.174800000000001</v>
          </cell>
          <cell r="S3515">
            <v>0</v>
          </cell>
          <cell r="T3515">
            <v>14.85</v>
          </cell>
          <cell r="U3515">
            <v>0</v>
          </cell>
          <cell r="V3515">
            <v>0</v>
          </cell>
          <cell r="W3515">
            <v>0</v>
          </cell>
          <cell r="X3515">
            <v>0.21360000000000001</v>
          </cell>
          <cell r="Y3515">
            <v>0</v>
          </cell>
          <cell r="Z3515">
            <v>0</v>
          </cell>
          <cell r="AA3515">
            <v>0</v>
          </cell>
          <cell r="AB3515">
            <v>5.4000000000000003E-3</v>
          </cell>
        </row>
        <row r="3516">
          <cell r="A3516">
            <v>57330000</v>
          </cell>
          <cell r="B3516" t="str">
            <v>Cereal (Kellogg's Raisin Bran)</v>
          </cell>
          <cell r="I3516">
            <v>60</v>
          </cell>
          <cell r="J3516">
            <v>190.8</v>
          </cell>
          <cell r="K3516">
            <v>3.18</v>
          </cell>
          <cell r="L3516">
            <v>6.1298374000000004</v>
          </cell>
          <cell r="M3516">
            <v>0.28799999999999998</v>
          </cell>
          <cell r="N3516">
            <v>0</v>
          </cell>
          <cell r="O3516">
            <v>2.58E-2</v>
          </cell>
          <cell r="P3516">
            <v>0.71016259999999998</v>
          </cell>
          <cell r="Q3516">
            <v>0.56940000000000002</v>
          </cell>
          <cell r="R3516">
            <v>25.174800000000001</v>
          </cell>
          <cell r="S3516">
            <v>0</v>
          </cell>
          <cell r="T3516">
            <v>14.85</v>
          </cell>
          <cell r="U3516">
            <v>0</v>
          </cell>
          <cell r="V3516">
            <v>0</v>
          </cell>
          <cell r="W3516">
            <v>0</v>
          </cell>
          <cell r="X3516">
            <v>0.21360000000000001</v>
          </cell>
          <cell r="Y3516">
            <v>0</v>
          </cell>
          <cell r="Z3516">
            <v>0</v>
          </cell>
          <cell r="AA3516">
            <v>0</v>
          </cell>
          <cell r="AB3516">
            <v>5.4000000000000003E-3</v>
          </cell>
        </row>
        <row r="3517">
          <cell r="A3517">
            <v>57330010</v>
          </cell>
          <cell r="B3517" t="str">
            <v>Cereal (Kellogg's Raisin Bran Crunch)</v>
          </cell>
          <cell r="I3517">
            <v>60</v>
          </cell>
          <cell r="J3517">
            <v>212.4</v>
          </cell>
          <cell r="K3517">
            <v>3.54</v>
          </cell>
          <cell r="L3517">
            <v>3.6799582000000002</v>
          </cell>
          <cell r="M3517">
            <v>0.24</v>
          </cell>
          <cell r="N3517">
            <v>0</v>
          </cell>
          <cell r="O3517">
            <v>2.1000000000000001E-2</v>
          </cell>
          <cell r="P3517">
            <v>1.1200418000000001</v>
          </cell>
          <cell r="Q3517">
            <v>0.41399999999999998</v>
          </cell>
          <cell r="R3517">
            <v>18.0306</v>
          </cell>
          <cell r="S3517">
            <v>0</v>
          </cell>
          <cell r="T3517">
            <v>7.65</v>
          </cell>
          <cell r="U3517">
            <v>0</v>
          </cell>
          <cell r="V3517">
            <v>0</v>
          </cell>
          <cell r="W3517">
            <v>0</v>
          </cell>
          <cell r="X3517">
            <v>0.21479999999999999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</row>
        <row r="3518">
          <cell r="A3518">
            <v>57331000</v>
          </cell>
          <cell r="B3518" t="str">
            <v>Cereal (Post Raisin Bran)</v>
          </cell>
          <cell r="I3518">
            <v>60</v>
          </cell>
          <cell r="J3518">
            <v>194.4</v>
          </cell>
          <cell r="K3518">
            <v>3.24</v>
          </cell>
          <cell r="L3518">
            <v>6.7673002000000002</v>
          </cell>
          <cell r="M3518">
            <v>0.17760000000000001</v>
          </cell>
          <cell r="N3518">
            <v>0</v>
          </cell>
          <cell r="O3518">
            <v>2.64E-2</v>
          </cell>
          <cell r="P3518">
            <v>1.4526998</v>
          </cell>
          <cell r="Q3518">
            <v>0.47760000000000002</v>
          </cell>
          <cell r="R3518">
            <v>21.942900000000002</v>
          </cell>
          <cell r="S3518">
            <v>0</v>
          </cell>
          <cell r="T3518">
            <v>12.15</v>
          </cell>
          <cell r="U3518">
            <v>0</v>
          </cell>
          <cell r="V3518">
            <v>0</v>
          </cell>
          <cell r="W3518">
            <v>0</v>
          </cell>
          <cell r="X3518">
            <v>0.22919999999999999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</row>
        <row r="3519">
          <cell r="A3519">
            <v>57332050</v>
          </cell>
          <cell r="B3519" t="str">
            <v>Cereal (General Mills Total Raisin Bran)</v>
          </cell>
          <cell r="I3519">
            <v>60</v>
          </cell>
          <cell r="J3519">
            <v>187.2</v>
          </cell>
          <cell r="K3519">
            <v>3.1199999999999997</v>
          </cell>
          <cell r="L3519">
            <v>5.1883118000000001</v>
          </cell>
          <cell r="M3519">
            <v>0.24</v>
          </cell>
          <cell r="N3519">
            <v>0</v>
          </cell>
          <cell r="O3519">
            <v>1.1322000000000001</v>
          </cell>
          <cell r="P3519">
            <v>0.27168819999999999</v>
          </cell>
          <cell r="Q3519">
            <v>0.48</v>
          </cell>
          <cell r="R3519">
            <v>30.617999999999999</v>
          </cell>
          <cell r="S3519">
            <v>0</v>
          </cell>
          <cell r="T3519">
            <v>14.85</v>
          </cell>
          <cell r="U3519">
            <v>0</v>
          </cell>
          <cell r="V3519">
            <v>0</v>
          </cell>
          <cell r="W3519">
            <v>0</v>
          </cell>
          <cell r="X3519">
            <v>0.2034</v>
          </cell>
          <cell r="Y3519">
            <v>0</v>
          </cell>
          <cell r="Z3519">
            <v>0</v>
          </cell>
          <cell r="AA3519">
            <v>0</v>
          </cell>
          <cell r="AB3519">
            <v>0.06</v>
          </cell>
        </row>
        <row r="3520">
          <cell r="A3520">
            <v>57332100</v>
          </cell>
          <cell r="B3520" t="str">
            <v>Cereal (General Mills Raisin Nut Bran)</v>
          </cell>
          <cell r="I3520">
            <v>60</v>
          </cell>
          <cell r="J3520">
            <v>220.8</v>
          </cell>
          <cell r="K3520">
            <v>3.68</v>
          </cell>
          <cell r="L3520">
            <v>7.0497581</v>
          </cell>
          <cell r="M3520">
            <v>0.6</v>
          </cell>
          <cell r="N3520">
            <v>0</v>
          </cell>
          <cell r="O3520">
            <v>2.46E-2</v>
          </cell>
          <cell r="P3520">
            <v>0.27024189999999998</v>
          </cell>
          <cell r="Q3520">
            <v>1.2</v>
          </cell>
          <cell r="R3520">
            <v>31.128299999999999</v>
          </cell>
          <cell r="S3520">
            <v>0</v>
          </cell>
          <cell r="T3520">
            <v>5.85</v>
          </cell>
          <cell r="U3520">
            <v>0</v>
          </cell>
          <cell r="V3520">
            <v>0</v>
          </cell>
          <cell r="W3520">
            <v>0</v>
          </cell>
          <cell r="X3520">
            <v>0.26400000000000001</v>
          </cell>
          <cell r="Y3520">
            <v>6.0385499999999999</v>
          </cell>
          <cell r="Z3520">
            <v>0</v>
          </cell>
          <cell r="AA3520">
            <v>0</v>
          </cell>
          <cell r="AB3520">
            <v>0.24</v>
          </cell>
        </row>
        <row r="3521">
          <cell r="A3521">
            <v>57335550</v>
          </cell>
          <cell r="B3521" t="str">
            <v>Cereal (General Mills Reese's Puffs)</v>
          </cell>
          <cell r="I3521">
            <v>40</v>
          </cell>
          <cell r="J3521">
            <v>165.2</v>
          </cell>
          <cell r="K3521">
            <v>4.13</v>
          </cell>
          <cell r="L3521">
            <v>1.8295969000000001</v>
          </cell>
          <cell r="M3521">
            <v>0.84</v>
          </cell>
          <cell r="N3521">
            <v>0</v>
          </cell>
          <cell r="O3521">
            <v>0.13800000000000001</v>
          </cell>
          <cell r="P3521">
            <v>5.0403099999999999E-2</v>
          </cell>
          <cell r="Q3521">
            <v>1.48</v>
          </cell>
          <cell r="R3521">
            <v>18.0306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0.222</v>
          </cell>
          <cell r="Y3521">
            <v>3.5720999999999998</v>
          </cell>
          <cell r="Z3521">
            <v>0</v>
          </cell>
          <cell r="AA3521">
            <v>0</v>
          </cell>
          <cell r="AB3521">
            <v>0.04</v>
          </cell>
        </row>
        <row r="3522">
          <cell r="A3522">
            <v>57336000</v>
          </cell>
          <cell r="B3522" t="str">
            <v>Cereal (General Mills Chex Rice)</v>
          </cell>
          <cell r="I3522">
            <v>40</v>
          </cell>
          <cell r="J3522">
            <v>150</v>
          </cell>
          <cell r="K3522">
            <v>3.75</v>
          </cell>
          <cell r="L3522">
            <v>0.57216239999999996</v>
          </cell>
          <cell r="M3522">
            <v>0.2</v>
          </cell>
          <cell r="N3522">
            <v>0</v>
          </cell>
          <cell r="O3522">
            <v>0.14799999999999999</v>
          </cell>
          <cell r="P3522">
            <v>0.2278376</v>
          </cell>
          <cell r="Q3522">
            <v>0.27600000000000002</v>
          </cell>
          <cell r="R3522">
            <v>18.143999999999998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0.3236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</row>
        <row r="3523">
          <cell r="A3523">
            <v>57337000</v>
          </cell>
          <cell r="B3523" t="str">
            <v>Cereal, rice flakes</v>
          </cell>
          <cell r="I3523">
            <v>40</v>
          </cell>
          <cell r="J3523">
            <v>157.6</v>
          </cell>
          <cell r="K3523">
            <v>3.94</v>
          </cell>
          <cell r="L3523">
            <v>0</v>
          </cell>
          <cell r="M3523">
            <v>0.14399999999999999</v>
          </cell>
          <cell r="N3523">
            <v>0</v>
          </cell>
          <cell r="O3523">
            <v>2E-3</v>
          </cell>
          <cell r="P3523">
            <v>0.28000000000000003</v>
          </cell>
          <cell r="Q3523">
            <v>0.1172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0.218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</row>
        <row r="3524">
          <cell r="A3524">
            <v>57339000</v>
          </cell>
          <cell r="B3524" t="str">
            <v>Cereal (Kellogg's Rice Krispies)</v>
          </cell>
          <cell r="I3524">
            <v>40</v>
          </cell>
          <cell r="J3524">
            <v>152.4</v>
          </cell>
          <cell r="K3524">
            <v>3.81</v>
          </cell>
          <cell r="L3524">
            <v>0</v>
          </cell>
          <cell r="M3524">
            <v>0.1832</v>
          </cell>
          <cell r="N3524">
            <v>0</v>
          </cell>
          <cell r="O3524">
            <v>2E-3</v>
          </cell>
          <cell r="P3524">
            <v>0.16</v>
          </cell>
          <cell r="Q3524">
            <v>0.25040000000000001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0.21079999999999999</v>
          </cell>
          <cell r="Y3524">
            <v>0</v>
          </cell>
          <cell r="Z3524">
            <v>0</v>
          </cell>
          <cell r="AA3524">
            <v>0</v>
          </cell>
          <cell r="AB3524">
            <v>1.1999999999999999E-3</v>
          </cell>
        </row>
        <row r="3525">
          <cell r="A3525">
            <v>57339500</v>
          </cell>
          <cell r="B3525" t="str">
            <v>Cereal (Kellogg's Rice Krispies Treats Cereal)</v>
          </cell>
          <cell r="I3525">
            <v>40</v>
          </cell>
          <cell r="J3525">
            <v>158</v>
          </cell>
          <cell r="K3525">
            <v>3.95</v>
          </cell>
          <cell r="L3525">
            <v>0</v>
          </cell>
          <cell r="M3525">
            <v>0.35599999999999998</v>
          </cell>
          <cell r="N3525">
            <v>0</v>
          </cell>
          <cell r="O3525">
            <v>4.0000000000000001E-3</v>
          </cell>
          <cell r="P3525">
            <v>0.16</v>
          </cell>
          <cell r="Q3525">
            <v>0.08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0.2268</v>
          </cell>
          <cell r="Y3525">
            <v>0</v>
          </cell>
          <cell r="Z3525">
            <v>0</v>
          </cell>
          <cell r="AA3525">
            <v>0</v>
          </cell>
          <cell r="AB3525">
            <v>0.64</v>
          </cell>
        </row>
        <row r="3526">
          <cell r="A3526">
            <v>57340000</v>
          </cell>
          <cell r="B3526" t="str">
            <v>Cereal, puffed rice</v>
          </cell>
          <cell r="I3526">
            <v>15</v>
          </cell>
          <cell r="J3526">
            <v>57.45</v>
          </cell>
          <cell r="K3526">
            <v>3.83</v>
          </cell>
          <cell r="L3526">
            <v>0</v>
          </cell>
          <cell r="M3526">
            <v>4.8750000000000002E-2</v>
          </cell>
          <cell r="N3526">
            <v>0</v>
          </cell>
          <cell r="O3526">
            <v>1.3500000000000001E-3</v>
          </cell>
          <cell r="P3526">
            <v>0.21</v>
          </cell>
          <cell r="Q3526">
            <v>5.1749999999999997E-2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7.5000000000000002E-4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</row>
        <row r="3527">
          <cell r="A3527">
            <v>57341000</v>
          </cell>
          <cell r="B3527" t="str">
            <v>Cereal (Post Shredded Wheat'n Bran)</v>
          </cell>
          <cell r="I3527">
            <v>60</v>
          </cell>
          <cell r="J3527">
            <v>203.4</v>
          </cell>
          <cell r="K3527">
            <v>3.39</v>
          </cell>
          <cell r="L3527">
            <v>8.7084641999999999</v>
          </cell>
          <cell r="M3527">
            <v>0.25800000000000001</v>
          </cell>
          <cell r="N3527">
            <v>0</v>
          </cell>
          <cell r="O3527">
            <v>2.64E-2</v>
          </cell>
          <cell r="P3527">
            <v>0.1115358</v>
          </cell>
          <cell r="Q3527">
            <v>0.73199999999999998</v>
          </cell>
          <cell r="R3527">
            <v>58.130312000000004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0</v>
          </cell>
        </row>
        <row r="3528">
          <cell r="A3528">
            <v>57341200</v>
          </cell>
          <cell r="B3528" t="str">
            <v>Cereal (Kellogg's Smart Start Strong)</v>
          </cell>
          <cell r="I3528">
            <v>60</v>
          </cell>
          <cell r="J3528">
            <v>222.6</v>
          </cell>
          <cell r="K3528">
            <v>3.71</v>
          </cell>
          <cell r="L3528">
            <v>2.5320605</v>
          </cell>
          <cell r="M3528">
            <v>0.18</v>
          </cell>
          <cell r="N3528">
            <v>0</v>
          </cell>
          <cell r="O3528">
            <v>1.7399999999999999E-2</v>
          </cell>
          <cell r="P3528">
            <v>0.70793950000000005</v>
          </cell>
          <cell r="Q3528">
            <v>0.3</v>
          </cell>
          <cell r="R3528">
            <v>23.984100000000002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0.23880000000000001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</row>
        <row r="3529">
          <cell r="A3529">
            <v>57342010</v>
          </cell>
          <cell r="B3529" t="str">
            <v>Smorz, Kellogg's</v>
          </cell>
          <cell r="I3529">
            <v>40</v>
          </cell>
          <cell r="J3529">
            <v>163.6</v>
          </cell>
          <cell r="K3529">
            <v>4.09</v>
          </cell>
          <cell r="L3529">
            <v>0.39912140000000002</v>
          </cell>
          <cell r="M3529">
            <v>0.68</v>
          </cell>
          <cell r="N3529">
            <v>0</v>
          </cell>
          <cell r="O3529">
            <v>8.8000000000000005E-3</v>
          </cell>
          <cell r="P3529">
            <v>0.76087859999999996</v>
          </cell>
          <cell r="Q3529">
            <v>0.6</v>
          </cell>
          <cell r="R3529">
            <v>3.1751999999999998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0.18079999999999999</v>
          </cell>
          <cell r="Y3529">
            <v>0</v>
          </cell>
          <cell r="Z3529">
            <v>0</v>
          </cell>
          <cell r="AA3529">
            <v>0</v>
          </cell>
          <cell r="AB3529">
            <v>0.52</v>
          </cell>
        </row>
        <row r="3530">
          <cell r="A3530">
            <v>57344000</v>
          </cell>
          <cell r="B3530" t="str">
            <v>Cereal (Kellogg's Special K)</v>
          </cell>
          <cell r="I3530">
            <v>40</v>
          </cell>
          <cell r="J3530">
            <v>150.80000000000001</v>
          </cell>
          <cell r="K3530">
            <v>3.7700000000000005</v>
          </cell>
          <cell r="L3530">
            <v>0</v>
          </cell>
          <cell r="M3530">
            <v>0.16</v>
          </cell>
          <cell r="N3530">
            <v>0</v>
          </cell>
          <cell r="O3530">
            <v>9.1999999999999998E-3</v>
          </cell>
          <cell r="P3530">
            <v>0.56000000000000005</v>
          </cell>
          <cell r="Q3530">
            <v>0.16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0.26679999999999998</v>
          </cell>
          <cell r="Y3530">
            <v>0</v>
          </cell>
          <cell r="Z3530">
            <v>0</v>
          </cell>
          <cell r="AA3530">
            <v>0</v>
          </cell>
          <cell r="AB3530">
            <v>0</v>
          </cell>
        </row>
        <row r="3531">
          <cell r="A3531">
            <v>57344001</v>
          </cell>
          <cell r="B3531" t="str">
            <v>Special K Blueberry</v>
          </cell>
          <cell r="I3531">
            <v>40</v>
          </cell>
          <cell r="J3531">
            <v>145.19999999999999</v>
          </cell>
          <cell r="K3531">
            <v>3.63</v>
          </cell>
          <cell r="L3531">
            <v>2.1772909</v>
          </cell>
          <cell r="M3531">
            <v>0.16</v>
          </cell>
          <cell r="N3531">
            <v>0</v>
          </cell>
          <cell r="O3531">
            <v>7.1999999999999998E-3</v>
          </cell>
          <cell r="P3531">
            <v>1.2627090999999999</v>
          </cell>
          <cell r="Q3531">
            <v>0.2</v>
          </cell>
          <cell r="R3531">
            <v>12.3606</v>
          </cell>
          <cell r="S3531">
            <v>0</v>
          </cell>
          <cell r="T3531">
            <v>0.3</v>
          </cell>
          <cell r="U3531">
            <v>0</v>
          </cell>
          <cell r="V3531">
            <v>0</v>
          </cell>
          <cell r="W3531">
            <v>0</v>
          </cell>
          <cell r="X3531">
            <v>0.19239999999999999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</row>
        <row r="3532">
          <cell r="A3532">
            <v>57344005</v>
          </cell>
          <cell r="B3532" t="str">
            <v>Cereal (Kellogg's Special K Chocolatey Delight)</v>
          </cell>
          <cell r="I3532">
            <v>40</v>
          </cell>
          <cell r="J3532">
            <v>152.4</v>
          </cell>
          <cell r="K3532">
            <v>3.81</v>
          </cell>
          <cell r="L3532">
            <v>2.9681432000000001</v>
          </cell>
          <cell r="M3532">
            <v>2.52</v>
          </cell>
          <cell r="N3532">
            <v>0</v>
          </cell>
          <cell r="O3532">
            <v>7.1999999999999998E-3</v>
          </cell>
          <cell r="P3532">
            <v>1.2718567999999999</v>
          </cell>
          <cell r="Q3532">
            <v>0.24</v>
          </cell>
          <cell r="R3532">
            <v>10.4328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0.23280000000000001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</row>
        <row r="3533">
          <cell r="A3533">
            <v>57344007</v>
          </cell>
          <cell r="B3533" t="str">
            <v>Cereal (Kellogg's Special K Low Fat Granola)</v>
          </cell>
          <cell r="I3533">
            <v>40</v>
          </cell>
          <cell r="J3533">
            <v>155.6</v>
          </cell>
          <cell r="K3533">
            <v>3.8899999999999997</v>
          </cell>
          <cell r="L3533">
            <v>2.5866807000000001</v>
          </cell>
          <cell r="M3533">
            <v>0.55600000000000005</v>
          </cell>
          <cell r="N3533">
            <v>0</v>
          </cell>
          <cell r="O3533">
            <v>1.32E-2</v>
          </cell>
          <cell r="P3533">
            <v>0.21331929999999999</v>
          </cell>
          <cell r="Q3533">
            <v>0.64</v>
          </cell>
          <cell r="R3533">
            <v>19.1646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0.1028</v>
          </cell>
          <cell r="Y3533">
            <v>0.79379999999999995</v>
          </cell>
          <cell r="Z3533">
            <v>0</v>
          </cell>
          <cell r="AA3533">
            <v>0</v>
          </cell>
          <cell r="AB3533">
            <v>0</v>
          </cell>
        </row>
        <row r="3534">
          <cell r="A3534">
            <v>57344010</v>
          </cell>
          <cell r="B3534" t="str">
            <v>Cereal (Kellogg's Special K Red Berries)</v>
          </cell>
          <cell r="I3534">
            <v>40</v>
          </cell>
          <cell r="J3534">
            <v>143.19999999999999</v>
          </cell>
          <cell r="K3534">
            <v>3.5799999999999996</v>
          </cell>
          <cell r="L3534">
            <v>2.2975031000000001</v>
          </cell>
          <cell r="M3534">
            <v>0.12</v>
          </cell>
          <cell r="N3534">
            <v>0</v>
          </cell>
          <cell r="O3534">
            <v>9.5999999999999992E-3</v>
          </cell>
          <cell r="P3534">
            <v>1.1024969</v>
          </cell>
          <cell r="Q3534">
            <v>0.2</v>
          </cell>
          <cell r="R3534">
            <v>10.9998</v>
          </cell>
          <cell r="S3534">
            <v>0</v>
          </cell>
          <cell r="T3534">
            <v>0.9</v>
          </cell>
          <cell r="U3534">
            <v>0</v>
          </cell>
          <cell r="V3534">
            <v>0</v>
          </cell>
          <cell r="W3534">
            <v>0</v>
          </cell>
          <cell r="X3534">
            <v>0.24759999999999999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</row>
        <row r="3535">
          <cell r="A3535">
            <v>57344015</v>
          </cell>
          <cell r="B3535" t="str">
            <v>Cereal (Kellogg's Special K Fruit &amp; Yogurt)</v>
          </cell>
          <cell r="I3535">
            <v>60</v>
          </cell>
          <cell r="J3535">
            <v>220.2</v>
          </cell>
          <cell r="K3535">
            <v>3.67</v>
          </cell>
          <cell r="L3535">
            <v>3.7336653000000002</v>
          </cell>
          <cell r="M3535">
            <v>0.84</v>
          </cell>
          <cell r="N3535">
            <v>0</v>
          </cell>
          <cell r="O3535">
            <v>1.6199999999999999E-2</v>
          </cell>
          <cell r="P3535">
            <v>1.1263346999999999</v>
          </cell>
          <cell r="Q3535">
            <v>0.18</v>
          </cell>
          <cell r="R3535">
            <v>20.9223</v>
          </cell>
          <cell r="S3535">
            <v>0</v>
          </cell>
          <cell r="T3535">
            <v>17.100000000000001</v>
          </cell>
          <cell r="U3535">
            <v>0</v>
          </cell>
          <cell r="V3535">
            <v>0</v>
          </cell>
          <cell r="W3535">
            <v>0</v>
          </cell>
          <cell r="X3535">
            <v>0.2712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</row>
        <row r="3536">
          <cell r="A3536">
            <v>57344020</v>
          </cell>
          <cell r="B3536" t="str">
            <v>Cereal (Kellogg's Special K Vanilla Almond)</v>
          </cell>
          <cell r="I3536">
            <v>40</v>
          </cell>
          <cell r="J3536">
            <v>146.4</v>
          </cell>
          <cell r="K3536">
            <v>3.66</v>
          </cell>
          <cell r="L3536">
            <v>2.4669450999999998</v>
          </cell>
          <cell r="M3536">
            <v>0.16</v>
          </cell>
          <cell r="N3536">
            <v>0</v>
          </cell>
          <cell r="O3536">
            <v>1.3599999999999999E-2</v>
          </cell>
          <cell r="P3536">
            <v>1.3730549000000001</v>
          </cell>
          <cell r="Q3536">
            <v>0.44</v>
          </cell>
          <cell r="R3536">
            <v>9.9792000000000005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0.22359999999999999</v>
          </cell>
          <cell r="Y3536">
            <v>2.2113</v>
          </cell>
          <cell r="Z3536">
            <v>0</v>
          </cell>
          <cell r="AA3536">
            <v>0</v>
          </cell>
          <cell r="AB3536">
            <v>0</v>
          </cell>
        </row>
        <row r="3537">
          <cell r="A3537">
            <v>57344025</v>
          </cell>
          <cell r="B3537" t="str">
            <v>Cereal (Kellogg's Special K Cinnamon Pecan)</v>
          </cell>
          <cell r="I3537">
            <v>40</v>
          </cell>
          <cell r="J3537">
            <v>150</v>
          </cell>
          <cell r="K3537">
            <v>3.75</v>
          </cell>
          <cell r="L3537">
            <v>2.7745193000000001</v>
          </cell>
          <cell r="M3537">
            <v>0.28000000000000003</v>
          </cell>
          <cell r="N3537">
            <v>0</v>
          </cell>
          <cell r="O3537">
            <v>1.2E-2</v>
          </cell>
          <cell r="P3537">
            <v>1.3454807</v>
          </cell>
          <cell r="Q3537">
            <v>0.84</v>
          </cell>
          <cell r="R3537">
            <v>11.4534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0.26</v>
          </cell>
          <cell r="Y3537">
            <v>2.4948000000000001</v>
          </cell>
          <cell r="Z3537">
            <v>0</v>
          </cell>
          <cell r="AA3537">
            <v>0</v>
          </cell>
          <cell r="AB3537">
            <v>0</v>
          </cell>
        </row>
        <row r="3538">
          <cell r="A3538">
            <v>57347000</v>
          </cell>
          <cell r="B3538" t="str">
            <v>Cereal (Kellogg's Corn Pops)</v>
          </cell>
          <cell r="I3538">
            <v>40</v>
          </cell>
          <cell r="J3538">
            <v>154.80000000000001</v>
          </cell>
          <cell r="K3538">
            <v>3.87</v>
          </cell>
          <cell r="L3538">
            <v>0</v>
          </cell>
          <cell r="M3538">
            <v>0.2</v>
          </cell>
          <cell r="N3538">
            <v>0</v>
          </cell>
          <cell r="O3538">
            <v>2.8E-3</v>
          </cell>
          <cell r="P3538">
            <v>3.36</v>
          </cell>
          <cell r="Q3538">
            <v>0.2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0.14280000000000001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</row>
        <row r="3539">
          <cell r="A3539">
            <v>57348000</v>
          </cell>
          <cell r="B3539" t="str">
            <v>Cereal, frosted corn flakes</v>
          </cell>
          <cell r="I3539">
            <v>40</v>
          </cell>
          <cell r="J3539">
            <v>147.6</v>
          </cell>
          <cell r="K3539">
            <v>3.69</v>
          </cell>
          <cell r="L3539">
            <v>0</v>
          </cell>
          <cell r="M3539">
            <v>0.1804</v>
          </cell>
          <cell r="N3539">
            <v>0</v>
          </cell>
          <cell r="O3539">
            <v>1.1999999999999999E-3</v>
          </cell>
          <cell r="P3539">
            <v>0.88</v>
          </cell>
          <cell r="Q3539">
            <v>0.2676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0.18720000000000001</v>
          </cell>
          <cell r="Y3539">
            <v>0</v>
          </cell>
          <cell r="Z3539">
            <v>0</v>
          </cell>
          <cell r="AA3539">
            <v>0</v>
          </cell>
          <cell r="AB3539">
            <v>0</v>
          </cell>
        </row>
        <row r="3540">
          <cell r="A3540">
            <v>57349000</v>
          </cell>
          <cell r="B3540" t="str">
            <v>Cereal (Kellogg's Frosted Flakes)</v>
          </cell>
          <cell r="I3540">
            <v>40</v>
          </cell>
          <cell r="J3540">
            <v>147.6</v>
          </cell>
          <cell r="K3540">
            <v>3.69</v>
          </cell>
          <cell r="L3540">
            <v>0</v>
          </cell>
          <cell r="M3540">
            <v>0.1804</v>
          </cell>
          <cell r="N3540">
            <v>0</v>
          </cell>
          <cell r="O3540">
            <v>1.1999999999999999E-3</v>
          </cell>
          <cell r="P3540">
            <v>0.88</v>
          </cell>
          <cell r="Q3540">
            <v>0.2676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0.18720000000000001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</row>
        <row r="3541">
          <cell r="A3541">
            <v>57355000</v>
          </cell>
          <cell r="B3541" t="str">
            <v>Cereal (Post Golden Crisp)</v>
          </cell>
          <cell r="I3541">
            <v>40</v>
          </cell>
          <cell r="J3541">
            <v>152</v>
          </cell>
          <cell r="K3541">
            <v>3.8</v>
          </cell>
          <cell r="L3541">
            <v>0</v>
          </cell>
          <cell r="M3541">
            <v>0.08</v>
          </cell>
          <cell r="N3541">
            <v>0</v>
          </cell>
          <cell r="O3541">
            <v>6.0000000000000001E-3</v>
          </cell>
          <cell r="P3541">
            <v>2</v>
          </cell>
          <cell r="Q3541">
            <v>0.24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3.7999999999999999E-2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</row>
        <row r="3542">
          <cell r="A3542">
            <v>57401100</v>
          </cell>
          <cell r="B3542" t="str">
            <v>Cereal, toasted oat</v>
          </cell>
          <cell r="I3542">
            <v>40</v>
          </cell>
          <cell r="J3542">
            <v>142.80000000000001</v>
          </cell>
          <cell r="K3542">
            <v>3.5700000000000003</v>
          </cell>
          <cell r="L3542">
            <v>4.2426933</v>
          </cell>
          <cell r="M3542">
            <v>0.37040000000000001</v>
          </cell>
          <cell r="N3542">
            <v>0</v>
          </cell>
          <cell r="O3542">
            <v>0.14280000000000001</v>
          </cell>
          <cell r="P3542">
            <v>3.7306699999999998E-2</v>
          </cell>
          <cell r="Q3542">
            <v>0.71440000000000003</v>
          </cell>
          <cell r="R3542">
            <v>35.947800000000001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0.22839999999999999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</row>
        <row r="3543">
          <cell r="A3543">
            <v>57403100</v>
          </cell>
          <cell r="B3543" t="str">
            <v>Toasties, Post</v>
          </cell>
          <cell r="I3543">
            <v>40</v>
          </cell>
          <cell r="J3543">
            <v>144</v>
          </cell>
          <cell r="K3543">
            <v>3.6</v>
          </cell>
          <cell r="L3543">
            <v>0</v>
          </cell>
          <cell r="M3543">
            <v>0</v>
          </cell>
          <cell r="N3543">
            <v>0</v>
          </cell>
          <cell r="O3543">
            <v>1.1999999999999999E-3</v>
          </cell>
          <cell r="P3543">
            <v>1.8</v>
          </cell>
          <cell r="Q3543">
            <v>2.0400000000000001E-2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0.28560000000000002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</row>
        <row r="3544">
          <cell r="A3544">
            <v>57406100</v>
          </cell>
          <cell r="B3544" t="str">
            <v>Cereal (General Mills Total)</v>
          </cell>
          <cell r="I3544">
            <v>40</v>
          </cell>
          <cell r="J3544">
            <v>128</v>
          </cell>
          <cell r="K3544">
            <v>3.2</v>
          </cell>
          <cell r="L3544">
            <v>3.64</v>
          </cell>
          <cell r="M3544">
            <v>0.24</v>
          </cell>
          <cell r="N3544">
            <v>0</v>
          </cell>
          <cell r="O3544">
            <v>1.3331999999999999</v>
          </cell>
          <cell r="P3544">
            <v>0</v>
          </cell>
          <cell r="Q3544">
            <v>0.32</v>
          </cell>
          <cell r="R3544">
            <v>30.958200000000001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0.188</v>
          </cell>
          <cell r="Y3544">
            <v>0</v>
          </cell>
          <cell r="Z3544">
            <v>0</v>
          </cell>
          <cell r="AA3544">
            <v>0</v>
          </cell>
          <cell r="AB3544">
            <v>0.04</v>
          </cell>
        </row>
        <row r="3545">
          <cell r="A3545">
            <v>57406105</v>
          </cell>
          <cell r="B3545" t="str">
            <v>Total Cranberry Crunch</v>
          </cell>
          <cell r="I3545">
            <v>60</v>
          </cell>
          <cell r="J3545">
            <v>196.8</v>
          </cell>
          <cell r="K3545">
            <v>3.2800000000000002</v>
          </cell>
          <cell r="L3545">
            <v>4.0245832999999998</v>
          </cell>
          <cell r="M3545">
            <v>0.24840000000000001</v>
          </cell>
          <cell r="N3545">
            <v>0</v>
          </cell>
          <cell r="O3545">
            <v>1.0344</v>
          </cell>
          <cell r="P3545">
            <v>0.1154167</v>
          </cell>
          <cell r="Q3545">
            <v>0.49680000000000002</v>
          </cell>
          <cell r="R3545">
            <v>35.040599999999998</v>
          </cell>
          <cell r="S3545">
            <v>0</v>
          </cell>
          <cell r="T3545">
            <v>12.15</v>
          </cell>
          <cell r="U3545">
            <v>0</v>
          </cell>
          <cell r="V3545">
            <v>0</v>
          </cell>
          <cell r="W3545">
            <v>0</v>
          </cell>
          <cell r="X3545">
            <v>0.1968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</row>
        <row r="3546">
          <cell r="A3546">
            <v>57407100</v>
          </cell>
          <cell r="B3546" t="str">
            <v>Cereal (General Mills Trix)</v>
          </cell>
          <cell r="I3546">
            <v>40</v>
          </cell>
          <cell r="J3546">
            <v>153.6</v>
          </cell>
          <cell r="K3546">
            <v>3.84</v>
          </cell>
          <cell r="L3546">
            <v>1.2382709000000001</v>
          </cell>
          <cell r="M3546">
            <v>0.2</v>
          </cell>
          <cell r="N3546">
            <v>0</v>
          </cell>
          <cell r="O3546">
            <v>0.12520000000000001</v>
          </cell>
          <cell r="P3546">
            <v>0.32172909999999999</v>
          </cell>
          <cell r="Q3546">
            <v>0.55600000000000005</v>
          </cell>
          <cell r="R3546">
            <v>15.9894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0.2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</row>
        <row r="3547">
          <cell r="A3547">
            <v>57408100</v>
          </cell>
          <cell r="B3547" t="str">
            <v>Uncle Sam Cereal (formerly Uncle Sam's Hi Fiber Cereal)</v>
          </cell>
          <cell r="I3547">
            <v>60</v>
          </cell>
          <cell r="J3547">
            <v>207.6</v>
          </cell>
          <cell r="K3547">
            <v>3.46</v>
          </cell>
          <cell r="L3547">
            <v>12.065664999999999</v>
          </cell>
          <cell r="M3547">
            <v>0.79200000000000004</v>
          </cell>
          <cell r="N3547">
            <v>0</v>
          </cell>
          <cell r="O3547">
            <v>5.7000000000000002E-2</v>
          </cell>
          <cell r="P3547">
            <v>0.1143352</v>
          </cell>
          <cell r="Q3547">
            <v>5.01</v>
          </cell>
          <cell r="R3547">
            <v>51.200099999999999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0.1236</v>
          </cell>
          <cell r="Y3547">
            <v>7.2292500000000004</v>
          </cell>
          <cell r="Z3547">
            <v>0</v>
          </cell>
          <cell r="AA3547">
            <v>0</v>
          </cell>
          <cell r="AB3547">
            <v>0</v>
          </cell>
        </row>
        <row r="3548">
          <cell r="A3548">
            <v>57411000</v>
          </cell>
          <cell r="B3548" t="str">
            <v>Cereal (General Mills Chex Wheat)</v>
          </cell>
          <cell r="I3548">
            <v>60</v>
          </cell>
          <cell r="J3548">
            <v>207</v>
          </cell>
          <cell r="K3548">
            <v>3.45</v>
          </cell>
          <cell r="L3548">
            <v>7.32</v>
          </cell>
          <cell r="M3548">
            <v>0.24</v>
          </cell>
          <cell r="N3548">
            <v>0</v>
          </cell>
          <cell r="O3548">
            <v>0.1278</v>
          </cell>
          <cell r="P3548">
            <v>0</v>
          </cell>
          <cell r="Q3548">
            <v>0.6</v>
          </cell>
          <cell r="R3548">
            <v>53.4114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0.34200000000000003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</row>
        <row r="3549">
          <cell r="A3549">
            <v>57412000</v>
          </cell>
          <cell r="B3549" t="str">
            <v>Wheat germ, plain</v>
          </cell>
          <cell r="I3549">
            <v>60</v>
          </cell>
          <cell r="J3549">
            <v>229.2</v>
          </cell>
          <cell r="K3549">
            <v>3.82</v>
          </cell>
          <cell r="L3549">
            <v>0</v>
          </cell>
          <cell r="M3549">
            <v>1.0980000000000001</v>
          </cell>
          <cell r="N3549">
            <v>0</v>
          </cell>
          <cell r="O3549">
            <v>2.7E-2</v>
          </cell>
          <cell r="P3549">
            <v>9.06</v>
          </cell>
          <cell r="Q3549">
            <v>3.972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2.3999999999999998E-3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</row>
        <row r="3550">
          <cell r="A3550">
            <v>57416000</v>
          </cell>
          <cell r="B3550" t="str">
            <v>Cereal, puffed wheat, plain</v>
          </cell>
          <cell r="I3550">
            <v>15</v>
          </cell>
          <cell r="J3550">
            <v>54.9</v>
          </cell>
          <cell r="K3550">
            <v>3.6599999999999997</v>
          </cell>
          <cell r="L3550">
            <v>1.41</v>
          </cell>
          <cell r="M3550">
            <v>6.1949999999999998E-2</v>
          </cell>
          <cell r="N3550">
            <v>0</v>
          </cell>
          <cell r="O3550">
            <v>3.5999999999999999E-3</v>
          </cell>
          <cell r="P3550">
            <v>0</v>
          </cell>
          <cell r="Q3550">
            <v>0.16095000000000001</v>
          </cell>
          <cell r="R3550">
            <v>15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7.5000000000000002E-4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</row>
        <row r="3551">
          <cell r="A3551">
            <v>57416010</v>
          </cell>
          <cell r="B3551" t="str">
            <v>Cereal, puffed wheat, sweetened</v>
          </cell>
          <cell r="I3551">
            <v>40</v>
          </cell>
          <cell r="J3551">
            <v>152</v>
          </cell>
          <cell r="K3551">
            <v>3.8</v>
          </cell>
          <cell r="L3551">
            <v>0</v>
          </cell>
          <cell r="M3551">
            <v>0.2</v>
          </cell>
          <cell r="N3551">
            <v>0</v>
          </cell>
          <cell r="O3551">
            <v>5.5999999999999999E-3</v>
          </cell>
          <cell r="P3551">
            <v>2</v>
          </cell>
          <cell r="Q3551">
            <v>0.2</v>
          </cell>
          <cell r="R3551">
            <v>0</v>
          </cell>
          <cell r="S3551">
            <v>0</v>
          </cell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>
            <v>5.6800000000000003E-2</v>
          </cell>
          <cell r="Y3551">
            <v>0</v>
          </cell>
          <cell r="Z3551">
            <v>0</v>
          </cell>
          <cell r="AA3551">
            <v>0</v>
          </cell>
          <cell r="AB3551">
            <v>0.2</v>
          </cell>
        </row>
        <row r="3552">
          <cell r="A3552">
            <v>57417000</v>
          </cell>
          <cell r="B3552" t="str">
            <v>Cereal (Post Shredded Wheat)</v>
          </cell>
          <cell r="I3552">
            <v>60</v>
          </cell>
          <cell r="J3552">
            <v>206.4</v>
          </cell>
          <cell r="K3552">
            <v>3.44</v>
          </cell>
          <cell r="L3552">
            <v>7.44</v>
          </cell>
          <cell r="M3552">
            <v>0.24299999999999999</v>
          </cell>
          <cell r="N3552">
            <v>0</v>
          </cell>
          <cell r="O3552">
            <v>3.4200000000000001E-2</v>
          </cell>
          <cell r="P3552">
            <v>0</v>
          </cell>
          <cell r="Q3552">
            <v>0.75600000000000001</v>
          </cell>
          <cell r="R3552">
            <v>60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1.1999999999999999E-3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</row>
        <row r="3553">
          <cell r="A3553">
            <v>57418000</v>
          </cell>
          <cell r="B3553" t="str">
            <v>Cereal (General Mills Wheaties)</v>
          </cell>
          <cell r="I3553">
            <v>40</v>
          </cell>
          <cell r="J3553">
            <v>141.19999999999999</v>
          </cell>
          <cell r="K3553">
            <v>3.53</v>
          </cell>
          <cell r="L3553">
            <v>4.04</v>
          </cell>
          <cell r="M3553">
            <v>0.2</v>
          </cell>
          <cell r="N3553">
            <v>0</v>
          </cell>
          <cell r="O3553">
            <v>2.9600000000000001E-2</v>
          </cell>
          <cell r="P3553">
            <v>0</v>
          </cell>
          <cell r="Q3553">
            <v>0.48</v>
          </cell>
          <cell r="R3553">
            <v>34.360199999999999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0.2928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</row>
        <row r="3554">
          <cell r="A3554">
            <v>57601100</v>
          </cell>
          <cell r="B3554" t="str">
            <v>Wheat bran, unprocessed</v>
          </cell>
          <cell r="I3554">
            <v>15</v>
          </cell>
          <cell r="J3554">
            <v>32.4</v>
          </cell>
          <cell r="K3554">
            <v>2.1599999999999997</v>
          </cell>
          <cell r="L3554">
            <v>0</v>
          </cell>
          <cell r="M3554">
            <v>9.4500000000000001E-2</v>
          </cell>
          <cell r="N3554">
            <v>0</v>
          </cell>
          <cell r="O3554">
            <v>1.095E-2</v>
          </cell>
          <cell r="P3554">
            <v>6.42</v>
          </cell>
          <cell r="Q3554">
            <v>0.33179999999999998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2.9999999999999997E-4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</row>
        <row r="3555">
          <cell r="A3555">
            <v>57602100</v>
          </cell>
          <cell r="B3555" t="str">
            <v>Oats, raw</v>
          </cell>
          <cell r="I3555">
            <v>45</v>
          </cell>
          <cell r="J3555">
            <v>170.55</v>
          </cell>
          <cell r="K3555">
            <v>3.79</v>
          </cell>
          <cell r="L3555">
            <v>4.5449999999999999</v>
          </cell>
          <cell r="M3555">
            <v>0.4995</v>
          </cell>
          <cell r="N3555">
            <v>0</v>
          </cell>
          <cell r="O3555">
            <v>2.3400000000000001E-2</v>
          </cell>
          <cell r="P3555">
            <v>0</v>
          </cell>
          <cell r="Q3555">
            <v>1.0349999999999999</v>
          </cell>
          <cell r="R3555">
            <v>45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2.7000000000000001E-3</v>
          </cell>
          <cell r="Y3555">
            <v>0</v>
          </cell>
          <cell r="Z3555">
            <v>0</v>
          </cell>
          <cell r="AA3555">
            <v>0</v>
          </cell>
          <cell r="AB3555">
            <v>8.5636799999999999E-2</v>
          </cell>
        </row>
        <row r="3556">
          <cell r="A3556">
            <v>57602500</v>
          </cell>
          <cell r="B3556" t="str">
            <v>Oat bran, uncooked</v>
          </cell>
          <cell r="I3556">
            <v>15</v>
          </cell>
          <cell r="J3556">
            <v>36.9</v>
          </cell>
          <cell r="K3556">
            <v>2.46</v>
          </cell>
          <cell r="L3556">
            <v>0</v>
          </cell>
          <cell r="M3556">
            <v>0.19919999999999999</v>
          </cell>
          <cell r="N3556">
            <v>0</v>
          </cell>
          <cell r="O3556">
            <v>8.6999999999999994E-3</v>
          </cell>
          <cell r="P3556">
            <v>2.31</v>
          </cell>
          <cell r="Q3556">
            <v>0.41489999999999999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5.9999999999999995E-4</v>
          </cell>
          <cell r="Y3556">
            <v>0</v>
          </cell>
          <cell r="Z3556">
            <v>0</v>
          </cell>
          <cell r="AA3556">
            <v>0</v>
          </cell>
          <cell r="AB3556">
            <v>1.0300399999999999E-2</v>
          </cell>
        </row>
        <row r="3557">
          <cell r="A3557">
            <v>57805000</v>
          </cell>
          <cell r="B3557" t="str">
            <v>Rice cereal, baby food, dry, instant</v>
          </cell>
          <cell r="I3557">
            <v>15</v>
          </cell>
          <cell r="J3557">
            <v>58.5</v>
          </cell>
          <cell r="K3557">
            <v>3.9</v>
          </cell>
          <cell r="L3557">
            <v>0</v>
          </cell>
          <cell r="M3557">
            <v>3.5099999999999999E-2</v>
          </cell>
          <cell r="N3557">
            <v>0</v>
          </cell>
          <cell r="O3557">
            <v>0.129</v>
          </cell>
          <cell r="P3557">
            <v>0.19500000000000001</v>
          </cell>
          <cell r="Q3557">
            <v>0.1176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4.7999999999999996E-3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</row>
        <row r="3558">
          <cell r="A3558">
            <v>58100000</v>
          </cell>
          <cell r="B3558" t="str">
            <v>Burrito, taco, or quesadilla with egg</v>
          </cell>
          <cell r="I3558">
            <v>140</v>
          </cell>
          <cell r="J3558">
            <v>305.62349999999998</v>
          </cell>
          <cell r="K3558">
            <v>2.1830249999999998</v>
          </cell>
          <cell r="L3558">
            <v>0.21533910000000001</v>
          </cell>
          <cell r="M3558">
            <v>5.6223033999999998</v>
          </cell>
          <cell r="N3558">
            <v>0</v>
          </cell>
          <cell r="O3558">
            <v>0.20048840000000001</v>
          </cell>
          <cell r="P3558">
            <v>1.8097406</v>
          </cell>
          <cell r="Q3558">
            <v>3.5774723000000002</v>
          </cell>
          <cell r="R3558">
            <v>0</v>
          </cell>
          <cell r="S3558">
            <v>0</v>
          </cell>
          <cell r="T3558">
            <v>0</v>
          </cell>
          <cell r="U3558">
            <v>11.333637</v>
          </cell>
          <cell r="V3558">
            <v>0</v>
          </cell>
          <cell r="W3558">
            <v>0</v>
          </cell>
          <cell r="X3558">
            <v>0.73849299999999996</v>
          </cell>
          <cell r="Y3558">
            <v>0</v>
          </cell>
          <cell r="Z3558">
            <v>0</v>
          </cell>
          <cell r="AA3558">
            <v>0</v>
          </cell>
          <cell r="AB3558">
            <v>0.39708739999999998</v>
          </cell>
        </row>
        <row r="3559">
          <cell r="A3559">
            <v>58100005</v>
          </cell>
          <cell r="B3559" t="str">
            <v>Burrito, taco, or quesadilla with egg and potato</v>
          </cell>
          <cell r="I3559">
            <v>140</v>
          </cell>
          <cell r="J3559">
            <v>317.58499</v>
          </cell>
          <cell r="K3559">
            <v>2.2684642142857143</v>
          </cell>
          <cell r="L3559">
            <v>0.18107609999999999</v>
          </cell>
          <cell r="M3559">
            <v>5.2935296999999997</v>
          </cell>
          <cell r="N3559">
            <v>0</v>
          </cell>
          <cell r="O3559">
            <v>0.17282069999999999</v>
          </cell>
          <cell r="P3559">
            <v>2.1232324999999999</v>
          </cell>
          <cell r="Q3559">
            <v>4.2701709000000001</v>
          </cell>
          <cell r="R3559">
            <v>0</v>
          </cell>
          <cell r="S3559">
            <v>0</v>
          </cell>
          <cell r="T3559">
            <v>0</v>
          </cell>
          <cell r="U3559">
            <v>9.5303187999999999</v>
          </cell>
          <cell r="V3559">
            <v>0</v>
          </cell>
          <cell r="W3559">
            <v>0</v>
          </cell>
          <cell r="X3559">
            <v>0.74707020000000002</v>
          </cell>
          <cell r="Y3559">
            <v>0</v>
          </cell>
          <cell r="Z3559">
            <v>0</v>
          </cell>
          <cell r="AA3559">
            <v>0</v>
          </cell>
          <cell r="AB3559">
            <v>0.35056510000000002</v>
          </cell>
        </row>
        <row r="3560">
          <cell r="A3560">
            <v>58100010</v>
          </cell>
          <cell r="B3560" t="str">
            <v>Burrito, taco, or quesadilla with egg and breakfast meat</v>
          </cell>
          <cell r="I3560">
            <v>140</v>
          </cell>
          <cell r="J3560">
            <v>325.78793999999999</v>
          </cell>
          <cell r="K3560">
            <v>2.3270567142857144</v>
          </cell>
          <cell r="L3560">
            <v>0.1862703</v>
          </cell>
          <cell r="M3560">
            <v>6.5313439999999998</v>
          </cell>
          <cell r="N3560">
            <v>0</v>
          </cell>
          <cell r="O3560">
            <v>0.17512520000000001</v>
          </cell>
          <cell r="P3560">
            <v>1.5654424</v>
          </cell>
          <cell r="Q3560">
            <v>4.0612152000000004</v>
          </cell>
          <cell r="R3560">
            <v>0</v>
          </cell>
          <cell r="S3560">
            <v>0</v>
          </cell>
          <cell r="T3560">
            <v>0</v>
          </cell>
          <cell r="U3560">
            <v>9.8037010000000002</v>
          </cell>
          <cell r="V3560">
            <v>0</v>
          </cell>
          <cell r="W3560">
            <v>0</v>
          </cell>
          <cell r="X3560">
            <v>0.79263870000000003</v>
          </cell>
          <cell r="Y3560">
            <v>0</v>
          </cell>
          <cell r="Z3560">
            <v>0</v>
          </cell>
          <cell r="AA3560">
            <v>14.948211000000001</v>
          </cell>
          <cell r="AB3560">
            <v>0.4631518</v>
          </cell>
        </row>
        <row r="3561">
          <cell r="A3561">
            <v>58100013</v>
          </cell>
          <cell r="B3561" t="str">
            <v>Burrito, taco, or quesadilla with egg and breakfast meat, from fast food</v>
          </cell>
          <cell r="I3561">
            <v>140</v>
          </cell>
          <cell r="J3561">
            <v>387.8</v>
          </cell>
          <cell r="K3561">
            <v>2.77</v>
          </cell>
          <cell r="L3561">
            <v>0.14623700000000001</v>
          </cell>
          <cell r="M3561">
            <v>8.9656000000000002</v>
          </cell>
          <cell r="N3561">
            <v>0</v>
          </cell>
          <cell r="O3561">
            <v>0.18479999999999999</v>
          </cell>
          <cell r="P3561">
            <v>1.533763</v>
          </cell>
          <cell r="Q3561">
            <v>4.7123999999999997</v>
          </cell>
          <cell r="R3561">
            <v>0</v>
          </cell>
          <cell r="S3561">
            <v>0</v>
          </cell>
          <cell r="T3561">
            <v>0</v>
          </cell>
          <cell r="U3561">
            <v>13.02</v>
          </cell>
          <cell r="V3561">
            <v>0</v>
          </cell>
          <cell r="W3561">
            <v>0</v>
          </cell>
          <cell r="X3561">
            <v>1.0416000000000001</v>
          </cell>
          <cell r="Y3561">
            <v>0</v>
          </cell>
          <cell r="Z3561">
            <v>0</v>
          </cell>
          <cell r="AA3561">
            <v>15.875999999999999</v>
          </cell>
          <cell r="AB3561">
            <v>0.28139999999999998</v>
          </cell>
        </row>
        <row r="3562">
          <cell r="A3562">
            <v>58100015</v>
          </cell>
          <cell r="B3562" t="str">
            <v>Burrito, taco, or quesadilla with egg, potato, and breakfast meat</v>
          </cell>
          <cell r="I3562">
            <v>140</v>
          </cell>
          <cell r="J3562">
            <v>333.52564000000001</v>
          </cell>
          <cell r="K3562">
            <v>2.3823259999999999</v>
          </cell>
          <cell r="L3562">
            <v>0.16007060000000001</v>
          </cell>
          <cell r="M3562">
            <v>6.1128486000000004</v>
          </cell>
          <cell r="N3562">
            <v>0</v>
          </cell>
          <cell r="O3562">
            <v>0.1542345</v>
          </cell>
          <cell r="P3562">
            <v>1.8769298000000001</v>
          </cell>
          <cell r="Q3562">
            <v>4.6055177</v>
          </cell>
          <cell r="R3562">
            <v>0</v>
          </cell>
          <cell r="S3562">
            <v>0</v>
          </cell>
          <cell r="T3562">
            <v>0</v>
          </cell>
          <cell r="U3562">
            <v>8.4247668000000004</v>
          </cell>
          <cell r="V3562">
            <v>0</v>
          </cell>
          <cell r="W3562">
            <v>0</v>
          </cell>
          <cell r="X3562">
            <v>0.79260509999999995</v>
          </cell>
          <cell r="Y3562">
            <v>0</v>
          </cell>
          <cell r="Z3562">
            <v>0</v>
          </cell>
          <cell r="AA3562">
            <v>12.845677999999999</v>
          </cell>
          <cell r="AB3562">
            <v>0.42251719999999998</v>
          </cell>
        </row>
        <row r="3563">
          <cell r="A3563">
            <v>58100017</v>
          </cell>
          <cell r="B3563" t="str">
            <v>Burrito, taco, or quesadilla with egg, potato, and breakfast meat, from fast food</v>
          </cell>
          <cell r="I3563">
            <v>140</v>
          </cell>
          <cell r="J3563">
            <v>339.10654</v>
          </cell>
          <cell r="K3563">
            <v>2.4221895714285715</v>
          </cell>
          <cell r="L3563">
            <v>0.1479866</v>
          </cell>
          <cell r="M3563">
            <v>7.7283054</v>
          </cell>
          <cell r="N3563">
            <v>0</v>
          </cell>
          <cell r="O3563">
            <v>0.19032479999999999</v>
          </cell>
          <cell r="P3563">
            <v>1.6736576999999999</v>
          </cell>
          <cell r="Q3563">
            <v>3.0318103999999999</v>
          </cell>
          <cell r="R3563">
            <v>0</v>
          </cell>
          <cell r="S3563">
            <v>0</v>
          </cell>
          <cell r="T3563">
            <v>0</v>
          </cell>
          <cell r="U3563">
            <v>9.3959732000000002</v>
          </cell>
          <cell r="V3563">
            <v>0</v>
          </cell>
          <cell r="W3563">
            <v>0</v>
          </cell>
          <cell r="X3563">
            <v>0.83427549999999995</v>
          </cell>
          <cell r="Y3563">
            <v>0</v>
          </cell>
          <cell r="Z3563">
            <v>0</v>
          </cell>
          <cell r="AA3563">
            <v>19.044208000000001</v>
          </cell>
          <cell r="AB3563">
            <v>0.49023640000000002</v>
          </cell>
        </row>
        <row r="3564">
          <cell r="A3564">
            <v>58100020</v>
          </cell>
          <cell r="B3564" t="str">
            <v>Burrito, taco, or quesadilla with egg, beans, and breakfast meat</v>
          </cell>
          <cell r="I3564">
            <v>140</v>
          </cell>
          <cell r="J3564">
            <v>302.94110000000001</v>
          </cell>
          <cell r="K3564">
            <v>2.1638649999999999</v>
          </cell>
          <cell r="L3564">
            <v>1.4493521</v>
          </cell>
          <cell r="M3564">
            <v>5.6203989999999999</v>
          </cell>
          <cell r="N3564">
            <v>0</v>
          </cell>
          <cell r="O3564">
            <v>0.1527715</v>
          </cell>
          <cell r="P3564">
            <v>1.2900714</v>
          </cell>
          <cell r="Q3564">
            <v>3.8719890000000001</v>
          </cell>
          <cell r="R3564">
            <v>0</v>
          </cell>
          <cell r="S3564">
            <v>21.684875000000002</v>
          </cell>
          <cell r="T3564">
            <v>0</v>
          </cell>
          <cell r="U3564">
            <v>9.8393783999999993</v>
          </cell>
          <cell r="V3564">
            <v>0</v>
          </cell>
          <cell r="W3564">
            <v>0</v>
          </cell>
          <cell r="X3564">
            <v>0.73117330000000003</v>
          </cell>
          <cell r="Y3564">
            <v>0</v>
          </cell>
          <cell r="Z3564">
            <v>0</v>
          </cell>
          <cell r="AA3564">
            <v>12.318728</v>
          </cell>
          <cell r="AB3564">
            <v>0.3715717</v>
          </cell>
        </row>
        <row r="3565">
          <cell r="A3565">
            <v>58100100</v>
          </cell>
          <cell r="B3565" t="str">
            <v>Burrito with meat</v>
          </cell>
          <cell r="I3565">
            <v>140</v>
          </cell>
          <cell r="J3565">
            <v>327.66595000000001</v>
          </cell>
          <cell r="K3565">
            <v>2.3404710714285715</v>
          </cell>
          <cell r="L3565">
            <v>0.41586190000000001</v>
          </cell>
          <cell r="M3565">
            <v>9.5708991000000001</v>
          </cell>
          <cell r="N3565">
            <v>0</v>
          </cell>
          <cell r="O3565">
            <v>0.28770129999999999</v>
          </cell>
          <cell r="P3565">
            <v>1.3062704999999999</v>
          </cell>
          <cell r="Q3565">
            <v>1.3280737</v>
          </cell>
          <cell r="R3565">
            <v>0</v>
          </cell>
          <cell r="S3565">
            <v>0</v>
          </cell>
          <cell r="T3565">
            <v>0</v>
          </cell>
          <cell r="U3565">
            <v>23.492948999999999</v>
          </cell>
          <cell r="V3565">
            <v>0</v>
          </cell>
          <cell r="W3565">
            <v>0</v>
          </cell>
          <cell r="X3565">
            <v>0.68202969999999996</v>
          </cell>
          <cell r="Y3565">
            <v>0</v>
          </cell>
          <cell r="Z3565">
            <v>24.302064000000001</v>
          </cell>
          <cell r="AA3565">
            <v>0</v>
          </cell>
          <cell r="AB3565">
            <v>0.88039529999999999</v>
          </cell>
        </row>
        <row r="3566">
          <cell r="A3566">
            <v>58100120</v>
          </cell>
          <cell r="B3566" t="str">
            <v>Burrito with meat and beans</v>
          </cell>
          <cell r="I3566">
            <v>140</v>
          </cell>
          <cell r="J3566">
            <v>314.29978999999997</v>
          </cell>
          <cell r="K3566">
            <v>2.2449984999999999</v>
          </cell>
          <cell r="L3566">
            <v>2.0298835</v>
          </cell>
          <cell r="M3566">
            <v>8.2114954999999998</v>
          </cell>
          <cell r="N3566">
            <v>0</v>
          </cell>
          <cell r="O3566">
            <v>0.28594829999999999</v>
          </cell>
          <cell r="P3566">
            <v>1.2615769999999999</v>
          </cell>
          <cell r="Q3566">
            <v>1.870485</v>
          </cell>
          <cell r="R3566">
            <v>0</v>
          </cell>
          <cell r="S3566">
            <v>28.090275999999999</v>
          </cell>
          <cell r="T3566">
            <v>0</v>
          </cell>
          <cell r="U3566">
            <v>21.547888</v>
          </cell>
          <cell r="V3566">
            <v>0</v>
          </cell>
          <cell r="W3566">
            <v>0</v>
          </cell>
          <cell r="X3566">
            <v>0.7058702</v>
          </cell>
          <cell r="Y3566">
            <v>0</v>
          </cell>
          <cell r="Z3566">
            <v>11.811771</v>
          </cell>
          <cell r="AA3566">
            <v>0</v>
          </cell>
          <cell r="AB3566">
            <v>0.63307860000000005</v>
          </cell>
        </row>
        <row r="3567">
          <cell r="A3567">
            <v>58100125</v>
          </cell>
          <cell r="B3567" t="str">
            <v>Burrito with meat and beans, from fast food</v>
          </cell>
          <cell r="I3567">
            <v>140</v>
          </cell>
          <cell r="J3567">
            <v>252</v>
          </cell>
          <cell r="K3567">
            <v>1.8</v>
          </cell>
          <cell r="L3567">
            <v>1.1879789000000001</v>
          </cell>
          <cell r="M3567">
            <v>3.8262</v>
          </cell>
          <cell r="N3567">
            <v>0</v>
          </cell>
          <cell r="O3567">
            <v>0.126</v>
          </cell>
          <cell r="P3567">
            <v>3.9920211000000001</v>
          </cell>
          <cell r="Q3567">
            <v>2.2050000000000001</v>
          </cell>
          <cell r="R3567">
            <v>0</v>
          </cell>
          <cell r="S3567">
            <v>24.5</v>
          </cell>
          <cell r="T3567">
            <v>0</v>
          </cell>
          <cell r="U3567">
            <v>10.5</v>
          </cell>
          <cell r="V3567">
            <v>0</v>
          </cell>
          <cell r="W3567">
            <v>0</v>
          </cell>
          <cell r="X3567">
            <v>0.63139999999999996</v>
          </cell>
          <cell r="Y3567">
            <v>0</v>
          </cell>
          <cell r="Z3567">
            <v>12.700799999999999</v>
          </cell>
          <cell r="AA3567">
            <v>0</v>
          </cell>
          <cell r="AB3567">
            <v>0.2114</v>
          </cell>
        </row>
        <row r="3568">
          <cell r="A3568">
            <v>58100135</v>
          </cell>
          <cell r="B3568" t="str">
            <v>Burrito with meat and sour cream</v>
          </cell>
          <cell r="I3568">
            <v>140</v>
          </cell>
          <cell r="J3568">
            <v>320.71165999999999</v>
          </cell>
          <cell r="K3568">
            <v>2.2907975714285715</v>
          </cell>
          <cell r="L3568">
            <v>0.35855550000000003</v>
          </cell>
          <cell r="M3568">
            <v>10.208245</v>
          </cell>
          <cell r="N3568">
            <v>0</v>
          </cell>
          <cell r="O3568">
            <v>0.26754080000000002</v>
          </cell>
          <cell r="P3568">
            <v>1.1262643999999999</v>
          </cell>
          <cell r="Q3568">
            <v>1.2994007999999999</v>
          </cell>
          <cell r="R3568">
            <v>0</v>
          </cell>
          <cell r="S3568">
            <v>0</v>
          </cell>
          <cell r="T3568">
            <v>0</v>
          </cell>
          <cell r="U3568">
            <v>20.255583000000001</v>
          </cell>
          <cell r="V3568">
            <v>0</v>
          </cell>
          <cell r="W3568">
            <v>0</v>
          </cell>
          <cell r="X3568">
            <v>0.59402549999999998</v>
          </cell>
          <cell r="Y3568">
            <v>0</v>
          </cell>
          <cell r="Z3568">
            <v>20.953202000000001</v>
          </cell>
          <cell r="AA3568">
            <v>0</v>
          </cell>
          <cell r="AB3568">
            <v>0.93248070000000005</v>
          </cell>
        </row>
        <row r="3569">
          <cell r="A3569">
            <v>58100140</v>
          </cell>
          <cell r="B3569" t="str">
            <v>Burrito with meat, beans, and sour cream</v>
          </cell>
          <cell r="I3569">
            <v>140</v>
          </cell>
          <cell r="J3569">
            <v>309.31092000000001</v>
          </cell>
          <cell r="K3569">
            <v>2.2093637142857143</v>
          </cell>
          <cell r="L3569">
            <v>1.7569220999999999</v>
          </cell>
          <cell r="M3569">
            <v>9.0162405999999997</v>
          </cell>
          <cell r="N3569">
            <v>0</v>
          </cell>
          <cell r="O3569">
            <v>0.26651059999999999</v>
          </cell>
          <cell r="P3569">
            <v>1.0919308999999999</v>
          </cell>
          <cell r="Q3569">
            <v>1.7695662000000001</v>
          </cell>
          <cell r="R3569">
            <v>0</v>
          </cell>
          <cell r="S3569">
            <v>24.312935</v>
          </cell>
          <cell r="T3569">
            <v>0</v>
          </cell>
          <cell r="U3569">
            <v>18.650312</v>
          </cell>
          <cell r="V3569">
            <v>0</v>
          </cell>
          <cell r="W3569">
            <v>0</v>
          </cell>
          <cell r="X3569">
            <v>0.61678690000000003</v>
          </cell>
          <cell r="Y3569">
            <v>0</v>
          </cell>
          <cell r="Z3569">
            <v>10.223424</v>
          </cell>
          <cell r="AA3569">
            <v>0</v>
          </cell>
          <cell r="AB3569">
            <v>0.56729560000000001</v>
          </cell>
        </row>
        <row r="3570">
          <cell r="A3570">
            <v>58100145</v>
          </cell>
          <cell r="B3570" t="str">
            <v>Burrito with meat, beans, and sour cream, from fast food</v>
          </cell>
          <cell r="I3570">
            <v>140</v>
          </cell>
          <cell r="J3570">
            <v>292.91584</v>
          </cell>
          <cell r="K3570">
            <v>2.0922559999999999</v>
          </cell>
          <cell r="L3570">
            <v>1.7890387000000001</v>
          </cell>
          <cell r="M3570">
            <v>4.4675006000000002</v>
          </cell>
          <cell r="N3570">
            <v>0</v>
          </cell>
          <cell r="O3570">
            <v>0.15953490000000001</v>
          </cell>
          <cell r="P3570">
            <v>3.1940122</v>
          </cell>
          <cell r="Q3570">
            <v>2.7792010999999999</v>
          </cell>
          <cell r="R3570">
            <v>0</v>
          </cell>
          <cell r="S3570">
            <v>43.601694999999999</v>
          </cell>
          <cell r="T3570">
            <v>0</v>
          </cell>
          <cell r="U3570">
            <v>14.474576000000001</v>
          </cell>
          <cell r="V3570">
            <v>0</v>
          </cell>
          <cell r="W3570">
            <v>0</v>
          </cell>
          <cell r="X3570">
            <v>0.71800220000000003</v>
          </cell>
          <cell r="Y3570">
            <v>0</v>
          </cell>
          <cell r="Z3570">
            <v>10.767125999999999</v>
          </cell>
          <cell r="AA3570">
            <v>0</v>
          </cell>
          <cell r="AB3570">
            <v>0.29081010000000002</v>
          </cell>
        </row>
        <row r="3571">
          <cell r="A3571">
            <v>58100160</v>
          </cell>
          <cell r="B3571" t="str">
            <v>Burrito with meat, beans, and rice</v>
          </cell>
          <cell r="I3571">
            <v>140</v>
          </cell>
          <cell r="J3571">
            <v>305.51168999999999</v>
          </cell>
          <cell r="K3571">
            <v>2.1822263571428571</v>
          </cell>
          <cell r="L3571">
            <v>1.8950472</v>
          </cell>
          <cell r="M3571">
            <v>7.6732024000000001</v>
          </cell>
          <cell r="N3571">
            <v>0</v>
          </cell>
          <cell r="O3571">
            <v>0.26788390000000001</v>
          </cell>
          <cell r="P3571">
            <v>1.2149743</v>
          </cell>
          <cell r="Q3571">
            <v>1.7533046000000001</v>
          </cell>
          <cell r="R3571">
            <v>0</v>
          </cell>
          <cell r="S3571">
            <v>26.224361999999999</v>
          </cell>
          <cell r="T3571">
            <v>0</v>
          </cell>
          <cell r="U3571">
            <v>20.116555999999999</v>
          </cell>
          <cell r="V3571">
            <v>0</v>
          </cell>
          <cell r="W3571">
            <v>0</v>
          </cell>
          <cell r="X3571">
            <v>0.65907530000000003</v>
          </cell>
          <cell r="Y3571">
            <v>0</v>
          </cell>
          <cell r="Z3571">
            <v>11.027165999999999</v>
          </cell>
          <cell r="AA3571">
            <v>0</v>
          </cell>
          <cell r="AB3571">
            <v>0.58139649999999998</v>
          </cell>
        </row>
        <row r="3572">
          <cell r="A3572">
            <v>58100165</v>
          </cell>
          <cell r="B3572" t="str">
            <v>Burrito with meat, beans, rice, and sour cream</v>
          </cell>
          <cell r="I3572">
            <v>140</v>
          </cell>
          <cell r="J3572">
            <v>301.92543000000001</v>
          </cell>
          <cell r="K3572">
            <v>2.1566102142857142</v>
          </cell>
          <cell r="L3572">
            <v>1.6550005000000001</v>
          </cell>
          <cell r="M3572">
            <v>8.4994490000000003</v>
          </cell>
          <cell r="N3572">
            <v>0</v>
          </cell>
          <cell r="O3572">
            <v>0.25186209999999998</v>
          </cell>
          <cell r="P3572">
            <v>1.0610728</v>
          </cell>
          <cell r="Q3572">
            <v>1.6730834999999999</v>
          </cell>
          <cell r="R3572">
            <v>0</v>
          </cell>
          <cell r="S3572">
            <v>22.902507</v>
          </cell>
          <cell r="T3572">
            <v>0</v>
          </cell>
          <cell r="U3572">
            <v>17.568380000000001</v>
          </cell>
          <cell r="V3572">
            <v>0</v>
          </cell>
          <cell r="W3572">
            <v>0</v>
          </cell>
          <cell r="X3572">
            <v>0.58108740000000003</v>
          </cell>
          <cell r="Y3572">
            <v>0</v>
          </cell>
          <cell r="Z3572">
            <v>9.6303487000000008</v>
          </cell>
          <cell r="AA3572">
            <v>0</v>
          </cell>
          <cell r="AB3572">
            <v>0.69713130000000001</v>
          </cell>
        </row>
        <row r="3573">
          <cell r="A3573">
            <v>58100200</v>
          </cell>
          <cell r="B3573" t="str">
            <v>Burrito with chicken</v>
          </cell>
          <cell r="I3573">
            <v>140</v>
          </cell>
          <cell r="J3573">
            <v>339.40203000000002</v>
          </cell>
          <cell r="K3573">
            <v>2.4243002142857146</v>
          </cell>
          <cell r="L3573">
            <v>0.36581239999999998</v>
          </cell>
          <cell r="M3573">
            <v>8.6347251000000007</v>
          </cell>
          <cell r="N3573">
            <v>0</v>
          </cell>
          <cell r="O3573">
            <v>0.33755849999999998</v>
          </cell>
          <cell r="P3573">
            <v>1.5371699999999999</v>
          </cell>
          <cell r="Q3573">
            <v>1.7273540999999999</v>
          </cell>
          <cell r="R3573">
            <v>0</v>
          </cell>
          <cell r="S3573">
            <v>0</v>
          </cell>
          <cell r="T3573">
            <v>0</v>
          </cell>
          <cell r="U3573">
            <v>19.253285999999999</v>
          </cell>
          <cell r="V3573">
            <v>0</v>
          </cell>
          <cell r="W3573">
            <v>0</v>
          </cell>
          <cell r="X3573">
            <v>0.81466989999999995</v>
          </cell>
          <cell r="Y3573">
            <v>0</v>
          </cell>
          <cell r="Z3573">
            <v>0</v>
          </cell>
          <cell r="AA3573">
            <v>0</v>
          </cell>
          <cell r="AB3573">
            <v>0.38197530000000002</v>
          </cell>
        </row>
        <row r="3574">
          <cell r="A3574">
            <v>58100220</v>
          </cell>
          <cell r="B3574" t="str">
            <v>Burrito with chicken and beans</v>
          </cell>
          <cell r="I3574">
            <v>140</v>
          </cell>
          <cell r="J3574">
            <v>318.35478999999998</v>
          </cell>
          <cell r="K3574">
            <v>2.2739627857142857</v>
          </cell>
          <cell r="L3574">
            <v>2.1449671000000001</v>
          </cell>
          <cell r="M3574">
            <v>7.6818099000000002</v>
          </cell>
          <cell r="N3574">
            <v>0</v>
          </cell>
          <cell r="O3574">
            <v>0.30785319999999999</v>
          </cell>
          <cell r="P3574">
            <v>1.3599140000000001</v>
          </cell>
          <cell r="Q3574">
            <v>2.0932194000000002</v>
          </cell>
          <cell r="R3574">
            <v>0</v>
          </cell>
          <cell r="S3574">
            <v>30.478484999999999</v>
          </cell>
          <cell r="T3574">
            <v>0</v>
          </cell>
          <cell r="U3574">
            <v>19.507134000000001</v>
          </cell>
          <cell r="V3574">
            <v>0</v>
          </cell>
          <cell r="W3574">
            <v>0</v>
          </cell>
          <cell r="X3574">
            <v>0.76656970000000002</v>
          </cell>
          <cell r="Y3574">
            <v>0</v>
          </cell>
          <cell r="Z3574">
            <v>0</v>
          </cell>
          <cell r="AA3574">
            <v>0</v>
          </cell>
          <cell r="AB3574">
            <v>0.41995719999999997</v>
          </cell>
        </row>
        <row r="3575">
          <cell r="A3575">
            <v>58100235</v>
          </cell>
          <cell r="B3575" t="str">
            <v>Burrito with chicken and sour cream</v>
          </cell>
          <cell r="I3575">
            <v>140</v>
          </cell>
          <cell r="J3575">
            <v>329.44671</v>
          </cell>
          <cell r="K3575">
            <v>2.3531907857142857</v>
          </cell>
          <cell r="L3575">
            <v>0.3072648</v>
          </cell>
          <cell r="M3575">
            <v>9.5247974000000006</v>
          </cell>
          <cell r="N3575">
            <v>0</v>
          </cell>
          <cell r="O3575">
            <v>0.30616369999999998</v>
          </cell>
          <cell r="P3575">
            <v>1.2911486000000001</v>
          </cell>
          <cell r="Q3575">
            <v>1.6301482</v>
          </cell>
          <cell r="R3575">
            <v>0</v>
          </cell>
          <cell r="S3575">
            <v>0</v>
          </cell>
          <cell r="T3575">
            <v>0</v>
          </cell>
          <cell r="U3575">
            <v>16.171831999999998</v>
          </cell>
          <cell r="V3575">
            <v>0</v>
          </cell>
          <cell r="W3575">
            <v>0</v>
          </cell>
          <cell r="X3575">
            <v>0.69122950000000005</v>
          </cell>
          <cell r="Y3575">
            <v>0</v>
          </cell>
          <cell r="Z3575">
            <v>0</v>
          </cell>
          <cell r="AA3575">
            <v>0</v>
          </cell>
          <cell r="AB3575">
            <v>0.67524119999999999</v>
          </cell>
        </row>
        <row r="3576">
          <cell r="A3576">
            <v>58100245</v>
          </cell>
          <cell r="B3576" t="str">
            <v>Burrito with chicken, beans, and sour cream</v>
          </cell>
          <cell r="I3576">
            <v>140</v>
          </cell>
          <cell r="J3576">
            <v>312.41800999999998</v>
          </cell>
          <cell r="K3576">
            <v>2.2315572142857141</v>
          </cell>
          <cell r="L3576">
            <v>1.8355451</v>
          </cell>
          <cell r="M3576">
            <v>8.6215136999999995</v>
          </cell>
          <cell r="N3576">
            <v>0</v>
          </cell>
          <cell r="O3576">
            <v>0.28384150000000002</v>
          </cell>
          <cell r="P3576">
            <v>1.1637398000000001</v>
          </cell>
          <cell r="Q3576">
            <v>1.9528277000000001</v>
          </cell>
          <cell r="R3576">
            <v>0</v>
          </cell>
          <cell r="S3576">
            <v>26.081814000000001</v>
          </cell>
          <cell r="T3576">
            <v>0</v>
          </cell>
          <cell r="U3576">
            <v>16.693134000000001</v>
          </cell>
          <cell r="V3576">
            <v>0</v>
          </cell>
          <cell r="W3576">
            <v>0</v>
          </cell>
          <cell r="X3576">
            <v>0.66224890000000003</v>
          </cell>
          <cell r="Y3576">
            <v>0</v>
          </cell>
          <cell r="Z3576">
            <v>0</v>
          </cell>
          <cell r="AA3576">
            <v>0</v>
          </cell>
          <cell r="AB3576">
            <v>0.43245099999999997</v>
          </cell>
        </row>
        <row r="3577">
          <cell r="A3577">
            <v>58100255</v>
          </cell>
          <cell r="B3577" t="str">
            <v>Burrito with chicken, beans, and rice</v>
          </cell>
          <cell r="I3577">
            <v>140</v>
          </cell>
          <cell r="J3577">
            <v>308.58247</v>
          </cell>
          <cell r="K3577">
            <v>2.2041605</v>
          </cell>
          <cell r="L3577">
            <v>1.9912409</v>
          </cell>
          <cell r="M3577">
            <v>7.1389931999999998</v>
          </cell>
          <cell r="N3577">
            <v>0</v>
          </cell>
          <cell r="O3577">
            <v>0.28679320000000003</v>
          </cell>
          <cell r="P3577">
            <v>1.3025855</v>
          </cell>
          <cell r="Q3577">
            <v>1.9508273</v>
          </cell>
          <cell r="R3577">
            <v>0</v>
          </cell>
          <cell r="S3577">
            <v>28.294142999999998</v>
          </cell>
          <cell r="T3577">
            <v>0</v>
          </cell>
          <cell r="U3577">
            <v>18.109089999999998</v>
          </cell>
          <cell r="V3577">
            <v>0</v>
          </cell>
          <cell r="W3577">
            <v>0</v>
          </cell>
          <cell r="X3577">
            <v>0.71173129999999996</v>
          </cell>
          <cell r="Y3577">
            <v>0</v>
          </cell>
          <cell r="Z3577">
            <v>0</v>
          </cell>
          <cell r="AA3577">
            <v>0</v>
          </cell>
          <cell r="AB3577">
            <v>0.43401260000000003</v>
          </cell>
        </row>
        <row r="3578">
          <cell r="A3578">
            <v>58100260</v>
          </cell>
          <cell r="B3578" t="str">
            <v>Burrito with chicken, beans, rice, and sour cream</v>
          </cell>
          <cell r="I3578">
            <v>140</v>
          </cell>
          <cell r="J3578">
            <v>304.33593999999999</v>
          </cell>
          <cell r="K3578">
            <v>2.1738281428571429</v>
          </cell>
          <cell r="L3578">
            <v>1.7217954</v>
          </cell>
          <cell r="M3578">
            <v>8.0939145000000003</v>
          </cell>
          <cell r="N3578">
            <v>0</v>
          </cell>
          <cell r="O3578">
            <v>0.2671193</v>
          </cell>
          <cell r="P3578">
            <v>1.1263257</v>
          </cell>
          <cell r="Q3578">
            <v>1.8384037</v>
          </cell>
          <cell r="R3578">
            <v>0</v>
          </cell>
          <cell r="S3578">
            <v>24.465510999999999</v>
          </cell>
          <cell r="T3578">
            <v>0</v>
          </cell>
          <cell r="U3578">
            <v>15.658652</v>
          </cell>
          <cell r="V3578">
            <v>0</v>
          </cell>
          <cell r="W3578">
            <v>0</v>
          </cell>
          <cell r="X3578">
            <v>0.62129579999999995</v>
          </cell>
          <cell r="Y3578">
            <v>0</v>
          </cell>
          <cell r="Z3578">
            <v>0</v>
          </cell>
          <cell r="AA3578">
            <v>0</v>
          </cell>
          <cell r="AB3578">
            <v>0.58989159999999996</v>
          </cell>
        </row>
        <row r="3579">
          <cell r="A3579">
            <v>58100300</v>
          </cell>
          <cell r="B3579" t="str">
            <v>Burrito with beans and rice, meatless</v>
          </cell>
          <cell r="I3579">
            <v>140</v>
          </cell>
          <cell r="J3579">
            <v>293.91318000000001</v>
          </cell>
          <cell r="K3579">
            <v>2.099379857142857</v>
          </cell>
          <cell r="L3579">
            <v>3.3260014999999998</v>
          </cell>
          <cell r="M3579">
            <v>6.4845461000000002</v>
          </cell>
          <cell r="N3579">
            <v>0</v>
          </cell>
          <cell r="O3579">
            <v>0.26679229999999998</v>
          </cell>
          <cell r="P3579">
            <v>1.1766287</v>
          </cell>
          <cell r="Q3579">
            <v>2.2360196000000001</v>
          </cell>
          <cell r="R3579">
            <v>0</v>
          </cell>
          <cell r="S3579">
            <v>51.116337999999999</v>
          </cell>
          <cell r="T3579">
            <v>0</v>
          </cell>
          <cell r="U3579">
            <v>18.432597999999999</v>
          </cell>
          <cell r="V3579">
            <v>0</v>
          </cell>
          <cell r="W3579">
            <v>0</v>
          </cell>
          <cell r="X3579">
            <v>0.68135000000000001</v>
          </cell>
          <cell r="Y3579">
            <v>0</v>
          </cell>
          <cell r="Z3579">
            <v>0</v>
          </cell>
          <cell r="AA3579">
            <v>0</v>
          </cell>
          <cell r="AB3579">
            <v>0.38463120000000001</v>
          </cell>
        </row>
        <row r="3580">
          <cell r="A3580">
            <v>58100320</v>
          </cell>
          <cell r="B3580" t="str">
            <v>Burrito with beans, meatless</v>
          </cell>
          <cell r="I3580">
            <v>140</v>
          </cell>
          <cell r="J3580">
            <v>301.65973000000002</v>
          </cell>
          <cell r="K3580">
            <v>2.1547123571428575</v>
          </cell>
          <cell r="L3580">
            <v>3.556225</v>
          </cell>
          <cell r="M3580">
            <v>6.9259401</v>
          </cell>
          <cell r="N3580">
            <v>0</v>
          </cell>
          <cell r="O3580">
            <v>0.2842904</v>
          </cell>
          <cell r="P3580">
            <v>1.2193113</v>
          </cell>
          <cell r="Q3580">
            <v>2.3834303999999999</v>
          </cell>
          <cell r="R3580">
            <v>0</v>
          </cell>
          <cell r="S3580">
            <v>54.654575999999999</v>
          </cell>
          <cell r="T3580">
            <v>0</v>
          </cell>
          <cell r="U3580">
            <v>19.708490000000001</v>
          </cell>
          <cell r="V3580">
            <v>0</v>
          </cell>
          <cell r="W3580">
            <v>0</v>
          </cell>
          <cell r="X3580">
            <v>0.7284157</v>
          </cell>
          <cell r="Y3580">
            <v>0</v>
          </cell>
          <cell r="Z3580">
            <v>0</v>
          </cell>
          <cell r="AA3580">
            <v>0</v>
          </cell>
          <cell r="AB3580">
            <v>0.48710940000000003</v>
          </cell>
        </row>
        <row r="3581">
          <cell r="A3581">
            <v>58100325</v>
          </cell>
          <cell r="B3581" t="str">
            <v>Burrito with beans, meatless, from fast food</v>
          </cell>
          <cell r="I3581">
            <v>140</v>
          </cell>
          <cell r="J3581">
            <v>287</v>
          </cell>
          <cell r="K3581">
            <v>2.0499999999999998</v>
          </cell>
          <cell r="L3581">
            <v>2.1110655999999999</v>
          </cell>
          <cell r="M3581">
            <v>3.2326000000000001</v>
          </cell>
          <cell r="N3581">
            <v>0</v>
          </cell>
          <cell r="O3581">
            <v>0.1736</v>
          </cell>
          <cell r="P3581">
            <v>3.7689344</v>
          </cell>
          <cell r="Q3581">
            <v>3.1206</v>
          </cell>
          <cell r="R3581">
            <v>0</v>
          </cell>
          <cell r="S3581">
            <v>51.45</v>
          </cell>
          <cell r="T3581">
            <v>0</v>
          </cell>
          <cell r="U3581">
            <v>17.079999999999998</v>
          </cell>
          <cell r="V3581">
            <v>0</v>
          </cell>
          <cell r="W3581">
            <v>0</v>
          </cell>
          <cell r="X3581">
            <v>0.78820000000000001</v>
          </cell>
          <cell r="Y3581">
            <v>0</v>
          </cell>
          <cell r="Z3581">
            <v>0</v>
          </cell>
          <cell r="AA3581">
            <v>0</v>
          </cell>
          <cell r="AB3581">
            <v>0.1484</v>
          </cell>
        </row>
        <row r="3582">
          <cell r="A3582">
            <v>58100330</v>
          </cell>
          <cell r="B3582" t="str">
            <v>Burrito with beans, rice, and sour cream, meatless</v>
          </cell>
          <cell r="I3582">
            <v>140</v>
          </cell>
          <cell r="J3582">
            <v>291.84323000000001</v>
          </cell>
          <cell r="K3582">
            <v>2.0845945000000001</v>
          </cell>
          <cell r="L3582">
            <v>2.9140720999999998</v>
          </cell>
          <cell r="M3582">
            <v>7.4396192000000001</v>
          </cell>
          <cell r="N3582">
            <v>0</v>
          </cell>
          <cell r="O3582">
            <v>0.25126229999999999</v>
          </cell>
          <cell r="P3582">
            <v>1.0309018000000001</v>
          </cell>
          <cell r="Q3582">
            <v>2.0977991999999999</v>
          </cell>
          <cell r="R3582">
            <v>0</v>
          </cell>
          <cell r="S3582">
            <v>44.785516000000001</v>
          </cell>
          <cell r="T3582">
            <v>0</v>
          </cell>
          <cell r="U3582">
            <v>16.149698000000001</v>
          </cell>
          <cell r="V3582">
            <v>0</v>
          </cell>
          <cell r="W3582">
            <v>0</v>
          </cell>
          <cell r="X3582">
            <v>0.60233910000000002</v>
          </cell>
          <cell r="Y3582">
            <v>0</v>
          </cell>
          <cell r="Z3582">
            <v>0</v>
          </cell>
          <cell r="AA3582">
            <v>0</v>
          </cell>
          <cell r="AB3582">
            <v>0.50259390000000004</v>
          </cell>
        </row>
        <row r="3583">
          <cell r="A3583">
            <v>58100360</v>
          </cell>
          <cell r="B3583" t="str">
            <v>Chilaquiles, tortilla casserole with salsa, cheese, and egg</v>
          </cell>
          <cell r="I3583">
            <v>232</v>
          </cell>
          <cell r="J3583">
            <v>567.14058</v>
          </cell>
          <cell r="K3583">
            <v>2.4445714655172415</v>
          </cell>
          <cell r="L3583">
            <v>1.0771287</v>
          </cell>
          <cell r="M3583">
            <v>12.798662999999999</v>
          </cell>
          <cell r="N3583">
            <v>0</v>
          </cell>
          <cell r="O3583">
            <v>0.31067640000000002</v>
          </cell>
          <cell r="P3583">
            <v>4.3178134999999997</v>
          </cell>
          <cell r="Q3583">
            <v>7.5890978999999996</v>
          </cell>
          <cell r="R3583">
            <v>0</v>
          </cell>
          <cell r="S3583">
            <v>0</v>
          </cell>
          <cell r="T3583">
            <v>0</v>
          </cell>
          <cell r="U3583">
            <v>93.836489999999998</v>
          </cell>
          <cell r="V3583">
            <v>0</v>
          </cell>
          <cell r="W3583">
            <v>0</v>
          </cell>
          <cell r="X3583">
            <v>0.78439159999999997</v>
          </cell>
          <cell r="Y3583">
            <v>0</v>
          </cell>
          <cell r="Z3583">
            <v>0</v>
          </cell>
          <cell r="AA3583">
            <v>0</v>
          </cell>
          <cell r="AB3583">
            <v>0.99286839999999998</v>
          </cell>
        </row>
        <row r="3584">
          <cell r="A3584">
            <v>58100370</v>
          </cell>
          <cell r="B3584" t="str">
            <v>Chilaquiles, tortilla casserole with salsa and cheese, no egg</v>
          </cell>
          <cell r="I3584">
            <v>232</v>
          </cell>
          <cell r="J3584">
            <v>590.20723999999996</v>
          </cell>
          <cell r="K3584">
            <v>2.5439967241379309</v>
          </cell>
          <cell r="L3584">
            <v>1.2703753</v>
          </cell>
          <cell r="M3584">
            <v>13.524647</v>
          </cell>
          <cell r="N3584">
            <v>0</v>
          </cell>
          <cell r="O3584">
            <v>0.34466839999999999</v>
          </cell>
          <cell r="P3584">
            <v>5.0924677999999997</v>
          </cell>
          <cell r="Q3584">
            <v>7.1252469999999999</v>
          </cell>
          <cell r="R3584">
            <v>0</v>
          </cell>
          <cell r="S3584">
            <v>0</v>
          </cell>
          <cell r="T3584">
            <v>0</v>
          </cell>
          <cell r="U3584">
            <v>110.67158999999999</v>
          </cell>
          <cell r="V3584">
            <v>0</v>
          </cell>
          <cell r="W3584">
            <v>0</v>
          </cell>
          <cell r="X3584">
            <v>0.75767229999999997</v>
          </cell>
          <cell r="Y3584">
            <v>0</v>
          </cell>
          <cell r="Z3584">
            <v>0</v>
          </cell>
          <cell r="AA3584">
            <v>0</v>
          </cell>
          <cell r="AB3584">
            <v>1.0184169000000001</v>
          </cell>
        </row>
        <row r="3585">
          <cell r="A3585">
            <v>58100520</v>
          </cell>
          <cell r="B3585" t="str">
            <v>Enchilada with meat and beans, red-chile or enchilada sauce</v>
          </cell>
          <cell r="I3585">
            <v>140</v>
          </cell>
          <cell r="J3585">
            <v>170.09249</v>
          </cell>
          <cell r="K3585">
            <v>1.2149463571428571</v>
          </cell>
          <cell r="L3585">
            <v>1.9392445</v>
          </cell>
          <cell r="M3585">
            <v>2.6255006999999999</v>
          </cell>
          <cell r="N3585">
            <v>0</v>
          </cell>
          <cell r="O3585">
            <v>0.10633570000000001</v>
          </cell>
          <cell r="P3585">
            <v>1.2559552</v>
          </cell>
          <cell r="Q3585">
            <v>1.8349108000000001</v>
          </cell>
          <cell r="R3585">
            <v>0</v>
          </cell>
          <cell r="S3585">
            <v>18.505068000000001</v>
          </cell>
          <cell r="T3585">
            <v>0</v>
          </cell>
          <cell r="U3585">
            <v>79.447742000000005</v>
          </cell>
          <cell r="V3585">
            <v>0</v>
          </cell>
          <cell r="W3585">
            <v>0</v>
          </cell>
          <cell r="X3585">
            <v>0.40686460000000002</v>
          </cell>
          <cell r="Y3585">
            <v>0</v>
          </cell>
          <cell r="Z3585">
            <v>10.545745999999999</v>
          </cell>
          <cell r="AA3585">
            <v>0</v>
          </cell>
          <cell r="AB3585">
            <v>0.28199109999999999</v>
          </cell>
        </row>
        <row r="3586">
          <cell r="A3586">
            <v>58100525</v>
          </cell>
          <cell r="B3586" t="str">
            <v>Enchilada with meat and beans, green-chile or enchilada sauce</v>
          </cell>
          <cell r="I3586">
            <v>140</v>
          </cell>
          <cell r="J3586">
            <v>192.56735</v>
          </cell>
          <cell r="K3586">
            <v>1.3754810714285715</v>
          </cell>
          <cell r="L3586">
            <v>2.1059725999999999</v>
          </cell>
          <cell r="M3586">
            <v>3.0252691999999999</v>
          </cell>
          <cell r="N3586">
            <v>0</v>
          </cell>
          <cell r="O3586">
            <v>9.6893900000000005E-2</v>
          </cell>
          <cell r="P3586">
            <v>1.3422955000000001</v>
          </cell>
          <cell r="Q3586">
            <v>2.6173568</v>
          </cell>
          <cell r="R3586">
            <v>0</v>
          </cell>
          <cell r="S3586">
            <v>19.777193</v>
          </cell>
          <cell r="T3586">
            <v>4.4032973999999996</v>
          </cell>
          <cell r="U3586">
            <v>52.598382999999998</v>
          </cell>
          <cell r="V3586">
            <v>0</v>
          </cell>
          <cell r="W3586">
            <v>0</v>
          </cell>
          <cell r="X3586">
            <v>0.26096819999999998</v>
          </cell>
          <cell r="Y3586">
            <v>0</v>
          </cell>
          <cell r="Z3586">
            <v>11.270709999999999</v>
          </cell>
          <cell r="AA3586">
            <v>0</v>
          </cell>
          <cell r="AB3586">
            <v>0.19417319999999999</v>
          </cell>
        </row>
        <row r="3587">
          <cell r="A3587">
            <v>58100530</v>
          </cell>
          <cell r="B3587" t="str">
            <v>Enchilada with meat, red-chile or enchilada sauce</v>
          </cell>
          <cell r="I3587">
            <v>140</v>
          </cell>
          <cell r="J3587">
            <v>181.42026000000001</v>
          </cell>
          <cell r="K3587">
            <v>1.2958590000000001</v>
          </cell>
          <cell r="L3587">
            <v>0.89673049999999999</v>
          </cell>
          <cell r="M3587">
            <v>3.2193035000000001</v>
          </cell>
          <cell r="N3587">
            <v>0</v>
          </cell>
          <cell r="O3587">
            <v>0.1082215</v>
          </cell>
          <cell r="P3587">
            <v>1.35137</v>
          </cell>
          <cell r="Q3587">
            <v>1.5443619</v>
          </cell>
          <cell r="R3587">
            <v>0</v>
          </cell>
          <cell r="S3587">
            <v>0</v>
          </cell>
          <cell r="T3587">
            <v>0</v>
          </cell>
          <cell r="U3587">
            <v>83.867165</v>
          </cell>
          <cell r="V3587">
            <v>0</v>
          </cell>
          <cell r="W3587">
            <v>0</v>
          </cell>
          <cell r="X3587">
            <v>0.4132864</v>
          </cell>
          <cell r="Y3587">
            <v>0</v>
          </cell>
          <cell r="Z3587">
            <v>22.693809000000002</v>
          </cell>
          <cell r="AA3587">
            <v>0</v>
          </cell>
          <cell r="AB3587">
            <v>0.3645835</v>
          </cell>
        </row>
        <row r="3588">
          <cell r="A3588">
            <v>58100535</v>
          </cell>
          <cell r="B3588" t="str">
            <v>Enchilada with meat, green-chile or enchilada sauce</v>
          </cell>
          <cell r="I3588">
            <v>140</v>
          </cell>
          <cell r="J3588">
            <v>206.57177999999999</v>
          </cell>
          <cell r="K3588">
            <v>1.4755127142857143</v>
          </cell>
          <cell r="L3588">
            <v>0.9995501</v>
          </cell>
          <cell r="M3588">
            <v>3.6958530000000001</v>
          </cell>
          <cell r="N3588">
            <v>0</v>
          </cell>
          <cell r="O3588">
            <v>9.8149299999999995E-2</v>
          </cell>
          <cell r="P3588">
            <v>1.4518519000000001</v>
          </cell>
          <cell r="Q3588">
            <v>2.3690661999999998</v>
          </cell>
          <cell r="R3588">
            <v>0</v>
          </cell>
          <cell r="S3588">
            <v>0</v>
          </cell>
          <cell r="T3588">
            <v>4.7626885999999997</v>
          </cell>
          <cell r="U3588">
            <v>55.155006999999998</v>
          </cell>
          <cell r="V3588">
            <v>0</v>
          </cell>
          <cell r="W3588">
            <v>0</v>
          </cell>
          <cell r="X3588">
            <v>0.25595970000000001</v>
          </cell>
          <cell r="Y3588">
            <v>0</v>
          </cell>
          <cell r="Z3588">
            <v>24.381219999999999</v>
          </cell>
          <cell r="AA3588">
            <v>0</v>
          </cell>
          <cell r="AB3588">
            <v>0.25115769999999998</v>
          </cell>
        </row>
        <row r="3589">
          <cell r="A3589">
            <v>58100620</v>
          </cell>
          <cell r="B3589" t="str">
            <v>Enchilada with chicken and beans, red-chile or enchilada sauce</v>
          </cell>
          <cell r="I3589">
            <v>195</v>
          </cell>
          <cell r="J3589">
            <v>223.547</v>
          </cell>
          <cell r="K3589">
            <v>1.1463948717948718</v>
          </cell>
          <cell r="L3589">
            <v>2.6994888000000001</v>
          </cell>
          <cell r="M3589">
            <v>3.1084396999999999</v>
          </cell>
          <cell r="N3589">
            <v>0</v>
          </cell>
          <cell r="O3589">
            <v>0.14824209999999999</v>
          </cell>
          <cell r="P3589">
            <v>1.7483289</v>
          </cell>
          <cell r="Q3589">
            <v>2.6329275000000001</v>
          </cell>
          <cell r="R3589">
            <v>0</v>
          </cell>
          <cell r="S3589">
            <v>25.759632</v>
          </cell>
          <cell r="T3589">
            <v>0</v>
          </cell>
          <cell r="U3589">
            <v>110.59374</v>
          </cell>
          <cell r="V3589">
            <v>0</v>
          </cell>
          <cell r="W3589">
            <v>0</v>
          </cell>
          <cell r="X3589">
            <v>0.55930449999999998</v>
          </cell>
          <cell r="Y3589">
            <v>0</v>
          </cell>
          <cell r="Z3589">
            <v>0</v>
          </cell>
          <cell r="AA3589">
            <v>0</v>
          </cell>
          <cell r="AB3589">
            <v>0.28122380000000002</v>
          </cell>
        </row>
        <row r="3590">
          <cell r="A3590">
            <v>58100625</v>
          </cell>
          <cell r="B3590" t="str">
            <v>Enchilada with chicken and beans, green-chile or enchilada sauce</v>
          </cell>
          <cell r="I3590">
            <v>195</v>
          </cell>
          <cell r="J3590">
            <v>253.91307</v>
          </cell>
          <cell r="K3590">
            <v>1.3021183076923077</v>
          </cell>
          <cell r="L3590">
            <v>2.9314600999999998</v>
          </cell>
          <cell r="M3590">
            <v>3.6272240999999998</v>
          </cell>
          <cell r="N3590">
            <v>0</v>
          </cell>
          <cell r="O3590">
            <v>0.13510829999999999</v>
          </cell>
          <cell r="P3590">
            <v>1.8684411000000001</v>
          </cell>
          <cell r="Q3590">
            <v>3.7273733</v>
          </cell>
          <cell r="R3590">
            <v>0</v>
          </cell>
          <cell r="S3590">
            <v>27.529347999999999</v>
          </cell>
          <cell r="T3590">
            <v>6.1292776</v>
          </cell>
          <cell r="U3590">
            <v>73.215605999999994</v>
          </cell>
          <cell r="V3590">
            <v>0</v>
          </cell>
          <cell r="W3590">
            <v>0</v>
          </cell>
          <cell r="X3590">
            <v>0.35571209999999998</v>
          </cell>
          <cell r="Y3590">
            <v>0</v>
          </cell>
          <cell r="Z3590">
            <v>0</v>
          </cell>
          <cell r="AA3590">
            <v>0</v>
          </cell>
          <cell r="AB3590">
            <v>0.2094203</v>
          </cell>
        </row>
        <row r="3591">
          <cell r="A3591">
            <v>58100630</v>
          </cell>
          <cell r="B3591" t="str">
            <v>Enchilada with chicken, red-chile or enchilada sauce</v>
          </cell>
          <cell r="I3591">
            <v>195</v>
          </cell>
          <cell r="J3591">
            <v>223.92590000000001</v>
          </cell>
          <cell r="K3591">
            <v>1.1483379487179488</v>
          </cell>
          <cell r="L3591">
            <v>1.2474247999999999</v>
          </cell>
          <cell r="M3591">
            <v>3.3034252999999998</v>
          </cell>
          <cell r="N3591">
            <v>0</v>
          </cell>
          <cell r="O3591">
            <v>0.1510166</v>
          </cell>
          <cell r="P3591">
            <v>1.8798651</v>
          </cell>
          <cell r="Q3591">
            <v>2.3175195</v>
          </cell>
          <cell r="R3591">
            <v>0</v>
          </cell>
          <cell r="S3591">
            <v>0</v>
          </cell>
          <cell r="T3591">
            <v>0</v>
          </cell>
          <cell r="U3591">
            <v>116.66602</v>
          </cell>
          <cell r="V3591">
            <v>0</v>
          </cell>
          <cell r="W3591">
            <v>0</v>
          </cell>
          <cell r="X3591">
            <v>0.55972460000000002</v>
          </cell>
          <cell r="Y3591">
            <v>0</v>
          </cell>
          <cell r="Z3591">
            <v>0</v>
          </cell>
          <cell r="AA3591">
            <v>0</v>
          </cell>
          <cell r="AB3591">
            <v>0.33896510000000002</v>
          </cell>
        </row>
        <row r="3592">
          <cell r="A3592">
            <v>58100635</v>
          </cell>
          <cell r="B3592" t="str">
            <v>Enchilada with chicken, green-chile or enchilada sauce</v>
          </cell>
          <cell r="I3592">
            <v>195</v>
          </cell>
          <cell r="J3592">
            <v>256.77434</v>
          </cell>
          <cell r="K3592">
            <v>1.3167914871794872</v>
          </cell>
          <cell r="L3592">
            <v>1.3903232999999999</v>
          </cell>
          <cell r="M3592">
            <v>3.8786173000000002</v>
          </cell>
          <cell r="N3592">
            <v>0</v>
          </cell>
          <cell r="O3592">
            <v>0.13702739999999999</v>
          </cell>
          <cell r="P3592">
            <v>2.0194521000000001</v>
          </cell>
          <cell r="Q3592">
            <v>3.4770002999999998</v>
          </cell>
          <cell r="R3592">
            <v>0</v>
          </cell>
          <cell r="S3592">
            <v>0</v>
          </cell>
          <cell r="T3592">
            <v>6.6246574999999996</v>
          </cell>
          <cell r="U3592">
            <v>76.717808000000005</v>
          </cell>
          <cell r="V3592">
            <v>0</v>
          </cell>
          <cell r="W3592">
            <v>0</v>
          </cell>
          <cell r="X3592">
            <v>0.33970869999999997</v>
          </cell>
          <cell r="Y3592">
            <v>0</v>
          </cell>
          <cell r="Z3592">
            <v>0</v>
          </cell>
          <cell r="AA3592">
            <v>0</v>
          </cell>
          <cell r="AB3592">
            <v>0.19640949999999999</v>
          </cell>
        </row>
        <row r="3593">
          <cell r="A3593">
            <v>58100720</v>
          </cell>
          <cell r="B3593" t="str">
            <v>Enchilada with beans, meatless, red-chile or enchilada sauce</v>
          </cell>
          <cell r="I3593">
            <v>140</v>
          </cell>
          <cell r="J3593">
            <v>160.25883999999999</v>
          </cell>
          <cell r="K3593">
            <v>1.144706</v>
          </cell>
          <cell r="L3593">
            <v>2.8442517999999999</v>
          </cell>
          <cell r="M3593">
            <v>2.11002</v>
          </cell>
          <cell r="N3593">
            <v>0</v>
          </cell>
          <cell r="O3593">
            <v>0.10469870000000001</v>
          </cell>
          <cell r="P3593">
            <v>1.1731256000000001</v>
          </cell>
          <cell r="Q3593">
            <v>2.0871366</v>
          </cell>
          <cell r="R3593">
            <v>0</v>
          </cell>
          <cell r="S3593">
            <v>34.569335000000002</v>
          </cell>
          <cell r="T3593">
            <v>0</v>
          </cell>
          <cell r="U3593">
            <v>75.611236000000005</v>
          </cell>
          <cell r="V3593">
            <v>0</v>
          </cell>
          <cell r="W3593">
            <v>0</v>
          </cell>
          <cell r="X3593">
            <v>0.40128979999999997</v>
          </cell>
          <cell r="Y3593">
            <v>0</v>
          </cell>
          <cell r="Z3593">
            <v>0</v>
          </cell>
          <cell r="AA3593">
            <v>0</v>
          </cell>
          <cell r="AB3593">
            <v>0.18511169999999999</v>
          </cell>
        </row>
        <row r="3594">
          <cell r="A3594">
            <v>58100725</v>
          </cell>
          <cell r="B3594" t="str">
            <v>Enchilada with beans, green-chile or enchilada sauce</v>
          </cell>
          <cell r="I3594">
            <v>195</v>
          </cell>
          <cell r="J3594">
            <v>251.44995</v>
          </cell>
          <cell r="K3594">
            <v>1.289486923076923</v>
          </cell>
          <cell r="L3594">
            <v>4.2581462999999999</v>
          </cell>
          <cell r="M3594">
            <v>3.4108125999999999</v>
          </cell>
          <cell r="N3594">
            <v>0</v>
          </cell>
          <cell r="O3594">
            <v>0.1334562</v>
          </cell>
          <cell r="P3594">
            <v>1.7384434</v>
          </cell>
          <cell r="Q3594">
            <v>3.9429066000000002</v>
          </cell>
          <cell r="R3594">
            <v>0</v>
          </cell>
          <cell r="S3594">
            <v>51.227961000000001</v>
          </cell>
          <cell r="T3594">
            <v>5.7028302000000002</v>
          </cell>
          <cell r="U3594">
            <v>70.200738999999999</v>
          </cell>
          <cell r="V3594">
            <v>0</v>
          </cell>
          <cell r="W3594">
            <v>0</v>
          </cell>
          <cell r="X3594">
            <v>0.3694886</v>
          </cell>
          <cell r="Y3594">
            <v>0</v>
          </cell>
          <cell r="Z3594">
            <v>0</v>
          </cell>
          <cell r="AA3594">
            <v>0</v>
          </cell>
          <cell r="AB3594">
            <v>0.21721119999999999</v>
          </cell>
        </row>
        <row r="3595">
          <cell r="A3595">
            <v>58100800</v>
          </cell>
          <cell r="B3595" t="str">
            <v>Enchilada, just cheese, meatless, no beans, red-chile or enchilada sauce</v>
          </cell>
          <cell r="I3595">
            <v>140</v>
          </cell>
          <cell r="J3595">
            <v>205.30240000000001</v>
          </cell>
          <cell r="K3595">
            <v>1.4664457142857144</v>
          </cell>
          <cell r="L3595">
            <v>0.9214369</v>
          </cell>
          <cell r="M3595">
            <v>5.9851640000000002</v>
          </cell>
          <cell r="N3595">
            <v>0</v>
          </cell>
          <cell r="O3595">
            <v>0.25908150000000002</v>
          </cell>
          <cell r="P3595">
            <v>1.3886023999999999</v>
          </cell>
          <cell r="Q3595">
            <v>1.7202820000000001</v>
          </cell>
          <cell r="R3595">
            <v>0</v>
          </cell>
          <cell r="S3595">
            <v>0</v>
          </cell>
          <cell r="T3595">
            <v>0</v>
          </cell>
          <cell r="U3595">
            <v>86.177842999999996</v>
          </cell>
          <cell r="V3595">
            <v>0</v>
          </cell>
          <cell r="W3595">
            <v>0</v>
          </cell>
          <cell r="X3595">
            <v>0.45791349999999997</v>
          </cell>
          <cell r="Y3595">
            <v>0</v>
          </cell>
          <cell r="Z3595">
            <v>0</v>
          </cell>
          <cell r="AA3595">
            <v>0</v>
          </cell>
          <cell r="AB3595">
            <v>0.54612709999999998</v>
          </cell>
        </row>
        <row r="3596">
          <cell r="A3596">
            <v>58100805</v>
          </cell>
          <cell r="B3596" t="str">
            <v>Enchilada, just cheese, meatless, no beans, green-chile or enchilada sauce</v>
          </cell>
          <cell r="I3596">
            <v>140</v>
          </cell>
          <cell r="J3596">
            <v>233.02838</v>
          </cell>
          <cell r="K3596">
            <v>1.6644884285714285</v>
          </cell>
          <cell r="L3596">
            <v>1.0291977000000001</v>
          </cell>
          <cell r="M3596">
            <v>6.6876056000000004</v>
          </cell>
          <cell r="N3596">
            <v>0</v>
          </cell>
          <cell r="O3596">
            <v>0.26026050000000001</v>
          </cell>
          <cell r="P3596">
            <v>1.4949152999999999</v>
          </cell>
          <cell r="Q3596">
            <v>2.5829165000000001</v>
          </cell>
          <cell r="R3596">
            <v>0</v>
          </cell>
          <cell r="S3596">
            <v>0</v>
          </cell>
          <cell r="T3596">
            <v>4.9039548000000002</v>
          </cell>
          <cell r="U3596">
            <v>56.790959999999998</v>
          </cell>
          <cell r="V3596">
            <v>0</v>
          </cell>
          <cell r="W3596">
            <v>0</v>
          </cell>
          <cell r="X3596">
            <v>0.29933700000000002</v>
          </cell>
          <cell r="Y3596">
            <v>0</v>
          </cell>
          <cell r="Z3596">
            <v>0</v>
          </cell>
          <cell r="AA3596">
            <v>0</v>
          </cell>
          <cell r="AB3596">
            <v>0.43943179999999998</v>
          </cell>
        </row>
        <row r="3597">
          <cell r="A3597">
            <v>58101320</v>
          </cell>
          <cell r="B3597" t="str">
            <v>Taco or tostada with meat</v>
          </cell>
          <cell r="I3597">
            <v>140</v>
          </cell>
          <cell r="J3597">
            <v>310.54676999999998</v>
          </cell>
          <cell r="K3597">
            <v>2.2181912142857141</v>
          </cell>
          <cell r="L3597">
            <v>1.0746020000000001</v>
          </cell>
          <cell r="M3597">
            <v>6.4975189000000002</v>
          </cell>
          <cell r="N3597">
            <v>0</v>
          </cell>
          <cell r="O3597">
            <v>0.1283098</v>
          </cell>
          <cell r="P3597">
            <v>2.2901384</v>
          </cell>
          <cell r="Q3597">
            <v>3.1154814000000002</v>
          </cell>
          <cell r="R3597">
            <v>0</v>
          </cell>
          <cell r="S3597">
            <v>0</v>
          </cell>
          <cell r="T3597">
            <v>0</v>
          </cell>
          <cell r="U3597">
            <v>64.632915999999994</v>
          </cell>
          <cell r="V3597">
            <v>0</v>
          </cell>
          <cell r="W3597">
            <v>0</v>
          </cell>
          <cell r="X3597">
            <v>0.68877390000000005</v>
          </cell>
          <cell r="Y3597">
            <v>0</v>
          </cell>
          <cell r="Z3597">
            <v>28.128086</v>
          </cell>
          <cell r="AA3597">
            <v>0</v>
          </cell>
          <cell r="AB3597">
            <v>0.69785520000000001</v>
          </cell>
        </row>
        <row r="3598">
          <cell r="A3598">
            <v>58101323</v>
          </cell>
          <cell r="B3598" t="str">
            <v>Taco or tostada with meat, from fast food</v>
          </cell>
          <cell r="I3598">
            <v>140</v>
          </cell>
          <cell r="J3598">
            <v>316.39999999999998</v>
          </cell>
          <cell r="K3598">
            <v>2.2599999999999998</v>
          </cell>
          <cell r="L3598">
            <v>1.6308936000000001</v>
          </cell>
          <cell r="M3598">
            <v>6.1375999999999999</v>
          </cell>
          <cell r="N3598">
            <v>0</v>
          </cell>
          <cell r="O3598">
            <v>0.1246</v>
          </cell>
          <cell r="P3598">
            <v>3.8291064000000001</v>
          </cell>
          <cell r="Q3598">
            <v>4.2587999999999999</v>
          </cell>
          <cell r="R3598">
            <v>0</v>
          </cell>
          <cell r="S3598">
            <v>0</v>
          </cell>
          <cell r="T3598">
            <v>0</v>
          </cell>
          <cell r="U3598">
            <v>47.74</v>
          </cell>
          <cell r="V3598">
            <v>0</v>
          </cell>
          <cell r="W3598">
            <v>0</v>
          </cell>
          <cell r="X3598">
            <v>0.55579999999999996</v>
          </cell>
          <cell r="Y3598">
            <v>0</v>
          </cell>
          <cell r="Z3598">
            <v>40.880699999999997</v>
          </cell>
          <cell r="AA3598">
            <v>0</v>
          </cell>
          <cell r="AB3598">
            <v>0.65380000000000005</v>
          </cell>
        </row>
        <row r="3599">
          <cell r="A3599">
            <v>58101325</v>
          </cell>
          <cell r="B3599" t="str">
            <v>Taco or tostada with meat and sour cream</v>
          </cell>
          <cell r="I3599">
            <v>140</v>
          </cell>
          <cell r="J3599">
            <v>306.20314999999999</v>
          </cell>
          <cell r="K3599">
            <v>2.1871653571428573</v>
          </cell>
          <cell r="L3599">
            <v>0.93462829999999997</v>
          </cell>
          <cell r="M3599">
            <v>7.5002943000000002</v>
          </cell>
          <cell r="N3599">
            <v>0</v>
          </cell>
          <cell r="O3599">
            <v>0.13001489999999999</v>
          </cell>
          <cell r="P3599">
            <v>1.9918335</v>
          </cell>
          <cell r="Q3599">
            <v>2.8555575000000002</v>
          </cell>
          <cell r="R3599">
            <v>0</v>
          </cell>
          <cell r="S3599">
            <v>0</v>
          </cell>
          <cell r="T3599">
            <v>0</v>
          </cell>
          <cell r="U3599">
            <v>56.214072999999999</v>
          </cell>
          <cell r="V3599">
            <v>0</v>
          </cell>
          <cell r="W3599">
            <v>0</v>
          </cell>
          <cell r="X3599">
            <v>0.60470990000000002</v>
          </cell>
          <cell r="Y3599">
            <v>0</v>
          </cell>
          <cell r="Z3599">
            <v>24.464227000000001</v>
          </cell>
          <cell r="AA3599">
            <v>0</v>
          </cell>
          <cell r="AB3599">
            <v>0.79857239999999996</v>
          </cell>
        </row>
        <row r="3600">
          <cell r="A3600">
            <v>58101345</v>
          </cell>
          <cell r="B3600" t="str">
            <v>Soft taco with meat</v>
          </cell>
          <cell r="I3600">
            <v>140</v>
          </cell>
          <cell r="J3600">
            <v>278.40080999999998</v>
          </cell>
          <cell r="K3600">
            <v>1.9885772142857141</v>
          </cell>
          <cell r="L3600">
            <v>0.94859610000000005</v>
          </cell>
          <cell r="M3600">
            <v>5.0851654999999996</v>
          </cell>
          <cell r="N3600">
            <v>0</v>
          </cell>
          <cell r="O3600">
            <v>0.14966960000000001</v>
          </cell>
          <cell r="P3600">
            <v>1.7309384000000001</v>
          </cell>
          <cell r="Q3600">
            <v>2.2595158</v>
          </cell>
          <cell r="R3600">
            <v>0</v>
          </cell>
          <cell r="S3600">
            <v>0</v>
          </cell>
          <cell r="T3600">
            <v>0</v>
          </cell>
          <cell r="U3600">
            <v>57.054174000000003</v>
          </cell>
          <cell r="V3600">
            <v>0</v>
          </cell>
          <cell r="W3600">
            <v>0</v>
          </cell>
          <cell r="X3600">
            <v>0.84023040000000004</v>
          </cell>
          <cell r="Y3600">
            <v>0</v>
          </cell>
          <cell r="Z3600">
            <v>24.829837000000001</v>
          </cell>
          <cell r="AA3600">
            <v>0</v>
          </cell>
          <cell r="AB3600">
            <v>0.52321799999999996</v>
          </cell>
        </row>
        <row r="3601">
          <cell r="A3601">
            <v>58101347</v>
          </cell>
          <cell r="B3601" t="str">
            <v>Soft taco with meat, from fast food</v>
          </cell>
          <cell r="I3601">
            <v>140</v>
          </cell>
          <cell r="J3601">
            <v>288.39999999999998</v>
          </cell>
          <cell r="K3601">
            <v>2.06</v>
          </cell>
          <cell r="L3601">
            <v>0.78808319999999998</v>
          </cell>
          <cell r="M3601">
            <v>5.8170000000000002</v>
          </cell>
          <cell r="N3601">
            <v>0</v>
          </cell>
          <cell r="O3601">
            <v>0.17219999999999999</v>
          </cell>
          <cell r="P3601">
            <v>3.2719168000000001</v>
          </cell>
          <cell r="Q3601">
            <v>2.2092000000000001</v>
          </cell>
          <cell r="R3601">
            <v>0</v>
          </cell>
          <cell r="S3601">
            <v>0</v>
          </cell>
          <cell r="T3601">
            <v>0</v>
          </cell>
          <cell r="U3601">
            <v>30.8</v>
          </cell>
          <cell r="V3601">
            <v>0</v>
          </cell>
          <cell r="W3601">
            <v>0</v>
          </cell>
          <cell r="X3601">
            <v>0.78400000000000003</v>
          </cell>
          <cell r="Y3601">
            <v>0</v>
          </cell>
          <cell r="Z3601">
            <v>31.3551</v>
          </cell>
          <cell r="AA3601">
            <v>0</v>
          </cell>
          <cell r="AB3601">
            <v>0.56420000000000003</v>
          </cell>
        </row>
        <row r="3602">
          <cell r="A3602">
            <v>58101350</v>
          </cell>
          <cell r="B3602" t="str">
            <v>Soft taco with meat and sour cream</v>
          </cell>
          <cell r="I3602">
            <v>140</v>
          </cell>
          <cell r="J3602">
            <v>278.26060000000001</v>
          </cell>
          <cell r="K3602">
            <v>1.9875757142857144</v>
          </cell>
          <cell r="L3602">
            <v>0.83783220000000003</v>
          </cell>
          <cell r="M3602">
            <v>6.1490020000000003</v>
          </cell>
          <cell r="N3602">
            <v>0</v>
          </cell>
          <cell r="O3602">
            <v>0.148704</v>
          </cell>
          <cell r="P3602">
            <v>1.5288234999999999</v>
          </cell>
          <cell r="Q3602">
            <v>2.1264590000000001</v>
          </cell>
          <cell r="R3602">
            <v>0</v>
          </cell>
          <cell r="S3602">
            <v>0</v>
          </cell>
          <cell r="T3602">
            <v>0</v>
          </cell>
          <cell r="U3602">
            <v>50.392181999999998</v>
          </cell>
          <cell r="V3602">
            <v>0</v>
          </cell>
          <cell r="W3602">
            <v>0</v>
          </cell>
          <cell r="X3602">
            <v>0.74718759999999995</v>
          </cell>
          <cell r="Y3602">
            <v>0</v>
          </cell>
          <cell r="Z3602">
            <v>21.930554000000001</v>
          </cell>
          <cell r="AA3602">
            <v>0</v>
          </cell>
          <cell r="AB3602">
            <v>0.64953479999999997</v>
          </cell>
        </row>
        <row r="3603">
          <cell r="A3603">
            <v>58101357</v>
          </cell>
          <cell r="B3603" t="str">
            <v>Soft taco with meat and sour cream, from fast food</v>
          </cell>
          <cell r="I3603">
            <v>140</v>
          </cell>
          <cell r="J3603">
            <v>279.36363999999998</v>
          </cell>
          <cell r="K3603">
            <v>1.9954545714285712</v>
          </cell>
          <cell r="L3603">
            <v>0.7164393</v>
          </cell>
          <cell r="M3603">
            <v>6.2389090999999999</v>
          </cell>
          <cell r="N3603">
            <v>0</v>
          </cell>
          <cell r="O3603">
            <v>0.16978180000000001</v>
          </cell>
          <cell r="P3603">
            <v>2.9744698000000001</v>
          </cell>
          <cell r="Q3603">
            <v>2.0651272999999999</v>
          </cell>
          <cell r="R3603">
            <v>0</v>
          </cell>
          <cell r="S3603">
            <v>0</v>
          </cell>
          <cell r="T3603">
            <v>0</v>
          </cell>
          <cell r="U3603">
            <v>28</v>
          </cell>
          <cell r="V3603">
            <v>0</v>
          </cell>
          <cell r="W3603">
            <v>0</v>
          </cell>
          <cell r="X3603">
            <v>0.72405450000000005</v>
          </cell>
          <cell r="Y3603">
            <v>0</v>
          </cell>
          <cell r="Z3603">
            <v>28.504636000000001</v>
          </cell>
          <cell r="AA3603">
            <v>0</v>
          </cell>
          <cell r="AB3603">
            <v>0.51290910000000001</v>
          </cell>
        </row>
        <row r="3604">
          <cell r="A3604">
            <v>58101450</v>
          </cell>
          <cell r="B3604" t="str">
            <v>Soft taco with chicken</v>
          </cell>
          <cell r="I3604">
            <v>140</v>
          </cell>
          <cell r="J3604">
            <v>309.22597999999999</v>
          </cell>
          <cell r="K3604">
            <v>2.2087569999999999</v>
          </cell>
          <cell r="L3604">
            <v>0.59535990000000005</v>
          </cell>
          <cell r="M3604">
            <v>4.7311550000000002</v>
          </cell>
          <cell r="N3604">
            <v>0</v>
          </cell>
          <cell r="O3604">
            <v>0.17856859999999999</v>
          </cell>
          <cell r="P3604">
            <v>2.1731191999999999</v>
          </cell>
          <cell r="Q3604">
            <v>2.9769874999999999</v>
          </cell>
          <cell r="R3604">
            <v>0</v>
          </cell>
          <cell r="S3604">
            <v>0</v>
          </cell>
          <cell r="T3604">
            <v>0</v>
          </cell>
          <cell r="U3604">
            <v>33.541404</v>
          </cell>
          <cell r="V3604">
            <v>0</v>
          </cell>
          <cell r="W3604">
            <v>0</v>
          </cell>
          <cell r="X3604">
            <v>0.92153229999999997</v>
          </cell>
          <cell r="Y3604">
            <v>0</v>
          </cell>
          <cell r="Z3604">
            <v>0</v>
          </cell>
          <cell r="AA3604">
            <v>0</v>
          </cell>
          <cell r="AB3604">
            <v>0.270787</v>
          </cell>
        </row>
        <row r="3605">
          <cell r="A3605">
            <v>58101457</v>
          </cell>
          <cell r="B3605" t="str">
            <v>Soft taco with chicken, from fast food</v>
          </cell>
          <cell r="I3605">
            <v>140</v>
          </cell>
          <cell r="J3605">
            <v>264.60000000000002</v>
          </cell>
          <cell r="K3605">
            <v>1.8900000000000001</v>
          </cell>
          <cell r="L3605">
            <v>0.32610339999999999</v>
          </cell>
          <cell r="M3605">
            <v>3.5825999999999998</v>
          </cell>
          <cell r="N3605">
            <v>0</v>
          </cell>
          <cell r="O3605">
            <v>0.17080000000000001</v>
          </cell>
          <cell r="P3605">
            <v>1.3538965999999999</v>
          </cell>
          <cell r="Q3605">
            <v>2.2498</v>
          </cell>
          <cell r="R3605">
            <v>0</v>
          </cell>
          <cell r="S3605">
            <v>0</v>
          </cell>
          <cell r="T3605">
            <v>0</v>
          </cell>
          <cell r="U3605">
            <v>30.8</v>
          </cell>
          <cell r="V3605">
            <v>0</v>
          </cell>
          <cell r="W3605">
            <v>0</v>
          </cell>
          <cell r="X3605">
            <v>0.85819999999999996</v>
          </cell>
          <cell r="Y3605">
            <v>0</v>
          </cell>
          <cell r="Z3605">
            <v>0</v>
          </cell>
          <cell r="AA3605">
            <v>0</v>
          </cell>
          <cell r="AB3605">
            <v>0.15820000000000001</v>
          </cell>
        </row>
        <row r="3606">
          <cell r="A3606">
            <v>58101460</v>
          </cell>
          <cell r="B3606" t="str">
            <v>Soft taco with chicken and sour cream</v>
          </cell>
          <cell r="I3606">
            <v>140</v>
          </cell>
          <cell r="J3606">
            <v>304.66712000000001</v>
          </cell>
          <cell r="K3606">
            <v>2.1761937142857142</v>
          </cell>
          <cell r="L3606">
            <v>0.51061120000000004</v>
          </cell>
          <cell r="M3606">
            <v>6.0784639</v>
          </cell>
          <cell r="N3606">
            <v>0</v>
          </cell>
          <cell r="O3606">
            <v>0.17327770000000001</v>
          </cell>
          <cell r="P3606">
            <v>1.8637783999999999</v>
          </cell>
          <cell r="Q3606">
            <v>2.7126475999999999</v>
          </cell>
          <cell r="R3606">
            <v>0</v>
          </cell>
          <cell r="S3606">
            <v>0</v>
          </cell>
          <cell r="T3606">
            <v>0</v>
          </cell>
          <cell r="U3606">
            <v>28.766826999999999</v>
          </cell>
          <cell r="V3606">
            <v>0</v>
          </cell>
          <cell r="W3606">
            <v>0</v>
          </cell>
          <cell r="X3606">
            <v>0.79653130000000005</v>
          </cell>
          <cell r="Y3606">
            <v>0</v>
          </cell>
          <cell r="Z3606">
            <v>0</v>
          </cell>
          <cell r="AA3606">
            <v>0</v>
          </cell>
          <cell r="AB3606">
            <v>0.47868690000000003</v>
          </cell>
        </row>
        <row r="3607">
          <cell r="A3607">
            <v>58101520</v>
          </cell>
          <cell r="B3607" t="str">
            <v>Taco or tostada with chicken</v>
          </cell>
          <cell r="I3607">
            <v>140</v>
          </cell>
          <cell r="J3607">
            <v>356.32265999999998</v>
          </cell>
          <cell r="K3607">
            <v>2.5451618571428569</v>
          </cell>
          <cell r="L3607">
            <v>0.69813409999999998</v>
          </cell>
          <cell r="M3607">
            <v>6.5054758000000001</v>
          </cell>
          <cell r="N3607">
            <v>0</v>
          </cell>
          <cell r="O3607">
            <v>0.15579899999999999</v>
          </cell>
          <cell r="P3607">
            <v>2.9761625</v>
          </cell>
          <cell r="Q3607">
            <v>4.2132163</v>
          </cell>
          <cell r="R3607">
            <v>0</v>
          </cell>
          <cell r="S3607">
            <v>0</v>
          </cell>
          <cell r="T3607">
            <v>0</v>
          </cell>
          <cell r="U3607">
            <v>39.331499999999998</v>
          </cell>
          <cell r="V3607">
            <v>0</v>
          </cell>
          <cell r="W3607">
            <v>0</v>
          </cell>
          <cell r="X3607">
            <v>0.73874079999999998</v>
          </cell>
          <cell r="Y3607">
            <v>0</v>
          </cell>
          <cell r="Z3607">
            <v>0</v>
          </cell>
          <cell r="AA3607">
            <v>0</v>
          </cell>
          <cell r="AB3607">
            <v>0.46085660000000001</v>
          </cell>
        </row>
        <row r="3608">
          <cell r="A3608">
            <v>58101525</v>
          </cell>
          <cell r="B3608" t="str">
            <v>Taco or tostada with chicken and sour cream</v>
          </cell>
          <cell r="I3608">
            <v>140</v>
          </cell>
          <cell r="J3608">
            <v>343.43212</v>
          </cell>
          <cell r="K3608">
            <v>2.4530865714285714</v>
          </cell>
          <cell r="L3608">
            <v>0.58439529999999995</v>
          </cell>
          <cell r="M3608">
            <v>7.7584033999999997</v>
          </cell>
          <cell r="N3608">
            <v>0</v>
          </cell>
          <cell r="O3608">
            <v>0.15345310000000001</v>
          </cell>
          <cell r="P3608">
            <v>2.4912909999999999</v>
          </cell>
          <cell r="Q3608">
            <v>3.7092746000000001</v>
          </cell>
          <cell r="R3608">
            <v>0</v>
          </cell>
          <cell r="S3608">
            <v>0</v>
          </cell>
          <cell r="T3608">
            <v>0</v>
          </cell>
          <cell r="U3608">
            <v>32.923676</v>
          </cell>
          <cell r="V3608">
            <v>0</v>
          </cell>
          <cell r="W3608">
            <v>0</v>
          </cell>
          <cell r="X3608">
            <v>0.62545709999999999</v>
          </cell>
          <cell r="Y3608">
            <v>0</v>
          </cell>
          <cell r="Z3608">
            <v>0</v>
          </cell>
          <cell r="AA3608">
            <v>0</v>
          </cell>
          <cell r="AB3608">
            <v>0.65478230000000004</v>
          </cell>
        </row>
        <row r="3609">
          <cell r="A3609">
            <v>58101540</v>
          </cell>
          <cell r="B3609" t="str">
            <v>Taco or tostada with fish</v>
          </cell>
          <cell r="I3609">
            <v>140</v>
          </cell>
          <cell r="J3609">
            <v>320.01308</v>
          </cell>
          <cell r="K3609">
            <v>2.2858077142857143</v>
          </cell>
          <cell r="L3609">
            <v>0.70162000000000002</v>
          </cell>
          <cell r="M3609">
            <v>5.8384247</v>
          </cell>
          <cell r="N3609">
            <v>6.6733399999999998E-2</v>
          </cell>
          <cell r="O3609">
            <v>0.1532145</v>
          </cell>
          <cell r="P3609">
            <v>2.9598822</v>
          </cell>
          <cell r="Q3609">
            <v>3.8736367</v>
          </cell>
          <cell r="R3609">
            <v>0</v>
          </cell>
          <cell r="S3609">
            <v>0</v>
          </cell>
          <cell r="T3609">
            <v>1.8262149999999999</v>
          </cell>
          <cell r="U3609">
            <v>39.116348000000002</v>
          </cell>
          <cell r="V3609">
            <v>0</v>
          </cell>
          <cell r="W3609">
            <v>0</v>
          </cell>
          <cell r="X3609">
            <v>0.74229650000000003</v>
          </cell>
          <cell r="Y3609">
            <v>0</v>
          </cell>
          <cell r="Z3609">
            <v>0</v>
          </cell>
          <cell r="AA3609">
            <v>0</v>
          </cell>
          <cell r="AB3609">
            <v>0.27374500000000002</v>
          </cell>
        </row>
        <row r="3610">
          <cell r="A3610">
            <v>58101555</v>
          </cell>
          <cell r="B3610" t="str">
            <v>Soft taco with fish</v>
          </cell>
          <cell r="I3610">
            <v>140</v>
          </cell>
          <cell r="J3610">
            <v>278.45656000000002</v>
          </cell>
          <cell r="K3610">
            <v>1.9889754285714287</v>
          </cell>
          <cell r="L3610">
            <v>0.59881490000000004</v>
          </cell>
          <cell r="M3610">
            <v>4.1701275999999998</v>
          </cell>
          <cell r="N3610">
            <v>5.69553E-2</v>
          </cell>
          <cell r="O3610">
            <v>0.17625650000000001</v>
          </cell>
          <cell r="P3610">
            <v>2.1629735999999999</v>
          </cell>
          <cell r="Q3610">
            <v>2.6929365000000001</v>
          </cell>
          <cell r="R3610">
            <v>0</v>
          </cell>
          <cell r="S3610">
            <v>0</v>
          </cell>
          <cell r="T3610">
            <v>1.5586281</v>
          </cell>
          <cell r="U3610">
            <v>33.384808999999997</v>
          </cell>
          <cell r="V3610">
            <v>0</v>
          </cell>
          <cell r="W3610">
            <v>0</v>
          </cell>
          <cell r="X3610">
            <v>0.92371349999999997</v>
          </cell>
          <cell r="Y3610">
            <v>0</v>
          </cell>
          <cell r="Z3610">
            <v>0</v>
          </cell>
          <cell r="AA3610">
            <v>0</v>
          </cell>
          <cell r="AB3610">
            <v>0.33568949999999997</v>
          </cell>
        </row>
        <row r="3611">
          <cell r="A3611">
            <v>58101610</v>
          </cell>
          <cell r="B3611" t="str">
            <v>Soft taco with beans</v>
          </cell>
          <cell r="I3611">
            <v>140</v>
          </cell>
          <cell r="J3611">
            <v>254.53032999999999</v>
          </cell>
          <cell r="K3611">
            <v>1.8180737857142857</v>
          </cell>
          <cell r="L3611">
            <v>4.1507253999999998</v>
          </cell>
          <cell r="M3611">
            <v>3.313196</v>
          </cell>
          <cell r="N3611">
            <v>0</v>
          </cell>
          <cell r="O3611">
            <v>0.1429155</v>
          </cell>
          <cell r="P3611">
            <v>1.3336694</v>
          </cell>
          <cell r="Q3611">
            <v>2.5261106</v>
          </cell>
          <cell r="R3611">
            <v>0</v>
          </cell>
          <cell r="S3611">
            <v>62.880310000000001</v>
          </cell>
          <cell r="T3611">
            <v>0</v>
          </cell>
          <cell r="U3611">
            <v>27.614214</v>
          </cell>
          <cell r="V3611">
            <v>0</v>
          </cell>
          <cell r="W3611">
            <v>0</v>
          </cell>
          <cell r="X3611">
            <v>0.68401769999999995</v>
          </cell>
          <cell r="Y3611">
            <v>0</v>
          </cell>
          <cell r="Z3611">
            <v>0</v>
          </cell>
          <cell r="AA3611">
            <v>0</v>
          </cell>
          <cell r="AB3611">
            <v>0.26451229999999998</v>
          </cell>
        </row>
        <row r="3612">
          <cell r="A3612">
            <v>58101615</v>
          </cell>
          <cell r="B3612" t="str">
            <v>Soft taco with beans and sour cream</v>
          </cell>
          <cell r="I3612">
            <v>140</v>
          </cell>
          <cell r="J3612">
            <v>256.88535999999999</v>
          </cell>
          <cell r="K3612">
            <v>1.8348954285714285</v>
          </cell>
          <cell r="L3612">
            <v>3.7195298999999999</v>
          </cell>
          <cell r="M3612">
            <v>4.4437492000000001</v>
          </cell>
          <cell r="N3612">
            <v>0</v>
          </cell>
          <cell r="O3612">
            <v>0.142758</v>
          </cell>
          <cell r="P3612">
            <v>1.195122</v>
          </cell>
          <cell r="Q3612">
            <v>2.3800376999999999</v>
          </cell>
          <cell r="R3612">
            <v>0</v>
          </cell>
          <cell r="S3612">
            <v>56.348027999999999</v>
          </cell>
          <cell r="T3612">
            <v>0</v>
          </cell>
          <cell r="U3612">
            <v>24.745528</v>
          </cell>
          <cell r="V3612">
            <v>0</v>
          </cell>
          <cell r="W3612">
            <v>0</v>
          </cell>
          <cell r="X3612">
            <v>0.61746749999999995</v>
          </cell>
          <cell r="Y3612">
            <v>0</v>
          </cell>
          <cell r="Z3612">
            <v>0</v>
          </cell>
          <cell r="AA3612">
            <v>0</v>
          </cell>
          <cell r="AB3612">
            <v>0.38159359999999998</v>
          </cell>
        </row>
        <row r="3613">
          <cell r="A3613">
            <v>58101620</v>
          </cell>
          <cell r="B3613" t="str">
            <v>Soft taco with meat and beans</v>
          </cell>
          <cell r="I3613">
            <v>140</v>
          </cell>
          <cell r="J3613">
            <v>265.62227999999999</v>
          </cell>
          <cell r="K3613">
            <v>1.8973019999999998</v>
          </cell>
          <cell r="L3613">
            <v>2.6550182000000002</v>
          </cell>
          <cell r="M3613">
            <v>4.1399895999999998</v>
          </cell>
          <cell r="N3613">
            <v>0</v>
          </cell>
          <cell r="O3613">
            <v>0.14603630000000001</v>
          </cell>
          <cell r="P3613">
            <v>1.518867</v>
          </cell>
          <cell r="Q3613">
            <v>2.4009537999999999</v>
          </cell>
          <cell r="R3613">
            <v>0</v>
          </cell>
          <cell r="S3613">
            <v>33.493397999999999</v>
          </cell>
          <cell r="T3613">
            <v>0</v>
          </cell>
          <cell r="U3613">
            <v>41.395153999999998</v>
          </cell>
          <cell r="V3613">
            <v>0</v>
          </cell>
          <cell r="W3613">
            <v>0</v>
          </cell>
          <cell r="X3613">
            <v>0.75679870000000005</v>
          </cell>
          <cell r="Y3613">
            <v>0</v>
          </cell>
          <cell r="Z3613">
            <v>11.597479</v>
          </cell>
          <cell r="AA3613">
            <v>0</v>
          </cell>
          <cell r="AB3613">
            <v>0.37255179999999999</v>
          </cell>
        </row>
        <row r="3614">
          <cell r="A3614">
            <v>58101625</v>
          </cell>
          <cell r="B3614" t="str">
            <v>Soft taco with chicken and beans</v>
          </cell>
          <cell r="I3614">
            <v>140</v>
          </cell>
          <cell r="J3614">
            <v>276.96674000000002</v>
          </cell>
          <cell r="K3614">
            <v>1.9783338571428573</v>
          </cell>
          <cell r="L3614">
            <v>2.6898076</v>
          </cell>
          <cell r="M3614">
            <v>3.8956886000000002</v>
          </cell>
          <cell r="N3614">
            <v>0</v>
          </cell>
          <cell r="O3614">
            <v>0.1575762</v>
          </cell>
          <cell r="P3614">
            <v>1.6788783</v>
          </cell>
          <cell r="Q3614">
            <v>2.7111828999999998</v>
          </cell>
          <cell r="R3614">
            <v>0</v>
          </cell>
          <cell r="S3614">
            <v>37.021895999999998</v>
          </cell>
          <cell r="T3614">
            <v>0</v>
          </cell>
          <cell r="U3614">
            <v>30.093212000000001</v>
          </cell>
          <cell r="V3614">
            <v>0</v>
          </cell>
          <cell r="W3614">
            <v>0</v>
          </cell>
          <cell r="X3614">
            <v>0.78154920000000005</v>
          </cell>
          <cell r="Y3614">
            <v>0</v>
          </cell>
          <cell r="Z3614">
            <v>0</v>
          </cell>
          <cell r="AA3614">
            <v>0</v>
          </cell>
          <cell r="AB3614">
            <v>0.29823359999999999</v>
          </cell>
        </row>
        <row r="3615">
          <cell r="A3615">
            <v>58101630</v>
          </cell>
          <cell r="B3615" t="str">
            <v>Soft taco with meat, beans, and sour cream</v>
          </cell>
          <cell r="I3615">
            <v>140</v>
          </cell>
          <cell r="J3615">
            <v>266.89494000000002</v>
          </cell>
          <cell r="K3615">
            <v>1.9063924285714287</v>
          </cell>
          <cell r="L3615">
            <v>2.3631709000000001</v>
          </cell>
          <cell r="M3615">
            <v>5.2453757999999997</v>
          </cell>
          <cell r="N3615">
            <v>0</v>
          </cell>
          <cell r="O3615">
            <v>0.14552670000000001</v>
          </cell>
          <cell r="P3615">
            <v>1.3519087000000001</v>
          </cell>
          <cell r="Q3615">
            <v>2.2601475999999998</v>
          </cell>
          <cell r="R3615">
            <v>0</v>
          </cell>
          <cell r="S3615">
            <v>29.811705</v>
          </cell>
          <cell r="T3615">
            <v>0</v>
          </cell>
          <cell r="U3615">
            <v>36.844876999999997</v>
          </cell>
          <cell r="V3615">
            <v>0</v>
          </cell>
          <cell r="W3615">
            <v>0</v>
          </cell>
          <cell r="X3615">
            <v>0.67837990000000004</v>
          </cell>
          <cell r="Y3615">
            <v>0</v>
          </cell>
          <cell r="Z3615">
            <v>10.322649999999999</v>
          </cell>
          <cell r="AA3615">
            <v>0</v>
          </cell>
          <cell r="AB3615">
            <v>0.50776860000000001</v>
          </cell>
        </row>
        <row r="3616">
          <cell r="A3616">
            <v>58101635</v>
          </cell>
          <cell r="B3616" t="str">
            <v>Soft taco with chicken, beans, and sour cream</v>
          </cell>
          <cell r="I3616">
            <v>140</v>
          </cell>
          <cell r="J3616">
            <v>276.99475000000001</v>
          </cell>
          <cell r="K3616">
            <v>1.9785339285714287</v>
          </cell>
          <cell r="L3616">
            <v>2.3667286999999999</v>
          </cell>
          <cell r="M3616">
            <v>5.1328825</v>
          </cell>
          <cell r="N3616">
            <v>0</v>
          </cell>
          <cell r="O3616">
            <v>0.1556332</v>
          </cell>
          <cell r="P3616">
            <v>1.4772244000000001</v>
          </cell>
          <cell r="Q3616">
            <v>2.5200623000000002</v>
          </cell>
          <cell r="R3616">
            <v>0</v>
          </cell>
          <cell r="S3616">
            <v>32.575111999999997</v>
          </cell>
          <cell r="T3616">
            <v>0</v>
          </cell>
          <cell r="U3616">
            <v>26.478646999999999</v>
          </cell>
          <cell r="V3616">
            <v>0</v>
          </cell>
          <cell r="W3616">
            <v>0</v>
          </cell>
          <cell r="X3616">
            <v>0.69288839999999996</v>
          </cell>
          <cell r="Y3616">
            <v>0</v>
          </cell>
          <cell r="Z3616">
            <v>0</v>
          </cell>
          <cell r="AA3616">
            <v>0</v>
          </cell>
          <cell r="AB3616">
            <v>0.42377239999999999</v>
          </cell>
        </row>
        <row r="3617">
          <cell r="A3617">
            <v>58101720</v>
          </cell>
          <cell r="B3617" t="str">
            <v>Taco or tostada with beans</v>
          </cell>
          <cell r="I3617">
            <v>140</v>
          </cell>
          <cell r="J3617">
            <v>279.52954</v>
          </cell>
          <cell r="K3617">
            <v>1.9966395714285714</v>
          </cell>
          <cell r="L3617">
            <v>4.6264265</v>
          </cell>
          <cell r="M3617">
            <v>4.3286679000000001</v>
          </cell>
          <cell r="N3617">
            <v>0</v>
          </cell>
          <cell r="O3617">
            <v>0.1237125</v>
          </cell>
          <cell r="P3617">
            <v>1.7706067000000001</v>
          </cell>
          <cell r="Q3617">
            <v>3.2951749000000001</v>
          </cell>
          <cell r="R3617">
            <v>0</v>
          </cell>
          <cell r="S3617">
            <v>70.086816999999996</v>
          </cell>
          <cell r="T3617">
            <v>0</v>
          </cell>
          <cell r="U3617">
            <v>30.778988999999999</v>
          </cell>
          <cell r="V3617">
            <v>0</v>
          </cell>
          <cell r="W3617">
            <v>0</v>
          </cell>
          <cell r="X3617">
            <v>0.53544080000000005</v>
          </cell>
          <cell r="Y3617">
            <v>0</v>
          </cell>
          <cell r="Z3617">
            <v>0</v>
          </cell>
          <cell r="AA3617">
            <v>0</v>
          </cell>
          <cell r="AB3617">
            <v>0.35300389999999998</v>
          </cell>
        </row>
        <row r="3618">
          <cell r="A3618">
            <v>58101725</v>
          </cell>
          <cell r="B3618" t="str">
            <v>Taco or tostada with beans and sour cream</v>
          </cell>
          <cell r="I3618">
            <v>140</v>
          </cell>
          <cell r="J3618">
            <v>279.26297</v>
          </cell>
          <cell r="K3618">
            <v>1.9947355</v>
          </cell>
          <cell r="L3618">
            <v>4.0970344000000001</v>
          </cell>
          <cell r="M3618">
            <v>5.4577656000000001</v>
          </cell>
          <cell r="N3618">
            <v>0</v>
          </cell>
          <cell r="O3618">
            <v>0.1257364</v>
          </cell>
          <cell r="P3618">
            <v>1.5680000000000001</v>
          </cell>
          <cell r="Q3618">
            <v>3.0462742999999999</v>
          </cell>
          <cell r="R3618">
            <v>0</v>
          </cell>
          <cell r="S3618">
            <v>62.066932000000001</v>
          </cell>
          <cell r="T3618">
            <v>0</v>
          </cell>
          <cell r="U3618">
            <v>27.257014999999999</v>
          </cell>
          <cell r="V3618">
            <v>0</v>
          </cell>
          <cell r="W3618">
            <v>0</v>
          </cell>
          <cell r="X3618">
            <v>0.4791376</v>
          </cell>
          <cell r="Y3618">
            <v>0</v>
          </cell>
          <cell r="Z3618">
            <v>0</v>
          </cell>
          <cell r="AA3618">
            <v>0</v>
          </cell>
          <cell r="AB3618">
            <v>0.49322779999999999</v>
          </cell>
        </row>
        <row r="3619">
          <cell r="A3619">
            <v>58101730</v>
          </cell>
          <cell r="B3619" t="str">
            <v>Taco or tostada with meat and beans</v>
          </cell>
          <cell r="I3619">
            <v>140</v>
          </cell>
          <cell r="J3619">
            <v>293.81936999999999</v>
          </cell>
          <cell r="K3619">
            <v>2.0987097857142856</v>
          </cell>
          <cell r="L3619">
            <v>2.9816172999999999</v>
          </cell>
          <cell r="M3619">
            <v>5.3316416000000002</v>
          </cell>
          <cell r="N3619">
            <v>0</v>
          </cell>
          <cell r="O3619">
            <v>0.1258089</v>
          </cell>
          <cell r="P3619">
            <v>2.0106309000000002</v>
          </cell>
          <cell r="Q3619">
            <v>3.2110254999999999</v>
          </cell>
          <cell r="R3619">
            <v>0</v>
          </cell>
          <cell r="S3619">
            <v>37.613486999999999</v>
          </cell>
          <cell r="T3619">
            <v>0</v>
          </cell>
          <cell r="U3619">
            <v>46.487254</v>
          </cell>
          <cell r="V3619">
            <v>0</v>
          </cell>
          <cell r="W3619">
            <v>0</v>
          </cell>
          <cell r="X3619">
            <v>0.60627819999999999</v>
          </cell>
          <cell r="Y3619">
            <v>0</v>
          </cell>
          <cell r="Z3619">
            <v>13.024107000000001</v>
          </cell>
          <cell r="AA3619">
            <v>0</v>
          </cell>
          <cell r="AB3619">
            <v>0.44982250000000001</v>
          </cell>
        </row>
        <row r="3620">
          <cell r="A3620">
            <v>58101733</v>
          </cell>
          <cell r="B3620" t="str">
            <v>Taco or tostada with meat and beans, from fast food</v>
          </cell>
          <cell r="I3620">
            <v>140</v>
          </cell>
          <cell r="J3620">
            <v>305.4461</v>
          </cell>
          <cell r="K3620">
            <v>2.1817578571428573</v>
          </cell>
          <cell r="L3620">
            <v>2.1523305000000001</v>
          </cell>
          <cell r="M3620">
            <v>5.7026145000000001</v>
          </cell>
          <cell r="N3620">
            <v>0</v>
          </cell>
          <cell r="O3620">
            <v>0.1176407</v>
          </cell>
          <cell r="P3620">
            <v>3.4810058000000001</v>
          </cell>
          <cell r="Q3620">
            <v>4.1430448000000002</v>
          </cell>
          <cell r="R3620">
            <v>0</v>
          </cell>
          <cell r="S3620">
            <v>11.206839</v>
          </cell>
          <cell r="T3620">
            <v>0</v>
          </cell>
          <cell r="U3620">
            <v>44.309683999999997</v>
          </cell>
          <cell r="V3620">
            <v>0</v>
          </cell>
          <cell r="W3620">
            <v>0</v>
          </cell>
          <cell r="X3620">
            <v>0.54556519999999997</v>
          </cell>
          <cell r="Y3620">
            <v>0</v>
          </cell>
          <cell r="Z3620">
            <v>37.164273000000001</v>
          </cell>
          <cell r="AA3620">
            <v>0</v>
          </cell>
          <cell r="AB3620">
            <v>0.62128589999999995</v>
          </cell>
        </row>
        <row r="3621">
          <cell r="A3621">
            <v>58101735</v>
          </cell>
          <cell r="B3621" t="str">
            <v>Taco or tostada with chicken and beans</v>
          </cell>
          <cell r="I3621">
            <v>140</v>
          </cell>
          <cell r="J3621">
            <v>310.10633999999999</v>
          </cell>
          <cell r="K3621">
            <v>2.2150452857142855</v>
          </cell>
          <cell r="L3621">
            <v>3.0603457999999999</v>
          </cell>
          <cell r="M3621">
            <v>5.1965199000000002</v>
          </cell>
          <cell r="N3621">
            <v>0</v>
          </cell>
          <cell r="O3621">
            <v>0.136514</v>
          </cell>
          <cell r="P3621">
            <v>2.2516283000000001</v>
          </cell>
          <cell r="Q3621">
            <v>3.6610871</v>
          </cell>
          <cell r="R3621">
            <v>0</v>
          </cell>
          <cell r="S3621">
            <v>42.121898999999999</v>
          </cell>
          <cell r="T3621">
            <v>0</v>
          </cell>
          <cell r="U3621">
            <v>34.238743999999997</v>
          </cell>
          <cell r="V3621">
            <v>0</v>
          </cell>
          <cell r="W3621">
            <v>0</v>
          </cell>
          <cell r="X3621">
            <v>0.61639659999999996</v>
          </cell>
          <cell r="Y3621">
            <v>0</v>
          </cell>
          <cell r="Z3621">
            <v>0</v>
          </cell>
          <cell r="AA3621">
            <v>0</v>
          </cell>
          <cell r="AB3621">
            <v>0.42774909999999999</v>
          </cell>
        </row>
        <row r="3622">
          <cell r="A3622">
            <v>58101745</v>
          </cell>
          <cell r="B3622" t="str">
            <v>Taco or tostada with meat, beans, and sour cream</v>
          </cell>
          <cell r="I3622">
            <v>140</v>
          </cell>
          <cell r="J3622">
            <v>291.79516000000001</v>
          </cell>
          <cell r="K3622">
            <v>2.0842511428571431</v>
          </cell>
          <cell r="L3622">
            <v>2.6184628000000001</v>
          </cell>
          <cell r="M3622">
            <v>6.4113012999999999</v>
          </cell>
          <cell r="N3622">
            <v>0</v>
          </cell>
          <cell r="O3622">
            <v>0.12770790000000001</v>
          </cell>
          <cell r="P3622">
            <v>1.7657404000000001</v>
          </cell>
          <cell r="Q3622">
            <v>2.9563430999999998</v>
          </cell>
          <cell r="R3622">
            <v>0</v>
          </cell>
          <cell r="S3622">
            <v>33.032246000000001</v>
          </cell>
          <cell r="T3622">
            <v>0</v>
          </cell>
          <cell r="U3622">
            <v>40.825206999999999</v>
          </cell>
          <cell r="V3622">
            <v>0</v>
          </cell>
          <cell r="W3622">
            <v>0</v>
          </cell>
          <cell r="X3622">
            <v>0.53772089999999995</v>
          </cell>
          <cell r="Y3622">
            <v>0</v>
          </cell>
          <cell r="Z3622">
            <v>11.437799</v>
          </cell>
          <cell r="AA3622">
            <v>0</v>
          </cell>
          <cell r="AB3622">
            <v>0.64468159999999997</v>
          </cell>
        </row>
        <row r="3623">
          <cell r="A3623">
            <v>58101820</v>
          </cell>
          <cell r="B3623" t="str">
            <v>Mexican casserole made with ground beef, beans, tomato sauce, cheese, taco seasonings, and corn chips</v>
          </cell>
          <cell r="I3623">
            <v>144</v>
          </cell>
          <cell r="J3623">
            <v>303.14510000000001</v>
          </cell>
          <cell r="K3623">
            <v>2.1051743055555558</v>
          </cell>
          <cell r="L3623">
            <v>3.6856702000000001</v>
          </cell>
          <cell r="M3623">
            <v>5.2208085000000004</v>
          </cell>
          <cell r="N3623">
            <v>0</v>
          </cell>
          <cell r="O3623">
            <v>0.1293202</v>
          </cell>
          <cell r="P3623">
            <v>0.28519709999999998</v>
          </cell>
          <cell r="Q3623">
            <v>3.6694827000000001</v>
          </cell>
          <cell r="R3623">
            <v>13.894075000000001</v>
          </cell>
          <cell r="S3623">
            <v>38.498165999999998</v>
          </cell>
          <cell r="T3623">
            <v>0</v>
          </cell>
          <cell r="U3623">
            <v>30.188233</v>
          </cell>
          <cell r="V3623">
            <v>0</v>
          </cell>
          <cell r="W3623">
            <v>0</v>
          </cell>
          <cell r="X3623">
            <v>0.42497489999999999</v>
          </cell>
          <cell r="Y3623">
            <v>0</v>
          </cell>
          <cell r="Z3623">
            <v>35.210540000000002</v>
          </cell>
          <cell r="AA3623">
            <v>0</v>
          </cell>
          <cell r="AB3623">
            <v>0.53038019999999997</v>
          </cell>
        </row>
        <row r="3624">
          <cell r="A3624">
            <v>58101830</v>
          </cell>
          <cell r="B3624" t="str">
            <v>Mexican casserole made with ground beef, tomato sauce, cheese, taco seasonings, and corn chips</v>
          </cell>
          <cell r="I3624">
            <v>144</v>
          </cell>
          <cell r="J3624">
            <v>347.18072999999998</v>
          </cell>
          <cell r="K3624">
            <v>2.4109772916666667</v>
          </cell>
          <cell r="L3624">
            <v>1.6607145000000001</v>
          </cell>
          <cell r="M3624">
            <v>7.0939414000000003</v>
          </cell>
          <cell r="N3624">
            <v>0</v>
          </cell>
          <cell r="O3624">
            <v>0.1582172</v>
          </cell>
          <cell r="P3624">
            <v>0.38962340000000001</v>
          </cell>
          <cell r="Q3624">
            <v>4.8665016999999997</v>
          </cell>
          <cell r="R3624">
            <v>18.981453999999999</v>
          </cell>
          <cell r="S3624">
            <v>0</v>
          </cell>
          <cell r="T3624">
            <v>0</v>
          </cell>
          <cell r="U3624">
            <v>41.241793999999999</v>
          </cell>
          <cell r="V3624">
            <v>0</v>
          </cell>
          <cell r="W3624">
            <v>0</v>
          </cell>
          <cell r="X3624">
            <v>0.58005410000000002</v>
          </cell>
          <cell r="Y3624">
            <v>0</v>
          </cell>
          <cell r="Z3624">
            <v>48.103040999999997</v>
          </cell>
          <cell r="AA3624">
            <v>0</v>
          </cell>
          <cell r="AB3624">
            <v>0.63952209999999998</v>
          </cell>
        </row>
        <row r="3625">
          <cell r="A3625">
            <v>58101930</v>
          </cell>
          <cell r="B3625" t="str">
            <v>Taco or tostada salad with meat</v>
          </cell>
          <cell r="I3625">
            <v>122</v>
          </cell>
          <cell r="J3625">
            <v>216.60659999999999</v>
          </cell>
          <cell r="K3625">
            <v>1.7754639344262293</v>
          </cell>
          <cell r="L3625">
            <v>2.4654493</v>
          </cell>
          <cell r="M3625">
            <v>3.4739130999999999</v>
          </cell>
          <cell r="N3625">
            <v>0</v>
          </cell>
          <cell r="O3625">
            <v>0.1032568</v>
          </cell>
          <cell r="P3625">
            <v>1.0979882999999999</v>
          </cell>
          <cell r="Q3625">
            <v>2.2158566999999998</v>
          </cell>
          <cell r="R3625">
            <v>0</v>
          </cell>
          <cell r="S3625">
            <v>13.688765</v>
          </cell>
          <cell r="T3625">
            <v>0</v>
          </cell>
          <cell r="U3625">
            <v>57.099792000000001</v>
          </cell>
          <cell r="V3625">
            <v>0</v>
          </cell>
          <cell r="W3625">
            <v>0</v>
          </cell>
          <cell r="X3625">
            <v>0.40028629999999998</v>
          </cell>
          <cell r="Y3625">
            <v>0</v>
          </cell>
          <cell r="Z3625">
            <v>13.508190000000001</v>
          </cell>
          <cell r="AA3625">
            <v>0</v>
          </cell>
          <cell r="AB3625">
            <v>0.39621780000000001</v>
          </cell>
        </row>
        <row r="3626">
          <cell r="A3626">
            <v>58101935</v>
          </cell>
          <cell r="B3626" t="str">
            <v>Taco or tostada salad with chicken</v>
          </cell>
          <cell r="I3626">
            <v>122</v>
          </cell>
          <cell r="J3626">
            <v>202.27132</v>
          </cell>
          <cell r="K3626">
            <v>1.6579616393442622</v>
          </cell>
          <cell r="L3626">
            <v>2.4364479999999999</v>
          </cell>
          <cell r="M3626">
            <v>2.7388416000000002</v>
          </cell>
          <cell r="N3626">
            <v>0</v>
          </cell>
          <cell r="O3626">
            <v>0.1008585</v>
          </cell>
          <cell r="P3626">
            <v>1.0850725999999999</v>
          </cell>
          <cell r="Q3626">
            <v>2.2683163</v>
          </cell>
          <cell r="R3626">
            <v>0</v>
          </cell>
          <cell r="S3626">
            <v>13.527742999999999</v>
          </cell>
          <cell r="T3626">
            <v>0</v>
          </cell>
          <cell r="U3626">
            <v>56.428122999999999</v>
          </cell>
          <cell r="V3626">
            <v>0</v>
          </cell>
          <cell r="W3626">
            <v>0</v>
          </cell>
          <cell r="X3626">
            <v>0.39290570000000002</v>
          </cell>
          <cell r="Y3626">
            <v>0</v>
          </cell>
          <cell r="Z3626">
            <v>0</v>
          </cell>
          <cell r="AA3626">
            <v>0</v>
          </cell>
          <cell r="AB3626">
            <v>0.1313117</v>
          </cell>
        </row>
        <row r="3627">
          <cell r="A3627">
            <v>58101940</v>
          </cell>
          <cell r="B3627" t="str">
            <v>Taco or tostada salad, meatless</v>
          </cell>
          <cell r="I3627">
            <v>122</v>
          </cell>
          <cell r="J3627">
            <v>197.01607999999999</v>
          </cell>
          <cell r="K3627">
            <v>1.6148859016393442</v>
          </cell>
          <cell r="L3627">
            <v>3.6519181000000001</v>
          </cell>
          <cell r="M3627">
            <v>2.5490518999999998</v>
          </cell>
          <cell r="N3627">
            <v>0</v>
          </cell>
          <cell r="O3627">
            <v>0.1073891</v>
          </cell>
          <cell r="P3627">
            <v>0.97497829999999996</v>
          </cell>
          <cell r="Q3627">
            <v>2.1598090000000001</v>
          </cell>
          <cell r="R3627">
            <v>0</v>
          </cell>
          <cell r="S3627">
            <v>27.737962</v>
          </cell>
          <cell r="T3627">
            <v>0</v>
          </cell>
          <cell r="U3627">
            <v>57.851526</v>
          </cell>
          <cell r="V3627">
            <v>0</v>
          </cell>
          <cell r="W3627">
            <v>0</v>
          </cell>
          <cell r="X3627">
            <v>0.33553690000000003</v>
          </cell>
          <cell r="Y3627">
            <v>0</v>
          </cell>
          <cell r="Z3627">
            <v>0</v>
          </cell>
          <cell r="AA3627">
            <v>0</v>
          </cell>
          <cell r="AB3627">
            <v>0.4866007</v>
          </cell>
        </row>
        <row r="3628">
          <cell r="A3628">
            <v>58101945</v>
          </cell>
          <cell r="B3628" t="str">
            <v>Taco or tostada salad with meat and sour cream</v>
          </cell>
          <cell r="I3628">
            <v>122</v>
          </cell>
          <cell r="J3628">
            <v>219.61108999999999</v>
          </cell>
          <cell r="K3628">
            <v>1.8000909016393443</v>
          </cell>
          <cell r="L3628">
            <v>2.1685994000000002</v>
          </cell>
          <cell r="M3628">
            <v>4.5451335999999998</v>
          </cell>
          <cell r="N3628">
            <v>0</v>
          </cell>
          <cell r="O3628">
            <v>0.1056604</v>
          </cell>
          <cell r="P3628">
            <v>0.96578609999999998</v>
          </cell>
          <cell r="Q3628">
            <v>2.066573</v>
          </cell>
          <cell r="R3628">
            <v>0</v>
          </cell>
          <cell r="S3628">
            <v>12.040583</v>
          </cell>
          <cell r="T3628">
            <v>0</v>
          </cell>
          <cell r="U3628">
            <v>50.22475</v>
          </cell>
          <cell r="V3628">
            <v>0</v>
          </cell>
          <cell r="W3628">
            <v>0</v>
          </cell>
          <cell r="X3628">
            <v>0.35664390000000001</v>
          </cell>
          <cell r="Y3628">
            <v>0</v>
          </cell>
          <cell r="Z3628">
            <v>11.88175</v>
          </cell>
          <cell r="AA3628">
            <v>0</v>
          </cell>
          <cell r="AB3628">
            <v>0.36749229999999999</v>
          </cell>
        </row>
        <row r="3629">
          <cell r="A3629">
            <v>58101950</v>
          </cell>
          <cell r="B3629" t="str">
            <v>Taco or tostada salad with chicken and sour cream</v>
          </cell>
          <cell r="I3629">
            <v>122</v>
          </cell>
          <cell r="J3629">
            <v>206.95282</v>
          </cell>
          <cell r="K3629">
            <v>1.6963345901639344</v>
          </cell>
          <cell r="L3629">
            <v>2.1461296000000001</v>
          </cell>
          <cell r="M3629">
            <v>3.8865512</v>
          </cell>
          <cell r="N3629">
            <v>0</v>
          </cell>
          <cell r="O3629">
            <v>0.10352310000000001</v>
          </cell>
          <cell r="P3629">
            <v>0.95577920000000005</v>
          </cell>
          <cell r="Q3629">
            <v>2.1143285000000001</v>
          </cell>
          <cell r="R3629">
            <v>0</v>
          </cell>
          <cell r="S3629">
            <v>11.915825</v>
          </cell>
          <cell r="T3629">
            <v>0</v>
          </cell>
          <cell r="U3629">
            <v>49.704349999999998</v>
          </cell>
          <cell r="V3629">
            <v>0</v>
          </cell>
          <cell r="W3629">
            <v>0</v>
          </cell>
          <cell r="X3629">
            <v>0.35059499999999999</v>
          </cell>
          <cell r="Y3629">
            <v>0</v>
          </cell>
          <cell r="Z3629">
            <v>0</v>
          </cell>
          <cell r="AA3629">
            <v>0</v>
          </cell>
          <cell r="AB3629">
            <v>0.23656189999999999</v>
          </cell>
        </row>
        <row r="3630">
          <cell r="A3630">
            <v>58101955</v>
          </cell>
          <cell r="B3630" t="str">
            <v>Taco or tostada salad, meatless with sour cream</v>
          </cell>
          <cell r="I3630">
            <v>122</v>
          </cell>
          <cell r="J3630">
            <v>202.44135</v>
          </cell>
          <cell r="K3630">
            <v>1.6593553278688524</v>
          </cell>
          <cell r="L3630">
            <v>3.2071288999999998</v>
          </cell>
          <cell r="M3630">
            <v>3.7453021</v>
          </cell>
          <cell r="N3630">
            <v>0</v>
          </cell>
          <cell r="O3630">
            <v>0.1093172</v>
          </cell>
          <cell r="P3630">
            <v>0.85622980000000004</v>
          </cell>
          <cell r="Q3630">
            <v>2.0156257000000002</v>
          </cell>
          <cell r="R3630">
            <v>0</v>
          </cell>
          <cell r="S3630">
            <v>24.359587999999999</v>
          </cell>
          <cell r="T3630">
            <v>0</v>
          </cell>
          <cell r="U3630">
            <v>50.805438000000002</v>
          </cell>
          <cell r="V3630">
            <v>0</v>
          </cell>
          <cell r="W3630">
            <v>0</v>
          </cell>
          <cell r="X3630">
            <v>0.29927619999999999</v>
          </cell>
          <cell r="Y3630">
            <v>0</v>
          </cell>
          <cell r="Z3630">
            <v>0</v>
          </cell>
          <cell r="AA3630">
            <v>0</v>
          </cell>
          <cell r="AB3630">
            <v>0.25588939999999999</v>
          </cell>
        </row>
        <row r="3631">
          <cell r="A3631">
            <v>58103120</v>
          </cell>
          <cell r="B3631" t="str">
            <v>Tamale with meat</v>
          </cell>
          <cell r="I3631">
            <v>140</v>
          </cell>
          <cell r="J3631">
            <v>243.6</v>
          </cell>
          <cell r="K3631">
            <v>1.74</v>
          </cell>
          <cell r="L3631">
            <v>0.50272050000000001</v>
          </cell>
          <cell r="M3631">
            <v>3.7688000000000001</v>
          </cell>
          <cell r="N3631">
            <v>0</v>
          </cell>
          <cell r="O3631">
            <v>0.105</v>
          </cell>
          <cell r="P3631">
            <v>2.8572795000000002</v>
          </cell>
          <cell r="Q3631">
            <v>2.8727999999999998</v>
          </cell>
          <cell r="R3631">
            <v>0</v>
          </cell>
          <cell r="S3631">
            <v>0</v>
          </cell>
          <cell r="T3631">
            <v>0</v>
          </cell>
          <cell r="U3631">
            <v>17.36</v>
          </cell>
          <cell r="V3631">
            <v>0</v>
          </cell>
          <cell r="W3631">
            <v>0</v>
          </cell>
          <cell r="X3631">
            <v>0.66220000000000001</v>
          </cell>
          <cell r="Y3631">
            <v>0</v>
          </cell>
          <cell r="Z3631">
            <v>29.3706</v>
          </cell>
          <cell r="AA3631">
            <v>0</v>
          </cell>
          <cell r="AB3631">
            <v>8.1199999999999994E-2</v>
          </cell>
        </row>
        <row r="3632">
          <cell r="A3632">
            <v>58103130</v>
          </cell>
          <cell r="B3632" t="str">
            <v>Tamale with chicken</v>
          </cell>
          <cell r="I3632">
            <v>140</v>
          </cell>
          <cell r="J3632">
            <v>309.82148000000001</v>
          </cell>
          <cell r="K3632">
            <v>2.2130105714285713</v>
          </cell>
          <cell r="L3632">
            <v>0.1789974</v>
          </cell>
          <cell r="M3632">
            <v>7.2940645000000002</v>
          </cell>
          <cell r="N3632">
            <v>0</v>
          </cell>
          <cell r="O3632">
            <v>7.2000800000000004E-2</v>
          </cell>
          <cell r="P3632">
            <v>1.6776293</v>
          </cell>
          <cell r="Q3632">
            <v>2.6885954999999999</v>
          </cell>
          <cell r="R3632">
            <v>0</v>
          </cell>
          <cell r="S3632">
            <v>0</v>
          </cell>
          <cell r="T3632">
            <v>0</v>
          </cell>
          <cell r="U3632">
            <v>1.3524670999999999</v>
          </cell>
          <cell r="V3632">
            <v>0</v>
          </cell>
          <cell r="W3632">
            <v>0</v>
          </cell>
          <cell r="X3632">
            <v>0.64304550000000005</v>
          </cell>
          <cell r="Y3632">
            <v>0</v>
          </cell>
          <cell r="Z3632">
            <v>0</v>
          </cell>
          <cell r="AA3632">
            <v>0</v>
          </cell>
          <cell r="AB3632">
            <v>0.43613570000000002</v>
          </cell>
        </row>
        <row r="3633">
          <cell r="A3633">
            <v>58103200</v>
          </cell>
          <cell r="B3633" t="str">
            <v>Tamale, plain, meatless, no sauce, Puerto Rican style or Carribean Style</v>
          </cell>
          <cell r="I3633">
            <v>140</v>
          </cell>
          <cell r="J3633">
            <v>301.75279999999998</v>
          </cell>
          <cell r="K3633">
            <v>2.1553771428571427</v>
          </cell>
          <cell r="L3633">
            <v>3.0726400000000001E-2</v>
          </cell>
          <cell r="M3633">
            <v>10.070601999999999</v>
          </cell>
          <cell r="N3633">
            <v>0</v>
          </cell>
          <cell r="O3633">
            <v>6.6690999999999999E-3</v>
          </cell>
          <cell r="P3633">
            <v>2.2122975</v>
          </cell>
          <cell r="Q3633">
            <v>3.3772468</v>
          </cell>
          <cell r="R3633">
            <v>0</v>
          </cell>
          <cell r="S3633">
            <v>0</v>
          </cell>
          <cell r="T3633">
            <v>0</v>
          </cell>
          <cell r="U3633">
            <v>1.4631597000000001</v>
          </cell>
          <cell r="V3633">
            <v>0</v>
          </cell>
          <cell r="W3633">
            <v>0</v>
          </cell>
          <cell r="X3633">
            <v>1.3611921</v>
          </cell>
          <cell r="Y3633">
            <v>0</v>
          </cell>
          <cell r="Z3633">
            <v>0</v>
          </cell>
          <cell r="AA3633">
            <v>0</v>
          </cell>
          <cell r="AB3633">
            <v>0.84366180000000002</v>
          </cell>
        </row>
        <row r="3634">
          <cell r="A3634">
            <v>58103250</v>
          </cell>
          <cell r="B3634" t="str">
            <v>Tamale, plain, meatless, no sauce, Mexican style</v>
          </cell>
          <cell r="I3634">
            <v>140</v>
          </cell>
          <cell r="J3634">
            <v>260.39999999999998</v>
          </cell>
          <cell r="K3634">
            <v>1.8599999999999999</v>
          </cell>
          <cell r="L3634">
            <v>0</v>
          </cell>
          <cell r="M3634">
            <v>3.6806000000000001</v>
          </cell>
          <cell r="N3634">
            <v>0</v>
          </cell>
          <cell r="O3634">
            <v>3.3599999999999998E-2</v>
          </cell>
          <cell r="P3634">
            <v>4.4800000000000004</v>
          </cell>
          <cell r="Q3634">
            <v>2.1671999999999998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0.38779999999999998</v>
          </cell>
          <cell r="Y3634">
            <v>0</v>
          </cell>
          <cell r="Z3634">
            <v>0</v>
          </cell>
          <cell r="AA3634">
            <v>0</v>
          </cell>
          <cell r="AB3634">
            <v>0.51100000000000001</v>
          </cell>
        </row>
        <row r="3635">
          <cell r="A3635">
            <v>58103310</v>
          </cell>
          <cell r="B3635" t="str">
            <v>Tamale casserole with meat</v>
          </cell>
          <cell r="I3635">
            <v>244</v>
          </cell>
          <cell r="J3635">
            <v>351.24099999999999</v>
          </cell>
          <cell r="K3635">
            <v>1.4395122950819672</v>
          </cell>
          <cell r="L3635">
            <v>1.0271167000000001</v>
          </cell>
          <cell r="M3635">
            <v>6.5637309999999998</v>
          </cell>
          <cell r="N3635">
            <v>0</v>
          </cell>
          <cell r="O3635">
            <v>8.2229300000000005E-2</v>
          </cell>
          <cell r="P3635">
            <v>2.5983972999999998</v>
          </cell>
          <cell r="Q3635">
            <v>2.1743671999999998</v>
          </cell>
          <cell r="R3635">
            <v>0</v>
          </cell>
          <cell r="S3635">
            <v>0</v>
          </cell>
          <cell r="T3635">
            <v>0</v>
          </cell>
          <cell r="U3635">
            <v>52.910850000000003</v>
          </cell>
          <cell r="V3635">
            <v>0</v>
          </cell>
          <cell r="W3635">
            <v>0</v>
          </cell>
          <cell r="X3635">
            <v>0.78857049999999995</v>
          </cell>
          <cell r="Y3635">
            <v>0</v>
          </cell>
          <cell r="Z3635">
            <v>27.857413000000001</v>
          </cell>
          <cell r="AA3635">
            <v>0</v>
          </cell>
          <cell r="AB3635">
            <v>0.4758482</v>
          </cell>
        </row>
        <row r="3636">
          <cell r="A3636">
            <v>58104090</v>
          </cell>
          <cell r="B3636" t="str">
            <v>Nachos with cheese and sour cream</v>
          </cell>
          <cell r="I3636">
            <v>58</v>
          </cell>
          <cell r="J3636">
            <v>129.15864999999999</v>
          </cell>
          <cell r="K3636">
            <v>2.2268732758620691</v>
          </cell>
          <cell r="L3636">
            <v>1.7543728000000001</v>
          </cell>
          <cell r="M3636">
            <v>2.8894177000000001</v>
          </cell>
          <cell r="N3636">
            <v>0</v>
          </cell>
          <cell r="O3636">
            <v>0.1006705</v>
          </cell>
          <cell r="P3636">
            <v>0.54329309999999997</v>
          </cell>
          <cell r="Q3636">
            <v>1.3303349</v>
          </cell>
          <cell r="R3636">
            <v>0</v>
          </cell>
          <cell r="S3636">
            <v>16.342887000000001</v>
          </cell>
          <cell r="T3636">
            <v>0</v>
          </cell>
          <cell r="U3636">
            <v>14.727717999999999</v>
          </cell>
          <cell r="V3636">
            <v>0</v>
          </cell>
          <cell r="W3636">
            <v>0</v>
          </cell>
          <cell r="X3636">
            <v>0.205453</v>
          </cell>
          <cell r="Y3636">
            <v>0</v>
          </cell>
          <cell r="Z3636">
            <v>0</v>
          </cell>
          <cell r="AA3636">
            <v>0</v>
          </cell>
          <cell r="AB3636">
            <v>0.30490299999999998</v>
          </cell>
        </row>
        <row r="3637">
          <cell r="A3637">
            <v>58104120</v>
          </cell>
          <cell r="B3637" t="str">
            <v>Nachos with cheese</v>
          </cell>
          <cell r="I3637">
            <v>90</v>
          </cell>
          <cell r="J3637">
            <v>308.7</v>
          </cell>
          <cell r="K3637">
            <v>3.4299999999999997</v>
          </cell>
          <cell r="L3637">
            <v>0</v>
          </cell>
          <cell r="M3637">
            <v>1.9557</v>
          </cell>
          <cell r="N3637">
            <v>0</v>
          </cell>
          <cell r="O3637">
            <v>5.67E-2</v>
          </cell>
          <cell r="P3637">
            <v>2.88</v>
          </cell>
          <cell r="Q3637">
            <v>4.5359999999999996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0.28170000000000001</v>
          </cell>
          <cell r="Y3637">
            <v>0</v>
          </cell>
          <cell r="Z3637">
            <v>0</v>
          </cell>
          <cell r="AA3637">
            <v>0</v>
          </cell>
          <cell r="AB3637">
            <v>5.2200000000000003E-2</v>
          </cell>
        </row>
        <row r="3638">
          <cell r="A3638">
            <v>58104130</v>
          </cell>
          <cell r="B3638" t="str">
            <v>Nachos with meat and cheese</v>
          </cell>
          <cell r="I3638">
            <v>132</v>
          </cell>
          <cell r="J3638">
            <v>310.21215000000001</v>
          </cell>
          <cell r="K3638">
            <v>2.3500920454545455</v>
          </cell>
          <cell r="L3638">
            <v>3.3375262000000001</v>
          </cell>
          <cell r="M3638">
            <v>6.4173736999999997</v>
          </cell>
          <cell r="N3638">
            <v>0</v>
          </cell>
          <cell r="O3638">
            <v>0.18669920000000001</v>
          </cell>
          <cell r="P3638">
            <v>1.033563</v>
          </cell>
          <cell r="Q3638">
            <v>2.5984815000000001</v>
          </cell>
          <cell r="R3638">
            <v>0</v>
          </cell>
          <cell r="S3638">
            <v>31.090776999999999</v>
          </cell>
          <cell r="T3638">
            <v>0</v>
          </cell>
          <cell r="U3638">
            <v>28.018072</v>
          </cell>
          <cell r="V3638">
            <v>0</v>
          </cell>
          <cell r="W3638">
            <v>0</v>
          </cell>
          <cell r="X3638">
            <v>0.5241846</v>
          </cell>
          <cell r="Y3638">
            <v>0</v>
          </cell>
          <cell r="Z3638">
            <v>31.400587000000002</v>
          </cell>
          <cell r="AA3638">
            <v>0</v>
          </cell>
          <cell r="AB3638">
            <v>0.5913098</v>
          </cell>
        </row>
        <row r="3639">
          <cell r="A3639">
            <v>58104150</v>
          </cell>
          <cell r="B3639" t="str">
            <v>Nachos with chicken and cheese</v>
          </cell>
          <cell r="I3639">
            <v>87</v>
          </cell>
          <cell r="J3639">
            <v>181.54114000000001</v>
          </cell>
          <cell r="K3639">
            <v>2.0866797701149427</v>
          </cell>
          <cell r="L3639">
            <v>2.1448816000000002</v>
          </cell>
          <cell r="M3639">
            <v>3.0747485999999999</v>
          </cell>
          <cell r="N3639">
            <v>0</v>
          </cell>
          <cell r="O3639">
            <v>0.1181942</v>
          </cell>
          <cell r="P3639">
            <v>0.66422559999999997</v>
          </cell>
          <cell r="Q3639">
            <v>1.7886340000000001</v>
          </cell>
          <cell r="R3639">
            <v>0</v>
          </cell>
          <cell r="S3639">
            <v>19.980677</v>
          </cell>
          <cell r="T3639">
            <v>0</v>
          </cell>
          <cell r="U3639">
            <v>18.005984999999999</v>
          </cell>
          <cell r="V3639">
            <v>0</v>
          </cell>
          <cell r="W3639">
            <v>0</v>
          </cell>
          <cell r="X3639">
            <v>0.3328313</v>
          </cell>
          <cell r="Y3639">
            <v>0</v>
          </cell>
          <cell r="Z3639">
            <v>0</v>
          </cell>
          <cell r="AA3639">
            <v>0</v>
          </cell>
          <cell r="AB3639">
            <v>0.2122773</v>
          </cell>
        </row>
        <row r="3640">
          <cell r="A3640">
            <v>58104180</v>
          </cell>
          <cell r="B3640" t="str">
            <v>Nachos with meat, cheese, and sour cream</v>
          </cell>
          <cell r="I3640">
            <v>88</v>
          </cell>
          <cell r="J3640">
            <v>189.68</v>
          </cell>
          <cell r="K3640">
            <v>2.1554545454545457</v>
          </cell>
          <cell r="L3640">
            <v>0.5194375</v>
          </cell>
          <cell r="M3640">
            <v>2.7351999999999999</v>
          </cell>
          <cell r="N3640">
            <v>0</v>
          </cell>
          <cell r="O3640">
            <v>4.888E-2</v>
          </cell>
          <cell r="P3640">
            <v>2.4405625</v>
          </cell>
          <cell r="Q3640">
            <v>2.0367999999999999</v>
          </cell>
          <cell r="R3640">
            <v>0</v>
          </cell>
          <cell r="S3640">
            <v>8.4</v>
          </cell>
          <cell r="T3640">
            <v>0</v>
          </cell>
          <cell r="U3640">
            <v>4.08</v>
          </cell>
          <cell r="V3640">
            <v>0</v>
          </cell>
          <cell r="W3640">
            <v>0</v>
          </cell>
          <cell r="X3640">
            <v>0.28399999999999997</v>
          </cell>
          <cell r="Y3640">
            <v>0</v>
          </cell>
          <cell r="Z3640">
            <v>7.2576000000000001</v>
          </cell>
          <cell r="AA3640">
            <v>0</v>
          </cell>
          <cell r="AB3640">
            <v>0.32807130000000001</v>
          </cell>
        </row>
        <row r="3641">
          <cell r="A3641">
            <v>58104190</v>
          </cell>
          <cell r="B3641" t="str">
            <v>Nachos with chicken, cheese, and sour cream</v>
          </cell>
          <cell r="I3641">
            <v>88</v>
          </cell>
          <cell r="J3641">
            <v>182.29051999999999</v>
          </cell>
          <cell r="K3641">
            <v>2.0714831818181816</v>
          </cell>
          <cell r="L3641">
            <v>1.9802504000000001</v>
          </cell>
          <cell r="M3641">
            <v>3.4732384000000001</v>
          </cell>
          <cell r="N3641">
            <v>0</v>
          </cell>
          <cell r="O3641">
            <v>0.1152092</v>
          </cell>
          <cell r="P3641">
            <v>0.61324270000000003</v>
          </cell>
          <cell r="Q3641">
            <v>1.6890868999999999</v>
          </cell>
          <cell r="R3641">
            <v>0</v>
          </cell>
          <cell r="S3641">
            <v>18.447053</v>
          </cell>
          <cell r="T3641">
            <v>0</v>
          </cell>
          <cell r="U3641">
            <v>16.623927999999999</v>
          </cell>
          <cell r="V3641">
            <v>0</v>
          </cell>
          <cell r="W3641">
            <v>0</v>
          </cell>
          <cell r="X3641">
            <v>0.25466309999999998</v>
          </cell>
          <cell r="Y3641">
            <v>0</v>
          </cell>
          <cell r="Z3641">
            <v>0</v>
          </cell>
          <cell r="AA3641">
            <v>0</v>
          </cell>
          <cell r="AB3641">
            <v>0.25709850000000001</v>
          </cell>
        </row>
        <row r="3642">
          <cell r="A3642">
            <v>58104260</v>
          </cell>
          <cell r="B3642" t="str">
            <v>Gordita, sope, or chalupa with beans</v>
          </cell>
          <cell r="I3642">
            <v>140</v>
          </cell>
          <cell r="J3642">
            <v>291.09366</v>
          </cell>
          <cell r="K3642">
            <v>2.0792404285714285</v>
          </cell>
          <cell r="L3642">
            <v>3.4953476999999999</v>
          </cell>
          <cell r="M3642">
            <v>3.4559579999999999</v>
          </cell>
          <cell r="N3642">
            <v>0</v>
          </cell>
          <cell r="O3642">
            <v>0.13480030000000001</v>
          </cell>
          <cell r="P3642">
            <v>2.2461799999999998</v>
          </cell>
          <cell r="Q3642">
            <v>4.1424915999999996</v>
          </cell>
          <cell r="R3642">
            <v>0</v>
          </cell>
          <cell r="S3642">
            <v>52.951839999999997</v>
          </cell>
          <cell r="T3642">
            <v>0</v>
          </cell>
          <cell r="U3642">
            <v>23.254075</v>
          </cell>
          <cell r="V3642">
            <v>0</v>
          </cell>
          <cell r="W3642">
            <v>0</v>
          </cell>
          <cell r="X3642">
            <v>0.58405830000000003</v>
          </cell>
          <cell r="Y3642">
            <v>0</v>
          </cell>
          <cell r="Z3642">
            <v>0</v>
          </cell>
          <cell r="AA3642">
            <v>0</v>
          </cell>
          <cell r="AB3642">
            <v>0.39158769999999998</v>
          </cell>
        </row>
        <row r="3643">
          <cell r="A3643">
            <v>58104270</v>
          </cell>
          <cell r="B3643" t="str">
            <v>Gordita, sope, or chalupa with beans and sour cream</v>
          </cell>
          <cell r="I3643">
            <v>140</v>
          </cell>
          <cell r="J3643">
            <v>289.85795000000002</v>
          </cell>
          <cell r="K3643">
            <v>2.0704139285714285</v>
          </cell>
          <cell r="L3643">
            <v>3.1844698999999999</v>
          </cell>
          <cell r="M3643">
            <v>4.4111821999999998</v>
          </cell>
          <cell r="N3643">
            <v>0</v>
          </cell>
          <cell r="O3643">
            <v>0.13538729999999999</v>
          </cell>
          <cell r="P3643">
            <v>2.0464036999999999</v>
          </cell>
          <cell r="Q3643">
            <v>3.8736698000000001</v>
          </cell>
          <cell r="R3643">
            <v>0</v>
          </cell>
          <cell r="S3643">
            <v>48.242279000000003</v>
          </cell>
          <cell r="T3643">
            <v>0</v>
          </cell>
          <cell r="U3643">
            <v>21.185846999999999</v>
          </cell>
          <cell r="V3643">
            <v>0</v>
          </cell>
          <cell r="W3643">
            <v>0</v>
          </cell>
          <cell r="X3643">
            <v>0.53597189999999995</v>
          </cell>
          <cell r="Y3643">
            <v>0</v>
          </cell>
          <cell r="Z3643">
            <v>0</v>
          </cell>
          <cell r="AA3643">
            <v>0</v>
          </cell>
          <cell r="AB3643">
            <v>0.34828740000000002</v>
          </cell>
        </row>
        <row r="3644">
          <cell r="A3644">
            <v>58104280</v>
          </cell>
          <cell r="B3644" t="str">
            <v>Gordita, sope, or chalupa with meat and sour cream</v>
          </cell>
          <cell r="I3644">
            <v>140</v>
          </cell>
          <cell r="J3644">
            <v>311.27672999999999</v>
          </cell>
          <cell r="K3644">
            <v>2.2234052142857141</v>
          </cell>
          <cell r="L3644">
            <v>0.70473790000000003</v>
          </cell>
          <cell r="M3644">
            <v>5.8421491999999997</v>
          </cell>
          <cell r="N3644">
            <v>0</v>
          </cell>
          <cell r="O3644">
            <v>0.13961989999999999</v>
          </cell>
          <cell r="P3644">
            <v>2.4158856000000002</v>
          </cell>
          <cell r="Q3644">
            <v>3.8161629000000001</v>
          </cell>
          <cell r="R3644">
            <v>0</v>
          </cell>
          <cell r="S3644">
            <v>0</v>
          </cell>
          <cell r="T3644">
            <v>0</v>
          </cell>
          <cell r="U3644">
            <v>42.387104000000001</v>
          </cell>
          <cell r="V3644">
            <v>0</v>
          </cell>
          <cell r="W3644">
            <v>0</v>
          </cell>
          <cell r="X3644">
            <v>0.63658510000000001</v>
          </cell>
          <cell r="Y3644">
            <v>0</v>
          </cell>
          <cell r="Z3644">
            <v>18.446763000000001</v>
          </cell>
          <cell r="AA3644">
            <v>0</v>
          </cell>
          <cell r="AB3644">
            <v>1.1004931</v>
          </cell>
        </row>
        <row r="3645">
          <cell r="A3645">
            <v>58104290</v>
          </cell>
          <cell r="B3645" t="str">
            <v>Gordita, sope, or chalupa with meat</v>
          </cell>
          <cell r="I3645">
            <v>140</v>
          </cell>
          <cell r="J3645">
            <v>314.98818</v>
          </cell>
          <cell r="K3645">
            <v>2.2499155714285712</v>
          </cell>
          <cell r="L3645">
            <v>0.78149400000000002</v>
          </cell>
          <cell r="M3645">
            <v>4.9322945000000002</v>
          </cell>
          <cell r="N3645">
            <v>0</v>
          </cell>
          <cell r="O3645">
            <v>0.13942599999999999</v>
          </cell>
          <cell r="P3645">
            <v>2.6790102999999998</v>
          </cell>
          <cell r="Q3645">
            <v>4.1098138000000004</v>
          </cell>
          <cell r="R3645">
            <v>0</v>
          </cell>
          <cell r="S3645">
            <v>0</v>
          </cell>
          <cell r="T3645">
            <v>0</v>
          </cell>
          <cell r="U3645">
            <v>47.00367</v>
          </cell>
          <cell r="V3645">
            <v>0</v>
          </cell>
          <cell r="W3645">
            <v>0</v>
          </cell>
          <cell r="X3645">
            <v>0.70119160000000003</v>
          </cell>
          <cell r="Y3645">
            <v>0</v>
          </cell>
          <cell r="Z3645">
            <v>20.455881999999999</v>
          </cell>
          <cell r="AA3645">
            <v>0</v>
          </cell>
          <cell r="AB3645">
            <v>0.6025935</v>
          </cell>
        </row>
        <row r="3646">
          <cell r="A3646">
            <v>58104320</v>
          </cell>
          <cell r="B3646" t="str">
            <v>Gordita, sope, or chalupa with chicken and sour cream</v>
          </cell>
          <cell r="I3646">
            <v>140</v>
          </cell>
          <cell r="J3646">
            <v>338.62124999999997</v>
          </cell>
          <cell r="K3646">
            <v>2.418723214285714</v>
          </cell>
          <cell r="L3646">
            <v>0.41505219999999998</v>
          </cell>
          <cell r="M3646">
            <v>5.7301643999999996</v>
          </cell>
          <cell r="N3646">
            <v>0</v>
          </cell>
          <cell r="O3646">
            <v>0.1579769</v>
          </cell>
          <cell r="P3646">
            <v>2.8461325999999998</v>
          </cell>
          <cell r="Q3646">
            <v>4.5935692000000001</v>
          </cell>
          <cell r="R3646">
            <v>0</v>
          </cell>
          <cell r="S3646">
            <v>0</v>
          </cell>
          <cell r="T3646">
            <v>0</v>
          </cell>
          <cell r="U3646">
            <v>23.383222</v>
          </cell>
          <cell r="V3646">
            <v>0</v>
          </cell>
          <cell r="W3646">
            <v>0</v>
          </cell>
          <cell r="X3646">
            <v>0.65699700000000005</v>
          </cell>
          <cell r="Y3646">
            <v>0</v>
          </cell>
          <cell r="Z3646">
            <v>0</v>
          </cell>
          <cell r="AA3646">
            <v>0</v>
          </cell>
          <cell r="AB3646">
            <v>0.7166418</v>
          </cell>
        </row>
        <row r="3647">
          <cell r="A3647">
            <v>58104340</v>
          </cell>
          <cell r="B3647" t="str">
            <v>Gordita, sope, or chalupa with chicken</v>
          </cell>
          <cell r="I3647">
            <v>140</v>
          </cell>
          <cell r="J3647">
            <v>346.65816000000001</v>
          </cell>
          <cell r="K3647">
            <v>2.4761297142857144</v>
          </cell>
          <cell r="L3647">
            <v>0.46936139999999998</v>
          </cell>
          <cell r="M3647">
            <v>4.6224173999999998</v>
          </cell>
          <cell r="N3647">
            <v>0</v>
          </cell>
          <cell r="O3647">
            <v>0.16014600000000001</v>
          </cell>
          <cell r="P3647">
            <v>3.2185464000000001</v>
          </cell>
          <cell r="Q3647">
            <v>5.0480825999999999</v>
          </cell>
          <cell r="R3647">
            <v>0</v>
          </cell>
          <cell r="S3647">
            <v>0</v>
          </cell>
          <cell r="T3647">
            <v>0</v>
          </cell>
          <cell r="U3647">
            <v>26.442896000000001</v>
          </cell>
          <cell r="V3647">
            <v>0</v>
          </cell>
          <cell r="W3647">
            <v>0</v>
          </cell>
          <cell r="X3647">
            <v>0.73728559999999999</v>
          </cell>
          <cell r="Y3647">
            <v>0</v>
          </cell>
          <cell r="Z3647">
            <v>0</v>
          </cell>
          <cell r="AA3647">
            <v>0</v>
          </cell>
          <cell r="AB3647">
            <v>0.39151239999999998</v>
          </cell>
        </row>
        <row r="3648">
          <cell r="A3648">
            <v>58104500</v>
          </cell>
          <cell r="B3648" t="str">
            <v>Chimichanga with meat</v>
          </cell>
          <cell r="I3648">
            <v>140</v>
          </cell>
          <cell r="J3648">
            <v>326.83816000000002</v>
          </cell>
          <cell r="K3648">
            <v>2.3345582857142859</v>
          </cell>
          <cell r="L3648">
            <v>2.2194739000000001</v>
          </cell>
          <cell r="M3648">
            <v>4.7778887000000001</v>
          </cell>
          <cell r="N3648">
            <v>0</v>
          </cell>
          <cell r="O3648">
            <v>0.1566119</v>
          </cell>
          <cell r="P3648">
            <v>2.0101924000000002</v>
          </cell>
          <cell r="Q3648">
            <v>4.3448538000000001</v>
          </cell>
          <cell r="R3648">
            <v>0</v>
          </cell>
          <cell r="S3648">
            <v>28.775744</v>
          </cell>
          <cell r="T3648">
            <v>0</v>
          </cell>
          <cell r="U3648">
            <v>30.612690000000001</v>
          </cell>
          <cell r="V3648">
            <v>0</v>
          </cell>
          <cell r="W3648">
            <v>0</v>
          </cell>
          <cell r="X3648">
            <v>0.79419320000000004</v>
          </cell>
          <cell r="Y3648">
            <v>0</v>
          </cell>
          <cell r="Z3648">
            <v>9.9639360000000003</v>
          </cell>
          <cell r="AA3648">
            <v>0</v>
          </cell>
          <cell r="AB3648">
            <v>0.7093119</v>
          </cell>
        </row>
        <row r="3649">
          <cell r="A3649">
            <v>58104520</v>
          </cell>
          <cell r="B3649" t="str">
            <v>Chimichanga, meatless</v>
          </cell>
          <cell r="I3649">
            <v>140</v>
          </cell>
          <cell r="J3649">
            <v>313.22368</v>
          </cell>
          <cell r="K3649">
            <v>2.2373120000000002</v>
          </cell>
          <cell r="L3649">
            <v>3.5354700000000001</v>
          </cell>
          <cell r="M3649">
            <v>4.0159424000000001</v>
          </cell>
          <cell r="N3649">
            <v>0</v>
          </cell>
          <cell r="O3649">
            <v>0.1529934</v>
          </cell>
          <cell r="P3649">
            <v>1.8182927</v>
          </cell>
          <cell r="Q3649">
            <v>4.3374731999999998</v>
          </cell>
          <cell r="R3649">
            <v>0</v>
          </cell>
          <cell r="S3649">
            <v>54.335599000000002</v>
          </cell>
          <cell r="T3649">
            <v>0</v>
          </cell>
          <cell r="U3649">
            <v>19.593467</v>
          </cell>
          <cell r="V3649">
            <v>0</v>
          </cell>
          <cell r="W3649">
            <v>0</v>
          </cell>
          <cell r="X3649">
            <v>0.7270297</v>
          </cell>
          <cell r="Y3649">
            <v>0</v>
          </cell>
          <cell r="Z3649">
            <v>0</v>
          </cell>
          <cell r="AA3649">
            <v>0</v>
          </cell>
          <cell r="AB3649">
            <v>0.4903303</v>
          </cell>
        </row>
        <row r="3650">
          <cell r="A3650">
            <v>58104530</v>
          </cell>
          <cell r="B3650" t="str">
            <v>Chimichanga with chicken</v>
          </cell>
          <cell r="I3650">
            <v>146</v>
          </cell>
          <cell r="J3650">
            <v>355.55858999999998</v>
          </cell>
          <cell r="K3650">
            <v>2.4353328082191781</v>
          </cell>
          <cell r="L3650">
            <v>2.3053910000000002</v>
          </cell>
          <cell r="M3650">
            <v>4.8103797999999998</v>
          </cell>
          <cell r="N3650">
            <v>0</v>
          </cell>
          <cell r="O3650">
            <v>0.17402480000000001</v>
          </cell>
          <cell r="P3650">
            <v>2.2756807999999999</v>
          </cell>
          <cell r="Q3650">
            <v>4.9691777000000004</v>
          </cell>
          <cell r="R3650">
            <v>0</v>
          </cell>
          <cell r="S3650">
            <v>32.576189999999997</v>
          </cell>
          <cell r="T3650">
            <v>0</v>
          </cell>
          <cell r="U3650">
            <v>21.361526999999999</v>
          </cell>
          <cell r="V3650">
            <v>0</v>
          </cell>
          <cell r="W3650">
            <v>0</v>
          </cell>
          <cell r="X3650">
            <v>0.85072700000000001</v>
          </cell>
          <cell r="Y3650">
            <v>0</v>
          </cell>
          <cell r="Z3650">
            <v>0</v>
          </cell>
          <cell r="AA3650">
            <v>0</v>
          </cell>
          <cell r="AB3650">
            <v>1.2966143000000001</v>
          </cell>
        </row>
        <row r="3651">
          <cell r="A3651">
            <v>58104535</v>
          </cell>
          <cell r="B3651" t="str">
            <v>Chimichanga with meat and sour cream</v>
          </cell>
          <cell r="I3651">
            <v>140</v>
          </cell>
          <cell r="J3651">
            <v>355.82492000000002</v>
          </cell>
          <cell r="K3651">
            <v>2.5416065714285714</v>
          </cell>
          <cell r="L3651">
            <v>0.57282279999999997</v>
          </cell>
          <cell r="M3651">
            <v>6.839143</v>
          </cell>
          <cell r="N3651">
            <v>0</v>
          </cell>
          <cell r="O3651">
            <v>0.18380150000000001</v>
          </cell>
          <cell r="P3651">
            <v>2.30348</v>
          </cell>
          <cell r="Q3651">
            <v>4.3163717999999998</v>
          </cell>
          <cell r="R3651">
            <v>0</v>
          </cell>
          <cell r="S3651">
            <v>0</v>
          </cell>
          <cell r="T3651">
            <v>0</v>
          </cell>
          <cell r="U3651">
            <v>32.402507</v>
          </cell>
          <cell r="V3651">
            <v>0</v>
          </cell>
          <cell r="W3651">
            <v>0</v>
          </cell>
          <cell r="X3651">
            <v>0.79678939999999998</v>
          </cell>
          <cell r="Y3651">
            <v>0</v>
          </cell>
          <cell r="Z3651">
            <v>11.417676999999999</v>
          </cell>
          <cell r="AA3651">
            <v>0</v>
          </cell>
          <cell r="AB3651">
            <v>0.71296809999999999</v>
          </cell>
        </row>
        <row r="3652">
          <cell r="A3652">
            <v>58104550</v>
          </cell>
          <cell r="B3652" t="str">
            <v>Chimichanga with chicken and sour cream</v>
          </cell>
          <cell r="I3652">
            <v>140</v>
          </cell>
          <cell r="J3652">
            <v>334.13753000000003</v>
          </cell>
          <cell r="K3652">
            <v>2.3866966428571432</v>
          </cell>
          <cell r="L3652">
            <v>1.9809905000000001</v>
          </cell>
          <cell r="M3652">
            <v>5.5987216000000002</v>
          </cell>
          <cell r="N3652">
            <v>0</v>
          </cell>
          <cell r="O3652">
            <v>0.1641542</v>
          </cell>
          <cell r="P3652">
            <v>1.9554608</v>
          </cell>
          <cell r="Q3652">
            <v>4.3855453000000004</v>
          </cell>
          <cell r="R3652">
            <v>0</v>
          </cell>
          <cell r="S3652">
            <v>27.992266999999998</v>
          </cell>
          <cell r="T3652">
            <v>0</v>
          </cell>
          <cell r="U3652">
            <v>18.355663</v>
          </cell>
          <cell r="V3652">
            <v>0</v>
          </cell>
          <cell r="W3652">
            <v>0</v>
          </cell>
          <cell r="X3652">
            <v>0.77202249999999994</v>
          </cell>
          <cell r="Y3652">
            <v>0</v>
          </cell>
          <cell r="Z3652">
            <v>0</v>
          </cell>
          <cell r="AA3652">
            <v>0</v>
          </cell>
          <cell r="AB3652">
            <v>0.7937575</v>
          </cell>
        </row>
        <row r="3653">
          <cell r="A3653">
            <v>58104710</v>
          </cell>
          <cell r="B3653" t="str">
            <v>Quesadilla, just cheese, meatless</v>
          </cell>
          <cell r="I3653">
            <v>140</v>
          </cell>
          <cell r="J3653">
            <v>480.77089000000001</v>
          </cell>
          <cell r="K3653">
            <v>3.4340777857142859</v>
          </cell>
          <cell r="L3653">
            <v>4.1783599999999997E-2</v>
          </cell>
          <cell r="M3653">
            <v>11.473342000000001</v>
          </cell>
          <cell r="N3653">
            <v>0</v>
          </cell>
          <cell r="O3653">
            <v>0.45049790000000001</v>
          </cell>
          <cell r="P3653">
            <v>3.1337714999999999</v>
          </cell>
          <cell r="Q3653">
            <v>3.8090392999999998</v>
          </cell>
          <cell r="R3653">
            <v>0</v>
          </cell>
          <cell r="S3653">
            <v>0</v>
          </cell>
          <cell r="T3653">
            <v>0</v>
          </cell>
          <cell r="U3653">
            <v>2.7855747000000002</v>
          </cell>
          <cell r="V3653">
            <v>0</v>
          </cell>
          <cell r="W3653">
            <v>0</v>
          </cell>
          <cell r="X3653">
            <v>0.95283130000000005</v>
          </cell>
          <cell r="Y3653">
            <v>0</v>
          </cell>
          <cell r="Z3653">
            <v>0</v>
          </cell>
          <cell r="AA3653">
            <v>0</v>
          </cell>
          <cell r="AB3653">
            <v>0.90716330000000001</v>
          </cell>
        </row>
        <row r="3654">
          <cell r="A3654">
            <v>58104720</v>
          </cell>
          <cell r="B3654" t="str">
            <v>Quesadilla, just cheese, from fast food</v>
          </cell>
          <cell r="I3654">
            <v>140</v>
          </cell>
          <cell r="J3654">
            <v>484.2208</v>
          </cell>
          <cell r="K3654">
            <v>3.45872</v>
          </cell>
          <cell r="L3654">
            <v>6.3E-2</v>
          </cell>
          <cell r="M3654">
            <v>12.531219</v>
          </cell>
          <cell r="N3654">
            <v>0</v>
          </cell>
          <cell r="O3654">
            <v>0.487095</v>
          </cell>
          <cell r="P3654">
            <v>2.8420000000000001</v>
          </cell>
          <cell r="Q3654">
            <v>3.7534489999999998</v>
          </cell>
          <cell r="R3654">
            <v>0</v>
          </cell>
          <cell r="S3654">
            <v>0</v>
          </cell>
          <cell r="T3654">
            <v>0</v>
          </cell>
          <cell r="U3654">
            <v>4.2</v>
          </cell>
          <cell r="V3654">
            <v>0</v>
          </cell>
          <cell r="W3654">
            <v>0</v>
          </cell>
          <cell r="X3654">
            <v>0.93619399999999997</v>
          </cell>
          <cell r="Y3654">
            <v>0</v>
          </cell>
          <cell r="Z3654">
            <v>0</v>
          </cell>
          <cell r="AA3654">
            <v>0</v>
          </cell>
          <cell r="AB3654">
            <v>0.96221389999999996</v>
          </cell>
        </row>
        <row r="3655">
          <cell r="A3655">
            <v>58104730</v>
          </cell>
          <cell r="B3655" t="str">
            <v>Quesadilla with meat</v>
          </cell>
          <cell r="I3655">
            <v>140</v>
          </cell>
          <cell r="J3655">
            <v>456.98943000000003</v>
          </cell>
          <cell r="K3655">
            <v>3.2642102142857143</v>
          </cell>
          <cell r="L3655">
            <v>3.7339299999999999E-2</v>
          </cell>
          <cell r="M3655">
            <v>10.646551000000001</v>
          </cell>
          <cell r="N3655">
            <v>0</v>
          </cell>
          <cell r="O3655">
            <v>0.40497270000000002</v>
          </cell>
          <cell r="P3655">
            <v>2.8004444999999998</v>
          </cell>
          <cell r="Q3655">
            <v>3.4534676000000002</v>
          </cell>
          <cell r="R3655">
            <v>0</v>
          </cell>
          <cell r="S3655">
            <v>0</v>
          </cell>
          <cell r="T3655">
            <v>0</v>
          </cell>
          <cell r="U3655">
            <v>2.4892840000000001</v>
          </cell>
          <cell r="V3655">
            <v>0</v>
          </cell>
          <cell r="W3655">
            <v>0</v>
          </cell>
          <cell r="X3655">
            <v>0.90912130000000002</v>
          </cell>
          <cell r="Y3655">
            <v>0</v>
          </cell>
          <cell r="Z3655">
            <v>14.717663999999999</v>
          </cell>
          <cell r="AA3655">
            <v>0</v>
          </cell>
          <cell r="AB3655">
            <v>0.83814029999999995</v>
          </cell>
        </row>
        <row r="3656">
          <cell r="A3656">
            <v>58104740</v>
          </cell>
          <cell r="B3656" t="str">
            <v>Quesadilla with chicken</v>
          </cell>
          <cell r="I3656">
            <v>140</v>
          </cell>
          <cell r="J3656">
            <v>453.92176999999998</v>
          </cell>
          <cell r="K3656">
            <v>3.242298357142857</v>
          </cell>
          <cell r="L3656">
            <v>3.7309599999999998E-2</v>
          </cell>
          <cell r="M3656">
            <v>10.481565</v>
          </cell>
          <cell r="N3656">
            <v>0</v>
          </cell>
          <cell r="O3656">
            <v>0.40441949999999999</v>
          </cell>
          <cell r="P3656">
            <v>2.7982233999999999</v>
          </cell>
          <cell r="Q3656">
            <v>3.5416626999999998</v>
          </cell>
          <cell r="R3656">
            <v>0</v>
          </cell>
          <cell r="S3656">
            <v>0</v>
          </cell>
          <cell r="T3656">
            <v>0</v>
          </cell>
          <cell r="U3656">
            <v>2.4873096000000001</v>
          </cell>
          <cell r="V3656">
            <v>0</v>
          </cell>
          <cell r="W3656">
            <v>0</v>
          </cell>
          <cell r="X3656">
            <v>0.90253919999999999</v>
          </cell>
          <cell r="Y3656">
            <v>0</v>
          </cell>
          <cell r="Z3656">
            <v>0</v>
          </cell>
          <cell r="AA3656">
            <v>0</v>
          </cell>
          <cell r="AB3656">
            <v>0.71946739999999998</v>
          </cell>
        </row>
        <row r="3657">
          <cell r="A3657">
            <v>58104745</v>
          </cell>
          <cell r="B3657" t="str">
            <v>Quesadilla with chicken, from fast food</v>
          </cell>
          <cell r="I3657">
            <v>140</v>
          </cell>
          <cell r="J3657">
            <v>411.6</v>
          </cell>
          <cell r="K3657">
            <v>2.94</v>
          </cell>
          <cell r="L3657">
            <v>0</v>
          </cell>
          <cell r="M3657">
            <v>8.6156000000000006</v>
          </cell>
          <cell r="N3657">
            <v>0</v>
          </cell>
          <cell r="O3657">
            <v>0.37659999999999999</v>
          </cell>
          <cell r="P3657">
            <v>2.38</v>
          </cell>
          <cell r="Q3657">
            <v>5.7316000000000003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1.0429999999999999</v>
          </cell>
          <cell r="Y3657">
            <v>0</v>
          </cell>
          <cell r="Z3657">
            <v>0</v>
          </cell>
          <cell r="AA3657">
            <v>0</v>
          </cell>
          <cell r="AB3657">
            <v>0.45079999999999998</v>
          </cell>
        </row>
        <row r="3658">
          <cell r="A3658">
            <v>58104750</v>
          </cell>
          <cell r="B3658" t="str">
            <v>Quesadilla with vegetables</v>
          </cell>
          <cell r="I3658">
            <v>140</v>
          </cell>
          <cell r="J3658">
            <v>429.41075000000001</v>
          </cell>
          <cell r="K3658">
            <v>3.0672196428571428</v>
          </cell>
          <cell r="L3658">
            <v>0.27696270000000001</v>
          </cell>
          <cell r="M3658">
            <v>10.160545000000001</v>
          </cell>
          <cell r="N3658">
            <v>0</v>
          </cell>
          <cell r="O3658">
            <v>0.40291900000000003</v>
          </cell>
          <cell r="P3658">
            <v>2.7731488999999998</v>
          </cell>
          <cell r="Q3658">
            <v>3.3890631999999998</v>
          </cell>
          <cell r="R3658">
            <v>0</v>
          </cell>
          <cell r="S3658">
            <v>0</v>
          </cell>
          <cell r="T3658">
            <v>0</v>
          </cell>
          <cell r="U3658">
            <v>18.575696000000001</v>
          </cell>
          <cell r="V3658">
            <v>0</v>
          </cell>
          <cell r="W3658">
            <v>0</v>
          </cell>
          <cell r="X3658">
            <v>0.84373419999999999</v>
          </cell>
          <cell r="Y3658">
            <v>0</v>
          </cell>
          <cell r="Z3658">
            <v>0</v>
          </cell>
          <cell r="AA3658">
            <v>0</v>
          </cell>
          <cell r="AB3658">
            <v>0.82104060000000001</v>
          </cell>
        </row>
        <row r="3659">
          <cell r="A3659">
            <v>58104760</v>
          </cell>
          <cell r="B3659" t="str">
            <v>Quesadilla with vegetables and meat</v>
          </cell>
          <cell r="I3659">
            <v>140</v>
          </cell>
          <cell r="J3659">
            <v>443.13256000000001</v>
          </cell>
          <cell r="K3659">
            <v>3.1652325714285716</v>
          </cell>
          <cell r="L3659">
            <v>0.15773780000000001</v>
          </cell>
          <cell r="M3659">
            <v>10.402358</v>
          </cell>
          <cell r="N3659">
            <v>0</v>
          </cell>
          <cell r="O3659">
            <v>0.40394079999999999</v>
          </cell>
          <cell r="P3659">
            <v>2.7867299000000001</v>
          </cell>
          <cell r="Q3659">
            <v>3.4211076999999999</v>
          </cell>
          <cell r="R3659">
            <v>0</v>
          </cell>
          <cell r="S3659">
            <v>0</v>
          </cell>
          <cell r="T3659">
            <v>0</v>
          </cell>
          <cell r="U3659">
            <v>10.57188</v>
          </cell>
          <cell r="V3659">
            <v>0</v>
          </cell>
          <cell r="W3659">
            <v>0</v>
          </cell>
          <cell r="X3659">
            <v>0.87626760000000004</v>
          </cell>
          <cell r="Y3659">
            <v>0</v>
          </cell>
          <cell r="Z3659">
            <v>7.3227935000000004</v>
          </cell>
          <cell r="AA3659">
            <v>0</v>
          </cell>
          <cell r="AB3659">
            <v>0.81429320000000005</v>
          </cell>
        </row>
        <row r="3660">
          <cell r="A3660">
            <v>58104770</v>
          </cell>
          <cell r="B3660" t="str">
            <v>Quesadilla with vegetables and chicken</v>
          </cell>
          <cell r="I3660">
            <v>140</v>
          </cell>
          <cell r="J3660">
            <v>441.60775999999998</v>
          </cell>
          <cell r="K3660">
            <v>3.1543411428571426</v>
          </cell>
          <cell r="L3660">
            <v>0.15767300000000001</v>
          </cell>
          <cell r="M3660">
            <v>10.320205</v>
          </cell>
          <cell r="N3660">
            <v>0</v>
          </cell>
          <cell r="O3660">
            <v>0.40365980000000001</v>
          </cell>
          <cell r="P3660">
            <v>2.7855856999999999</v>
          </cell>
          <cell r="Q3660">
            <v>3.4649855999999999</v>
          </cell>
          <cell r="R3660">
            <v>0</v>
          </cell>
          <cell r="S3660">
            <v>0</v>
          </cell>
          <cell r="T3660">
            <v>0</v>
          </cell>
          <cell r="U3660">
            <v>10.567539</v>
          </cell>
          <cell r="V3660">
            <v>0</v>
          </cell>
          <cell r="W3660">
            <v>0</v>
          </cell>
          <cell r="X3660">
            <v>0.87299819999999995</v>
          </cell>
          <cell r="Y3660">
            <v>0</v>
          </cell>
          <cell r="Z3660">
            <v>0</v>
          </cell>
          <cell r="AA3660">
            <v>0</v>
          </cell>
          <cell r="AB3660">
            <v>0.82507269999999999</v>
          </cell>
        </row>
        <row r="3661">
          <cell r="A3661">
            <v>58104800</v>
          </cell>
          <cell r="B3661" t="str">
            <v>Taquito or flauta with cheese</v>
          </cell>
          <cell r="I3661">
            <v>140</v>
          </cell>
          <cell r="J3661">
            <v>376.44745999999998</v>
          </cell>
          <cell r="K3661">
            <v>2.6889104285714285</v>
          </cell>
          <cell r="L3661">
            <v>0</v>
          </cell>
          <cell r="M3661">
            <v>7.6876983000000001</v>
          </cell>
          <cell r="N3661">
            <v>0</v>
          </cell>
          <cell r="O3661">
            <v>0.35433900000000002</v>
          </cell>
          <cell r="P3661">
            <v>6.4067797000000004</v>
          </cell>
          <cell r="Q3661">
            <v>1.9873661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0.29589490000000002</v>
          </cell>
          <cell r="Y3661">
            <v>0</v>
          </cell>
          <cell r="Z3661">
            <v>0</v>
          </cell>
          <cell r="AA3661">
            <v>0</v>
          </cell>
          <cell r="AB3661">
            <v>0.48971579999999998</v>
          </cell>
        </row>
        <row r="3662">
          <cell r="A3662">
            <v>58104820</v>
          </cell>
          <cell r="B3662" t="str">
            <v>Taquito or flauta with meat</v>
          </cell>
          <cell r="I3662">
            <v>140</v>
          </cell>
          <cell r="J3662">
            <v>401.8</v>
          </cell>
          <cell r="K3662">
            <v>2.87</v>
          </cell>
          <cell r="L3662">
            <v>0.2934795</v>
          </cell>
          <cell r="M3662">
            <v>3.6694</v>
          </cell>
          <cell r="N3662">
            <v>0</v>
          </cell>
          <cell r="O3662">
            <v>0.1358</v>
          </cell>
          <cell r="P3662">
            <v>3.6265204999999998</v>
          </cell>
          <cell r="Q3662">
            <v>5.8617999999999997</v>
          </cell>
          <cell r="R3662">
            <v>0</v>
          </cell>
          <cell r="S3662">
            <v>0</v>
          </cell>
          <cell r="T3662">
            <v>0</v>
          </cell>
          <cell r="U3662">
            <v>16.8</v>
          </cell>
          <cell r="V3662">
            <v>0</v>
          </cell>
          <cell r="W3662">
            <v>0</v>
          </cell>
          <cell r="X3662">
            <v>0.63839999999999997</v>
          </cell>
          <cell r="Y3662">
            <v>0</v>
          </cell>
          <cell r="Z3662">
            <v>16.669799999999999</v>
          </cell>
          <cell r="AA3662">
            <v>0</v>
          </cell>
          <cell r="AB3662">
            <v>0.20580000000000001</v>
          </cell>
        </row>
        <row r="3663">
          <cell r="A3663">
            <v>58104825</v>
          </cell>
          <cell r="B3663" t="str">
            <v>Taquito or flauta with meat and cheese</v>
          </cell>
          <cell r="I3663">
            <v>140</v>
          </cell>
          <cell r="J3663">
            <v>401.8</v>
          </cell>
          <cell r="K3663">
            <v>2.87</v>
          </cell>
          <cell r="L3663">
            <v>0.2934795</v>
          </cell>
          <cell r="M3663">
            <v>3.6694</v>
          </cell>
          <cell r="N3663">
            <v>0</v>
          </cell>
          <cell r="O3663">
            <v>0.1358</v>
          </cell>
          <cell r="P3663">
            <v>3.6265204999999998</v>
          </cell>
          <cell r="Q3663">
            <v>5.8617999999999997</v>
          </cell>
          <cell r="R3663">
            <v>0</v>
          </cell>
          <cell r="S3663">
            <v>0</v>
          </cell>
          <cell r="T3663">
            <v>0</v>
          </cell>
          <cell r="U3663">
            <v>16.8</v>
          </cell>
          <cell r="V3663">
            <v>0</v>
          </cell>
          <cell r="W3663">
            <v>0</v>
          </cell>
          <cell r="X3663">
            <v>0.63839999999999997</v>
          </cell>
          <cell r="Y3663">
            <v>0</v>
          </cell>
          <cell r="Z3663">
            <v>16.669799999999999</v>
          </cell>
          <cell r="AA3663">
            <v>0</v>
          </cell>
          <cell r="AB3663">
            <v>0.20580000000000001</v>
          </cell>
        </row>
        <row r="3664">
          <cell r="A3664">
            <v>58104830</v>
          </cell>
          <cell r="B3664" t="str">
            <v>Taquito or flauta with chicken</v>
          </cell>
          <cell r="I3664">
            <v>140</v>
          </cell>
          <cell r="J3664">
            <v>397.6</v>
          </cell>
          <cell r="K3664">
            <v>2.8400000000000003</v>
          </cell>
          <cell r="L3664">
            <v>0.26728400000000002</v>
          </cell>
          <cell r="M3664">
            <v>3.234</v>
          </cell>
          <cell r="N3664">
            <v>0</v>
          </cell>
          <cell r="O3664">
            <v>0.14560000000000001</v>
          </cell>
          <cell r="P3664">
            <v>3.792716</v>
          </cell>
          <cell r="Q3664">
            <v>5.9290000000000003</v>
          </cell>
          <cell r="R3664">
            <v>0</v>
          </cell>
          <cell r="S3664">
            <v>0</v>
          </cell>
          <cell r="T3664">
            <v>0</v>
          </cell>
          <cell r="U3664">
            <v>14.63</v>
          </cell>
          <cell r="V3664">
            <v>0</v>
          </cell>
          <cell r="W3664">
            <v>0</v>
          </cell>
          <cell r="X3664">
            <v>0.63419999999999999</v>
          </cell>
          <cell r="Y3664">
            <v>0</v>
          </cell>
          <cell r="Z3664">
            <v>0</v>
          </cell>
          <cell r="AA3664">
            <v>0</v>
          </cell>
          <cell r="AB3664">
            <v>9.9400000000000002E-2</v>
          </cell>
        </row>
        <row r="3665">
          <cell r="A3665">
            <v>58104835</v>
          </cell>
          <cell r="B3665" t="str">
            <v>Taquito or flauta with chicken and cheese</v>
          </cell>
          <cell r="I3665">
            <v>140</v>
          </cell>
          <cell r="J3665">
            <v>397.6</v>
          </cell>
          <cell r="K3665">
            <v>2.8400000000000003</v>
          </cell>
          <cell r="L3665">
            <v>0.26728400000000002</v>
          </cell>
          <cell r="M3665">
            <v>3.234</v>
          </cell>
          <cell r="N3665">
            <v>0</v>
          </cell>
          <cell r="O3665">
            <v>0.14560000000000001</v>
          </cell>
          <cell r="P3665">
            <v>3.792716</v>
          </cell>
          <cell r="Q3665">
            <v>5.9290000000000003</v>
          </cell>
          <cell r="R3665">
            <v>0</v>
          </cell>
          <cell r="S3665">
            <v>0</v>
          </cell>
          <cell r="T3665">
            <v>0</v>
          </cell>
          <cell r="U3665">
            <v>14.63</v>
          </cell>
          <cell r="V3665">
            <v>0</v>
          </cell>
          <cell r="W3665">
            <v>0</v>
          </cell>
          <cell r="X3665">
            <v>0.63419999999999999</v>
          </cell>
          <cell r="Y3665">
            <v>0</v>
          </cell>
          <cell r="Z3665">
            <v>0</v>
          </cell>
          <cell r="AA3665">
            <v>0</v>
          </cell>
          <cell r="AB3665">
            <v>9.9400000000000002E-2</v>
          </cell>
        </row>
        <row r="3666">
          <cell r="A3666">
            <v>58104900</v>
          </cell>
          <cell r="B3666" t="str">
            <v>Taquito or flauta with egg</v>
          </cell>
          <cell r="I3666">
            <v>140</v>
          </cell>
          <cell r="J3666">
            <v>357.08235000000002</v>
          </cell>
          <cell r="K3666">
            <v>2.5505882142857144</v>
          </cell>
          <cell r="L3666">
            <v>0.15647059999999999</v>
          </cell>
          <cell r="M3666">
            <v>6.6480234999999999</v>
          </cell>
          <cell r="N3666">
            <v>0</v>
          </cell>
          <cell r="O3666">
            <v>0.25480000000000003</v>
          </cell>
          <cell r="P3666">
            <v>2.5941176000000001</v>
          </cell>
          <cell r="Q3666">
            <v>2.9379412</v>
          </cell>
          <cell r="R3666">
            <v>0</v>
          </cell>
          <cell r="S3666">
            <v>0</v>
          </cell>
          <cell r="T3666">
            <v>0</v>
          </cell>
          <cell r="U3666">
            <v>8.2352941000000008</v>
          </cell>
          <cell r="V3666">
            <v>0</v>
          </cell>
          <cell r="W3666">
            <v>0</v>
          </cell>
          <cell r="X3666">
            <v>0.77131760000000005</v>
          </cell>
          <cell r="Y3666">
            <v>0</v>
          </cell>
          <cell r="Z3666">
            <v>0</v>
          </cell>
          <cell r="AA3666">
            <v>0</v>
          </cell>
          <cell r="AB3666">
            <v>0.48859550000000002</v>
          </cell>
        </row>
        <row r="3667">
          <cell r="A3667">
            <v>58104905</v>
          </cell>
          <cell r="B3667" t="str">
            <v>Taquito or flauta with egg and breakfast meat</v>
          </cell>
          <cell r="I3667">
            <v>140</v>
          </cell>
          <cell r="J3667">
            <v>373.64443999999997</v>
          </cell>
          <cell r="K3667">
            <v>2.6688888571428571</v>
          </cell>
          <cell r="L3667">
            <v>0.14777779999999999</v>
          </cell>
          <cell r="M3667">
            <v>7.2092222000000001</v>
          </cell>
          <cell r="N3667">
            <v>0</v>
          </cell>
          <cell r="O3667">
            <v>0.24149999999999999</v>
          </cell>
          <cell r="P3667">
            <v>2.4500000000000002</v>
          </cell>
          <cell r="Q3667">
            <v>3.2501000000000002</v>
          </cell>
          <cell r="R3667">
            <v>0</v>
          </cell>
          <cell r="S3667">
            <v>0</v>
          </cell>
          <cell r="T3667">
            <v>0</v>
          </cell>
          <cell r="U3667">
            <v>7.7777778</v>
          </cell>
          <cell r="V3667">
            <v>0</v>
          </cell>
          <cell r="W3667">
            <v>0</v>
          </cell>
          <cell r="X3667">
            <v>0.8594444</v>
          </cell>
          <cell r="Y3667">
            <v>0</v>
          </cell>
          <cell r="Z3667">
            <v>0</v>
          </cell>
          <cell r="AA3667">
            <v>5.5566000000000004</v>
          </cell>
          <cell r="AB3667">
            <v>0.5670499</v>
          </cell>
        </row>
        <row r="3668">
          <cell r="A3668">
            <v>58105000</v>
          </cell>
          <cell r="B3668" t="str">
            <v>Fajita with chicken and vegetables</v>
          </cell>
          <cell r="I3668">
            <v>140</v>
          </cell>
          <cell r="J3668">
            <v>219.69264000000001</v>
          </cell>
          <cell r="K3668">
            <v>1.5692331428571429</v>
          </cell>
          <cell r="L3668">
            <v>1.0336809</v>
          </cell>
          <cell r="M3668">
            <v>3.1992004999999999</v>
          </cell>
          <cell r="N3668">
            <v>0</v>
          </cell>
          <cell r="O3668">
            <v>7.6699000000000003E-2</v>
          </cell>
          <cell r="P3668">
            <v>1.1026566</v>
          </cell>
          <cell r="Q3668">
            <v>2.0935950000000001</v>
          </cell>
          <cell r="R3668">
            <v>0</v>
          </cell>
          <cell r="S3668">
            <v>0</v>
          </cell>
          <cell r="T3668">
            <v>0</v>
          </cell>
          <cell r="U3668">
            <v>56.246625999999999</v>
          </cell>
          <cell r="V3668">
            <v>0</v>
          </cell>
          <cell r="W3668">
            <v>0</v>
          </cell>
          <cell r="X3668">
            <v>0.5954971</v>
          </cell>
          <cell r="Y3668">
            <v>0</v>
          </cell>
          <cell r="Z3668">
            <v>0</v>
          </cell>
          <cell r="AA3668">
            <v>0</v>
          </cell>
          <cell r="AB3668">
            <v>0.170011</v>
          </cell>
        </row>
        <row r="3669">
          <cell r="A3669">
            <v>58105050</v>
          </cell>
          <cell r="B3669" t="str">
            <v>Fajita with meat and vegetables</v>
          </cell>
          <cell r="I3669">
            <v>140</v>
          </cell>
          <cell r="J3669">
            <v>224.64090999999999</v>
          </cell>
          <cell r="K3669">
            <v>1.6045779285714286</v>
          </cell>
          <cell r="L3669">
            <v>1.0336809</v>
          </cell>
          <cell r="M3669">
            <v>3.4320943000000002</v>
          </cell>
          <cell r="N3669">
            <v>0</v>
          </cell>
          <cell r="O3669">
            <v>7.83605E-2</v>
          </cell>
          <cell r="P3669">
            <v>1.1026566</v>
          </cell>
          <cell r="Q3669">
            <v>1.8371156</v>
          </cell>
          <cell r="R3669">
            <v>0</v>
          </cell>
          <cell r="S3669">
            <v>0</v>
          </cell>
          <cell r="T3669">
            <v>0</v>
          </cell>
          <cell r="U3669">
            <v>56.246625999999999</v>
          </cell>
          <cell r="V3669">
            <v>0</v>
          </cell>
          <cell r="W3669">
            <v>0</v>
          </cell>
          <cell r="X3669">
            <v>0.49288359999999998</v>
          </cell>
          <cell r="Y3669">
            <v>0</v>
          </cell>
          <cell r="Z3669">
            <v>36.118766999999998</v>
          </cell>
          <cell r="AA3669">
            <v>0</v>
          </cell>
          <cell r="AB3669">
            <v>0.35771049999999999</v>
          </cell>
        </row>
        <row r="3670">
          <cell r="A3670">
            <v>58105100</v>
          </cell>
          <cell r="B3670" t="str">
            <v>Pupusa, cheese-filled</v>
          </cell>
          <cell r="I3670">
            <v>140</v>
          </cell>
          <cell r="J3670">
            <v>358.4</v>
          </cell>
          <cell r="K3670">
            <v>2.56</v>
          </cell>
          <cell r="L3670">
            <v>0</v>
          </cell>
          <cell r="M3670">
            <v>9.0706000000000007</v>
          </cell>
          <cell r="N3670">
            <v>0</v>
          </cell>
          <cell r="O3670">
            <v>0.45500000000000002</v>
          </cell>
          <cell r="P3670">
            <v>4.0599999999999996</v>
          </cell>
          <cell r="Q3670">
            <v>2.177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0.56000000000000005</v>
          </cell>
          <cell r="Y3670">
            <v>0</v>
          </cell>
          <cell r="Z3670">
            <v>0</v>
          </cell>
          <cell r="AA3670">
            <v>0</v>
          </cell>
          <cell r="AB3670">
            <v>0.50260000000000005</v>
          </cell>
        </row>
        <row r="3671">
          <cell r="A3671">
            <v>58105105</v>
          </cell>
          <cell r="B3671" t="str">
            <v>Pupusa, bean-filled</v>
          </cell>
          <cell r="I3671">
            <v>140</v>
          </cell>
          <cell r="J3671">
            <v>211.96471</v>
          </cell>
          <cell r="K3671">
            <v>1.5140336428571428</v>
          </cell>
          <cell r="L3671">
            <v>1.5968781000000001</v>
          </cell>
          <cell r="M3671">
            <v>1.9672862</v>
          </cell>
          <cell r="N3671">
            <v>0</v>
          </cell>
          <cell r="O3671">
            <v>0.1143849</v>
          </cell>
          <cell r="P3671">
            <v>2.4406678999999998</v>
          </cell>
          <cell r="Q3671">
            <v>1.4974623</v>
          </cell>
          <cell r="R3671">
            <v>0</v>
          </cell>
          <cell r="S3671">
            <v>26.722352999999998</v>
          </cell>
          <cell r="T3671">
            <v>0</v>
          </cell>
          <cell r="U3671">
            <v>2.1691121</v>
          </cell>
          <cell r="V3671">
            <v>0</v>
          </cell>
          <cell r="W3671">
            <v>0</v>
          </cell>
          <cell r="X3671">
            <v>0.2251252</v>
          </cell>
          <cell r="Y3671">
            <v>0</v>
          </cell>
          <cell r="Z3671">
            <v>0</v>
          </cell>
          <cell r="AA3671">
            <v>0</v>
          </cell>
          <cell r="AB3671">
            <v>7.4222800000000005E-2</v>
          </cell>
        </row>
        <row r="3672">
          <cell r="A3672">
            <v>58105110</v>
          </cell>
          <cell r="B3672" t="str">
            <v>Pupusa, meat-filled</v>
          </cell>
          <cell r="I3672">
            <v>140</v>
          </cell>
          <cell r="J3672">
            <v>324.8</v>
          </cell>
          <cell r="K3672">
            <v>2.3200000000000003</v>
          </cell>
          <cell r="L3672">
            <v>0.30401220000000001</v>
          </cell>
          <cell r="M3672">
            <v>4.4324000000000003</v>
          </cell>
          <cell r="N3672">
            <v>0</v>
          </cell>
          <cell r="O3672">
            <v>6.8599999999999994E-2</v>
          </cell>
          <cell r="P3672">
            <v>3.3359877999999998</v>
          </cell>
          <cell r="Q3672">
            <v>3.0870000000000002</v>
          </cell>
          <cell r="R3672">
            <v>0</v>
          </cell>
          <cell r="S3672">
            <v>0</v>
          </cell>
          <cell r="T3672">
            <v>0</v>
          </cell>
          <cell r="U3672">
            <v>13.02</v>
          </cell>
          <cell r="V3672">
            <v>0</v>
          </cell>
          <cell r="W3672">
            <v>0</v>
          </cell>
          <cell r="X3672">
            <v>0.59640000000000004</v>
          </cell>
          <cell r="Y3672">
            <v>0</v>
          </cell>
          <cell r="Z3672">
            <v>35.324100000000001</v>
          </cell>
          <cell r="AA3672">
            <v>0</v>
          </cell>
          <cell r="AB3672">
            <v>0.1162</v>
          </cell>
        </row>
        <row r="3673">
          <cell r="A3673">
            <v>58106200</v>
          </cell>
          <cell r="B3673" t="str">
            <v>Pizza, cheese, from frozen, thin crust</v>
          </cell>
          <cell r="I3673">
            <v>140</v>
          </cell>
          <cell r="J3673">
            <v>368.2</v>
          </cell>
          <cell r="K3673">
            <v>2.63</v>
          </cell>
          <cell r="L3673">
            <v>0.83544499999999999</v>
          </cell>
          <cell r="M3673">
            <v>7.9771999999999998</v>
          </cell>
          <cell r="N3673">
            <v>0</v>
          </cell>
          <cell r="O3673">
            <v>0.31919999999999998</v>
          </cell>
          <cell r="P3673">
            <v>3.3645550000000002</v>
          </cell>
          <cell r="Q3673">
            <v>2.3730000000000002</v>
          </cell>
          <cell r="R3673">
            <v>0</v>
          </cell>
          <cell r="S3673">
            <v>0</v>
          </cell>
          <cell r="T3673">
            <v>0</v>
          </cell>
          <cell r="U3673">
            <v>34.299999999999997</v>
          </cell>
          <cell r="V3673">
            <v>0</v>
          </cell>
          <cell r="W3673">
            <v>0</v>
          </cell>
          <cell r="X3673">
            <v>0.65939999999999999</v>
          </cell>
          <cell r="Y3673">
            <v>0</v>
          </cell>
          <cell r="Z3673">
            <v>0</v>
          </cell>
          <cell r="AA3673">
            <v>0</v>
          </cell>
          <cell r="AB3673">
            <v>0.38779999999999998</v>
          </cell>
        </row>
        <row r="3674">
          <cell r="A3674">
            <v>58106205</v>
          </cell>
          <cell r="B3674" t="str">
            <v>Pizza, cheese, from frozen, thick crust</v>
          </cell>
          <cell r="I3674">
            <v>140</v>
          </cell>
          <cell r="J3674">
            <v>364</v>
          </cell>
          <cell r="K3674">
            <v>2.6</v>
          </cell>
          <cell r="L3674">
            <v>0.65710060000000003</v>
          </cell>
          <cell r="M3674">
            <v>5.3550000000000004</v>
          </cell>
          <cell r="N3674">
            <v>0</v>
          </cell>
          <cell r="O3674">
            <v>0.24779999999999999</v>
          </cell>
          <cell r="P3674">
            <v>2.8428993999999999</v>
          </cell>
          <cell r="Q3674">
            <v>1.9334</v>
          </cell>
          <cell r="R3674">
            <v>0</v>
          </cell>
          <cell r="S3674">
            <v>0</v>
          </cell>
          <cell r="T3674">
            <v>0</v>
          </cell>
          <cell r="U3674">
            <v>34.299999999999997</v>
          </cell>
          <cell r="V3674">
            <v>0</v>
          </cell>
          <cell r="W3674">
            <v>0</v>
          </cell>
          <cell r="X3674">
            <v>0.77839999999999998</v>
          </cell>
          <cell r="Y3674">
            <v>0</v>
          </cell>
          <cell r="Z3674">
            <v>0</v>
          </cell>
          <cell r="AA3674">
            <v>0</v>
          </cell>
          <cell r="AB3674">
            <v>0.30743559999999998</v>
          </cell>
        </row>
        <row r="3675">
          <cell r="A3675">
            <v>58106210</v>
          </cell>
          <cell r="B3675" t="str">
            <v>Pizza, cheese, from restaurant or fast food, NS as to type of crust</v>
          </cell>
          <cell r="I3675">
            <v>140</v>
          </cell>
          <cell r="J3675">
            <v>372.4</v>
          </cell>
          <cell r="K3675">
            <v>2.6599999999999997</v>
          </cell>
          <cell r="L3675">
            <v>0.69918570000000002</v>
          </cell>
          <cell r="M3675">
            <v>6.2510000000000003</v>
          </cell>
          <cell r="N3675">
            <v>0</v>
          </cell>
          <cell r="O3675">
            <v>0.26319999999999999</v>
          </cell>
          <cell r="P3675">
            <v>2.5208143000000001</v>
          </cell>
          <cell r="Q3675">
            <v>2.3534000000000002</v>
          </cell>
          <cell r="R3675">
            <v>0</v>
          </cell>
          <cell r="S3675">
            <v>0</v>
          </cell>
          <cell r="T3675">
            <v>0</v>
          </cell>
          <cell r="U3675">
            <v>41.16</v>
          </cell>
          <cell r="V3675">
            <v>0</v>
          </cell>
          <cell r="W3675">
            <v>0</v>
          </cell>
          <cell r="X3675">
            <v>0.83720000000000006</v>
          </cell>
          <cell r="Y3675">
            <v>0</v>
          </cell>
          <cell r="Z3675">
            <v>0</v>
          </cell>
          <cell r="AA3675">
            <v>0</v>
          </cell>
          <cell r="AB3675">
            <v>0.33739999999999998</v>
          </cell>
        </row>
        <row r="3676">
          <cell r="A3676">
            <v>58106220</v>
          </cell>
          <cell r="B3676" t="str">
            <v>Pizza, cheese, from restaurant or fast food, thin crust</v>
          </cell>
          <cell r="I3676">
            <v>140</v>
          </cell>
          <cell r="J3676">
            <v>422.8</v>
          </cell>
          <cell r="K3676">
            <v>3.02</v>
          </cell>
          <cell r="L3676">
            <v>0.80347999999999997</v>
          </cell>
          <cell r="M3676">
            <v>8.7135999999999996</v>
          </cell>
          <cell r="N3676">
            <v>0</v>
          </cell>
          <cell r="O3676">
            <v>0.4032</v>
          </cell>
          <cell r="P3676">
            <v>2.69652</v>
          </cell>
          <cell r="Q3676">
            <v>4.2615999999999996</v>
          </cell>
          <cell r="R3676">
            <v>0</v>
          </cell>
          <cell r="S3676">
            <v>0</v>
          </cell>
          <cell r="T3676">
            <v>0</v>
          </cell>
          <cell r="U3676">
            <v>41.16</v>
          </cell>
          <cell r="V3676">
            <v>0</v>
          </cell>
          <cell r="W3676">
            <v>0</v>
          </cell>
          <cell r="X3676">
            <v>1.0387999999999999</v>
          </cell>
          <cell r="Y3676">
            <v>0</v>
          </cell>
          <cell r="Z3676">
            <v>0</v>
          </cell>
          <cell r="AA3676">
            <v>0</v>
          </cell>
          <cell r="AB3676">
            <v>0.49559999999999998</v>
          </cell>
        </row>
        <row r="3677">
          <cell r="A3677">
            <v>58106225</v>
          </cell>
          <cell r="B3677" t="str">
            <v>Pizza, cheese, from restaurant or fast food, medium crust</v>
          </cell>
          <cell r="I3677">
            <v>140</v>
          </cell>
          <cell r="J3677">
            <v>372.4</v>
          </cell>
          <cell r="K3677">
            <v>2.6599999999999997</v>
          </cell>
          <cell r="L3677">
            <v>0.69918570000000002</v>
          </cell>
          <cell r="M3677">
            <v>6.2510000000000003</v>
          </cell>
          <cell r="N3677">
            <v>0</v>
          </cell>
          <cell r="O3677">
            <v>0.26319999999999999</v>
          </cell>
          <cell r="P3677">
            <v>2.5208143000000001</v>
          </cell>
          <cell r="Q3677">
            <v>2.3534000000000002</v>
          </cell>
          <cell r="R3677">
            <v>0</v>
          </cell>
          <cell r="S3677">
            <v>0</v>
          </cell>
          <cell r="T3677">
            <v>0</v>
          </cell>
          <cell r="U3677">
            <v>41.16</v>
          </cell>
          <cell r="V3677">
            <v>0</v>
          </cell>
          <cell r="W3677">
            <v>0</v>
          </cell>
          <cell r="X3677">
            <v>0.83720000000000006</v>
          </cell>
          <cell r="Y3677">
            <v>0</v>
          </cell>
          <cell r="Z3677">
            <v>0</v>
          </cell>
          <cell r="AA3677">
            <v>0</v>
          </cell>
          <cell r="AB3677">
            <v>0.33739999999999998</v>
          </cell>
        </row>
        <row r="3678">
          <cell r="A3678">
            <v>58106230</v>
          </cell>
          <cell r="B3678" t="str">
            <v>Pizza, cheese, from restaurant or fast food, thick crust</v>
          </cell>
          <cell r="I3678">
            <v>140</v>
          </cell>
          <cell r="J3678">
            <v>379.4</v>
          </cell>
          <cell r="K3678">
            <v>2.71</v>
          </cell>
          <cell r="L3678">
            <v>0.66878629999999994</v>
          </cell>
          <cell r="M3678">
            <v>5.9164000000000003</v>
          </cell>
          <cell r="N3678">
            <v>0</v>
          </cell>
          <cell r="O3678">
            <v>0.25059999999999999</v>
          </cell>
          <cell r="P3678">
            <v>2.4112136999999998</v>
          </cell>
          <cell r="Q3678">
            <v>3.8527999999999998</v>
          </cell>
          <cell r="R3678">
            <v>0</v>
          </cell>
          <cell r="S3678">
            <v>0</v>
          </cell>
          <cell r="T3678">
            <v>0</v>
          </cell>
          <cell r="U3678">
            <v>41.16</v>
          </cell>
          <cell r="V3678">
            <v>0</v>
          </cell>
          <cell r="W3678">
            <v>0</v>
          </cell>
          <cell r="X3678">
            <v>0.83579999999999999</v>
          </cell>
          <cell r="Y3678">
            <v>0</v>
          </cell>
          <cell r="Z3678">
            <v>0</v>
          </cell>
          <cell r="AA3678">
            <v>0</v>
          </cell>
          <cell r="AB3678">
            <v>0.371</v>
          </cell>
        </row>
        <row r="3679">
          <cell r="A3679">
            <v>58106233</v>
          </cell>
          <cell r="B3679" t="str">
            <v>Pizza, cheese, stuffed crust</v>
          </cell>
          <cell r="I3679">
            <v>140</v>
          </cell>
          <cell r="J3679">
            <v>383.6</v>
          </cell>
          <cell r="K3679">
            <v>2.74</v>
          </cell>
          <cell r="L3679">
            <v>0.51678939999999995</v>
          </cell>
          <cell r="M3679">
            <v>8.1549999999999994</v>
          </cell>
          <cell r="N3679">
            <v>0</v>
          </cell>
          <cell r="O3679">
            <v>0.3332</v>
          </cell>
          <cell r="P3679">
            <v>1.8632105999999999</v>
          </cell>
          <cell r="Q3679">
            <v>2.1657999999999999</v>
          </cell>
          <cell r="R3679">
            <v>0</v>
          </cell>
          <cell r="S3679">
            <v>0</v>
          </cell>
          <cell r="T3679">
            <v>0</v>
          </cell>
          <cell r="U3679">
            <v>41.16</v>
          </cell>
          <cell r="V3679">
            <v>0</v>
          </cell>
          <cell r="W3679">
            <v>0</v>
          </cell>
          <cell r="X3679">
            <v>0.86099999999999999</v>
          </cell>
          <cell r="Y3679">
            <v>0</v>
          </cell>
          <cell r="Z3679">
            <v>0</v>
          </cell>
          <cell r="AA3679">
            <v>0</v>
          </cell>
          <cell r="AB3679">
            <v>0.4088</v>
          </cell>
        </row>
        <row r="3680">
          <cell r="A3680">
            <v>58106236</v>
          </cell>
          <cell r="B3680" t="str">
            <v>Pizza, cheese, from school lunch, thick crust</v>
          </cell>
          <cell r="I3680">
            <v>140</v>
          </cell>
          <cell r="J3680">
            <v>355.6</v>
          </cell>
          <cell r="K3680">
            <v>2.54</v>
          </cell>
          <cell r="L3680">
            <v>3.1261329</v>
          </cell>
          <cell r="M3680">
            <v>6.1012000000000004</v>
          </cell>
          <cell r="N3680">
            <v>0</v>
          </cell>
          <cell r="O3680">
            <v>0.2702</v>
          </cell>
          <cell r="P3680">
            <v>0.93386709999999995</v>
          </cell>
          <cell r="Q3680">
            <v>1.5329999999999999</v>
          </cell>
          <cell r="R3680">
            <v>22.4</v>
          </cell>
          <cell r="S3680">
            <v>0</v>
          </cell>
          <cell r="T3680">
            <v>0</v>
          </cell>
          <cell r="U3680">
            <v>34.299999999999997</v>
          </cell>
          <cell r="V3680">
            <v>0</v>
          </cell>
          <cell r="W3680">
            <v>0</v>
          </cell>
          <cell r="X3680">
            <v>0.58940000000000003</v>
          </cell>
          <cell r="Y3680">
            <v>0</v>
          </cell>
          <cell r="Z3680">
            <v>0</v>
          </cell>
          <cell r="AA3680">
            <v>0</v>
          </cell>
          <cell r="AB3680">
            <v>0.44240000000000002</v>
          </cell>
        </row>
        <row r="3681">
          <cell r="A3681">
            <v>58106250</v>
          </cell>
          <cell r="B3681" t="str">
            <v>Pizza, extra cheese, thin crust</v>
          </cell>
          <cell r="I3681">
            <v>140</v>
          </cell>
          <cell r="J3681">
            <v>422.25108999999998</v>
          </cell>
          <cell r="K3681">
            <v>3.016079214285714</v>
          </cell>
          <cell r="L3681">
            <v>0.75847640000000005</v>
          </cell>
          <cell r="M3681">
            <v>9.1112439999999992</v>
          </cell>
          <cell r="N3681">
            <v>0</v>
          </cell>
          <cell r="O3681">
            <v>0.43527189999999999</v>
          </cell>
          <cell r="P3681">
            <v>2.5454854</v>
          </cell>
          <cell r="Q3681">
            <v>4.1028089999999997</v>
          </cell>
          <cell r="R3681">
            <v>0</v>
          </cell>
          <cell r="S3681">
            <v>0</v>
          </cell>
          <cell r="T3681">
            <v>0</v>
          </cell>
          <cell r="U3681">
            <v>38.854590000000002</v>
          </cell>
          <cell r="V3681">
            <v>0</v>
          </cell>
          <cell r="W3681">
            <v>0</v>
          </cell>
          <cell r="X3681">
            <v>1.0328404</v>
          </cell>
          <cell r="Y3681">
            <v>0</v>
          </cell>
          <cell r="Z3681">
            <v>0</v>
          </cell>
          <cell r="AA3681">
            <v>0</v>
          </cell>
          <cell r="AB3681">
            <v>0.52429999999999999</v>
          </cell>
        </row>
        <row r="3682">
          <cell r="A3682">
            <v>58106255</v>
          </cell>
          <cell r="B3682" t="str">
            <v>Pizza, extra cheese, regular crust</v>
          </cell>
          <cell r="I3682">
            <v>140</v>
          </cell>
          <cell r="J3682">
            <v>375.17538999999999</v>
          </cell>
          <cell r="K3682">
            <v>2.679824214285714</v>
          </cell>
          <cell r="L3682">
            <v>0.65649060000000004</v>
          </cell>
          <cell r="M3682">
            <v>6.9046523000000004</v>
          </cell>
          <cell r="N3682">
            <v>0</v>
          </cell>
          <cell r="O3682">
            <v>0.31191289999999999</v>
          </cell>
          <cell r="P3682">
            <v>2.3433921999999998</v>
          </cell>
          <cell r="Q3682">
            <v>2.2900445</v>
          </cell>
          <cell r="R3682">
            <v>0</v>
          </cell>
          <cell r="S3682">
            <v>0</v>
          </cell>
          <cell r="T3682">
            <v>0</v>
          </cell>
          <cell r="U3682">
            <v>38.346328</v>
          </cell>
          <cell r="V3682">
            <v>0</v>
          </cell>
          <cell r="W3682">
            <v>0</v>
          </cell>
          <cell r="X3682">
            <v>0.84370780000000001</v>
          </cell>
          <cell r="Y3682">
            <v>0</v>
          </cell>
          <cell r="Z3682">
            <v>0</v>
          </cell>
          <cell r="AA3682">
            <v>0</v>
          </cell>
          <cell r="AB3682">
            <v>0.38324180000000002</v>
          </cell>
        </row>
        <row r="3683">
          <cell r="A3683">
            <v>58106300</v>
          </cell>
          <cell r="B3683" t="str">
            <v>Pizza, cheese, with vegetables, from frozen, thin crust</v>
          </cell>
          <cell r="I3683">
            <v>140</v>
          </cell>
          <cell r="J3683">
            <v>335.67849000000001</v>
          </cell>
          <cell r="K3683">
            <v>2.3977035</v>
          </cell>
          <cell r="L3683">
            <v>0.72934429999999995</v>
          </cell>
          <cell r="M3683">
            <v>5.2581696999999998</v>
          </cell>
          <cell r="N3683">
            <v>0</v>
          </cell>
          <cell r="O3683">
            <v>0.22274759999999999</v>
          </cell>
          <cell r="P3683">
            <v>2.1973395</v>
          </cell>
          <cell r="Q3683">
            <v>2.3552678999999999</v>
          </cell>
          <cell r="R3683">
            <v>0</v>
          </cell>
          <cell r="S3683">
            <v>0</v>
          </cell>
          <cell r="T3683">
            <v>0</v>
          </cell>
          <cell r="U3683">
            <v>47.161524999999997</v>
          </cell>
          <cell r="V3683">
            <v>0</v>
          </cell>
          <cell r="W3683">
            <v>0</v>
          </cell>
          <cell r="X3683">
            <v>0.55007879999999998</v>
          </cell>
          <cell r="Y3683">
            <v>0</v>
          </cell>
          <cell r="Z3683">
            <v>0</v>
          </cell>
          <cell r="AA3683">
            <v>0</v>
          </cell>
          <cell r="AB3683">
            <v>0.42491060000000003</v>
          </cell>
        </row>
        <row r="3684">
          <cell r="A3684">
            <v>58106305</v>
          </cell>
          <cell r="B3684" t="str">
            <v>Pizza, cheese with vegetables, from frozen, thick crust</v>
          </cell>
          <cell r="I3684">
            <v>140</v>
          </cell>
          <cell r="J3684">
            <v>343.47644000000003</v>
          </cell>
          <cell r="K3684">
            <v>2.4534031428571432</v>
          </cell>
          <cell r="L3684">
            <v>0.73320660000000004</v>
          </cell>
          <cell r="M3684">
            <v>5.0072906000000001</v>
          </cell>
          <cell r="N3684">
            <v>0</v>
          </cell>
          <cell r="O3684">
            <v>0.23300290000000001</v>
          </cell>
          <cell r="P3684">
            <v>2.6568456999999999</v>
          </cell>
          <cell r="Q3684">
            <v>1.8150687999999999</v>
          </cell>
          <cell r="R3684">
            <v>0</v>
          </cell>
          <cell r="S3684">
            <v>0</v>
          </cell>
          <cell r="T3684">
            <v>0</v>
          </cell>
          <cell r="U3684">
            <v>41.217539000000002</v>
          </cell>
          <cell r="V3684">
            <v>0</v>
          </cell>
          <cell r="W3684">
            <v>0</v>
          </cell>
          <cell r="X3684">
            <v>0.72768659999999996</v>
          </cell>
          <cell r="Y3684">
            <v>0</v>
          </cell>
          <cell r="Z3684">
            <v>0</v>
          </cell>
          <cell r="AA3684">
            <v>0</v>
          </cell>
          <cell r="AB3684">
            <v>0.28400170000000002</v>
          </cell>
        </row>
        <row r="3685">
          <cell r="A3685">
            <v>58106310</v>
          </cell>
          <cell r="B3685" t="str">
            <v>Pizza, cheese, with vegetables, NS as to type of crust</v>
          </cell>
          <cell r="I3685">
            <v>140</v>
          </cell>
          <cell r="J3685">
            <v>338.56885999999997</v>
          </cell>
          <cell r="K3685">
            <v>2.4183489999999996</v>
          </cell>
          <cell r="L3685">
            <v>0.82184469999999998</v>
          </cell>
          <cell r="M3685">
            <v>5.5986472999999997</v>
          </cell>
          <cell r="N3685">
            <v>0</v>
          </cell>
          <cell r="O3685">
            <v>0.2378266</v>
          </cell>
          <cell r="P3685">
            <v>2.2510634</v>
          </cell>
          <cell r="Q3685">
            <v>2.1193032000000001</v>
          </cell>
          <cell r="R3685">
            <v>0</v>
          </cell>
          <cell r="S3685">
            <v>0</v>
          </cell>
          <cell r="T3685">
            <v>0</v>
          </cell>
          <cell r="U3685">
            <v>51.544690000000003</v>
          </cell>
          <cell r="V3685">
            <v>0</v>
          </cell>
          <cell r="W3685">
            <v>0</v>
          </cell>
          <cell r="X3685">
            <v>0.74960680000000002</v>
          </cell>
          <cell r="Y3685">
            <v>0</v>
          </cell>
          <cell r="Z3685">
            <v>0</v>
          </cell>
          <cell r="AA3685">
            <v>0</v>
          </cell>
          <cell r="AB3685">
            <v>0.30195080000000002</v>
          </cell>
        </row>
        <row r="3686">
          <cell r="A3686">
            <v>58106320</v>
          </cell>
          <cell r="B3686" t="str">
            <v>Pizza, cheese, with vegetables, from restaurant or fast food, thin crust</v>
          </cell>
          <cell r="I3686">
            <v>140</v>
          </cell>
          <cell r="J3686">
            <v>370.85878000000002</v>
          </cell>
          <cell r="K3686">
            <v>2.6489912857142861</v>
          </cell>
          <cell r="L3686">
            <v>0.94526109999999997</v>
          </cell>
          <cell r="M3686">
            <v>7.5041115999999999</v>
          </cell>
          <cell r="N3686">
            <v>0</v>
          </cell>
          <cell r="O3686">
            <v>0.34998950000000001</v>
          </cell>
          <cell r="P3686">
            <v>2.3204175999999999</v>
          </cell>
          <cell r="Q3686">
            <v>3.6846814000000001</v>
          </cell>
          <cell r="R3686">
            <v>0</v>
          </cell>
          <cell r="S3686">
            <v>0</v>
          </cell>
          <cell r="T3686">
            <v>0</v>
          </cell>
          <cell r="U3686">
            <v>54.945903000000001</v>
          </cell>
          <cell r="V3686">
            <v>0</v>
          </cell>
          <cell r="W3686">
            <v>0</v>
          </cell>
          <cell r="X3686">
            <v>0.89439950000000001</v>
          </cell>
          <cell r="Y3686">
            <v>0</v>
          </cell>
          <cell r="Z3686">
            <v>0</v>
          </cell>
          <cell r="AA3686">
            <v>0</v>
          </cell>
          <cell r="AB3686">
            <v>0.4264752</v>
          </cell>
        </row>
        <row r="3687">
          <cell r="A3687">
            <v>58106325</v>
          </cell>
          <cell r="B3687" t="str">
            <v>Pizza, cheese, with vegetables, from restaurant or fast food, medium crust</v>
          </cell>
          <cell r="I3687">
            <v>140</v>
          </cell>
          <cell r="J3687">
            <v>338.56885999999997</v>
          </cell>
          <cell r="K3687">
            <v>2.4183489999999996</v>
          </cell>
          <cell r="L3687">
            <v>0.81694480000000003</v>
          </cell>
          <cell r="M3687">
            <v>5.5986472999999997</v>
          </cell>
          <cell r="N3687">
            <v>0</v>
          </cell>
          <cell r="O3687">
            <v>0.2378266</v>
          </cell>
          <cell r="P3687">
            <v>2.2559632999999999</v>
          </cell>
          <cell r="Q3687">
            <v>2.1193032000000001</v>
          </cell>
          <cell r="R3687">
            <v>0</v>
          </cell>
          <cell r="S3687">
            <v>0</v>
          </cell>
          <cell r="T3687">
            <v>0</v>
          </cell>
          <cell r="U3687">
            <v>51.544690000000003</v>
          </cell>
          <cell r="V3687">
            <v>0</v>
          </cell>
          <cell r="W3687">
            <v>0</v>
          </cell>
          <cell r="X3687">
            <v>0.74960680000000002</v>
          </cell>
          <cell r="Y3687">
            <v>0</v>
          </cell>
          <cell r="Z3687">
            <v>0</v>
          </cell>
          <cell r="AA3687">
            <v>0</v>
          </cell>
          <cell r="AB3687">
            <v>0.30195080000000002</v>
          </cell>
        </row>
        <row r="3688">
          <cell r="A3688">
            <v>58106330</v>
          </cell>
          <cell r="B3688" t="str">
            <v>Pizza, cheese, with vegetables, from restaurant or fast food, thick crust</v>
          </cell>
          <cell r="I3688">
            <v>140</v>
          </cell>
          <cell r="J3688">
            <v>342.96710999999999</v>
          </cell>
          <cell r="K3688">
            <v>2.4497650714285713</v>
          </cell>
          <cell r="L3688">
            <v>0.79626969999999997</v>
          </cell>
          <cell r="M3688">
            <v>5.2658791999999996</v>
          </cell>
          <cell r="N3688">
            <v>0</v>
          </cell>
          <cell r="O3688">
            <v>0.22525200000000001</v>
          </cell>
          <cell r="P3688">
            <v>2.1442000999999999</v>
          </cell>
          <cell r="Q3688">
            <v>3.4400232000000002</v>
          </cell>
          <cell r="R3688">
            <v>0</v>
          </cell>
          <cell r="S3688">
            <v>0</v>
          </cell>
          <cell r="T3688">
            <v>0</v>
          </cell>
          <cell r="U3688">
            <v>52.105369000000003</v>
          </cell>
          <cell r="V3688">
            <v>0</v>
          </cell>
          <cell r="W3688">
            <v>0</v>
          </cell>
          <cell r="X3688">
            <v>0.74363259999999998</v>
          </cell>
          <cell r="Y3688">
            <v>0</v>
          </cell>
          <cell r="Z3688">
            <v>0</v>
          </cell>
          <cell r="AA3688">
            <v>0</v>
          </cell>
          <cell r="AB3688">
            <v>0.32991609999999999</v>
          </cell>
        </row>
        <row r="3689">
          <cell r="A3689">
            <v>58106345</v>
          </cell>
          <cell r="B3689" t="str">
            <v>Pizza with cheese and extra vegetables, thin crust</v>
          </cell>
          <cell r="I3689">
            <v>140</v>
          </cell>
          <cell r="J3689">
            <v>325.67444999999998</v>
          </cell>
          <cell r="K3689">
            <v>2.3262460714285713</v>
          </cell>
          <cell r="L3689">
            <v>1.361423</v>
          </cell>
          <cell r="M3689">
            <v>6.4287533000000003</v>
          </cell>
          <cell r="N3689">
            <v>0</v>
          </cell>
          <cell r="O3689">
            <v>0.30274889999999999</v>
          </cell>
          <cell r="P3689">
            <v>1.9429565</v>
          </cell>
          <cell r="Q3689">
            <v>3.1951752</v>
          </cell>
          <cell r="R3689">
            <v>0</v>
          </cell>
          <cell r="S3689">
            <v>0</v>
          </cell>
          <cell r="T3689">
            <v>0</v>
          </cell>
          <cell r="U3689">
            <v>68.781605999999996</v>
          </cell>
          <cell r="V3689">
            <v>0</v>
          </cell>
          <cell r="W3689">
            <v>0</v>
          </cell>
          <cell r="X3689">
            <v>0.82107450000000004</v>
          </cell>
          <cell r="Y3689">
            <v>0</v>
          </cell>
          <cell r="Z3689">
            <v>0</v>
          </cell>
          <cell r="AA3689">
            <v>0</v>
          </cell>
          <cell r="AB3689">
            <v>0.35710069999999999</v>
          </cell>
        </row>
        <row r="3690">
          <cell r="A3690">
            <v>58106347</v>
          </cell>
          <cell r="B3690" t="str">
            <v>Pizza with cheese and extra vegetables, medium crust</v>
          </cell>
          <cell r="I3690">
            <v>140</v>
          </cell>
          <cell r="J3690">
            <v>307.99310000000003</v>
          </cell>
          <cell r="K3690">
            <v>2.1999507142857144</v>
          </cell>
          <cell r="L3690">
            <v>1.1545346000000001</v>
          </cell>
          <cell r="M3690">
            <v>5.0126276000000001</v>
          </cell>
          <cell r="N3690">
            <v>0</v>
          </cell>
          <cell r="O3690">
            <v>0.21563450000000001</v>
          </cell>
          <cell r="P3690">
            <v>1.9744309</v>
          </cell>
          <cell r="Q3690">
            <v>1.9398759000000001</v>
          </cell>
          <cell r="R3690">
            <v>0</v>
          </cell>
          <cell r="S3690">
            <v>0</v>
          </cell>
          <cell r="T3690">
            <v>0</v>
          </cell>
          <cell r="U3690">
            <v>62.583447999999997</v>
          </cell>
          <cell r="V3690">
            <v>0</v>
          </cell>
          <cell r="W3690">
            <v>0</v>
          </cell>
          <cell r="X3690">
            <v>0.71202759999999998</v>
          </cell>
          <cell r="Y3690">
            <v>0</v>
          </cell>
          <cell r="Z3690">
            <v>0</v>
          </cell>
          <cell r="AA3690">
            <v>0</v>
          </cell>
          <cell r="AB3690">
            <v>0.26426899999999998</v>
          </cell>
        </row>
        <row r="3691">
          <cell r="A3691">
            <v>58106350</v>
          </cell>
          <cell r="B3691" t="str">
            <v>Pizza with cheese and extra vegetables, thick crust</v>
          </cell>
          <cell r="I3691">
            <v>140</v>
          </cell>
          <cell r="J3691">
            <v>336.09061000000003</v>
          </cell>
          <cell r="K3691">
            <v>2.4006472142857143</v>
          </cell>
          <cell r="L3691">
            <v>0.97675140000000005</v>
          </cell>
          <cell r="M3691">
            <v>5.1504867000000001</v>
          </cell>
          <cell r="N3691">
            <v>0</v>
          </cell>
          <cell r="O3691">
            <v>0.2211456</v>
          </cell>
          <cell r="P3691">
            <v>2.0633780000000002</v>
          </cell>
          <cell r="Q3691">
            <v>3.3676252</v>
          </cell>
          <cell r="R3691">
            <v>0</v>
          </cell>
          <cell r="S3691">
            <v>0</v>
          </cell>
          <cell r="T3691">
            <v>0</v>
          </cell>
          <cell r="U3691">
            <v>55.234304000000002</v>
          </cell>
          <cell r="V3691">
            <v>0</v>
          </cell>
          <cell r="W3691">
            <v>0</v>
          </cell>
          <cell r="X3691">
            <v>0.7537663</v>
          </cell>
          <cell r="Y3691">
            <v>0</v>
          </cell>
          <cell r="Z3691">
            <v>0</v>
          </cell>
          <cell r="AA3691">
            <v>0</v>
          </cell>
          <cell r="AB3691">
            <v>0.3181715</v>
          </cell>
        </row>
        <row r="3692">
          <cell r="A3692">
            <v>58106358</v>
          </cell>
          <cell r="B3692" t="str">
            <v>Pizza, cheese, with fruit, thin crust</v>
          </cell>
          <cell r="I3692">
            <v>140</v>
          </cell>
          <cell r="J3692">
            <v>364.37222000000003</v>
          </cell>
          <cell r="K3692">
            <v>2.6026587142857145</v>
          </cell>
          <cell r="L3692">
            <v>0.97878410000000005</v>
          </cell>
          <cell r="M3692">
            <v>7.2128268000000002</v>
          </cell>
          <cell r="N3692">
            <v>0</v>
          </cell>
          <cell r="O3692">
            <v>0.33752910000000003</v>
          </cell>
          <cell r="P3692">
            <v>2.2314913999999999</v>
          </cell>
          <cell r="Q3692">
            <v>3.5363229</v>
          </cell>
          <cell r="R3692">
            <v>0</v>
          </cell>
          <cell r="S3692">
            <v>0</v>
          </cell>
          <cell r="T3692">
            <v>24.143713000000002</v>
          </cell>
          <cell r="U3692">
            <v>34.061748999999999</v>
          </cell>
          <cell r="V3692">
            <v>0</v>
          </cell>
          <cell r="W3692">
            <v>0</v>
          </cell>
          <cell r="X3692">
            <v>0.85989510000000002</v>
          </cell>
          <cell r="Y3692">
            <v>0</v>
          </cell>
          <cell r="Z3692">
            <v>0</v>
          </cell>
          <cell r="AA3692">
            <v>0</v>
          </cell>
          <cell r="AB3692">
            <v>0.41013129999999998</v>
          </cell>
        </row>
        <row r="3693">
          <cell r="A3693">
            <v>58106359</v>
          </cell>
          <cell r="B3693" t="str">
            <v>Pizza, cheese, with fruit, medium crust</v>
          </cell>
          <cell r="I3693">
            <v>140</v>
          </cell>
          <cell r="J3693">
            <v>334.57704999999999</v>
          </cell>
          <cell r="K3693">
            <v>2.3898360714285714</v>
          </cell>
          <cell r="L3693">
            <v>0.84617770000000003</v>
          </cell>
          <cell r="M3693">
            <v>5.4326656</v>
          </cell>
          <cell r="N3693">
            <v>0</v>
          </cell>
          <cell r="O3693">
            <v>0.23161970000000001</v>
          </cell>
          <cell r="P3693">
            <v>2.1902157</v>
          </cell>
          <cell r="Q3693">
            <v>2.0521015999999999</v>
          </cell>
          <cell r="R3693">
            <v>0</v>
          </cell>
          <cell r="S3693">
            <v>0</v>
          </cell>
          <cell r="T3693">
            <v>18.360655999999999</v>
          </cell>
          <cell r="U3693">
            <v>35.761966999999999</v>
          </cell>
          <cell r="V3693">
            <v>0</v>
          </cell>
          <cell r="W3693">
            <v>0</v>
          </cell>
          <cell r="X3693">
            <v>0.72758690000000004</v>
          </cell>
          <cell r="Y3693">
            <v>0</v>
          </cell>
          <cell r="Z3693">
            <v>0</v>
          </cell>
          <cell r="AA3693">
            <v>0</v>
          </cell>
          <cell r="AB3693">
            <v>0.29315079999999999</v>
          </cell>
        </row>
        <row r="3694">
          <cell r="A3694">
            <v>58106500</v>
          </cell>
          <cell r="B3694" t="str">
            <v>Pizza with meat, prepared from frozen, thin crust</v>
          </cell>
          <cell r="I3694">
            <v>140</v>
          </cell>
          <cell r="J3694">
            <v>387.27742000000001</v>
          </cell>
          <cell r="K3694">
            <v>2.7662672857142856</v>
          </cell>
          <cell r="L3694">
            <v>0.55071130000000001</v>
          </cell>
          <cell r="M3694">
            <v>6.7301805999999997</v>
          </cell>
          <cell r="N3694">
            <v>0</v>
          </cell>
          <cell r="O3694">
            <v>0.23829030000000001</v>
          </cell>
          <cell r="P3694">
            <v>2.3628371000000001</v>
          </cell>
          <cell r="Q3694">
            <v>2.8256193999999999</v>
          </cell>
          <cell r="R3694">
            <v>0</v>
          </cell>
          <cell r="S3694">
            <v>0</v>
          </cell>
          <cell r="T3694">
            <v>0</v>
          </cell>
          <cell r="U3694">
            <v>32.403225999999997</v>
          </cell>
          <cell r="V3694">
            <v>0</v>
          </cell>
          <cell r="W3694">
            <v>0</v>
          </cell>
          <cell r="X3694">
            <v>0.68119350000000001</v>
          </cell>
          <cell r="Y3694">
            <v>0</v>
          </cell>
          <cell r="Z3694">
            <v>0</v>
          </cell>
          <cell r="AA3694">
            <v>5.3115097000000002</v>
          </cell>
          <cell r="AB3694">
            <v>0.61450159999999998</v>
          </cell>
        </row>
        <row r="3695">
          <cell r="A3695">
            <v>58106505</v>
          </cell>
          <cell r="B3695" t="str">
            <v>Pizza with meat, prepared from frozen, thick crust</v>
          </cell>
          <cell r="I3695">
            <v>140</v>
          </cell>
          <cell r="J3695">
            <v>383.6</v>
          </cell>
          <cell r="K3695">
            <v>2.74</v>
          </cell>
          <cell r="L3695">
            <v>0.53107040000000005</v>
          </cell>
          <cell r="M3695">
            <v>5.9962</v>
          </cell>
          <cell r="N3695">
            <v>0</v>
          </cell>
          <cell r="O3695">
            <v>0.21</v>
          </cell>
          <cell r="P3695">
            <v>2.6889295999999998</v>
          </cell>
          <cell r="Q3695">
            <v>3.4944000000000002</v>
          </cell>
          <cell r="R3695">
            <v>0</v>
          </cell>
          <cell r="S3695">
            <v>0</v>
          </cell>
          <cell r="T3695">
            <v>0</v>
          </cell>
          <cell r="U3695">
            <v>30.87</v>
          </cell>
          <cell r="V3695">
            <v>0</v>
          </cell>
          <cell r="W3695">
            <v>0</v>
          </cell>
          <cell r="X3695">
            <v>0.96599999999999997</v>
          </cell>
          <cell r="Y3695">
            <v>0</v>
          </cell>
          <cell r="Z3695">
            <v>0</v>
          </cell>
          <cell r="AA3695">
            <v>9.5256000000000007</v>
          </cell>
          <cell r="AB3695">
            <v>0.27160000000000001</v>
          </cell>
        </row>
        <row r="3696">
          <cell r="A3696">
            <v>58106512</v>
          </cell>
          <cell r="B3696" t="str">
            <v>Pizza with pepperoni, from frozen, thin crust</v>
          </cell>
          <cell r="I3696">
            <v>140</v>
          </cell>
          <cell r="J3696">
            <v>383.89301999999998</v>
          </cell>
          <cell r="K3696">
            <v>2.7420929999999997</v>
          </cell>
          <cell r="L3696">
            <v>0.79658700000000005</v>
          </cell>
          <cell r="M3696">
            <v>8.7592464999999997</v>
          </cell>
          <cell r="N3696">
            <v>0</v>
          </cell>
          <cell r="O3696">
            <v>0.30559069999999999</v>
          </cell>
          <cell r="P3696">
            <v>3.2080641000000001</v>
          </cell>
          <cell r="Q3696">
            <v>2.5529163000000001</v>
          </cell>
          <cell r="R3696">
            <v>0</v>
          </cell>
          <cell r="S3696">
            <v>0</v>
          </cell>
          <cell r="T3696">
            <v>0</v>
          </cell>
          <cell r="U3696">
            <v>32.704650999999998</v>
          </cell>
          <cell r="V3696">
            <v>0</v>
          </cell>
          <cell r="W3696">
            <v>0</v>
          </cell>
          <cell r="X3696">
            <v>0.73174419999999996</v>
          </cell>
          <cell r="Y3696">
            <v>0</v>
          </cell>
          <cell r="Z3696">
            <v>0</v>
          </cell>
          <cell r="AA3696">
            <v>3.8582372</v>
          </cell>
          <cell r="AB3696">
            <v>0.46919529999999998</v>
          </cell>
        </row>
        <row r="3697">
          <cell r="A3697">
            <v>58106514</v>
          </cell>
          <cell r="B3697" t="str">
            <v>Pizza with pepperoni, from frozen, medium crust</v>
          </cell>
          <cell r="I3697">
            <v>140</v>
          </cell>
          <cell r="J3697">
            <v>379.73633999999998</v>
          </cell>
          <cell r="K3697">
            <v>2.7124024285714285</v>
          </cell>
          <cell r="L3697">
            <v>0.71570650000000002</v>
          </cell>
          <cell r="M3697">
            <v>7.3865504</v>
          </cell>
          <cell r="N3697">
            <v>0</v>
          </cell>
          <cell r="O3697">
            <v>0.27294620000000003</v>
          </cell>
          <cell r="P3697">
            <v>2.9772970000000001</v>
          </cell>
          <cell r="Q3697">
            <v>2.3161716999999999</v>
          </cell>
          <cell r="R3697">
            <v>0</v>
          </cell>
          <cell r="S3697">
            <v>0</v>
          </cell>
          <cell r="T3697">
            <v>0</v>
          </cell>
          <cell r="U3697">
            <v>32.920969999999997</v>
          </cell>
          <cell r="V3697">
            <v>0</v>
          </cell>
          <cell r="W3697">
            <v>0</v>
          </cell>
          <cell r="X3697">
            <v>0.7794179</v>
          </cell>
          <cell r="Y3697">
            <v>0</v>
          </cell>
          <cell r="Z3697">
            <v>0</v>
          </cell>
          <cell r="AA3697">
            <v>3.3350863999999998</v>
          </cell>
          <cell r="AB3697">
            <v>0.27083160000000001</v>
          </cell>
        </row>
        <row r="3698">
          <cell r="A3698">
            <v>58106516</v>
          </cell>
          <cell r="B3698" t="str">
            <v>Pizza with pepperoni, from frozen, thick crust</v>
          </cell>
          <cell r="I3698">
            <v>140</v>
          </cell>
          <cell r="J3698">
            <v>375.57965999999999</v>
          </cell>
          <cell r="K3698">
            <v>2.682711857142857</v>
          </cell>
          <cell r="L3698">
            <v>0.634826</v>
          </cell>
          <cell r="M3698">
            <v>6.0138541999999999</v>
          </cell>
          <cell r="N3698">
            <v>0</v>
          </cell>
          <cell r="O3698">
            <v>0.24030170000000001</v>
          </cell>
          <cell r="P3698">
            <v>2.7465299000000001</v>
          </cell>
          <cell r="Q3698">
            <v>2.0794271000000002</v>
          </cell>
          <cell r="R3698">
            <v>0</v>
          </cell>
          <cell r="S3698">
            <v>0</v>
          </cell>
          <cell r="T3698">
            <v>0</v>
          </cell>
          <cell r="U3698">
            <v>33.137287999999998</v>
          </cell>
          <cell r="V3698">
            <v>0</v>
          </cell>
          <cell r="W3698">
            <v>0</v>
          </cell>
          <cell r="X3698">
            <v>0.82709149999999998</v>
          </cell>
          <cell r="Y3698">
            <v>0</v>
          </cell>
          <cell r="Z3698">
            <v>0</v>
          </cell>
          <cell r="AA3698">
            <v>2.8119356</v>
          </cell>
          <cell r="AB3698">
            <v>0.37417509999999998</v>
          </cell>
        </row>
        <row r="3699">
          <cell r="A3699">
            <v>58106540</v>
          </cell>
          <cell r="B3699" t="str">
            <v>Pizza with pepperoni, from restaurant or fast food, NS as to type of crust</v>
          </cell>
          <cell r="I3699">
            <v>140</v>
          </cell>
          <cell r="J3699">
            <v>394.8</v>
          </cell>
          <cell r="K3699">
            <v>2.8200000000000003</v>
          </cell>
          <cell r="L3699">
            <v>0.60980190000000001</v>
          </cell>
          <cell r="M3699">
            <v>7.1288</v>
          </cell>
          <cell r="N3699">
            <v>0</v>
          </cell>
          <cell r="O3699">
            <v>0.2142</v>
          </cell>
          <cell r="P3699">
            <v>2.6101980999999999</v>
          </cell>
          <cell r="Q3699">
            <v>2.8896000000000002</v>
          </cell>
          <cell r="R3699">
            <v>0</v>
          </cell>
          <cell r="S3699">
            <v>0</v>
          </cell>
          <cell r="T3699">
            <v>0</v>
          </cell>
          <cell r="U3699">
            <v>34.299999999999997</v>
          </cell>
          <cell r="V3699">
            <v>0</v>
          </cell>
          <cell r="W3699">
            <v>0</v>
          </cell>
          <cell r="X3699">
            <v>0.95899999999999996</v>
          </cell>
          <cell r="Y3699">
            <v>0</v>
          </cell>
          <cell r="Z3699">
            <v>0</v>
          </cell>
          <cell r="AA3699">
            <v>3.9689999999999999</v>
          </cell>
          <cell r="AB3699">
            <v>0.40039999999999998</v>
          </cell>
        </row>
        <row r="3700">
          <cell r="A3700">
            <v>58106550</v>
          </cell>
          <cell r="B3700" t="str">
            <v>Pizza with pepperoni, from restaurant or fast food, thin crust</v>
          </cell>
          <cell r="I3700">
            <v>140</v>
          </cell>
          <cell r="J3700">
            <v>463.4</v>
          </cell>
          <cell r="K3700">
            <v>3.31</v>
          </cell>
          <cell r="L3700">
            <v>0.64050779999999996</v>
          </cell>
          <cell r="M3700">
            <v>9.9610000000000003</v>
          </cell>
          <cell r="N3700">
            <v>0</v>
          </cell>
          <cell r="O3700">
            <v>0.3024</v>
          </cell>
          <cell r="P3700">
            <v>2.5794921999999998</v>
          </cell>
          <cell r="Q3700">
            <v>5.0637999999999996</v>
          </cell>
          <cell r="R3700">
            <v>0</v>
          </cell>
          <cell r="S3700">
            <v>0</v>
          </cell>
          <cell r="T3700">
            <v>0</v>
          </cell>
          <cell r="U3700">
            <v>34.299999999999997</v>
          </cell>
          <cell r="V3700">
            <v>0</v>
          </cell>
          <cell r="W3700">
            <v>0</v>
          </cell>
          <cell r="X3700">
            <v>1.2250000000000001</v>
          </cell>
          <cell r="Y3700">
            <v>0</v>
          </cell>
          <cell r="Z3700">
            <v>0</v>
          </cell>
          <cell r="AA3700">
            <v>3.9689999999999999</v>
          </cell>
          <cell r="AB3700">
            <v>0.59499999999999997</v>
          </cell>
        </row>
        <row r="3701">
          <cell r="A3701">
            <v>58106555</v>
          </cell>
          <cell r="B3701" t="str">
            <v>Pizza with pepperoni, from restaurant or fast food,  medium crust</v>
          </cell>
          <cell r="I3701">
            <v>140</v>
          </cell>
          <cell r="J3701">
            <v>394.8</v>
          </cell>
          <cell r="K3701">
            <v>2.8200000000000003</v>
          </cell>
          <cell r="L3701">
            <v>0.60980190000000001</v>
          </cell>
          <cell r="M3701">
            <v>7.1288</v>
          </cell>
          <cell r="N3701">
            <v>0</v>
          </cell>
          <cell r="O3701">
            <v>0.2142</v>
          </cell>
          <cell r="P3701">
            <v>2.6101980999999999</v>
          </cell>
          <cell r="Q3701">
            <v>2.8896000000000002</v>
          </cell>
          <cell r="R3701">
            <v>0</v>
          </cell>
          <cell r="S3701">
            <v>0</v>
          </cell>
          <cell r="T3701">
            <v>0</v>
          </cell>
          <cell r="U3701">
            <v>34.299999999999997</v>
          </cell>
          <cell r="V3701">
            <v>0</v>
          </cell>
          <cell r="W3701">
            <v>0</v>
          </cell>
          <cell r="X3701">
            <v>0.95899999999999996</v>
          </cell>
          <cell r="Y3701">
            <v>0</v>
          </cell>
          <cell r="Z3701">
            <v>0</v>
          </cell>
          <cell r="AA3701">
            <v>3.9689999999999999</v>
          </cell>
          <cell r="AB3701">
            <v>0.40039999999999998</v>
          </cell>
        </row>
        <row r="3702">
          <cell r="A3702">
            <v>58106560</v>
          </cell>
          <cell r="B3702" t="str">
            <v>Pizza with pepperoni, from restaurant or fast food, thick crust</v>
          </cell>
          <cell r="I3702">
            <v>140</v>
          </cell>
          <cell r="J3702">
            <v>401.8</v>
          </cell>
          <cell r="K3702">
            <v>2.87</v>
          </cell>
          <cell r="L3702">
            <v>0.48500090000000001</v>
          </cell>
          <cell r="M3702">
            <v>6.7746000000000004</v>
          </cell>
          <cell r="N3702">
            <v>0</v>
          </cell>
          <cell r="O3702">
            <v>0.2072</v>
          </cell>
          <cell r="P3702">
            <v>2.5949990999999999</v>
          </cell>
          <cell r="Q3702">
            <v>4.1719999999999997</v>
          </cell>
          <cell r="R3702">
            <v>0</v>
          </cell>
          <cell r="S3702">
            <v>0</v>
          </cell>
          <cell r="T3702">
            <v>0</v>
          </cell>
          <cell r="U3702">
            <v>27.44</v>
          </cell>
          <cell r="V3702">
            <v>0</v>
          </cell>
          <cell r="W3702">
            <v>0</v>
          </cell>
          <cell r="X3702">
            <v>0.95760000000000001</v>
          </cell>
          <cell r="Y3702">
            <v>0</v>
          </cell>
          <cell r="Z3702">
            <v>0</v>
          </cell>
          <cell r="AA3702">
            <v>3.9689999999999999</v>
          </cell>
          <cell r="AB3702">
            <v>0.4158</v>
          </cell>
        </row>
        <row r="3703">
          <cell r="A3703">
            <v>58106565</v>
          </cell>
          <cell r="B3703" t="str">
            <v>Pizza with pepperoni, stuffed crust</v>
          </cell>
          <cell r="I3703">
            <v>140</v>
          </cell>
          <cell r="J3703">
            <v>415.01463000000001</v>
          </cell>
          <cell r="K3703">
            <v>2.9643902142857144</v>
          </cell>
          <cell r="L3703">
            <v>0.46637089999999998</v>
          </cell>
          <cell r="M3703">
            <v>9.7780439000000001</v>
          </cell>
          <cell r="N3703">
            <v>0</v>
          </cell>
          <cell r="O3703">
            <v>0.3032878</v>
          </cell>
          <cell r="P3703">
            <v>1.6814340000000001</v>
          </cell>
          <cell r="Q3703">
            <v>2.5634000000000001</v>
          </cell>
          <cell r="R3703">
            <v>0</v>
          </cell>
          <cell r="S3703">
            <v>0</v>
          </cell>
          <cell r="T3703">
            <v>0</v>
          </cell>
          <cell r="U3703">
            <v>37.144390000000001</v>
          </cell>
          <cell r="V3703">
            <v>0</v>
          </cell>
          <cell r="W3703">
            <v>0</v>
          </cell>
          <cell r="X3703">
            <v>0.99307800000000002</v>
          </cell>
          <cell r="Y3703">
            <v>0</v>
          </cell>
          <cell r="Z3703">
            <v>0</v>
          </cell>
          <cell r="AA3703">
            <v>8.0928877999999997</v>
          </cell>
          <cell r="AB3703">
            <v>0.57748290000000002</v>
          </cell>
        </row>
        <row r="3704">
          <cell r="A3704">
            <v>58106570</v>
          </cell>
          <cell r="B3704" t="str">
            <v>Pizza with pepperoni, from school lunch, thin crust</v>
          </cell>
          <cell r="I3704">
            <v>140</v>
          </cell>
          <cell r="J3704">
            <v>355.6</v>
          </cell>
          <cell r="K3704">
            <v>2.54</v>
          </cell>
          <cell r="L3704">
            <v>4.6674294999999999</v>
          </cell>
          <cell r="M3704">
            <v>3.9340000000000002</v>
          </cell>
          <cell r="N3704">
            <v>0</v>
          </cell>
          <cell r="O3704">
            <v>0.2828</v>
          </cell>
          <cell r="P3704">
            <v>1.3525704999999999</v>
          </cell>
          <cell r="Q3704">
            <v>3.1219999999999999</v>
          </cell>
          <cell r="R3704">
            <v>21.056000000000001</v>
          </cell>
          <cell r="S3704">
            <v>0</v>
          </cell>
          <cell r="T3704">
            <v>0</v>
          </cell>
          <cell r="U3704">
            <v>34.299999999999997</v>
          </cell>
          <cell r="V3704">
            <v>0</v>
          </cell>
          <cell r="W3704">
            <v>0</v>
          </cell>
          <cell r="X3704">
            <v>0.69299999999999995</v>
          </cell>
          <cell r="Y3704">
            <v>0</v>
          </cell>
          <cell r="Z3704">
            <v>0</v>
          </cell>
          <cell r="AA3704">
            <v>3.9689999999999999</v>
          </cell>
          <cell r="AB3704">
            <v>0.36680000000000001</v>
          </cell>
        </row>
        <row r="3705">
          <cell r="A3705">
            <v>58106578</v>
          </cell>
          <cell r="B3705" t="str">
            <v>Pizza, with pepperoni, from school lunch, medium crust</v>
          </cell>
          <cell r="I3705">
            <v>140</v>
          </cell>
          <cell r="J3705">
            <v>359.1</v>
          </cell>
          <cell r="K3705">
            <v>2.5649999999999999</v>
          </cell>
          <cell r="L3705">
            <v>4.6513650000000002</v>
          </cell>
          <cell r="M3705">
            <v>4.9203000000000001</v>
          </cell>
          <cell r="N3705">
            <v>0</v>
          </cell>
          <cell r="O3705">
            <v>0.24990000000000001</v>
          </cell>
          <cell r="P3705">
            <v>1.368635</v>
          </cell>
          <cell r="Q3705">
            <v>2.4079999999999999</v>
          </cell>
          <cell r="R3705">
            <v>21.728000000000002</v>
          </cell>
          <cell r="S3705">
            <v>0</v>
          </cell>
          <cell r="T3705">
            <v>0</v>
          </cell>
          <cell r="U3705">
            <v>34.299999999999997</v>
          </cell>
          <cell r="V3705">
            <v>0</v>
          </cell>
          <cell r="W3705">
            <v>0</v>
          </cell>
          <cell r="X3705">
            <v>0.67830000000000001</v>
          </cell>
          <cell r="Y3705">
            <v>0</v>
          </cell>
          <cell r="Z3705">
            <v>0</v>
          </cell>
          <cell r="AA3705">
            <v>3.9689999999999999</v>
          </cell>
          <cell r="AB3705">
            <v>0.33237860000000002</v>
          </cell>
        </row>
        <row r="3706">
          <cell r="A3706">
            <v>58106580</v>
          </cell>
          <cell r="B3706" t="str">
            <v>Pizza with pepperoni, from school lunch, thick crust</v>
          </cell>
          <cell r="I3706">
            <v>140</v>
          </cell>
          <cell r="J3706">
            <v>362.6</v>
          </cell>
          <cell r="K3706">
            <v>2.5900000000000003</v>
          </cell>
          <cell r="L3706">
            <v>4.6353004999999996</v>
          </cell>
          <cell r="M3706">
            <v>5.9066000000000001</v>
          </cell>
          <cell r="N3706">
            <v>0</v>
          </cell>
          <cell r="O3706">
            <v>0.217</v>
          </cell>
          <cell r="P3706">
            <v>1.3846995</v>
          </cell>
          <cell r="Q3706">
            <v>1.694</v>
          </cell>
          <cell r="R3706">
            <v>22.4</v>
          </cell>
          <cell r="S3706">
            <v>0</v>
          </cell>
          <cell r="T3706">
            <v>0</v>
          </cell>
          <cell r="U3706">
            <v>34.299999999999997</v>
          </cell>
          <cell r="V3706">
            <v>0</v>
          </cell>
          <cell r="W3706">
            <v>0</v>
          </cell>
          <cell r="X3706">
            <v>0.66359999999999997</v>
          </cell>
          <cell r="Y3706">
            <v>0</v>
          </cell>
          <cell r="Z3706">
            <v>0</v>
          </cell>
          <cell r="AA3706">
            <v>3.9689999999999999</v>
          </cell>
          <cell r="AB3706">
            <v>0.60986039999999997</v>
          </cell>
        </row>
        <row r="3707">
          <cell r="A3707">
            <v>58106602</v>
          </cell>
          <cell r="B3707" t="str">
            <v>Pizza with meat other than pepperoni, from frozen, thin crust</v>
          </cell>
          <cell r="I3707">
            <v>140</v>
          </cell>
          <cell r="J3707">
            <v>375.93182000000002</v>
          </cell>
          <cell r="K3707">
            <v>2.6852272857142858</v>
          </cell>
          <cell r="L3707">
            <v>0.77848280000000003</v>
          </cell>
          <cell r="M3707">
            <v>8.4064590999999993</v>
          </cell>
          <cell r="N3707">
            <v>0</v>
          </cell>
          <cell r="O3707">
            <v>0.29944090000000001</v>
          </cell>
          <cell r="P3707">
            <v>3.1446990000000001</v>
          </cell>
          <cell r="Q3707">
            <v>2.5470136000000001</v>
          </cell>
          <cell r="R3707">
            <v>0</v>
          </cell>
          <cell r="S3707">
            <v>0</v>
          </cell>
          <cell r="T3707">
            <v>0</v>
          </cell>
          <cell r="U3707">
            <v>31.961364</v>
          </cell>
          <cell r="V3707">
            <v>0</v>
          </cell>
          <cell r="W3707">
            <v>0</v>
          </cell>
          <cell r="X3707">
            <v>0.68536359999999996</v>
          </cell>
          <cell r="Y3707">
            <v>0</v>
          </cell>
          <cell r="Z3707">
            <v>0</v>
          </cell>
          <cell r="AA3707">
            <v>7.4418749999999996</v>
          </cell>
          <cell r="AB3707">
            <v>0.36135909999999999</v>
          </cell>
        </row>
        <row r="3708">
          <cell r="A3708">
            <v>58106604</v>
          </cell>
          <cell r="B3708" t="str">
            <v>Pizza with meat other than pepperoni, from frozen, medium crust</v>
          </cell>
          <cell r="I3708">
            <v>140</v>
          </cell>
          <cell r="J3708">
            <v>372.90591000000001</v>
          </cell>
          <cell r="K3708">
            <v>2.6636136428571429</v>
          </cell>
          <cell r="L3708">
            <v>0.70136419999999999</v>
          </cell>
          <cell r="M3708">
            <v>7.1036795000000001</v>
          </cell>
          <cell r="N3708">
            <v>0</v>
          </cell>
          <cell r="O3708">
            <v>0.26816050000000002</v>
          </cell>
          <cell r="P3708">
            <v>2.9262267</v>
          </cell>
          <cell r="Q3708">
            <v>2.3150018000000001</v>
          </cell>
          <cell r="R3708">
            <v>0</v>
          </cell>
          <cell r="S3708">
            <v>0</v>
          </cell>
          <cell r="T3708">
            <v>0</v>
          </cell>
          <cell r="U3708">
            <v>32.273181999999998</v>
          </cell>
          <cell r="V3708">
            <v>0</v>
          </cell>
          <cell r="W3708">
            <v>0</v>
          </cell>
          <cell r="X3708">
            <v>0.73842680000000005</v>
          </cell>
          <cell r="Y3708">
            <v>0</v>
          </cell>
          <cell r="Z3708">
            <v>0</v>
          </cell>
          <cell r="AA3708">
            <v>6.4496250000000002</v>
          </cell>
          <cell r="AB3708">
            <v>0.19390270000000001</v>
          </cell>
        </row>
        <row r="3709">
          <cell r="A3709">
            <v>58106606</v>
          </cell>
          <cell r="B3709" t="str">
            <v>Pizza with meat other than pepperoni, from frozen, thick crust</v>
          </cell>
          <cell r="I3709">
            <v>140</v>
          </cell>
          <cell r="J3709">
            <v>369.88</v>
          </cell>
          <cell r="K3709">
            <v>2.6419999999999999</v>
          </cell>
          <cell r="L3709">
            <v>0.62424559999999996</v>
          </cell>
          <cell r="M3709">
            <v>5.8009000000000004</v>
          </cell>
          <cell r="N3709">
            <v>0</v>
          </cell>
          <cell r="O3709">
            <v>0.23688000000000001</v>
          </cell>
          <cell r="P3709">
            <v>2.7077543999999998</v>
          </cell>
          <cell r="Q3709">
            <v>2.0829900000000001</v>
          </cell>
          <cell r="R3709">
            <v>0</v>
          </cell>
          <cell r="S3709">
            <v>0</v>
          </cell>
          <cell r="T3709">
            <v>0</v>
          </cell>
          <cell r="U3709">
            <v>32.585000000000001</v>
          </cell>
          <cell r="V3709">
            <v>0</v>
          </cell>
          <cell r="W3709">
            <v>0</v>
          </cell>
          <cell r="X3709">
            <v>0.79149000000000003</v>
          </cell>
          <cell r="Y3709">
            <v>0</v>
          </cell>
          <cell r="Z3709">
            <v>0</v>
          </cell>
          <cell r="AA3709">
            <v>5.4573749999999999</v>
          </cell>
          <cell r="AB3709">
            <v>0.32548589999999999</v>
          </cell>
        </row>
        <row r="3710">
          <cell r="A3710">
            <v>58106610</v>
          </cell>
          <cell r="B3710" t="str">
            <v>Pizza with meat other than pepperoni, from restaurant or fast food, NS as to type of crust</v>
          </cell>
          <cell r="I3710">
            <v>140</v>
          </cell>
          <cell r="J3710">
            <v>392</v>
          </cell>
          <cell r="K3710">
            <v>2.8</v>
          </cell>
          <cell r="L3710">
            <v>0.65273130000000001</v>
          </cell>
          <cell r="M3710">
            <v>7.0461999999999998</v>
          </cell>
          <cell r="N3710">
            <v>0</v>
          </cell>
          <cell r="O3710">
            <v>0.2016</v>
          </cell>
          <cell r="P3710">
            <v>2.5672687000000001</v>
          </cell>
          <cell r="Q3710">
            <v>3.2928000000000002</v>
          </cell>
          <cell r="R3710">
            <v>0</v>
          </cell>
          <cell r="S3710">
            <v>0</v>
          </cell>
          <cell r="T3710">
            <v>0</v>
          </cell>
          <cell r="U3710">
            <v>37.729999999999997</v>
          </cell>
          <cell r="V3710">
            <v>0</v>
          </cell>
          <cell r="W3710">
            <v>0</v>
          </cell>
          <cell r="X3710">
            <v>0.88619999999999999</v>
          </cell>
          <cell r="Y3710">
            <v>0</v>
          </cell>
          <cell r="Z3710">
            <v>0</v>
          </cell>
          <cell r="AA3710">
            <v>13.0977</v>
          </cell>
          <cell r="AB3710">
            <v>0.3024</v>
          </cell>
        </row>
        <row r="3711">
          <cell r="A3711">
            <v>58106620</v>
          </cell>
          <cell r="B3711" t="str">
            <v>Pizza with meat other than pepperoni, from restaurant or fast food, thin crust</v>
          </cell>
          <cell r="I3711">
            <v>140</v>
          </cell>
          <cell r="J3711">
            <v>449.4</v>
          </cell>
          <cell r="K3711">
            <v>3.21</v>
          </cell>
          <cell r="L3711">
            <v>0.78988630000000004</v>
          </cell>
          <cell r="M3711">
            <v>9.6432000000000002</v>
          </cell>
          <cell r="N3711">
            <v>0</v>
          </cell>
          <cell r="O3711">
            <v>0.29820000000000002</v>
          </cell>
          <cell r="P3711">
            <v>2.7101137</v>
          </cell>
          <cell r="Q3711">
            <v>5.4964000000000004</v>
          </cell>
          <cell r="R3711">
            <v>0</v>
          </cell>
          <cell r="S3711">
            <v>0</v>
          </cell>
          <cell r="T3711">
            <v>0</v>
          </cell>
          <cell r="U3711">
            <v>37.729999999999997</v>
          </cell>
          <cell r="V3711">
            <v>0</v>
          </cell>
          <cell r="W3711">
            <v>0</v>
          </cell>
          <cell r="X3711">
            <v>1.0948</v>
          </cell>
          <cell r="Y3711">
            <v>0</v>
          </cell>
          <cell r="Z3711">
            <v>0</v>
          </cell>
          <cell r="AA3711">
            <v>13.891500000000001</v>
          </cell>
          <cell r="AB3711">
            <v>0.41720000000000002</v>
          </cell>
        </row>
        <row r="3712">
          <cell r="A3712">
            <v>58106625</v>
          </cell>
          <cell r="B3712" t="str">
            <v>Pizza with meat other than pepperoni, from restaurant or fast food, medium crust</v>
          </cell>
          <cell r="I3712">
            <v>140</v>
          </cell>
          <cell r="J3712">
            <v>392</v>
          </cell>
          <cell r="K3712">
            <v>2.8</v>
          </cell>
          <cell r="L3712">
            <v>0.65273130000000001</v>
          </cell>
          <cell r="M3712">
            <v>7.0461999999999998</v>
          </cell>
          <cell r="N3712">
            <v>0</v>
          </cell>
          <cell r="O3712">
            <v>0.2016</v>
          </cell>
          <cell r="P3712">
            <v>2.5672687000000001</v>
          </cell>
          <cell r="Q3712">
            <v>3.2928000000000002</v>
          </cell>
          <cell r="R3712">
            <v>0</v>
          </cell>
          <cell r="S3712">
            <v>0</v>
          </cell>
          <cell r="T3712">
            <v>0</v>
          </cell>
          <cell r="U3712">
            <v>37.729999999999997</v>
          </cell>
          <cell r="V3712">
            <v>0</v>
          </cell>
          <cell r="W3712">
            <v>0</v>
          </cell>
          <cell r="X3712">
            <v>0.88619999999999999</v>
          </cell>
          <cell r="Y3712">
            <v>0</v>
          </cell>
          <cell r="Z3712">
            <v>0</v>
          </cell>
          <cell r="AA3712">
            <v>13.0977</v>
          </cell>
          <cell r="AB3712">
            <v>0.3024</v>
          </cell>
        </row>
        <row r="3713">
          <cell r="A3713">
            <v>58106630</v>
          </cell>
          <cell r="B3713" t="str">
            <v>Pizza with meat other than pepperoni, from restaurant or fast food, thick crust</v>
          </cell>
          <cell r="I3713">
            <v>140</v>
          </cell>
          <cell r="J3713">
            <v>394.8</v>
          </cell>
          <cell r="K3713">
            <v>2.8200000000000003</v>
          </cell>
          <cell r="L3713">
            <v>0.663995</v>
          </cell>
          <cell r="M3713">
            <v>6.7270000000000003</v>
          </cell>
          <cell r="N3713">
            <v>0</v>
          </cell>
          <cell r="O3713">
            <v>0.20019999999999999</v>
          </cell>
          <cell r="P3713">
            <v>2.5560049999999999</v>
          </cell>
          <cell r="Q3713">
            <v>4.5038</v>
          </cell>
          <cell r="R3713">
            <v>0</v>
          </cell>
          <cell r="S3713">
            <v>0</v>
          </cell>
          <cell r="T3713">
            <v>0</v>
          </cell>
          <cell r="U3713">
            <v>37.729999999999997</v>
          </cell>
          <cell r="V3713">
            <v>0</v>
          </cell>
          <cell r="W3713">
            <v>0</v>
          </cell>
          <cell r="X3713">
            <v>0.89180000000000004</v>
          </cell>
          <cell r="Y3713">
            <v>0</v>
          </cell>
          <cell r="Z3713">
            <v>0</v>
          </cell>
          <cell r="AA3713">
            <v>14.288399999999999</v>
          </cell>
          <cell r="AB3713">
            <v>0.32340000000000002</v>
          </cell>
        </row>
        <row r="3714">
          <cell r="A3714">
            <v>58106633</v>
          </cell>
          <cell r="B3714" t="str">
            <v>Pizza, with meat other than pepperoni, stuffed crust</v>
          </cell>
          <cell r="I3714">
            <v>140</v>
          </cell>
          <cell r="J3714">
            <v>393.16098</v>
          </cell>
          <cell r="K3714">
            <v>2.8082927142857144</v>
          </cell>
          <cell r="L3714">
            <v>0.46637089999999998</v>
          </cell>
          <cell r="M3714">
            <v>8.7518779999999996</v>
          </cell>
          <cell r="N3714">
            <v>0</v>
          </cell>
          <cell r="O3714">
            <v>0.30356100000000003</v>
          </cell>
          <cell r="P3714">
            <v>1.6950924999999999</v>
          </cell>
          <cell r="Q3714">
            <v>2.4350098</v>
          </cell>
          <cell r="R3714">
            <v>0</v>
          </cell>
          <cell r="S3714">
            <v>0</v>
          </cell>
          <cell r="T3714">
            <v>0</v>
          </cell>
          <cell r="U3714">
            <v>37.144390000000001</v>
          </cell>
          <cell r="V3714">
            <v>0</v>
          </cell>
          <cell r="W3714">
            <v>0</v>
          </cell>
          <cell r="X3714">
            <v>0.87848289999999996</v>
          </cell>
          <cell r="Y3714">
            <v>0</v>
          </cell>
          <cell r="Z3714">
            <v>0</v>
          </cell>
          <cell r="AA3714">
            <v>10.648536999999999</v>
          </cell>
          <cell r="AB3714">
            <v>0.3689171</v>
          </cell>
        </row>
        <row r="3715">
          <cell r="A3715">
            <v>58106635</v>
          </cell>
          <cell r="B3715" t="str">
            <v>Pizza, with meat other than pepperoni, from school lunch, thin crust</v>
          </cell>
          <cell r="I3715">
            <v>140</v>
          </cell>
          <cell r="J3715">
            <v>350</v>
          </cell>
          <cell r="K3715">
            <v>2.5</v>
          </cell>
          <cell r="L3715">
            <v>4.23325</v>
          </cell>
          <cell r="M3715">
            <v>4.8832000000000004</v>
          </cell>
          <cell r="N3715">
            <v>0</v>
          </cell>
          <cell r="O3715">
            <v>0.3332</v>
          </cell>
          <cell r="P3715">
            <v>1.22675</v>
          </cell>
          <cell r="Q3715">
            <v>1.3804000000000001</v>
          </cell>
          <cell r="R3715">
            <v>21.056000000000001</v>
          </cell>
          <cell r="S3715">
            <v>0</v>
          </cell>
          <cell r="T3715">
            <v>0</v>
          </cell>
          <cell r="U3715">
            <v>34.299999999999997</v>
          </cell>
          <cell r="V3715">
            <v>0</v>
          </cell>
          <cell r="W3715">
            <v>0</v>
          </cell>
          <cell r="X3715">
            <v>0.63980000000000004</v>
          </cell>
          <cell r="Y3715">
            <v>0</v>
          </cell>
          <cell r="Z3715">
            <v>0</v>
          </cell>
          <cell r="AA3715">
            <v>9.9224999999999994</v>
          </cell>
          <cell r="AB3715">
            <v>0</v>
          </cell>
        </row>
        <row r="3716">
          <cell r="A3716">
            <v>58106640</v>
          </cell>
          <cell r="B3716" t="str">
            <v>Pizza with extra meat, NS as to type of crust</v>
          </cell>
          <cell r="I3716">
            <v>140</v>
          </cell>
          <cell r="J3716">
            <v>387.20366000000001</v>
          </cell>
          <cell r="K3716">
            <v>2.7657404285714287</v>
          </cell>
          <cell r="L3716">
            <v>0.55927320000000003</v>
          </cell>
          <cell r="M3716">
            <v>7.4684385999999998</v>
          </cell>
          <cell r="N3716">
            <v>0</v>
          </cell>
          <cell r="O3716">
            <v>0.21445620000000001</v>
          </cell>
          <cell r="P3716">
            <v>2.0035886999999999</v>
          </cell>
          <cell r="Q3716">
            <v>2.5338601999999999</v>
          </cell>
          <cell r="R3716">
            <v>0</v>
          </cell>
          <cell r="S3716">
            <v>0</v>
          </cell>
          <cell r="T3716">
            <v>0</v>
          </cell>
          <cell r="U3716">
            <v>32.667754000000002</v>
          </cell>
          <cell r="V3716">
            <v>0</v>
          </cell>
          <cell r="W3716">
            <v>0</v>
          </cell>
          <cell r="X3716">
            <v>0.8441324</v>
          </cell>
          <cell r="Y3716">
            <v>0</v>
          </cell>
          <cell r="Z3716">
            <v>6.7354127999999998</v>
          </cell>
          <cell r="AA3716">
            <v>9.9086315999999997</v>
          </cell>
          <cell r="AB3716">
            <v>0.7005207</v>
          </cell>
        </row>
        <row r="3717">
          <cell r="A3717">
            <v>58106650</v>
          </cell>
          <cell r="B3717" t="str">
            <v>Pizza with extra meat, thin crust</v>
          </cell>
          <cell r="I3717">
            <v>140</v>
          </cell>
          <cell r="J3717">
            <v>428.76641999999998</v>
          </cell>
          <cell r="K3717">
            <v>3.0626172857142855</v>
          </cell>
          <cell r="L3717">
            <v>0.57894129999999999</v>
          </cell>
          <cell r="M3717">
            <v>9.6743898000000002</v>
          </cell>
          <cell r="N3717">
            <v>0</v>
          </cell>
          <cell r="O3717">
            <v>0.29805399999999999</v>
          </cell>
          <cell r="P3717">
            <v>1.9527375</v>
          </cell>
          <cell r="Q3717">
            <v>3.9727663999999998</v>
          </cell>
          <cell r="R3717">
            <v>0</v>
          </cell>
          <cell r="S3717">
            <v>0</v>
          </cell>
          <cell r="T3717">
            <v>0</v>
          </cell>
          <cell r="U3717">
            <v>29.657518</v>
          </cell>
          <cell r="V3717">
            <v>0</v>
          </cell>
          <cell r="W3717">
            <v>0</v>
          </cell>
          <cell r="X3717">
            <v>0.99185109999999999</v>
          </cell>
          <cell r="Y3717">
            <v>0</v>
          </cell>
          <cell r="Z3717">
            <v>9.1229057999999998</v>
          </cell>
          <cell r="AA3717">
            <v>13.420931</v>
          </cell>
          <cell r="AB3717">
            <v>0.75012449999999997</v>
          </cell>
        </row>
        <row r="3718">
          <cell r="A3718">
            <v>58106655</v>
          </cell>
          <cell r="B3718" t="str">
            <v>Pizza with extra meat, medium crust</v>
          </cell>
          <cell r="I3718">
            <v>140</v>
          </cell>
          <cell r="J3718">
            <v>387.20366000000001</v>
          </cell>
          <cell r="K3718">
            <v>2.7657404285714287</v>
          </cell>
          <cell r="L3718">
            <v>0.55492770000000002</v>
          </cell>
          <cell r="M3718">
            <v>7.4684385999999998</v>
          </cell>
          <cell r="N3718">
            <v>0</v>
          </cell>
          <cell r="O3718">
            <v>0.21445620000000001</v>
          </cell>
          <cell r="P3718">
            <v>2.0079341999999998</v>
          </cell>
          <cell r="Q3718">
            <v>2.5338601999999999</v>
          </cell>
          <cell r="R3718">
            <v>0</v>
          </cell>
          <cell r="S3718">
            <v>0</v>
          </cell>
          <cell r="T3718">
            <v>0</v>
          </cell>
          <cell r="U3718">
            <v>32.667754000000002</v>
          </cell>
          <cell r="V3718">
            <v>0</v>
          </cell>
          <cell r="W3718">
            <v>0</v>
          </cell>
          <cell r="X3718">
            <v>0.8441324</v>
          </cell>
          <cell r="Y3718">
            <v>0</v>
          </cell>
          <cell r="Z3718">
            <v>6.7354127999999998</v>
          </cell>
          <cell r="AA3718">
            <v>9.9086315999999997</v>
          </cell>
          <cell r="AB3718">
            <v>0.59102869999999996</v>
          </cell>
        </row>
        <row r="3719">
          <cell r="A3719">
            <v>58106660</v>
          </cell>
          <cell r="B3719" t="str">
            <v>Pizza with extra meat, thick crust</v>
          </cell>
          <cell r="I3719">
            <v>140</v>
          </cell>
          <cell r="J3719">
            <v>392.46701999999999</v>
          </cell>
          <cell r="K3719">
            <v>2.8033358571428573</v>
          </cell>
          <cell r="L3719">
            <v>0.53382039999999997</v>
          </cell>
          <cell r="M3719">
            <v>7.1747185</v>
          </cell>
          <cell r="N3719">
            <v>0</v>
          </cell>
          <cell r="O3719">
            <v>0.2054658</v>
          </cell>
          <cell r="P3719">
            <v>1.9316766000000001</v>
          </cell>
          <cell r="Q3719">
            <v>3.7267209000000001</v>
          </cell>
          <cell r="R3719">
            <v>0</v>
          </cell>
          <cell r="S3719">
            <v>0</v>
          </cell>
          <cell r="T3719">
            <v>0</v>
          </cell>
          <cell r="U3719">
            <v>32.853614</v>
          </cell>
          <cell r="V3719">
            <v>0</v>
          </cell>
          <cell r="W3719">
            <v>0</v>
          </cell>
          <cell r="X3719">
            <v>0.84286329999999998</v>
          </cell>
          <cell r="Y3719">
            <v>0</v>
          </cell>
          <cell r="Z3719">
            <v>6.5880020000000004</v>
          </cell>
          <cell r="AA3719">
            <v>9.6917720000000003</v>
          </cell>
          <cell r="AB3719">
            <v>0.71451120000000001</v>
          </cell>
        </row>
        <row r="3720">
          <cell r="A3720">
            <v>58106700</v>
          </cell>
          <cell r="B3720" t="str">
            <v>Pizza with meat and vegetables, from frozen, thin crust</v>
          </cell>
          <cell r="I3720">
            <v>140</v>
          </cell>
          <cell r="J3720">
            <v>386.4</v>
          </cell>
          <cell r="K3720">
            <v>2.76</v>
          </cell>
          <cell r="L3720">
            <v>0.6317178</v>
          </cell>
          <cell r="M3720">
            <v>7.1162000000000001</v>
          </cell>
          <cell r="N3720">
            <v>0</v>
          </cell>
          <cell r="O3720">
            <v>0.21279999999999999</v>
          </cell>
          <cell r="P3720">
            <v>2.4482822</v>
          </cell>
          <cell r="Q3720">
            <v>3.6092</v>
          </cell>
          <cell r="R3720">
            <v>0</v>
          </cell>
          <cell r="S3720">
            <v>0</v>
          </cell>
          <cell r="T3720">
            <v>0</v>
          </cell>
          <cell r="U3720">
            <v>38.29</v>
          </cell>
          <cell r="V3720">
            <v>0</v>
          </cell>
          <cell r="W3720">
            <v>0</v>
          </cell>
          <cell r="X3720">
            <v>0.77700000000000002</v>
          </cell>
          <cell r="Y3720">
            <v>0</v>
          </cell>
          <cell r="Z3720">
            <v>0</v>
          </cell>
          <cell r="AA3720">
            <v>11.113200000000001</v>
          </cell>
          <cell r="AB3720">
            <v>0.40737319999999999</v>
          </cell>
        </row>
        <row r="3721">
          <cell r="A3721">
            <v>58106702</v>
          </cell>
          <cell r="B3721" t="str">
            <v>Pizza with meat and vegetables, from frozen, medium crust</v>
          </cell>
          <cell r="I3721">
            <v>140</v>
          </cell>
          <cell r="J3721">
            <v>386.4</v>
          </cell>
          <cell r="K3721">
            <v>2.76</v>
          </cell>
          <cell r="L3721">
            <v>0.6317178</v>
          </cell>
          <cell r="M3721">
            <v>7.1162000000000001</v>
          </cell>
          <cell r="N3721">
            <v>0</v>
          </cell>
          <cell r="O3721">
            <v>0.21279999999999999</v>
          </cell>
          <cell r="P3721">
            <v>2.4482822</v>
          </cell>
          <cell r="Q3721">
            <v>3.6092</v>
          </cell>
          <cell r="R3721">
            <v>0</v>
          </cell>
          <cell r="S3721">
            <v>0</v>
          </cell>
          <cell r="T3721">
            <v>0</v>
          </cell>
          <cell r="U3721">
            <v>38.29</v>
          </cell>
          <cell r="V3721">
            <v>0</v>
          </cell>
          <cell r="W3721">
            <v>0</v>
          </cell>
          <cell r="X3721">
            <v>0.77700000000000002</v>
          </cell>
          <cell r="Y3721">
            <v>0</v>
          </cell>
          <cell r="Z3721">
            <v>0</v>
          </cell>
          <cell r="AA3721">
            <v>11.113200000000001</v>
          </cell>
          <cell r="AB3721">
            <v>0.40974110000000002</v>
          </cell>
        </row>
        <row r="3722">
          <cell r="A3722">
            <v>58106705</v>
          </cell>
          <cell r="B3722" t="str">
            <v>Pizza with meat and vegetables, from frozen, thick crust</v>
          </cell>
          <cell r="I3722">
            <v>140</v>
          </cell>
          <cell r="J3722">
            <v>379.4</v>
          </cell>
          <cell r="K3722">
            <v>2.71</v>
          </cell>
          <cell r="L3722">
            <v>0.68984219999999996</v>
          </cell>
          <cell r="M3722">
            <v>6.4203999999999999</v>
          </cell>
          <cell r="N3722">
            <v>0</v>
          </cell>
          <cell r="O3722">
            <v>0.217</v>
          </cell>
          <cell r="P3722">
            <v>2.5301578</v>
          </cell>
          <cell r="Q3722">
            <v>2.6459999999999999</v>
          </cell>
          <cell r="R3722">
            <v>0</v>
          </cell>
          <cell r="S3722">
            <v>0</v>
          </cell>
          <cell r="T3722">
            <v>0</v>
          </cell>
          <cell r="U3722">
            <v>40.46</v>
          </cell>
          <cell r="V3722">
            <v>0</v>
          </cell>
          <cell r="W3722">
            <v>0</v>
          </cell>
          <cell r="X3722">
            <v>0.89600000000000002</v>
          </cell>
          <cell r="Y3722">
            <v>0</v>
          </cell>
          <cell r="Z3722">
            <v>0</v>
          </cell>
          <cell r="AA3722">
            <v>11.113200000000001</v>
          </cell>
          <cell r="AB3722">
            <v>0.3252372</v>
          </cell>
        </row>
        <row r="3723">
          <cell r="A3723">
            <v>58106720</v>
          </cell>
          <cell r="B3723" t="str">
            <v>Pizza with meat and vegetables, from restaurant or fast food, thin crust</v>
          </cell>
          <cell r="I3723">
            <v>140</v>
          </cell>
          <cell r="J3723">
            <v>378.75659000000002</v>
          </cell>
          <cell r="K3723">
            <v>2.7054042142857142</v>
          </cell>
          <cell r="L3723">
            <v>0.828488</v>
          </cell>
          <cell r="M3723">
            <v>7.9876233000000001</v>
          </cell>
          <cell r="N3723">
            <v>0</v>
          </cell>
          <cell r="O3723">
            <v>0.31462020000000002</v>
          </cell>
          <cell r="P3723">
            <v>2.0716670000000001</v>
          </cell>
          <cell r="Q3723">
            <v>3.6040713000000002</v>
          </cell>
          <cell r="R3723">
            <v>0</v>
          </cell>
          <cell r="S3723">
            <v>0</v>
          </cell>
          <cell r="T3723">
            <v>0</v>
          </cell>
          <cell r="U3723">
            <v>47.930852999999999</v>
          </cell>
          <cell r="V3723">
            <v>0</v>
          </cell>
          <cell r="W3723">
            <v>0</v>
          </cell>
          <cell r="X3723">
            <v>0.86369459999999998</v>
          </cell>
          <cell r="Y3723">
            <v>0</v>
          </cell>
          <cell r="Z3723">
            <v>7.6641697999999998</v>
          </cell>
          <cell r="AA3723">
            <v>6.4062209000000001</v>
          </cell>
          <cell r="AB3723">
            <v>0.63922129999999999</v>
          </cell>
        </row>
        <row r="3724">
          <cell r="A3724">
            <v>58106725</v>
          </cell>
          <cell r="B3724" t="str">
            <v>Pizza with meat and vegetables, from restaurant or fast food, medium crust</v>
          </cell>
          <cell r="I3724">
            <v>140</v>
          </cell>
          <cell r="J3724">
            <v>341.6</v>
          </cell>
          <cell r="K3724">
            <v>2.44</v>
          </cell>
          <cell r="L3724">
            <v>0.81385260000000004</v>
          </cell>
          <cell r="M3724">
            <v>6.1698000000000004</v>
          </cell>
          <cell r="N3724">
            <v>0</v>
          </cell>
          <cell r="O3724">
            <v>0.16800000000000001</v>
          </cell>
          <cell r="P3724">
            <v>2.2661473999999999</v>
          </cell>
          <cell r="Q3724">
            <v>2.6459999999999999</v>
          </cell>
          <cell r="R3724">
            <v>0</v>
          </cell>
          <cell r="S3724">
            <v>0</v>
          </cell>
          <cell r="T3724">
            <v>0</v>
          </cell>
          <cell r="U3724">
            <v>51.31</v>
          </cell>
          <cell r="V3724">
            <v>0</v>
          </cell>
          <cell r="W3724">
            <v>0</v>
          </cell>
          <cell r="X3724">
            <v>0.8246</v>
          </cell>
          <cell r="Y3724">
            <v>0</v>
          </cell>
          <cell r="Z3724">
            <v>0</v>
          </cell>
          <cell r="AA3724">
            <v>12.303900000000001</v>
          </cell>
          <cell r="AB3724">
            <v>0.44109880000000001</v>
          </cell>
        </row>
        <row r="3725">
          <cell r="A3725">
            <v>58106730</v>
          </cell>
          <cell r="B3725" t="str">
            <v>Pizza with meat and vegetables, from restaurant or fast food, thick crust</v>
          </cell>
          <cell r="I3725">
            <v>140</v>
          </cell>
          <cell r="J3725">
            <v>363.86329999999998</v>
          </cell>
          <cell r="K3725">
            <v>2.5990235714285714</v>
          </cell>
          <cell r="L3725">
            <v>0.69477560000000005</v>
          </cell>
          <cell r="M3725">
            <v>5.8846100999999997</v>
          </cell>
          <cell r="N3725">
            <v>0</v>
          </cell>
          <cell r="O3725">
            <v>0.22638990000000001</v>
          </cell>
          <cell r="P3725">
            <v>2.1551906999999999</v>
          </cell>
          <cell r="Q3725">
            <v>3.5950869000000001</v>
          </cell>
          <cell r="R3725">
            <v>0</v>
          </cell>
          <cell r="S3725">
            <v>0</v>
          </cell>
          <cell r="T3725">
            <v>0</v>
          </cell>
          <cell r="U3725">
            <v>44.267339999999997</v>
          </cell>
          <cell r="V3725">
            <v>0</v>
          </cell>
          <cell r="W3725">
            <v>0</v>
          </cell>
          <cell r="X3725">
            <v>0.77731110000000003</v>
          </cell>
          <cell r="Y3725">
            <v>0</v>
          </cell>
          <cell r="Z3725">
            <v>3.5173090999999999</v>
          </cell>
          <cell r="AA3725">
            <v>2.94</v>
          </cell>
          <cell r="AB3725">
            <v>0.69128179999999995</v>
          </cell>
        </row>
        <row r="3726">
          <cell r="A3726">
            <v>58106736</v>
          </cell>
          <cell r="B3726" t="str">
            <v>Pizza with extra meat and extra vegetables, thin crust</v>
          </cell>
          <cell r="I3726">
            <v>140</v>
          </cell>
          <cell r="J3726">
            <v>347.56556999999998</v>
          </cell>
          <cell r="K3726">
            <v>2.482611214285714</v>
          </cell>
          <cell r="L3726">
            <v>1.0677028</v>
          </cell>
          <cell r="M3726">
            <v>7.0535994000000004</v>
          </cell>
          <cell r="N3726">
            <v>0</v>
          </cell>
          <cell r="O3726">
            <v>0.28159089999999998</v>
          </cell>
          <cell r="P3726">
            <v>1.8086608</v>
          </cell>
          <cell r="Q3726">
            <v>3.2485225999999998</v>
          </cell>
          <cell r="R3726">
            <v>0</v>
          </cell>
          <cell r="S3726">
            <v>0</v>
          </cell>
          <cell r="T3726">
            <v>0</v>
          </cell>
          <cell r="U3726">
            <v>54.044061999999997</v>
          </cell>
          <cell r="V3726">
            <v>0</v>
          </cell>
          <cell r="W3726">
            <v>0</v>
          </cell>
          <cell r="X3726">
            <v>0.80354309999999995</v>
          </cell>
          <cell r="Y3726">
            <v>0</v>
          </cell>
          <cell r="Z3726">
            <v>6.1880318000000001</v>
          </cell>
          <cell r="AA3726">
            <v>5.1723670000000004</v>
          </cell>
          <cell r="AB3726">
            <v>0.60682959999999997</v>
          </cell>
        </row>
        <row r="3727">
          <cell r="A3727">
            <v>58106737</v>
          </cell>
          <cell r="B3727" t="str">
            <v>Pizza with extra meat and extra vegetables, thick crust</v>
          </cell>
          <cell r="I3727">
            <v>140</v>
          </cell>
          <cell r="J3727">
            <v>336.66860000000003</v>
          </cell>
          <cell r="K3727">
            <v>2.4047757142857145</v>
          </cell>
          <cell r="L3727">
            <v>0.88575499999999996</v>
          </cell>
          <cell r="M3727">
            <v>5.4021786000000001</v>
          </cell>
          <cell r="N3727">
            <v>0</v>
          </cell>
          <cell r="O3727">
            <v>0.2007389</v>
          </cell>
          <cell r="P3727">
            <v>1.8540713</v>
          </cell>
          <cell r="Q3727">
            <v>3.2364799</v>
          </cell>
          <cell r="R3727">
            <v>0</v>
          </cell>
          <cell r="S3727">
            <v>0</v>
          </cell>
          <cell r="T3727">
            <v>0</v>
          </cell>
          <cell r="U3727">
            <v>50.209550999999998</v>
          </cell>
          <cell r="V3727">
            <v>0</v>
          </cell>
          <cell r="W3727">
            <v>0</v>
          </cell>
          <cell r="X3727">
            <v>0.71785759999999998</v>
          </cell>
          <cell r="Y3727">
            <v>0</v>
          </cell>
          <cell r="Z3727">
            <v>4.3463709000000001</v>
          </cell>
          <cell r="AA3727">
            <v>3.6329848</v>
          </cell>
          <cell r="AB3727">
            <v>0.57730899999999996</v>
          </cell>
        </row>
        <row r="3728">
          <cell r="A3728">
            <v>58106738</v>
          </cell>
          <cell r="B3728" t="str">
            <v>Pizza with extra meat and extra vegetables, medium crust</v>
          </cell>
          <cell r="I3728">
            <v>140</v>
          </cell>
          <cell r="J3728">
            <v>327.88526999999999</v>
          </cell>
          <cell r="K3728">
            <v>2.342037642857143</v>
          </cell>
          <cell r="L3728">
            <v>0.92650710000000003</v>
          </cell>
          <cell r="M3728">
            <v>5.6096244999999998</v>
          </cell>
          <cell r="N3728">
            <v>0</v>
          </cell>
          <cell r="O3728">
            <v>0.20601720000000001</v>
          </cell>
          <cell r="P3728">
            <v>1.8897311000000001</v>
          </cell>
          <cell r="Q3728">
            <v>2.0642561000000001</v>
          </cell>
          <cell r="R3728">
            <v>0</v>
          </cell>
          <cell r="S3728">
            <v>0</v>
          </cell>
          <cell r="T3728">
            <v>0</v>
          </cell>
          <cell r="U3728">
            <v>50.961317000000001</v>
          </cell>
          <cell r="V3728">
            <v>0</v>
          </cell>
          <cell r="W3728">
            <v>0</v>
          </cell>
          <cell r="X3728">
            <v>0.70910660000000003</v>
          </cell>
          <cell r="Y3728">
            <v>0</v>
          </cell>
          <cell r="Z3728">
            <v>4.7074331000000003</v>
          </cell>
          <cell r="AA3728">
            <v>3.9347845000000001</v>
          </cell>
          <cell r="AB3728">
            <v>0.36077419999999999</v>
          </cell>
        </row>
        <row r="3729">
          <cell r="A3729">
            <v>58106750</v>
          </cell>
          <cell r="B3729" t="str">
            <v>Pizza with meat and fruit, thin crust</v>
          </cell>
          <cell r="I3729">
            <v>140</v>
          </cell>
          <cell r="J3729">
            <v>355.58787000000001</v>
          </cell>
          <cell r="K3729">
            <v>2.5399133571428574</v>
          </cell>
          <cell r="L3729">
            <v>0.8302543</v>
          </cell>
          <cell r="M3729">
            <v>6.9998665000000004</v>
          </cell>
          <cell r="N3729">
            <v>0</v>
          </cell>
          <cell r="O3729">
            <v>0.30590079999999997</v>
          </cell>
          <cell r="P3729">
            <v>2.0187381000000002</v>
          </cell>
          <cell r="Q3729">
            <v>3.3610981999999998</v>
          </cell>
          <cell r="R3729">
            <v>0</v>
          </cell>
          <cell r="S3729">
            <v>0</v>
          </cell>
          <cell r="T3729">
            <v>17.594799999999999</v>
          </cell>
          <cell r="U3729">
            <v>30.814257999999999</v>
          </cell>
          <cell r="V3729">
            <v>0</v>
          </cell>
          <cell r="W3729">
            <v>0</v>
          </cell>
          <cell r="X3729">
            <v>1.0027307000000001</v>
          </cell>
          <cell r="Y3729">
            <v>0</v>
          </cell>
          <cell r="Z3729">
            <v>0</v>
          </cell>
          <cell r="AA3729">
            <v>17.594799999999999</v>
          </cell>
          <cell r="AB3729">
            <v>0.39995629999999999</v>
          </cell>
        </row>
        <row r="3730">
          <cell r="A3730">
            <v>58106755</v>
          </cell>
          <cell r="B3730" t="str">
            <v>Pizza with meat and fruit, medium crust</v>
          </cell>
          <cell r="I3730">
            <v>140</v>
          </cell>
          <cell r="J3730">
            <v>328.20301000000001</v>
          </cell>
          <cell r="K3730">
            <v>2.3443072142857142</v>
          </cell>
          <cell r="L3730">
            <v>0.74212279999999997</v>
          </cell>
          <cell r="M3730">
            <v>5.3639235000000003</v>
          </cell>
          <cell r="N3730">
            <v>0</v>
          </cell>
          <cell r="O3730">
            <v>0.21287249999999999</v>
          </cell>
          <cell r="P3730">
            <v>2.0073930999999998</v>
          </cell>
          <cell r="Q3730">
            <v>2.0123703000000002</v>
          </cell>
          <cell r="R3730">
            <v>0</v>
          </cell>
          <cell r="S3730">
            <v>0</v>
          </cell>
          <cell r="T3730">
            <v>14.257095</v>
          </cell>
          <cell r="U3730">
            <v>32.776828000000002</v>
          </cell>
          <cell r="V3730">
            <v>0</v>
          </cell>
          <cell r="W3730">
            <v>0</v>
          </cell>
          <cell r="X3730">
            <v>0.84903340000000005</v>
          </cell>
          <cell r="Y3730">
            <v>0</v>
          </cell>
          <cell r="Z3730">
            <v>0</v>
          </cell>
          <cell r="AA3730">
            <v>14.257095</v>
          </cell>
          <cell r="AB3730">
            <v>0.33152130000000002</v>
          </cell>
        </row>
        <row r="3731">
          <cell r="A3731">
            <v>58106760</v>
          </cell>
          <cell r="B3731" t="str">
            <v>Pizza with meat and fruit, thick crust</v>
          </cell>
          <cell r="I3731">
            <v>140</v>
          </cell>
          <cell r="J3731">
            <v>343.24810000000002</v>
          </cell>
          <cell r="K3731">
            <v>2.4517721428571431</v>
          </cell>
          <cell r="L3731">
            <v>0.70771629999999996</v>
          </cell>
          <cell r="M3731">
            <v>5.2674734000000001</v>
          </cell>
          <cell r="N3731">
            <v>0</v>
          </cell>
          <cell r="O3731">
            <v>0.21275350000000001</v>
          </cell>
          <cell r="P3731">
            <v>2.0220620999999999</v>
          </cell>
          <cell r="Q3731">
            <v>3.3405727999999999</v>
          </cell>
          <cell r="R3731">
            <v>0</v>
          </cell>
          <cell r="S3731">
            <v>0</v>
          </cell>
          <cell r="T3731">
            <v>11.297468</v>
          </cell>
          <cell r="U3731">
            <v>34.517088999999999</v>
          </cell>
          <cell r="V3731">
            <v>0</v>
          </cell>
          <cell r="W3731">
            <v>0</v>
          </cell>
          <cell r="X3731">
            <v>0.84540280000000001</v>
          </cell>
          <cell r="Y3731">
            <v>0</v>
          </cell>
          <cell r="Z3731">
            <v>0</v>
          </cell>
          <cell r="AA3731">
            <v>11.297468</v>
          </cell>
          <cell r="AB3731">
            <v>0.49949470000000001</v>
          </cell>
        </row>
        <row r="3732">
          <cell r="A3732">
            <v>58106820</v>
          </cell>
          <cell r="B3732" t="str">
            <v>Pizza with beans and vegetables, thin crust</v>
          </cell>
          <cell r="I3732">
            <v>140</v>
          </cell>
          <cell r="J3732">
            <v>316.72023999999999</v>
          </cell>
          <cell r="K3732">
            <v>2.2622874285714283</v>
          </cell>
          <cell r="L3732">
            <v>2.7784664000000001</v>
          </cell>
          <cell r="M3732">
            <v>5.8774705999999997</v>
          </cell>
          <cell r="N3732">
            <v>0</v>
          </cell>
          <cell r="O3732">
            <v>0.28013579999999999</v>
          </cell>
          <cell r="P3732">
            <v>1.7996293999999999</v>
          </cell>
          <cell r="Q3732">
            <v>2.9389262999999999</v>
          </cell>
          <cell r="R3732">
            <v>0</v>
          </cell>
          <cell r="S3732">
            <v>22.989560000000001</v>
          </cell>
          <cell r="T3732">
            <v>0</v>
          </cell>
          <cell r="U3732">
            <v>50.708190000000002</v>
          </cell>
          <cell r="V3732">
            <v>0</v>
          </cell>
          <cell r="W3732">
            <v>0</v>
          </cell>
          <cell r="X3732">
            <v>0.74543119999999996</v>
          </cell>
          <cell r="Y3732">
            <v>0</v>
          </cell>
          <cell r="Z3732">
            <v>0</v>
          </cell>
          <cell r="AA3732">
            <v>0</v>
          </cell>
          <cell r="AB3732">
            <v>0.33151950000000002</v>
          </cell>
        </row>
        <row r="3733">
          <cell r="A3733">
            <v>58107050</v>
          </cell>
          <cell r="B3733" t="str">
            <v>Pizza, no cheese, thin crust</v>
          </cell>
          <cell r="I3733">
            <v>140</v>
          </cell>
          <cell r="J3733">
            <v>308.87643000000003</v>
          </cell>
          <cell r="K3733">
            <v>2.2062602142857144</v>
          </cell>
          <cell r="L3733">
            <v>1.0701976</v>
          </cell>
          <cell r="M3733">
            <v>3.8439741999999999</v>
          </cell>
          <cell r="N3733">
            <v>0</v>
          </cell>
          <cell r="O3733">
            <v>2.8172099999999999E-2</v>
          </cell>
          <cell r="P3733">
            <v>1.1668510999999999</v>
          </cell>
          <cell r="Q3733">
            <v>2.9789360999999999</v>
          </cell>
          <cell r="R3733">
            <v>0</v>
          </cell>
          <cell r="S3733">
            <v>0</v>
          </cell>
          <cell r="T3733">
            <v>0</v>
          </cell>
          <cell r="U3733">
            <v>52.600924999999997</v>
          </cell>
          <cell r="V3733">
            <v>0</v>
          </cell>
          <cell r="W3733">
            <v>0</v>
          </cell>
          <cell r="X3733">
            <v>0.61956990000000001</v>
          </cell>
          <cell r="Y3733">
            <v>0</v>
          </cell>
          <cell r="Z3733">
            <v>0</v>
          </cell>
          <cell r="AA3733">
            <v>13.414070000000001</v>
          </cell>
          <cell r="AB3733">
            <v>0.46252120000000002</v>
          </cell>
        </row>
        <row r="3734">
          <cell r="A3734">
            <v>58107100</v>
          </cell>
          <cell r="B3734" t="str">
            <v>Pizza, no cheese, thick crust</v>
          </cell>
          <cell r="I3734">
            <v>140</v>
          </cell>
          <cell r="J3734">
            <v>325.83226999999999</v>
          </cell>
          <cell r="K3734">
            <v>2.3273733571428572</v>
          </cell>
          <cell r="L3734">
            <v>0.7864833</v>
          </cell>
          <cell r="M3734">
            <v>2.8715533</v>
          </cell>
          <cell r="N3734">
            <v>0</v>
          </cell>
          <cell r="O3734">
            <v>2.4662699999999999E-2</v>
          </cell>
          <cell r="P3734">
            <v>1.5176607</v>
          </cell>
          <cell r="Q3734">
            <v>3.1484429</v>
          </cell>
          <cell r="R3734">
            <v>0</v>
          </cell>
          <cell r="S3734">
            <v>0</v>
          </cell>
          <cell r="T3734">
            <v>0</v>
          </cell>
          <cell r="U3734">
            <v>38.729053</v>
          </cell>
          <cell r="V3734">
            <v>0</v>
          </cell>
          <cell r="W3734">
            <v>0</v>
          </cell>
          <cell r="X3734">
            <v>0.62038389999999999</v>
          </cell>
          <cell r="Y3734">
            <v>0</v>
          </cell>
          <cell r="Z3734">
            <v>0</v>
          </cell>
          <cell r="AA3734">
            <v>10.122718000000001</v>
          </cell>
          <cell r="AB3734">
            <v>0.60999689999999995</v>
          </cell>
        </row>
        <row r="3735">
          <cell r="A3735">
            <v>58107205</v>
          </cell>
          <cell r="B3735" t="str">
            <v>White pizza, cheese, thin crust</v>
          </cell>
          <cell r="I3735">
            <v>140</v>
          </cell>
          <cell r="J3735">
            <v>411.67291999999998</v>
          </cell>
          <cell r="K3735">
            <v>2.9405208571428569</v>
          </cell>
          <cell r="L3735">
            <v>3.0624999999999999E-2</v>
          </cell>
          <cell r="M3735">
            <v>7.6176624999999998</v>
          </cell>
          <cell r="N3735">
            <v>0</v>
          </cell>
          <cell r="O3735">
            <v>0.2889833</v>
          </cell>
          <cell r="P3735">
            <v>2.3333333000000001</v>
          </cell>
          <cell r="Q3735">
            <v>2.1476000000000002</v>
          </cell>
          <cell r="R3735">
            <v>0</v>
          </cell>
          <cell r="S3735">
            <v>0</v>
          </cell>
          <cell r="T3735">
            <v>0</v>
          </cell>
          <cell r="U3735">
            <v>1.4583333000000001</v>
          </cell>
          <cell r="V3735">
            <v>0</v>
          </cell>
          <cell r="W3735">
            <v>0</v>
          </cell>
          <cell r="X3735">
            <v>0.64840419999999999</v>
          </cell>
          <cell r="Y3735">
            <v>0</v>
          </cell>
          <cell r="Z3735">
            <v>0</v>
          </cell>
          <cell r="AA3735">
            <v>0</v>
          </cell>
          <cell r="AB3735">
            <v>0.51144429999999996</v>
          </cell>
        </row>
        <row r="3736">
          <cell r="A3736">
            <v>58107212</v>
          </cell>
          <cell r="B3736" t="str">
            <v>White pizza, cheese, with vegetables, thin crust</v>
          </cell>
          <cell r="I3736">
            <v>140</v>
          </cell>
          <cell r="J3736">
            <v>346.79167000000001</v>
          </cell>
          <cell r="K3736">
            <v>2.4770833571428574</v>
          </cell>
          <cell r="L3736">
            <v>0.56583329999999998</v>
          </cell>
          <cell r="M3736">
            <v>6.2317967000000003</v>
          </cell>
          <cell r="N3736">
            <v>0</v>
          </cell>
          <cell r="O3736">
            <v>0.24229329999999999</v>
          </cell>
          <cell r="P3736">
            <v>1.8666666999999999</v>
          </cell>
          <cell r="Q3736">
            <v>1.8198133000000001</v>
          </cell>
          <cell r="R3736">
            <v>0</v>
          </cell>
          <cell r="S3736">
            <v>0</v>
          </cell>
          <cell r="T3736">
            <v>0</v>
          </cell>
          <cell r="U3736">
            <v>29.166667</v>
          </cell>
          <cell r="V3736">
            <v>0</v>
          </cell>
          <cell r="W3736">
            <v>0</v>
          </cell>
          <cell r="X3736">
            <v>0.58779000000000003</v>
          </cell>
          <cell r="Y3736">
            <v>0</v>
          </cell>
          <cell r="Z3736">
            <v>0</v>
          </cell>
          <cell r="AA3736">
            <v>0</v>
          </cell>
          <cell r="AB3736">
            <v>0.42618</v>
          </cell>
        </row>
        <row r="3737">
          <cell r="A3737">
            <v>58107220</v>
          </cell>
          <cell r="B3737" t="str">
            <v>White pizza, thin crust</v>
          </cell>
          <cell r="I3737">
            <v>140</v>
          </cell>
          <cell r="J3737">
            <v>405.63387999999998</v>
          </cell>
          <cell r="K3737">
            <v>2.8973848571428569</v>
          </cell>
          <cell r="L3737">
            <v>3.62105E-2</v>
          </cell>
          <cell r="M3737">
            <v>9.3751794999999998</v>
          </cell>
          <cell r="N3737">
            <v>0</v>
          </cell>
          <cell r="O3737">
            <v>0.28542149999999999</v>
          </cell>
          <cell r="P3737">
            <v>1.3216540999999999</v>
          </cell>
          <cell r="Q3737">
            <v>2.7970779000000001</v>
          </cell>
          <cell r="R3737">
            <v>0</v>
          </cell>
          <cell r="S3737">
            <v>0</v>
          </cell>
          <cell r="T3737">
            <v>0</v>
          </cell>
          <cell r="U3737">
            <v>1.7243108</v>
          </cell>
          <cell r="V3737">
            <v>0</v>
          </cell>
          <cell r="W3737">
            <v>0</v>
          </cell>
          <cell r="X3737">
            <v>0.53390660000000001</v>
          </cell>
          <cell r="Y3737">
            <v>0</v>
          </cell>
          <cell r="Z3737">
            <v>0</v>
          </cell>
          <cell r="AA3737">
            <v>0</v>
          </cell>
          <cell r="AB3737">
            <v>0.53415000000000001</v>
          </cell>
        </row>
        <row r="3738">
          <cell r="A3738">
            <v>58107222</v>
          </cell>
          <cell r="B3738" t="str">
            <v>White pizza, cheese, with meat, thin crust</v>
          </cell>
          <cell r="I3738">
            <v>140</v>
          </cell>
          <cell r="J3738">
            <v>439.89661000000001</v>
          </cell>
          <cell r="K3738">
            <v>3.142118642857143</v>
          </cell>
          <cell r="L3738">
            <v>2.4915300000000001E-2</v>
          </cell>
          <cell r="M3738">
            <v>9.5715863999999993</v>
          </cell>
          <cell r="N3738">
            <v>0</v>
          </cell>
          <cell r="O3738">
            <v>0.24039659999999999</v>
          </cell>
          <cell r="P3738">
            <v>1.9149153000000001</v>
          </cell>
          <cell r="Q3738">
            <v>2.7546780000000002</v>
          </cell>
          <cell r="R3738">
            <v>0</v>
          </cell>
          <cell r="S3738">
            <v>0</v>
          </cell>
          <cell r="T3738">
            <v>0</v>
          </cell>
          <cell r="U3738">
            <v>1.1864406999999999</v>
          </cell>
          <cell r="V3738">
            <v>0</v>
          </cell>
          <cell r="W3738">
            <v>0</v>
          </cell>
          <cell r="X3738">
            <v>0.80108469999999998</v>
          </cell>
          <cell r="Y3738">
            <v>0</v>
          </cell>
          <cell r="Z3738">
            <v>0</v>
          </cell>
          <cell r="AA3738">
            <v>18.573575000000002</v>
          </cell>
          <cell r="AB3738">
            <v>0.66464129999999999</v>
          </cell>
        </row>
        <row r="3739">
          <cell r="A3739">
            <v>58108000</v>
          </cell>
          <cell r="B3739" t="str">
            <v>Calzone, with cheese, meatless</v>
          </cell>
          <cell r="I3739">
            <v>140</v>
          </cell>
          <cell r="J3739">
            <v>430.79772000000003</v>
          </cell>
          <cell r="K3739">
            <v>3.0771265714285718</v>
          </cell>
          <cell r="L3739">
            <v>0</v>
          </cell>
          <cell r="M3739">
            <v>11.089318</v>
          </cell>
          <cell r="N3739">
            <v>0</v>
          </cell>
          <cell r="O3739">
            <v>0.44939800000000002</v>
          </cell>
          <cell r="P3739">
            <v>1.4115945000000001</v>
          </cell>
          <cell r="Q3739">
            <v>2.6895144000000002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0.72957320000000003</v>
          </cell>
          <cell r="Y3739">
            <v>0</v>
          </cell>
          <cell r="Z3739">
            <v>0</v>
          </cell>
          <cell r="AA3739">
            <v>0</v>
          </cell>
          <cell r="AB3739">
            <v>2.2135311</v>
          </cell>
        </row>
        <row r="3740">
          <cell r="A3740">
            <v>58108010</v>
          </cell>
          <cell r="B3740" t="str">
            <v>Calzone, with meat and cheese</v>
          </cell>
          <cell r="I3740">
            <v>140</v>
          </cell>
          <cell r="J3740">
            <v>389.62090999999998</v>
          </cell>
          <cell r="K3740">
            <v>2.7830064999999999</v>
          </cell>
          <cell r="L3740">
            <v>0</v>
          </cell>
          <cell r="M3740">
            <v>7.1128105000000001</v>
          </cell>
          <cell r="N3740">
            <v>0</v>
          </cell>
          <cell r="O3740">
            <v>0.19755800000000001</v>
          </cell>
          <cell r="P3740">
            <v>1.6022293000000001</v>
          </cell>
          <cell r="Q3740">
            <v>2.9746456999999999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0.49647469999999999</v>
          </cell>
          <cell r="Y3740">
            <v>0</v>
          </cell>
          <cell r="Z3740">
            <v>8.5225630999999993</v>
          </cell>
          <cell r="AA3740">
            <v>6.6465272000000004</v>
          </cell>
          <cell r="AB3740">
            <v>2.3274628000000002</v>
          </cell>
        </row>
        <row r="3741">
          <cell r="A3741">
            <v>58108050</v>
          </cell>
          <cell r="B3741" t="str">
            <v>Pizza rolls</v>
          </cell>
          <cell r="I3741">
            <v>119</v>
          </cell>
          <cell r="J3741">
            <v>390.32</v>
          </cell>
          <cell r="K3741">
            <v>3.28</v>
          </cell>
          <cell r="L3741">
            <v>0.28215190000000001</v>
          </cell>
          <cell r="M3741">
            <v>2.9678599999999999</v>
          </cell>
          <cell r="N3741">
            <v>0</v>
          </cell>
          <cell r="O3741">
            <v>0.14874999999999999</v>
          </cell>
          <cell r="P3741">
            <v>1.1458481</v>
          </cell>
          <cell r="Q3741">
            <v>3.39507</v>
          </cell>
          <cell r="R3741">
            <v>0</v>
          </cell>
          <cell r="S3741">
            <v>0</v>
          </cell>
          <cell r="T3741">
            <v>0</v>
          </cell>
          <cell r="U3741">
            <v>49.563499999999998</v>
          </cell>
          <cell r="V3741">
            <v>0</v>
          </cell>
          <cell r="W3741">
            <v>0</v>
          </cell>
          <cell r="X3741">
            <v>0.71281000000000005</v>
          </cell>
          <cell r="Y3741">
            <v>0</v>
          </cell>
          <cell r="Z3741">
            <v>1.686825</v>
          </cell>
          <cell r="AA3741">
            <v>3.37365</v>
          </cell>
          <cell r="AB3741">
            <v>1.4279999999999999</v>
          </cell>
        </row>
        <row r="3742">
          <cell r="A3742">
            <v>58109015</v>
          </cell>
          <cell r="B3742" t="str">
            <v>Pizza, cheese, whole wheat thin crust</v>
          </cell>
          <cell r="I3742">
            <v>140</v>
          </cell>
          <cell r="J3742">
            <v>382.34737000000001</v>
          </cell>
          <cell r="K3742">
            <v>2.7310526428571431</v>
          </cell>
          <cell r="L3742">
            <v>0.39789469999999999</v>
          </cell>
          <cell r="M3742">
            <v>5.9575158000000004</v>
          </cell>
          <cell r="N3742">
            <v>0</v>
          </cell>
          <cell r="O3742">
            <v>0.2489789</v>
          </cell>
          <cell r="P3742">
            <v>5.2757895000000001</v>
          </cell>
          <cell r="Q3742">
            <v>2.2907684000000001</v>
          </cell>
          <cell r="R3742">
            <v>0</v>
          </cell>
          <cell r="S3742">
            <v>0</v>
          </cell>
          <cell r="T3742">
            <v>0</v>
          </cell>
          <cell r="U3742">
            <v>21.7896</v>
          </cell>
          <cell r="V3742">
            <v>0</v>
          </cell>
          <cell r="W3742">
            <v>0</v>
          </cell>
          <cell r="X3742">
            <v>0.69263160000000001</v>
          </cell>
          <cell r="Y3742">
            <v>0</v>
          </cell>
          <cell r="Z3742">
            <v>0</v>
          </cell>
          <cell r="AA3742">
            <v>0</v>
          </cell>
          <cell r="AB3742">
            <v>0.44567210000000002</v>
          </cell>
        </row>
        <row r="3743">
          <cell r="A3743">
            <v>58109020</v>
          </cell>
          <cell r="B3743" t="str">
            <v>Pizza, cheese, whole wheat thick crust</v>
          </cell>
          <cell r="I3743">
            <v>140</v>
          </cell>
          <cell r="J3743">
            <v>380.45</v>
          </cell>
          <cell r="K3743">
            <v>2.7174999999999998</v>
          </cell>
          <cell r="L3743">
            <v>0.315</v>
          </cell>
          <cell r="M3743">
            <v>4.7310667000000004</v>
          </cell>
          <cell r="N3743">
            <v>0</v>
          </cell>
          <cell r="O3743">
            <v>0.21974170000000001</v>
          </cell>
          <cell r="P3743">
            <v>6.0339999999999998</v>
          </cell>
          <cell r="Q3743">
            <v>2.2381217000000002</v>
          </cell>
          <cell r="R3743">
            <v>0</v>
          </cell>
          <cell r="S3743">
            <v>0</v>
          </cell>
          <cell r="T3743">
            <v>0</v>
          </cell>
          <cell r="U3743">
            <v>17.2501</v>
          </cell>
          <cell r="V3743">
            <v>0</v>
          </cell>
          <cell r="W3743">
            <v>0</v>
          </cell>
          <cell r="X3743">
            <v>0.69596329999999995</v>
          </cell>
          <cell r="Y3743">
            <v>0</v>
          </cell>
          <cell r="Z3743">
            <v>0</v>
          </cell>
          <cell r="AA3743">
            <v>0</v>
          </cell>
          <cell r="AB3743">
            <v>0.4022134</v>
          </cell>
        </row>
        <row r="3744">
          <cell r="A3744">
            <v>58109030</v>
          </cell>
          <cell r="B3744" t="str">
            <v>Pizza, with meat, whole wheat thin crust</v>
          </cell>
          <cell r="I3744">
            <v>140</v>
          </cell>
          <cell r="J3744">
            <v>416.32650000000001</v>
          </cell>
          <cell r="K3744">
            <v>2.9737607142857145</v>
          </cell>
          <cell r="L3744">
            <v>0.3230769</v>
          </cell>
          <cell r="M3744">
            <v>8.2403043</v>
          </cell>
          <cell r="N3744">
            <v>0</v>
          </cell>
          <cell r="O3744">
            <v>0.20749909999999999</v>
          </cell>
          <cell r="P3744">
            <v>4.3005127999999999</v>
          </cell>
          <cell r="Q3744">
            <v>2.8761144999999999</v>
          </cell>
          <cell r="R3744">
            <v>0</v>
          </cell>
          <cell r="S3744">
            <v>0</v>
          </cell>
          <cell r="T3744">
            <v>0</v>
          </cell>
          <cell r="U3744">
            <v>17.692409999999999</v>
          </cell>
          <cell r="V3744">
            <v>0</v>
          </cell>
          <cell r="W3744">
            <v>0</v>
          </cell>
          <cell r="X3744">
            <v>0.83830090000000002</v>
          </cell>
          <cell r="Y3744">
            <v>0</v>
          </cell>
          <cell r="Z3744">
            <v>0</v>
          </cell>
          <cell r="AA3744">
            <v>18.732323000000001</v>
          </cell>
          <cell r="AB3744">
            <v>0.61249439999999999</v>
          </cell>
        </row>
        <row r="3745">
          <cell r="A3745">
            <v>58109050</v>
          </cell>
          <cell r="B3745" t="str">
            <v>Pizza, cheese and vegetables, whole wheat thin crust</v>
          </cell>
          <cell r="I3745">
            <v>140</v>
          </cell>
          <cell r="J3745">
            <v>322.83528999999999</v>
          </cell>
          <cell r="K3745">
            <v>2.3059663571428572</v>
          </cell>
          <cell r="L3745">
            <v>0.8635294</v>
          </cell>
          <cell r="M3745">
            <v>4.8948235000000002</v>
          </cell>
          <cell r="N3745">
            <v>0</v>
          </cell>
          <cell r="O3745">
            <v>0.2099647</v>
          </cell>
          <cell r="P3745">
            <v>4.2117646999999998</v>
          </cell>
          <cell r="Q3745">
            <v>1.9313529</v>
          </cell>
          <cell r="R3745">
            <v>0</v>
          </cell>
          <cell r="S3745">
            <v>0</v>
          </cell>
          <cell r="T3745">
            <v>0</v>
          </cell>
          <cell r="U3745">
            <v>45.630352999999999</v>
          </cell>
          <cell r="V3745">
            <v>0</v>
          </cell>
          <cell r="W3745">
            <v>0</v>
          </cell>
          <cell r="X3745">
            <v>0.62258820000000004</v>
          </cell>
          <cell r="Y3745">
            <v>0</v>
          </cell>
          <cell r="Z3745">
            <v>0</v>
          </cell>
          <cell r="AA3745">
            <v>0</v>
          </cell>
          <cell r="AB3745">
            <v>0.37236350000000001</v>
          </cell>
        </row>
        <row r="3746">
          <cell r="A3746">
            <v>58109120</v>
          </cell>
          <cell r="B3746" t="str">
            <v>Pizza, with meat, gluten-free thin crust</v>
          </cell>
          <cell r="I3746">
            <v>140</v>
          </cell>
          <cell r="J3746">
            <v>405.85640999999998</v>
          </cell>
          <cell r="K3746">
            <v>2.898974357142857</v>
          </cell>
          <cell r="L3746">
            <v>2.8957264999999999</v>
          </cell>
          <cell r="M3746">
            <v>8.7871418999999999</v>
          </cell>
          <cell r="N3746">
            <v>0</v>
          </cell>
          <cell r="O3746">
            <v>0.24369569999999999</v>
          </cell>
          <cell r="P3746">
            <v>1.6752099999999999E-2</v>
          </cell>
          <cell r="Q3746">
            <v>2.3040291000000002</v>
          </cell>
          <cell r="R3746">
            <v>21.825641000000001</v>
          </cell>
          <cell r="S3746">
            <v>0</v>
          </cell>
          <cell r="T3746">
            <v>0</v>
          </cell>
          <cell r="U3746">
            <v>17.692409999999999</v>
          </cell>
          <cell r="V3746">
            <v>0</v>
          </cell>
          <cell r="W3746">
            <v>0</v>
          </cell>
          <cell r="X3746">
            <v>0.80946320000000005</v>
          </cell>
          <cell r="Y3746">
            <v>0</v>
          </cell>
          <cell r="Z3746">
            <v>0</v>
          </cell>
          <cell r="AA3746">
            <v>18.732323000000001</v>
          </cell>
          <cell r="AB3746">
            <v>0.66988490000000001</v>
          </cell>
        </row>
        <row r="3747">
          <cell r="A3747">
            <v>58109140</v>
          </cell>
          <cell r="B3747" t="str">
            <v>Pizza, cheese and vegetables, gluten-free thin crust</v>
          </cell>
          <cell r="I3747">
            <v>140</v>
          </cell>
          <cell r="J3747">
            <v>312.54118</v>
          </cell>
          <cell r="K3747">
            <v>2.232437</v>
          </cell>
          <cell r="L3747">
            <v>3.3929412000000001</v>
          </cell>
          <cell r="M3747">
            <v>5.4324706000000003</v>
          </cell>
          <cell r="N3747">
            <v>0</v>
          </cell>
          <cell r="O3747">
            <v>0.24555289999999999</v>
          </cell>
          <cell r="P3747">
            <v>0</v>
          </cell>
          <cell r="Q3747">
            <v>1.3688823999999999</v>
          </cell>
          <cell r="R3747">
            <v>21.458824</v>
          </cell>
          <cell r="S3747">
            <v>0</v>
          </cell>
          <cell r="T3747">
            <v>0</v>
          </cell>
          <cell r="U3747">
            <v>45.630352999999999</v>
          </cell>
          <cell r="V3747">
            <v>0</v>
          </cell>
          <cell r="W3747">
            <v>0</v>
          </cell>
          <cell r="X3747">
            <v>0.59423530000000002</v>
          </cell>
          <cell r="Y3747">
            <v>0</v>
          </cell>
          <cell r="Z3747">
            <v>0</v>
          </cell>
          <cell r="AA3747">
            <v>0</v>
          </cell>
          <cell r="AB3747">
            <v>0.43109189999999997</v>
          </cell>
        </row>
        <row r="3748">
          <cell r="A3748">
            <v>58109210</v>
          </cell>
          <cell r="B3748" t="str">
            <v>Breakfast pizza with egg</v>
          </cell>
          <cell r="I3748">
            <v>140</v>
          </cell>
          <cell r="J3748">
            <v>412.26629000000003</v>
          </cell>
          <cell r="K3748">
            <v>2.9447592142857144</v>
          </cell>
          <cell r="L3748">
            <v>0</v>
          </cell>
          <cell r="M3748">
            <v>6.8686935</v>
          </cell>
          <cell r="N3748">
            <v>0</v>
          </cell>
          <cell r="O3748">
            <v>0.24930649999999999</v>
          </cell>
          <cell r="P3748">
            <v>2.2626263</v>
          </cell>
          <cell r="Q3748">
            <v>2.6569162999999998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0.77807789999999999</v>
          </cell>
          <cell r="Y3748">
            <v>0</v>
          </cell>
          <cell r="Z3748">
            <v>0</v>
          </cell>
          <cell r="AA3748">
            <v>4.0411636</v>
          </cell>
          <cell r="AB3748">
            <v>0.53074500000000002</v>
          </cell>
        </row>
        <row r="3749">
          <cell r="A3749">
            <v>58110110</v>
          </cell>
          <cell r="B3749" t="str">
            <v>Egg roll, meatless</v>
          </cell>
          <cell r="I3749">
            <v>140</v>
          </cell>
          <cell r="J3749">
            <v>369.24741</v>
          </cell>
          <cell r="K3749">
            <v>2.6374814999999998</v>
          </cell>
          <cell r="L3749">
            <v>1.3346658</v>
          </cell>
          <cell r="M3749">
            <v>2.8934940999999998</v>
          </cell>
          <cell r="N3749">
            <v>0</v>
          </cell>
          <cell r="O3749">
            <v>6.4840700000000001E-2</v>
          </cell>
          <cell r="P3749">
            <v>1.7764454000000001</v>
          </cell>
          <cell r="Q3749">
            <v>8.6867148000000007</v>
          </cell>
          <cell r="R3749">
            <v>0</v>
          </cell>
          <cell r="S3749">
            <v>0</v>
          </cell>
          <cell r="T3749">
            <v>0</v>
          </cell>
          <cell r="U3749">
            <v>88.407407000000006</v>
          </cell>
          <cell r="V3749">
            <v>0</v>
          </cell>
          <cell r="W3749">
            <v>0</v>
          </cell>
          <cell r="X3749">
            <v>0.63523700000000005</v>
          </cell>
          <cell r="Y3749">
            <v>0</v>
          </cell>
          <cell r="Z3749">
            <v>0</v>
          </cell>
          <cell r="AA3749">
            <v>0</v>
          </cell>
          <cell r="AB3749">
            <v>0.47502290000000003</v>
          </cell>
        </row>
        <row r="3750">
          <cell r="A3750">
            <v>58110120</v>
          </cell>
          <cell r="B3750" t="str">
            <v>Egg roll, with shrimp</v>
          </cell>
          <cell r="I3750">
            <v>140</v>
          </cell>
          <cell r="J3750">
            <v>369.24741</v>
          </cell>
          <cell r="K3750">
            <v>2.6374814999999998</v>
          </cell>
          <cell r="L3750">
            <v>1.3346658</v>
          </cell>
          <cell r="M3750">
            <v>2.8934940999999998</v>
          </cell>
          <cell r="N3750">
            <v>0</v>
          </cell>
          <cell r="O3750">
            <v>6.4840700000000001E-2</v>
          </cell>
          <cell r="P3750">
            <v>1.7764454000000001</v>
          </cell>
          <cell r="Q3750">
            <v>8.6867148000000007</v>
          </cell>
          <cell r="R3750">
            <v>0</v>
          </cell>
          <cell r="S3750">
            <v>0</v>
          </cell>
          <cell r="T3750">
            <v>0</v>
          </cell>
          <cell r="U3750">
            <v>88.407407000000006</v>
          </cell>
          <cell r="V3750">
            <v>0</v>
          </cell>
          <cell r="W3750">
            <v>0</v>
          </cell>
          <cell r="X3750">
            <v>0.63523700000000005</v>
          </cell>
          <cell r="Y3750">
            <v>0</v>
          </cell>
          <cell r="Z3750">
            <v>0</v>
          </cell>
          <cell r="AA3750">
            <v>0</v>
          </cell>
          <cell r="AB3750">
            <v>0.39586680000000002</v>
          </cell>
        </row>
        <row r="3751">
          <cell r="A3751">
            <v>58110130</v>
          </cell>
          <cell r="B3751" t="str">
            <v>Egg roll, with beef and/or pork</v>
          </cell>
          <cell r="I3751">
            <v>140</v>
          </cell>
          <cell r="J3751">
            <v>379.61777999999998</v>
          </cell>
          <cell r="K3751">
            <v>2.7115555714285713</v>
          </cell>
          <cell r="L3751">
            <v>0.9618717</v>
          </cell>
          <cell r="M3751">
            <v>3.4768273999999999</v>
          </cell>
          <cell r="N3751">
            <v>0</v>
          </cell>
          <cell r="O3751">
            <v>4.41E-2</v>
          </cell>
          <cell r="P3751">
            <v>1.7603506</v>
          </cell>
          <cell r="Q3751">
            <v>7.4656037</v>
          </cell>
          <cell r="R3751">
            <v>0</v>
          </cell>
          <cell r="S3751">
            <v>0</v>
          </cell>
          <cell r="T3751">
            <v>0</v>
          </cell>
          <cell r="U3751">
            <v>64.296295999999998</v>
          </cell>
          <cell r="V3751">
            <v>0</v>
          </cell>
          <cell r="W3751">
            <v>0</v>
          </cell>
          <cell r="X3751">
            <v>0.52764440000000001</v>
          </cell>
          <cell r="Y3751">
            <v>0</v>
          </cell>
          <cell r="Z3751">
            <v>19.844999999999999</v>
          </cell>
          <cell r="AA3751">
            <v>0</v>
          </cell>
          <cell r="AB3751">
            <v>0.45453559999999998</v>
          </cell>
        </row>
        <row r="3752">
          <cell r="A3752">
            <v>58110170</v>
          </cell>
          <cell r="B3752" t="str">
            <v>Egg roll, with chicken or turkey</v>
          </cell>
          <cell r="I3752">
            <v>140</v>
          </cell>
          <cell r="J3752">
            <v>347.21037000000001</v>
          </cell>
          <cell r="K3752">
            <v>2.4800740714285716</v>
          </cell>
          <cell r="L3752">
            <v>1.0992819</v>
          </cell>
          <cell r="M3752">
            <v>2.6679385</v>
          </cell>
          <cell r="N3752">
            <v>0</v>
          </cell>
          <cell r="O3752">
            <v>6.0951900000000003E-2</v>
          </cell>
          <cell r="P3752">
            <v>2.0118292000000002</v>
          </cell>
          <cell r="Q3752">
            <v>6.6217148000000003</v>
          </cell>
          <cell r="R3752">
            <v>0</v>
          </cell>
          <cell r="S3752">
            <v>0</v>
          </cell>
          <cell r="T3752">
            <v>0</v>
          </cell>
          <cell r="U3752">
            <v>64.296295999999998</v>
          </cell>
          <cell r="V3752">
            <v>0</v>
          </cell>
          <cell r="W3752">
            <v>0</v>
          </cell>
          <cell r="X3752">
            <v>0.6196815</v>
          </cell>
          <cell r="Y3752">
            <v>0</v>
          </cell>
          <cell r="Z3752">
            <v>0</v>
          </cell>
          <cell r="AA3752">
            <v>0</v>
          </cell>
          <cell r="AB3752">
            <v>0.32123879999999999</v>
          </cell>
        </row>
        <row r="3753">
          <cell r="A3753">
            <v>58110200</v>
          </cell>
          <cell r="B3753" t="str">
            <v>Roll with meat and/or shrimp, vegetables and rice paper, not fried</v>
          </cell>
          <cell r="I3753">
            <v>140</v>
          </cell>
          <cell r="J3753">
            <v>155.36738</v>
          </cell>
          <cell r="K3753">
            <v>1.1097669999999999</v>
          </cell>
          <cell r="L3753">
            <v>1.9730692000000001</v>
          </cell>
          <cell r="M3753">
            <v>0.64254520000000004</v>
          </cell>
          <cell r="N3753">
            <v>4.0469100000000001E-2</v>
          </cell>
          <cell r="O3753">
            <v>4.8631599999999997E-2</v>
          </cell>
          <cell r="P3753">
            <v>0.9055164</v>
          </cell>
          <cell r="Q3753">
            <v>0.81718610000000003</v>
          </cell>
          <cell r="R3753">
            <v>0</v>
          </cell>
          <cell r="S3753">
            <v>0</v>
          </cell>
          <cell r="T3753">
            <v>5.1652769999999997</v>
          </cell>
          <cell r="U3753">
            <v>83.160959000000005</v>
          </cell>
          <cell r="V3753">
            <v>0</v>
          </cell>
          <cell r="W3753">
            <v>0</v>
          </cell>
          <cell r="X3753">
            <v>0.6676647</v>
          </cell>
          <cell r="Y3753">
            <v>6.0776678999999998</v>
          </cell>
          <cell r="Z3753">
            <v>0</v>
          </cell>
          <cell r="AA3753">
            <v>0</v>
          </cell>
          <cell r="AB3753">
            <v>6.7739999999999996E-3</v>
          </cell>
        </row>
        <row r="3754">
          <cell r="A3754">
            <v>58111110</v>
          </cell>
          <cell r="B3754" t="str">
            <v>Wonton, fried, filled with meat, poultry, or seafood,</v>
          </cell>
          <cell r="I3754">
            <v>140</v>
          </cell>
          <cell r="J3754">
            <v>240.37333000000001</v>
          </cell>
          <cell r="K3754">
            <v>1.7169523571428573</v>
          </cell>
          <cell r="L3754">
            <v>0.4587348</v>
          </cell>
          <cell r="M3754">
            <v>3.2104366999999998</v>
          </cell>
          <cell r="N3754">
            <v>0</v>
          </cell>
          <cell r="O3754">
            <v>3.7350000000000001E-2</v>
          </cell>
          <cell r="P3754">
            <v>1.4079318000000001</v>
          </cell>
          <cell r="Q3754">
            <v>3.7886500000000001</v>
          </cell>
          <cell r="R3754">
            <v>0</v>
          </cell>
          <cell r="S3754">
            <v>0</v>
          </cell>
          <cell r="T3754">
            <v>0</v>
          </cell>
          <cell r="U3754">
            <v>43.4</v>
          </cell>
          <cell r="V3754">
            <v>0</v>
          </cell>
          <cell r="W3754">
            <v>0</v>
          </cell>
          <cell r="X3754">
            <v>0.58803329999999998</v>
          </cell>
          <cell r="Y3754">
            <v>0</v>
          </cell>
          <cell r="Z3754">
            <v>24.57</v>
          </cell>
          <cell r="AA3754">
            <v>0</v>
          </cell>
          <cell r="AB3754">
            <v>0.46915970000000001</v>
          </cell>
        </row>
        <row r="3755">
          <cell r="A3755">
            <v>58111120</v>
          </cell>
          <cell r="B3755" t="str">
            <v>Wonton, fried, meatless</v>
          </cell>
          <cell r="I3755">
            <v>140</v>
          </cell>
          <cell r="J3755">
            <v>240.37333000000001</v>
          </cell>
          <cell r="K3755">
            <v>1.7169523571428573</v>
          </cell>
          <cell r="L3755">
            <v>0.4587348</v>
          </cell>
          <cell r="M3755">
            <v>3.2104366999999998</v>
          </cell>
          <cell r="N3755">
            <v>0</v>
          </cell>
          <cell r="O3755">
            <v>3.7350000000000001E-2</v>
          </cell>
          <cell r="P3755">
            <v>1.4079318000000001</v>
          </cell>
          <cell r="Q3755">
            <v>3.7886500000000001</v>
          </cell>
          <cell r="R3755">
            <v>0</v>
          </cell>
          <cell r="S3755">
            <v>0</v>
          </cell>
          <cell r="T3755">
            <v>0</v>
          </cell>
          <cell r="U3755">
            <v>43.4</v>
          </cell>
          <cell r="V3755">
            <v>0</v>
          </cell>
          <cell r="W3755">
            <v>0</v>
          </cell>
          <cell r="X3755">
            <v>0.58803329999999998</v>
          </cell>
          <cell r="Y3755">
            <v>0</v>
          </cell>
          <cell r="Z3755">
            <v>24.57</v>
          </cell>
          <cell r="AA3755">
            <v>0</v>
          </cell>
          <cell r="AB3755">
            <v>0.15909999999999999</v>
          </cell>
        </row>
        <row r="3756">
          <cell r="A3756">
            <v>58111130</v>
          </cell>
          <cell r="B3756" t="str">
            <v>Wonton, fried, filled with meat, poultry, or seafood, and vegetable</v>
          </cell>
          <cell r="I3756">
            <v>140</v>
          </cell>
          <cell r="J3756">
            <v>240.37333000000001</v>
          </cell>
          <cell r="K3756">
            <v>1.7169523571428573</v>
          </cell>
          <cell r="L3756">
            <v>0.4587348</v>
          </cell>
          <cell r="M3756">
            <v>3.2104366999999998</v>
          </cell>
          <cell r="N3756">
            <v>0</v>
          </cell>
          <cell r="O3756">
            <v>3.7350000000000001E-2</v>
          </cell>
          <cell r="P3756">
            <v>1.4079318000000001</v>
          </cell>
          <cell r="Q3756">
            <v>3.7886500000000001</v>
          </cell>
          <cell r="R3756">
            <v>0</v>
          </cell>
          <cell r="S3756">
            <v>0</v>
          </cell>
          <cell r="T3756">
            <v>0</v>
          </cell>
          <cell r="U3756">
            <v>43.4</v>
          </cell>
          <cell r="V3756">
            <v>0</v>
          </cell>
          <cell r="W3756">
            <v>0</v>
          </cell>
          <cell r="X3756">
            <v>0.58803329999999998</v>
          </cell>
          <cell r="Y3756">
            <v>0</v>
          </cell>
          <cell r="Z3756">
            <v>24.57</v>
          </cell>
          <cell r="AA3756">
            <v>0</v>
          </cell>
          <cell r="AB3756">
            <v>0.16552359999999999</v>
          </cell>
        </row>
        <row r="3757">
          <cell r="A3757">
            <v>58111200</v>
          </cell>
          <cell r="B3757" t="str">
            <v>Puffs, fried, crab meat and cream cheese filled</v>
          </cell>
          <cell r="I3757">
            <v>140</v>
          </cell>
          <cell r="J3757">
            <v>326.39828</v>
          </cell>
          <cell r="K3757">
            <v>2.3314162857142855</v>
          </cell>
          <cell r="L3757">
            <v>6.6848500000000005E-2</v>
          </cell>
          <cell r="M3757">
            <v>7.6534117999999998</v>
          </cell>
          <cell r="N3757">
            <v>9.5683999999999995E-3</v>
          </cell>
          <cell r="O3757">
            <v>5.1265400000000003E-2</v>
          </cell>
          <cell r="P3757">
            <v>1.1911209</v>
          </cell>
          <cell r="Q3757">
            <v>1.9887319000000001</v>
          </cell>
          <cell r="R3757">
            <v>0</v>
          </cell>
          <cell r="S3757">
            <v>0</v>
          </cell>
          <cell r="T3757">
            <v>0</v>
          </cell>
          <cell r="U3757">
            <v>3.6663674999999998</v>
          </cell>
          <cell r="V3757">
            <v>0</v>
          </cell>
          <cell r="W3757">
            <v>0</v>
          </cell>
          <cell r="X3757">
            <v>0.85238250000000004</v>
          </cell>
          <cell r="Y3757">
            <v>0</v>
          </cell>
          <cell r="Z3757">
            <v>0</v>
          </cell>
          <cell r="AA3757">
            <v>0</v>
          </cell>
          <cell r="AB3757">
            <v>0.91170479999999998</v>
          </cell>
        </row>
        <row r="3758">
          <cell r="A3758">
            <v>58112510</v>
          </cell>
          <cell r="B3758" t="str">
            <v>Dumpling, steamed, filled with meat, poultry, or seafood</v>
          </cell>
          <cell r="I3758">
            <v>140</v>
          </cell>
          <cell r="J3758">
            <v>190.4</v>
          </cell>
          <cell r="K3758">
            <v>1.36</v>
          </cell>
          <cell r="L3758">
            <v>0.48167159999999998</v>
          </cell>
          <cell r="M3758">
            <v>2.4136000000000002</v>
          </cell>
          <cell r="N3758">
            <v>0</v>
          </cell>
          <cell r="O3758">
            <v>3.9199999999999999E-2</v>
          </cell>
          <cell r="P3758">
            <v>1.4783284000000001</v>
          </cell>
          <cell r="Q3758">
            <v>1.0948</v>
          </cell>
          <cell r="R3758">
            <v>0</v>
          </cell>
          <cell r="S3758">
            <v>0</v>
          </cell>
          <cell r="T3758">
            <v>0</v>
          </cell>
          <cell r="U3758">
            <v>45.57</v>
          </cell>
          <cell r="V3758">
            <v>0</v>
          </cell>
          <cell r="W3758">
            <v>0</v>
          </cell>
          <cell r="X3758">
            <v>0.61739999999999995</v>
          </cell>
          <cell r="Y3758">
            <v>0</v>
          </cell>
          <cell r="Z3758">
            <v>25.798500000000001</v>
          </cell>
          <cell r="AA3758">
            <v>0</v>
          </cell>
          <cell r="AB3758">
            <v>0</v>
          </cell>
        </row>
        <row r="3759">
          <cell r="A3759">
            <v>58116110</v>
          </cell>
          <cell r="B3759" t="str">
            <v>Meat turnover, Puerto Rican style</v>
          </cell>
          <cell r="I3759">
            <v>140</v>
          </cell>
          <cell r="J3759">
            <v>305.21830999999997</v>
          </cell>
          <cell r="K3759">
            <v>2.1801307857142853</v>
          </cell>
          <cell r="L3759">
            <v>0.50726859999999996</v>
          </cell>
          <cell r="M3759">
            <v>3.6422943999999999</v>
          </cell>
          <cell r="N3759">
            <v>0</v>
          </cell>
          <cell r="O3759">
            <v>2.46013E-2</v>
          </cell>
          <cell r="P3759">
            <v>0.80272370000000004</v>
          </cell>
          <cell r="Q3759">
            <v>4.5391798999999997</v>
          </cell>
          <cell r="R3759">
            <v>0</v>
          </cell>
          <cell r="S3759">
            <v>0</v>
          </cell>
          <cell r="T3759">
            <v>1.4369744</v>
          </cell>
          <cell r="U3759">
            <v>25.627696</v>
          </cell>
          <cell r="V3759">
            <v>0</v>
          </cell>
          <cell r="W3759">
            <v>0</v>
          </cell>
          <cell r="X3759">
            <v>0.43023339999999999</v>
          </cell>
          <cell r="Y3759">
            <v>0</v>
          </cell>
          <cell r="Z3759">
            <v>27.017365999999999</v>
          </cell>
          <cell r="AA3759">
            <v>4.4952525000000003</v>
          </cell>
          <cell r="AB3759">
            <v>0.24314540000000001</v>
          </cell>
        </row>
        <row r="3760">
          <cell r="A3760">
            <v>58116115</v>
          </cell>
          <cell r="B3760" t="str">
            <v>Empanada, Mexican turnover, filled with cheese and vegetables</v>
          </cell>
          <cell r="I3760">
            <v>140</v>
          </cell>
          <cell r="J3760">
            <v>402.41212000000002</v>
          </cell>
          <cell r="K3760">
            <v>2.8743722857142857</v>
          </cell>
          <cell r="L3760">
            <v>0.6075509</v>
          </cell>
          <cell r="M3760">
            <v>7.1089782000000001</v>
          </cell>
          <cell r="N3760">
            <v>0</v>
          </cell>
          <cell r="O3760">
            <v>0.2025856</v>
          </cell>
          <cell r="P3760">
            <v>1.3719389</v>
          </cell>
          <cell r="Q3760">
            <v>4.4430667000000001</v>
          </cell>
          <cell r="R3760">
            <v>0</v>
          </cell>
          <cell r="S3760">
            <v>0</v>
          </cell>
          <cell r="T3760">
            <v>8.1230867999999994</v>
          </cell>
          <cell r="U3760">
            <v>18.487024999999999</v>
          </cell>
          <cell r="V3760">
            <v>0</v>
          </cell>
          <cell r="W3760">
            <v>0</v>
          </cell>
          <cell r="X3760">
            <v>0.64072479999999998</v>
          </cell>
          <cell r="Y3760">
            <v>0</v>
          </cell>
          <cell r="Z3760">
            <v>0</v>
          </cell>
          <cell r="AA3760">
            <v>0</v>
          </cell>
          <cell r="AB3760">
            <v>1.5752609</v>
          </cell>
        </row>
        <row r="3761">
          <cell r="A3761">
            <v>58116120</v>
          </cell>
          <cell r="B3761" t="str">
            <v>Empanada, Mexican turnover, filled with meat and vegetables</v>
          </cell>
          <cell r="I3761">
            <v>140</v>
          </cell>
          <cell r="J3761">
            <v>469</v>
          </cell>
          <cell r="K3761">
            <v>3.35</v>
          </cell>
          <cell r="L3761">
            <v>0.1717013</v>
          </cell>
          <cell r="M3761">
            <v>7.2183999999999999</v>
          </cell>
          <cell r="N3761">
            <v>0</v>
          </cell>
          <cell r="O3761">
            <v>2.8000000000000001E-2</v>
          </cell>
          <cell r="P3761">
            <v>2.6282987000000002</v>
          </cell>
          <cell r="Q3761">
            <v>5.9752000000000001</v>
          </cell>
          <cell r="R3761">
            <v>0</v>
          </cell>
          <cell r="S3761">
            <v>0</v>
          </cell>
          <cell r="T3761">
            <v>0</v>
          </cell>
          <cell r="U3761">
            <v>13.02</v>
          </cell>
          <cell r="V3761">
            <v>0</v>
          </cell>
          <cell r="W3761">
            <v>0</v>
          </cell>
          <cell r="X3761">
            <v>0.61599999999999999</v>
          </cell>
          <cell r="Y3761">
            <v>0</v>
          </cell>
          <cell r="Z3761">
            <v>30.164400000000001</v>
          </cell>
          <cell r="AA3761">
            <v>0</v>
          </cell>
          <cell r="AB3761">
            <v>1.1564000000000001</v>
          </cell>
        </row>
        <row r="3762">
          <cell r="A3762">
            <v>58116130</v>
          </cell>
          <cell r="B3762" t="str">
            <v>Empanada, Mexican turnover, filled with chicken and vegetables</v>
          </cell>
          <cell r="I3762">
            <v>140</v>
          </cell>
          <cell r="J3762">
            <v>358.49808000000002</v>
          </cell>
          <cell r="K3762">
            <v>2.5607005714285713</v>
          </cell>
          <cell r="L3762">
            <v>0.59191830000000001</v>
          </cell>
          <cell r="M3762">
            <v>3.8292228000000001</v>
          </cell>
          <cell r="N3762">
            <v>0</v>
          </cell>
          <cell r="O3762">
            <v>6.9989700000000002E-2</v>
          </cell>
          <cell r="P3762">
            <v>1.3366382999999999</v>
          </cell>
          <cell r="Q3762">
            <v>4.3403783000000002</v>
          </cell>
          <cell r="R3762">
            <v>0</v>
          </cell>
          <cell r="S3762">
            <v>0</v>
          </cell>
          <cell r="T3762">
            <v>7.9140756999999997</v>
          </cell>
          <cell r="U3762">
            <v>18.011344999999999</v>
          </cell>
          <cell r="V3762">
            <v>0</v>
          </cell>
          <cell r="W3762">
            <v>0</v>
          </cell>
          <cell r="X3762">
            <v>0.57976229999999995</v>
          </cell>
          <cell r="Y3762">
            <v>0</v>
          </cell>
          <cell r="Z3762">
            <v>0</v>
          </cell>
          <cell r="AA3762">
            <v>0</v>
          </cell>
          <cell r="AB3762">
            <v>1.4781724999999999</v>
          </cell>
        </row>
        <row r="3763">
          <cell r="A3763">
            <v>58116210</v>
          </cell>
          <cell r="B3763" t="str">
            <v>Meat pie, Puerto Rican style</v>
          </cell>
          <cell r="I3763">
            <v>140</v>
          </cell>
          <cell r="J3763">
            <v>456.50814000000003</v>
          </cell>
          <cell r="K3763">
            <v>3.2607724285714288</v>
          </cell>
          <cell r="L3763">
            <v>0.26496029999999998</v>
          </cell>
          <cell r="M3763">
            <v>12.360462999999999</v>
          </cell>
          <cell r="N3763">
            <v>0</v>
          </cell>
          <cell r="O3763">
            <v>0.1165413</v>
          </cell>
          <cell r="P3763">
            <v>0.81890390000000002</v>
          </cell>
          <cell r="Q3763">
            <v>2.8802368999999999</v>
          </cell>
          <cell r="R3763">
            <v>0</v>
          </cell>
          <cell r="S3763">
            <v>0</v>
          </cell>
          <cell r="T3763">
            <v>0</v>
          </cell>
          <cell r="U3763">
            <v>15.710279</v>
          </cell>
          <cell r="V3763">
            <v>0</v>
          </cell>
          <cell r="W3763">
            <v>0</v>
          </cell>
          <cell r="X3763">
            <v>1.1058554</v>
          </cell>
          <cell r="Y3763">
            <v>0</v>
          </cell>
          <cell r="Z3763">
            <v>33.757131000000001</v>
          </cell>
          <cell r="AA3763">
            <v>6.8507809999999996</v>
          </cell>
          <cell r="AB3763">
            <v>1.7216172000000001</v>
          </cell>
        </row>
        <row r="3764">
          <cell r="A3764">
            <v>58116310</v>
          </cell>
          <cell r="B3764" t="str">
            <v>Cheese turnover, Puerto Rican style</v>
          </cell>
          <cell r="I3764">
            <v>140</v>
          </cell>
          <cell r="J3764">
            <v>529.32772</v>
          </cell>
          <cell r="K3764">
            <v>3.7809122857142858</v>
          </cell>
          <cell r="L3764">
            <v>0</v>
          </cell>
          <cell r="M3764">
            <v>12.886335000000001</v>
          </cell>
          <cell r="N3764">
            <v>0</v>
          </cell>
          <cell r="O3764">
            <v>0.32697619999999999</v>
          </cell>
          <cell r="P3764">
            <v>1.5941373999999999</v>
          </cell>
          <cell r="Q3764">
            <v>4.6333416999999999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0.95412350000000001</v>
          </cell>
          <cell r="Y3764">
            <v>0</v>
          </cell>
          <cell r="Z3764">
            <v>0</v>
          </cell>
          <cell r="AA3764">
            <v>0</v>
          </cell>
          <cell r="AB3764">
            <v>1.0152171999999999</v>
          </cell>
        </row>
        <row r="3765">
          <cell r="A3765">
            <v>58117110</v>
          </cell>
          <cell r="B3765" t="str">
            <v>Cornmeal fritter, Puerto Rican style</v>
          </cell>
          <cell r="I3765">
            <v>140</v>
          </cell>
          <cell r="J3765">
            <v>159.89366999999999</v>
          </cell>
          <cell r="K3765">
            <v>1.1420976428571428</v>
          </cell>
          <cell r="L3765">
            <v>0</v>
          </cell>
          <cell r="M3765">
            <v>3.4017564999999998</v>
          </cell>
          <cell r="N3765">
            <v>0</v>
          </cell>
          <cell r="O3765">
            <v>8.9836299999999994E-2</v>
          </cell>
          <cell r="P3765">
            <v>0.59823740000000003</v>
          </cell>
          <cell r="Q3765">
            <v>2.7419707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0.33967399999999998</v>
          </cell>
          <cell r="Y3765">
            <v>0</v>
          </cell>
          <cell r="Z3765">
            <v>0</v>
          </cell>
          <cell r="AA3765">
            <v>0</v>
          </cell>
          <cell r="AB3765">
            <v>0.43547449999999999</v>
          </cell>
        </row>
        <row r="3766">
          <cell r="A3766">
            <v>58117310</v>
          </cell>
          <cell r="B3766" t="str">
            <v>Kibby, Puerto Rican style</v>
          </cell>
          <cell r="I3766">
            <v>140</v>
          </cell>
          <cell r="J3766">
            <v>197.33697000000001</v>
          </cell>
          <cell r="K3766">
            <v>1.4095497857142858</v>
          </cell>
          <cell r="L3766">
            <v>3.4536424000000001</v>
          </cell>
          <cell r="M3766">
            <v>3.1395795</v>
          </cell>
          <cell r="N3766">
            <v>0</v>
          </cell>
          <cell r="O3766">
            <v>2.4984300000000001E-2</v>
          </cell>
          <cell r="P3766">
            <v>0.142095</v>
          </cell>
          <cell r="Q3766">
            <v>0.35466520000000001</v>
          </cell>
          <cell r="R3766">
            <v>24.961793</v>
          </cell>
          <cell r="S3766">
            <v>0</v>
          </cell>
          <cell r="T3766">
            <v>0</v>
          </cell>
          <cell r="U3766">
            <v>19.612836999999999</v>
          </cell>
          <cell r="V3766">
            <v>0</v>
          </cell>
          <cell r="W3766">
            <v>0</v>
          </cell>
          <cell r="X3766">
            <v>0.65588679999999999</v>
          </cell>
          <cell r="Y3766">
            <v>0</v>
          </cell>
          <cell r="Z3766">
            <v>24.533394000000001</v>
          </cell>
          <cell r="AA3766">
            <v>0</v>
          </cell>
          <cell r="AB3766">
            <v>0.47716960000000003</v>
          </cell>
        </row>
        <row r="3767">
          <cell r="A3767">
            <v>58117410</v>
          </cell>
          <cell r="B3767" t="str">
            <v>Codfish fritter, Puerto Rican style</v>
          </cell>
          <cell r="I3767">
            <v>140</v>
          </cell>
          <cell r="J3767">
            <v>250.70291</v>
          </cell>
          <cell r="K3767">
            <v>1.7907350714285715</v>
          </cell>
          <cell r="L3767">
            <v>2.8004399999999999E-2</v>
          </cell>
          <cell r="M3767">
            <v>0.94703139999999997</v>
          </cell>
          <cell r="N3767">
            <v>8.0652799999999997E-2</v>
          </cell>
          <cell r="O3767">
            <v>7.4981199999999998E-2</v>
          </cell>
          <cell r="P3767">
            <v>1.1272234000000001</v>
          </cell>
          <cell r="Q3767">
            <v>2.7714154</v>
          </cell>
          <cell r="R3767">
            <v>0</v>
          </cell>
          <cell r="S3767">
            <v>0</v>
          </cell>
          <cell r="T3767">
            <v>0</v>
          </cell>
          <cell r="U3767">
            <v>1.333545</v>
          </cell>
          <cell r="V3767">
            <v>0</v>
          </cell>
          <cell r="W3767">
            <v>0</v>
          </cell>
          <cell r="X3767">
            <v>0.29856120000000003</v>
          </cell>
          <cell r="Y3767">
            <v>0</v>
          </cell>
          <cell r="Z3767">
            <v>0</v>
          </cell>
          <cell r="AA3767">
            <v>0</v>
          </cell>
          <cell r="AB3767">
            <v>2.4485699999999999E-2</v>
          </cell>
        </row>
        <row r="3768">
          <cell r="A3768">
            <v>58118210</v>
          </cell>
          <cell r="B3768" t="str">
            <v>Cornmeal coconut dessert, Puerto Rican style (Harina de maiz con coco)</v>
          </cell>
          <cell r="I3768">
            <v>140</v>
          </cell>
          <cell r="J3768">
            <v>368.32056999999998</v>
          </cell>
          <cell r="K3768">
            <v>2.630861214285714</v>
          </cell>
          <cell r="L3768">
            <v>0</v>
          </cell>
          <cell r="M3768">
            <v>22.691120000000002</v>
          </cell>
          <cell r="N3768">
            <v>0</v>
          </cell>
          <cell r="O3768">
            <v>1.7938800000000001E-2</v>
          </cell>
          <cell r="P3768">
            <v>2.9587560000000002</v>
          </cell>
          <cell r="Q3768">
            <v>0.40729949999999998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0.27694550000000001</v>
          </cell>
          <cell r="Y3768">
            <v>0</v>
          </cell>
          <cell r="Z3768">
            <v>0</v>
          </cell>
          <cell r="AA3768">
            <v>0</v>
          </cell>
          <cell r="AB3768">
            <v>0.53936660000000003</v>
          </cell>
        </row>
        <row r="3769">
          <cell r="A3769">
            <v>58120120</v>
          </cell>
          <cell r="B3769" t="str">
            <v>Crepe, filled with beef, pork, fish and/or poultry, no sauce on top</v>
          </cell>
          <cell r="I3769">
            <v>140</v>
          </cell>
          <cell r="J3769">
            <v>225.51994999999999</v>
          </cell>
          <cell r="K3769">
            <v>1.6108567857142857</v>
          </cell>
          <cell r="L3769">
            <v>0.34447899999999998</v>
          </cell>
          <cell r="M3769">
            <v>6.0571516000000001</v>
          </cell>
          <cell r="N3769">
            <v>0</v>
          </cell>
          <cell r="O3769">
            <v>5.0851199999999999E-2</v>
          </cell>
          <cell r="P3769">
            <v>0.63798860000000002</v>
          </cell>
          <cell r="Q3769">
            <v>1.4645702</v>
          </cell>
          <cell r="R3769">
            <v>0</v>
          </cell>
          <cell r="S3769">
            <v>0</v>
          </cell>
          <cell r="T3769">
            <v>0</v>
          </cell>
          <cell r="U3769">
            <v>18.778171</v>
          </cell>
          <cell r="V3769">
            <v>0</v>
          </cell>
          <cell r="W3769">
            <v>0</v>
          </cell>
          <cell r="X3769">
            <v>0.54483119999999996</v>
          </cell>
          <cell r="Y3769">
            <v>0</v>
          </cell>
          <cell r="Z3769">
            <v>0</v>
          </cell>
          <cell r="AA3769">
            <v>0</v>
          </cell>
          <cell r="AB3769">
            <v>0.5929373</v>
          </cell>
        </row>
        <row r="3770">
          <cell r="A3770">
            <v>58121510</v>
          </cell>
          <cell r="B3770" t="str">
            <v>Dumpling, meat-filled</v>
          </cell>
          <cell r="I3770">
            <v>140</v>
          </cell>
          <cell r="J3770">
            <v>484.24167999999997</v>
          </cell>
          <cell r="K3770">
            <v>3.4588691428571425</v>
          </cell>
          <cell r="L3770">
            <v>0</v>
          </cell>
          <cell r="M3770">
            <v>8.9003461000000001</v>
          </cell>
          <cell r="N3770">
            <v>0</v>
          </cell>
          <cell r="O3770">
            <v>1.48808E-2</v>
          </cell>
          <cell r="P3770">
            <v>1.2682827000000001</v>
          </cell>
          <cell r="Q3770">
            <v>6.7135426000000002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0.59080759999999999</v>
          </cell>
          <cell r="Y3770">
            <v>0</v>
          </cell>
          <cell r="Z3770">
            <v>33.550569000000003</v>
          </cell>
          <cell r="AA3770">
            <v>0</v>
          </cell>
          <cell r="AB3770">
            <v>2.9173524999999998</v>
          </cell>
        </row>
        <row r="3771">
          <cell r="A3771">
            <v>58121610</v>
          </cell>
          <cell r="B3771" t="str">
            <v>Dumpling, potato- or cheese-filled</v>
          </cell>
          <cell r="I3771">
            <v>140</v>
          </cell>
          <cell r="J3771">
            <v>273</v>
          </cell>
          <cell r="K3771">
            <v>1.95</v>
          </cell>
          <cell r="L3771">
            <v>0</v>
          </cell>
          <cell r="M3771">
            <v>1.8424</v>
          </cell>
          <cell r="N3771">
            <v>0</v>
          </cell>
          <cell r="O3771">
            <v>4.9000000000000002E-2</v>
          </cell>
          <cell r="P3771">
            <v>1.26</v>
          </cell>
          <cell r="Q3771">
            <v>4.5304000000000002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0.66359999999999997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</row>
        <row r="3772">
          <cell r="A3772">
            <v>58121620</v>
          </cell>
          <cell r="B3772" t="str">
            <v>Dumpling, vegetable</v>
          </cell>
          <cell r="I3772">
            <v>140</v>
          </cell>
          <cell r="J3772">
            <v>229.91415000000001</v>
          </cell>
          <cell r="K3772">
            <v>1.6422439285714285</v>
          </cell>
          <cell r="L3772">
            <v>0.92151190000000005</v>
          </cell>
          <cell r="M3772">
            <v>1.7955730000000001</v>
          </cell>
          <cell r="N3772">
            <v>0</v>
          </cell>
          <cell r="O3772">
            <v>7.3363499999999998E-2</v>
          </cell>
          <cell r="P3772">
            <v>1.4688341</v>
          </cell>
          <cell r="Q3772">
            <v>1.687851</v>
          </cell>
          <cell r="R3772">
            <v>0</v>
          </cell>
          <cell r="S3772">
            <v>0</v>
          </cell>
          <cell r="T3772">
            <v>0</v>
          </cell>
          <cell r="U3772">
            <v>27.924603999999999</v>
          </cell>
          <cell r="V3772">
            <v>0</v>
          </cell>
          <cell r="W3772">
            <v>0</v>
          </cell>
          <cell r="X3772">
            <v>0.65642089999999997</v>
          </cell>
          <cell r="Y3772">
            <v>0</v>
          </cell>
          <cell r="Z3772">
            <v>0</v>
          </cell>
          <cell r="AA3772">
            <v>0</v>
          </cell>
          <cell r="AB3772">
            <v>0.1032054</v>
          </cell>
        </row>
        <row r="3773">
          <cell r="A3773">
            <v>58122210</v>
          </cell>
          <cell r="B3773" t="str">
            <v>Gnocchi, cheese</v>
          </cell>
          <cell r="I3773">
            <v>140</v>
          </cell>
          <cell r="J3773">
            <v>249.56763000000001</v>
          </cell>
          <cell r="K3773">
            <v>1.7826259285714285</v>
          </cell>
          <cell r="L3773">
            <v>0</v>
          </cell>
          <cell r="M3773">
            <v>6.0512345999999999</v>
          </cell>
          <cell r="N3773">
            <v>0</v>
          </cell>
          <cell r="O3773">
            <v>0.23374809999999999</v>
          </cell>
          <cell r="P3773">
            <v>0.32202459999999999</v>
          </cell>
          <cell r="Q3773">
            <v>3.0742029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0.37755729999999998</v>
          </cell>
          <cell r="Y3773">
            <v>0</v>
          </cell>
          <cell r="Z3773">
            <v>0</v>
          </cell>
          <cell r="AA3773">
            <v>0</v>
          </cell>
          <cell r="AB3773">
            <v>1.5948564000000001</v>
          </cell>
        </row>
        <row r="3774">
          <cell r="A3774">
            <v>58122220</v>
          </cell>
          <cell r="B3774" t="str">
            <v>Gnocchi, potato</v>
          </cell>
          <cell r="I3774">
            <v>140</v>
          </cell>
          <cell r="J3774">
            <v>279.42818</v>
          </cell>
          <cell r="K3774">
            <v>1.9959155714285715</v>
          </cell>
          <cell r="L3774">
            <v>0</v>
          </cell>
          <cell r="M3774">
            <v>8.1291355000000003</v>
          </cell>
          <cell r="N3774">
            <v>0</v>
          </cell>
          <cell r="O3774">
            <v>4.46183E-2</v>
          </cell>
          <cell r="P3774">
            <v>2.0347862999999999</v>
          </cell>
          <cell r="Q3774">
            <v>0.63426939999999998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0.60712750000000004</v>
          </cell>
          <cell r="Y3774">
            <v>0</v>
          </cell>
          <cell r="Z3774">
            <v>0</v>
          </cell>
          <cell r="AA3774">
            <v>0</v>
          </cell>
          <cell r="AB3774">
            <v>0.50256480000000003</v>
          </cell>
        </row>
        <row r="3775">
          <cell r="A3775">
            <v>58122320</v>
          </cell>
          <cell r="B3775" t="str">
            <v>Knish, cheese</v>
          </cell>
          <cell r="I3775">
            <v>140</v>
          </cell>
          <cell r="J3775">
            <v>431.35189000000003</v>
          </cell>
          <cell r="K3775">
            <v>3.0810849285714288</v>
          </cell>
          <cell r="L3775">
            <v>-1.55E-16</v>
          </cell>
          <cell r="M3775">
            <v>5.3108086999999999</v>
          </cell>
          <cell r="N3775">
            <v>0</v>
          </cell>
          <cell r="O3775">
            <v>5.6118099999999997E-2</v>
          </cell>
          <cell r="P3775">
            <v>1.3478124</v>
          </cell>
          <cell r="Q3775">
            <v>6.7295045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0.5697044</v>
          </cell>
          <cell r="Y3775">
            <v>0</v>
          </cell>
          <cell r="Z3775">
            <v>0</v>
          </cell>
          <cell r="AA3775">
            <v>0</v>
          </cell>
          <cell r="AB3775">
            <v>3.6722624000000001</v>
          </cell>
        </row>
        <row r="3776">
          <cell r="A3776">
            <v>58122330</v>
          </cell>
          <cell r="B3776" t="str">
            <v>Knish, meat</v>
          </cell>
          <cell r="I3776">
            <v>140</v>
          </cell>
          <cell r="J3776">
            <v>440.26008000000002</v>
          </cell>
          <cell r="K3776">
            <v>3.1447148571428571</v>
          </cell>
          <cell r="L3776">
            <v>0.2970527</v>
          </cell>
          <cell r="M3776">
            <v>6.5416894000000001</v>
          </cell>
          <cell r="N3776">
            <v>0</v>
          </cell>
          <cell r="O3776">
            <v>3.3068199999999999E-2</v>
          </cell>
          <cell r="P3776">
            <v>1.0933487</v>
          </cell>
          <cell r="Q3776">
            <v>6.2445769000000002</v>
          </cell>
          <cell r="R3776">
            <v>0</v>
          </cell>
          <cell r="S3776">
            <v>0</v>
          </cell>
          <cell r="T3776">
            <v>0</v>
          </cell>
          <cell r="U3776">
            <v>17.473690000000001</v>
          </cell>
          <cell r="V3776">
            <v>0</v>
          </cell>
          <cell r="W3776">
            <v>0</v>
          </cell>
          <cell r="X3776">
            <v>0.53126359999999995</v>
          </cell>
          <cell r="Y3776">
            <v>0</v>
          </cell>
          <cell r="Z3776">
            <v>32.695557999999998</v>
          </cell>
          <cell r="AA3776">
            <v>0</v>
          </cell>
          <cell r="AB3776">
            <v>3.6158917000000002</v>
          </cell>
        </row>
        <row r="3777">
          <cell r="A3777">
            <v>58123110</v>
          </cell>
          <cell r="B3777" t="str">
            <v>Sweet bread dough, filled with meat, steamed</v>
          </cell>
          <cell r="I3777">
            <v>140</v>
          </cell>
          <cell r="J3777">
            <v>354.23966999999999</v>
          </cell>
          <cell r="K3777">
            <v>2.5302833571428569</v>
          </cell>
          <cell r="L3777">
            <v>1.08792E-2</v>
          </cell>
          <cell r="M3777">
            <v>3.1275928</v>
          </cell>
          <cell r="N3777">
            <v>0</v>
          </cell>
          <cell r="O3777">
            <v>0.18009810000000001</v>
          </cell>
          <cell r="P3777">
            <v>1.5210205999999999</v>
          </cell>
          <cell r="Q3777">
            <v>1.7755683</v>
          </cell>
          <cell r="R3777">
            <v>0</v>
          </cell>
          <cell r="S3777">
            <v>0</v>
          </cell>
          <cell r="T3777">
            <v>0</v>
          </cell>
          <cell r="U3777">
            <v>0.5180574</v>
          </cell>
          <cell r="V3777">
            <v>0</v>
          </cell>
          <cell r="W3777">
            <v>0</v>
          </cell>
          <cell r="X3777">
            <v>0.4595146</v>
          </cell>
          <cell r="Y3777">
            <v>0</v>
          </cell>
          <cell r="Z3777">
            <v>29.229481</v>
          </cell>
          <cell r="AA3777">
            <v>0</v>
          </cell>
          <cell r="AB3777">
            <v>0.20236090000000001</v>
          </cell>
        </row>
        <row r="3778">
          <cell r="A3778">
            <v>58123120</v>
          </cell>
          <cell r="B3778" t="str">
            <v>Sweet bread dough, filled with bean paste, meatless, steamed</v>
          </cell>
          <cell r="I3778">
            <v>140</v>
          </cell>
          <cell r="J3778">
            <v>345.63141999999999</v>
          </cell>
          <cell r="K3778">
            <v>2.4687958571428572</v>
          </cell>
          <cell r="L3778">
            <v>3.4216918999999999</v>
          </cell>
          <cell r="M3778">
            <v>1.3112136000000001</v>
          </cell>
          <cell r="N3778">
            <v>0</v>
          </cell>
          <cell r="O3778">
            <v>0.1395005</v>
          </cell>
          <cell r="P3778">
            <v>1.0233300000000001</v>
          </cell>
          <cell r="Q3778">
            <v>0.65132670000000004</v>
          </cell>
          <cell r="R3778">
            <v>0</v>
          </cell>
          <cell r="S3778">
            <v>53.330277000000002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0.34869359999999999</v>
          </cell>
          <cell r="Y3778">
            <v>0</v>
          </cell>
          <cell r="Z3778">
            <v>0</v>
          </cell>
          <cell r="AA3778">
            <v>0</v>
          </cell>
          <cell r="AB3778">
            <v>3.6917760999999998</v>
          </cell>
        </row>
        <row r="3779">
          <cell r="A3779">
            <v>58124210</v>
          </cell>
          <cell r="B3779" t="str">
            <v>Pastry, cheese-filled</v>
          </cell>
          <cell r="I3779">
            <v>140</v>
          </cell>
          <cell r="J3779">
            <v>352.41685000000001</v>
          </cell>
          <cell r="K3779">
            <v>2.5172632142857143</v>
          </cell>
          <cell r="L3779">
            <v>7.7719999999999996E-17</v>
          </cell>
          <cell r="M3779">
            <v>9.4124662000000008</v>
          </cell>
          <cell r="N3779">
            <v>0</v>
          </cell>
          <cell r="O3779">
            <v>0.2546407</v>
          </cell>
          <cell r="P3779">
            <v>0.56994109999999998</v>
          </cell>
          <cell r="Q3779">
            <v>5.0674970999999998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0.6469047</v>
          </cell>
          <cell r="Y3779">
            <v>0</v>
          </cell>
          <cell r="Z3779">
            <v>0</v>
          </cell>
          <cell r="AA3779">
            <v>0</v>
          </cell>
          <cell r="AB3779">
            <v>4.2454878999999996</v>
          </cell>
        </row>
        <row r="3780">
          <cell r="A3780">
            <v>58124220</v>
          </cell>
          <cell r="B3780" t="str">
            <v>Pastry, egg and cheese filled</v>
          </cell>
          <cell r="I3780">
            <v>140</v>
          </cell>
          <cell r="J3780">
            <v>479.96505999999999</v>
          </cell>
          <cell r="K3780">
            <v>3.4283218571428571</v>
          </cell>
          <cell r="L3780">
            <v>0</v>
          </cell>
          <cell r="M3780">
            <v>10.719201</v>
          </cell>
          <cell r="N3780">
            <v>0</v>
          </cell>
          <cell r="O3780">
            <v>0.11334329999999999</v>
          </cell>
          <cell r="P3780">
            <v>2.2513049999999999</v>
          </cell>
          <cell r="Q3780">
            <v>2.5847560999999999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0.32341940000000002</v>
          </cell>
          <cell r="Y3780">
            <v>0</v>
          </cell>
          <cell r="Z3780">
            <v>0</v>
          </cell>
          <cell r="AA3780">
            <v>0</v>
          </cell>
          <cell r="AB3780">
            <v>0.63117469999999998</v>
          </cell>
        </row>
        <row r="3781">
          <cell r="A3781">
            <v>58124230</v>
          </cell>
          <cell r="B3781" t="str">
            <v>Pastry, meat / poultry-filled</v>
          </cell>
          <cell r="I3781">
            <v>140</v>
          </cell>
          <cell r="J3781">
            <v>472.64980000000003</v>
          </cell>
          <cell r="K3781">
            <v>3.3760700000000003</v>
          </cell>
          <cell r="L3781">
            <v>3.1089999999999998E-16</v>
          </cell>
          <cell r="M3781">
            <v>11.234087000000001</v>
          </cell>
          <cell r="N3781">
            <v>0</v>
          </cell>
          <cell r="O3781">
            <v>8.2695900000000003E-2</v>
          </cell>
          <cell r="P3781">
            <v>1.5677076000000001</v>
          </cell>
          <cell r="Q3781">
            <v>3.9761251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0.57125999999999999</v>
          </cell>
          <cell r="Y3781">
            <v>0</v>
          </cell>
          <cell r="Z3781">
            <v>0</v>
          </cell>
          <cell r="AA3781">
            <v>33.624153</v>
          </cell>
          <cell r="AB3781">
            <v>0.70786369999999998</v>
          </cell>
        </row>
        <row r="3782">
          <cell r="A3782">
            <v>58124250</v>
          </cell>
          <cell r="B3782" t="str">
            <v>Spanakopitta</v>
          </cell>
          <cell r="I3782">
            <v>162</v>
          </cell>
          <cell r="J3782">
            <v>299.82675999999998</v>
          </cell>
          <cell r="K3782">
            <v>1.8507824691358024</v>
          </cell>
          <cell r="L3782">
            <v>1.4969600000000001</v>
          </cell>
          <cell r="M3782">
            <v>10.827964</v>
          </cell>
          <cell r="N3782">
            <v>0</v>
          </cell>
          <cell r="O3782">
            <v>0.23805580000000001</v>
          </cell>
          <cell r="P3782">
            <v>0.38303999999999999</v>
          </cell>
          <cell r="Q3782">
            <v>1.6184460000000001</v>
          </cell>
          <cell r="R3782">
            <v>0</v>
          </cell>
          <cell r="S3782">
            <v>0</v>
          </cell>
          <cell r="T3782">
            <v>0</v>
          </cell>
          <cell r="U3782">
            <v>66.88</v>
          </cell>
          <cell r="V3782">
            <v>0</v>
          </cell>
          <cell r="W3782">
            <v>0</v>
          </cell>
          <cell r="X3782">
            <v>0.54625789999999996</v>
          </cell>
          <cell r="Y3782">
            <v>0</v>
          </cell>
          <cell r="Z3782">
            <v>0</v>
          </cell>
          <cell r="AA3782">
            <v>0</v>
          </cell>
          <cell r="AB3782">
            <v>0.4077905</v>
          </cell>
        </row>
        <row r="3783">
          <cell r="A3783">
            <v>58124500</v>
          </cell>
          <cell r="B3783" t="str">
            <v>Pastry, filled with potatoes and peas, fried</v>
          </cell>
          <cell r="I3783">
            <v>113</v>
          </cell>
          <cell r="J3783">
            <v>348.29180000000002</v>
          </cell>
          <cell r="K3783">
            <v>3.0822283185840709</v>
          </cell>
          <cell r="L3783">
            <v>9.7856999999999996E-3</v>
          </cell>
          <cell r="M3783">
            <v>4.4955441</v>
          </cell>
          <cell r="N3783">
            <v>0</v>
          </cell>
          <cell r="O3783">
            <v>3.02843E-2</v>
          </cell>
          <cell r="P3783">
            <v>1.8992209</v>
          </cell>
          <cell r="Q3783">
            <v>6.7321569999999999</v>
          </cell>
          <cell r="R3783">
            <v>0</v>
          </cell>
          <cell r="S3783">
            <v>0</v>
          </cell>
          <cell r="T3783">
            <v>0</v>
          </cell>
          <cell r="U3783">
            <v>0.39142650000000001</v>
          </cell>
          <cell r="V3783">
            <v>0</v>
          </cell>
          <cell r="W3783">
            <v>0</v>
          </cell>
          <cell r="X3783">
            <v>0.92517700000000003</v>
          </cell>
          <cell r="Y3783">
            <v>0</v>
          </cell>
          <cell r="Z3783">
            <v>0</v>
          </cell>
          <cell r="AA3783">
            <v>0</v>
          </cell>
          <cell r="AB3783">
            <v>0.38598290000000002</v>
          </cell>
        </row>
        <row r="3784">
          <cell r="A3784">
            <v>58125110</v>
          </cell>
          <cell r="B3784" t="str">
            <v>Quiche with meat, poultry or fish</v>
          </cell>
          <cell r="I3784">
            <v>140</v>
          </cell>
          <cell r="J3784">
            <v>481.41892999999999</v>
          </cell>
          <cell r="K3784">
            <v>3.4387066428571429</v>
          </cell>
          <cell r="L3784">
            <v>0.1005765</v>
          </cell>
          <cell r="M3784">
            <v>19.335536000000001</v>
          </cell>
          <cell r="N3784">
            <v>0</v>
          </cell>
          <cell r="O3784">
            <v>0.29302129999999998</v>
          </cell>
          <cell r="P3784">
            <v>0.73591340000000005</v>
          </cell>
          <cell r="Q3784">
            <v>3.416982</v>
          </cell>
          <cell r="R3784">
            <v>0</v>
          </cell>
          <cell r="S3784">
            <v>0</v>
          </cell>
          <cell r="T3784">
            <v>0</v>
          </cell>
          <cell r="U3784">
            <v>5.9162667000000004</v>
          </cell>
          <cell r="V3784">
            <v>0</v>
          </cell>
          <cell r="W3784">
            <v>0</v>
          </cell>
          <cell r="X3784">
            <v>0.7171478</v>
          </cell>
          <cell r="Y3784">
            <v>0</v>
          </cell>
          <cell r="Z3784">
            <v>0</v>
          </cell>
          <cell r="AA3784">
            <v>13.694506000000001</v>
          </cell>
          <cell r="AB3784">
            <v>1.4652543</v>
          </cell>
        </row>
        <row r="3785">
          <cell r="A3785">
            <v>58125120</v>
          </cell>
          <cell r="B3785" t="str">
            <v>Spinach quiche, meatless</v>
          </cell>
          <cell r="I3785">
            <v>140</v>
          </cell>
          <cell r="J3785">
            <v>369.03251</v>
          </cell>
          <cell r="K3785">
            <v>2.6359465000000002</v>
          </cell>
          <cell r="L3785">
            <v>0.76897720000000003</v>
          </cell>
          <cell r="M3785">
            <v>15.785886</v>
          </cell>
          <cell r="N3785">
            <v>0</v>
          </cell>
          <cell r="O3785">
            <v>0.30756090000000003</v>
          </cell>
          <cell r="P3785">
            <v>0.68114090000000005</v>
          </cell>
          <cell r="Q3785">
            <v>2.1089674</v>
          </cell>
          <cell r="R3785">
            <v>0</v>
          </cell>
          <cell r="S3785">
            <v>0</v>
          </cell>
          <cell r="T3785">
            <v>0</v>
          </cell>
          <cell r="U3785">
            <v>33.637861999999998</v>
          </cell>
          <cell r="V3785">
            <v>0</v>
          </cell>
          <cell r="W3785">
            <v>0</v>
          </cell>
          <cell r="X3785">
            <v>0.38470969999999999</v>
          </cell>
          <cell r="Y3785">
            <v>0</v>
          </cell>
          <cell r="Z3785">
            <v>0</v>
          </cell>
          <cell r="AA3785">
            <v>0</v>
          </cell>
          <cell r="AB3785">
            <v>1.1789278000000001</v>
          </cell>
        </row>
        <row r="3786">
          <cell r="A3786">
            <v>58125180</v>
          </cell>
          <cell r="B3786" t="str">
            <v>Cheese quiche, meatless</v>
          </cell>
          <cell r="I3786">
            <v>140</v>
          </cell>
          <cell r="J3786">
            <v>453.85027000000002</v>
          </cell>
          <cell r="K3786">
            <v>3.241787642857143</v>
          </cell>
          <cell r="L3786">
            <v>0.116532</v>
          </cell>
          <cell r="M3786">
            <v>19.74577</v>
          </cell>
          <cell r="N3786">
            <v>0</v>
          </cell>
          <cell r="O3786">
            <v>0.33706320000000001</v>
          </cell>
          <cell r="P3786">
            <v>0.8526589</v>
          </cell>
          <cell r="Q3786">
            <v>2.6016001000000002</v>
          </cell>
          <cell r="R3786">
            <v>0</v>
          </cell>
          <cell r="S3786">
            <v>0</v>
          </cell>
          <cell r="T3786">
            <v>0</v>
          </cell>
          <cell r="U3786">
            <v>6.8548245999999997</v>
          </cell>
          <cell r="V3786">
            <v>0</v>
          </cell>
          <cell r="W3786">
            <v>0</v>
          </cell>
          <cell r="X3786">
            <v>0.45690599999999998</v>
          </cell>
          <cell r="Y3786">
            <v>0</v>
          </cell>
          <cell r="Z3786">
            <v>0</v>
          </cell>
          <cell r="AA3786">
            <v>0</v>
          </cell>
          <cell r="AB3786">
            <v>1.5031482</v>
          </cell>
        </row>
        <row r="3787">
          <cell r="A3787">
            <v>58126110</v>
          </cell>
          <cell r="B3787" t="str">
            <v>Turnover, meat-filled, no gravy</v>
          </cell>
          <cell r="I3787">
            <v>140</v>
          </cell>
          <cell r="J3787">
            <v>499.54764</v>
          </cell>
          <cell r="K3787">
            <v>3.5681974285714286</v>
          </cell>
          <cell r="L3787">
            <v>0</v>
          </cell>
          <cell r="M3787">
            <v>9.1723221000000006</v>
          </cell>
          <cell r="N3787">
            <v>0</v>
          </cell>
          <cell r="O3787">
            <v>1.5122699999999999E-2</v>
          </cell>
          <cell r="P3787">
            <v>1.2947214</v>
          </cell>
          <cell r="Q3787">
            <v>6.9599637999999997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0.58359609999999995</v>
          </cell>
          <cell r="Y3787">
            <v>0</v>
          </cell>
          <cell r="Z3787">
            <v>34.802939000000002</v>
          </cell>
          <cell r="AA3787">
            <v>0</v>
          </cell>
          <cell r="AB3787">
            <v>3.0262509</v>
          </cell>
        </row>
        <row r="3788">
          <cell r="A3788">
            <v>58126130</v>
          </cell>
          <cell r="B3788" t="str">
            <v>Turnover, meat- and cheese-filled, no gravy</v>
          </cell>
          <cell r="I3788">
            <v>140</v>
          </cell>
          <cell r="J3788">
            <v>337.4</v>
          </cell>
          <cell r="K3788">
            <v>2.4099999999999997</v>
          </cell>
          <cell r="L3788">
            <v>0</v>
          </cell>
          <cell r="M3788">
            <v>4.9630000000000001</v>
          </cell>
          <cell r="N3788">
            <v>0</v>
          </cell>
          <cell r="O3788">
            <v>0.21279999999999999</v>
          </cell>
          <cell r="P3788">
            <v>2.1</v>
          </cell>
          <cell r="Q3788">
            <v>2.7103999999999999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0.7056</v>
          </cell>
          <cell r="Y3788">
            <v>0</v>
          </cell>
          <cell r="Z3788">
            <v>0</v>
          </cell>
          <cell r="AA3788">
            <v>18.257400000000001</v>
          </cell>
          <cell r="AB3788">
            <v>0.252</v>
          </cell>
        </row>
        <row r="3789">
          <cell r="A3789">
            <v>58126140</v>
          </cell>
          <cell r="B3789" t="str">
            <v>Turnover, meat- and bean-filled, no gravy</v>
          </cell>
          <cell r="I3789">
            <v>140</v>
          </cell>
          <cell r="J3789">
            <v>466.77202999999997</v>
          </cell>
          <cell r="K3789">
            <v>3.3340859285714282</v>
          </cell>
          <cell r="L3789">
            <v>1.0553467999999999</v>
          </cell>
          <cell r="M3789">
            <v>8.2482292000000008</v>
          </cell>
          <cell r="N3789">
            <v>0</v>
          </cell>
          <cell r="O3789">
            <v>1.7575400000000001E-2</v>
          </cell>
          <cell r="P3789">
            <v>1.1628314</v>
          </cell>
          <cell r="Q3789">
            <v>6.2901889999999998</v>
          </cell>
          <cell r="R3789">
            <v>0</v>
          </cell>
          <cell r="S3789">
            <v>14.22579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0.52443189999999995</v>
          </cell>
          <cell r="Y3789">
            <v>0</v>
          </cell>
          <cell r="Z3789">
            <v>31.257652</v>
          </cell>
          <cell r="AA3789">
            <v>0</v>
          </cell>
          <cell r="AB3789">
            <v>2.7179744000000001</v>
          </cell>
        </row>
        <row r="3790">
          <cell r="A3790">
            <v>58126150</v>
          </cell>
          <cell r="B3790" t="str">
            <v>Turnover, meat- and cheese-filled, tomato-based sauce</v>
          </cell>
          <cell r="I3790">
            <v>195</v>
          </cell>
          <cell r="J3790">
            <v>493.35</v>
          </cell>
          <cell r="K3790">
            <v>2.5300000000000002</v>
          </cell>
          <cell r="L3790">
            <v>0.55079</v>
          </cell>
          <cell r="M3790">
            <v>7.81365</v>
          </cell>
          <cell r="N3790">
            <v>0</v>
          </cell>
          <cell r="O3790">
            <v>0.35294999999999999</v>
          </cell>
          <cell r="P3790">
            <v>3.7392099999999999</v>
          </cell>
          <cell r="Q3790">
            <v>5.09145</v>
          </cell>
          <cell r="R3790">
            <v>0</v>
          </cell>
          <cell r="S3790">
            <v>0</v>
          </cell>
          <cell r="T3790">
            <v>0</v>
          </cell>
          <cell r="U3790">
            <v>28.664999999999999</v>
          </cell>
          <cell r="V3790">
            <v>0</v>
          </cell>
          <cell r="W3790">
            <v>0</v>
          </cell>
          <cell r="X3790">
            <v>0.85604999999999998</v>
          </cell>
          <cell r="Y3790">
            <v>0</v>
          </cell>
          <cell r="Z3790">
            <v>6.0810750000000002</v>
          </cell>
          <cell r="AA3790">
            <v>0</v>
          </cell>
          <cell r="AB3790">
            <v>0.30420000000000003</v>
          </cell>
        </row>
        <row r="3791">
          <cell r="A3791">
            <v>58126270</v>
          </cell>
          <cell r="B3791" t="str">
            <v>Turnover, chicken- or turkey-, and cheese-filled, no gravy</v>
          </cell>
          <cell r="I3791">
            <v>140</v>
          </cell>
          <cell r="J3791">
            <v>329</v>
          </cell>
          <cell r="K3791">
            <v>2.35</v>
          </cell>
          <cell r="L3791">
            <v>5.1577999999999999E-2</v>
          </cell>
          <cell r="M3791">
            <v>3.6680000000000001</v>
          </cell>
          <cell r="N3791">
            <v>0</v>
          </cell>
          <cell r="O3791">
            <v>0.21279999999999999</v>
          </cell>
          <cell r="P3791">
            <v>1.4884219999999999</v>
          </cell>
          <cell r="Q3791">
            <v>1.82</v>
          </cell>
          <cell r="R3791">
            <v>0</v>
          </cell>
          <cell r="S3791">
            <v>0</v>
          </cell>
          <cell r="T3791">
            <v>0</v>
          </cell>
          <cell r="U3791">
            <v>6.51</v>
          </cell>
          <cell r="V3791">
            <v>0</v>
          </cell>
          <cell r="W3791">
            <v>0</v>
          </cell>
          <cell r="X3791">
            <v>0.4844</v>
          </cell>
          <cell r="Y3791">
            <v>0</v>
          </cell>
          <cell r="Z3791">
            <v>0</v>
          </cell>
          <cell r="AA3791">
            <v>0</v>
          </cell>
          <cell r="AB3791">
            <v>0.75209610000000005</v>
          </cell>
        </row>
        <row r="3792">
          <cell r="A3792">
            <v>58126280</v>
          </cell>
          <cell r="B3792" t="str">
            <v>Turnover, chicken- or turkey-, and vegetable-filled, lower in fat</v>
          </cell>
          <cell r="I3792">
            <v>140</v>
          </cell>
          <cell r="J3792">
            <v>235.2</v>
          </cell>
          <cell r="K3792">
            <v>1.68</v>
          </cell>
          <cell r="L3792">
            <v>0.90314839999999996</v>
          </cell>
          <cell r="M3792">
            <v>3.8584000000000001</v>
          </cell>
          <cell r="N3792">
            <v>0</v>
          </cell>
          <cell r="O3792">
            <v>0.2198</v>
          </cell>
          <cell r="P3792">
            <v>3.4368515999999998</v>
          </cell>
          <cell r="Q3792">
            <v>0.82599999999999996</v>
          </cell>
          <cell r="R3792">
            <v>0</v>
          </cell>
          <cell r="S3792">
            <v>0</v>
          </cell>
          <cell r="T3792">
            <v>0</v>
          </cell>
          <cell r="U3792">
            <v>28.21</v>
          </cell>
          <cell r="V3792">
            <v>0</v>
          </cell>
          <cell r="W3792">
            <v>0</v>
          </cell>
          <cell r="X3792">
            <v>0.38640000000000002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</row>
        <row r="3793">
          <cell r="A3793">
            <v>58126290</v>
          </cell>
          <cell r="B3793" t="str">
            <v>Turnover, meat- and cheese-filled, lower in fat</v>
          </cell>
          <cell r="I3793">
            <v>140</v>
          </cell>
          <cell r="J3793">
            <v>322</v>
          </cell>
          <cell r="K3793">
            <v>2.2999999999999998</v>
          </cell>
          <cell r="L3793">
            <v>1.7116963000000001</v>
          </cell>
          <cell r="M3793">
            <v>3.3445999999999998</v>
          </cell>
          <cell r="N3793">
            <v>0</v>
          </cell>
          <cell r="O3793">
            <v>0.27439999999999998</v>
          </cell>
          <cell r="P3793">
            <v>0.66830369999999995</v>
          </cell>
          <cell r="Q3793">
            <v>1.9641999999999999</v>
          </cell>
          <cell r="R3793">
            <v>23.744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0.59219999999999995</v>
          </cell>
          <cell r="Y3793">
            <v>0</v>
          </cell>
          <cell r="Z3793">
            <v>0</v>
          </cell>
          <cell r="AA3793">
            <v>22.226400000000002</v>
          </cell>
          <cell r="AB3793">
            <v>0.2492</v>
          </cell>
        </row>
        <row r="3794">
          <cell r="A3794">
            <v>58126400</v>
          </cell>
          <cell r="B3794" t="str">
            <v>Turnover, filled with egg, meat and cheese</v>
          </cell>
          <cell r="I3794">
            <v>140</v>
          </cell>
          <cell r="J3794">
            <v>319.2</v>
          </cell>
          <cell r="K3794">
            <v>2.2799999999999998</v>
          </cell>
          <cell r="L3794">
            <v>0</v>
          </cell>
          <cell r="M3794">
            <v>7.7168000000000001</v>
          </cell>
          <cell r="N3794">
            <v>0</v>
          </cell>
          <cell r="O3794">
            <v>0.1106</v>
          </cell>
          <cell r="P3794">
            <v>1.1200000000000001</v>
          </cell>
          <cell r="Q3794">
            <v>2.8266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0.5292</v>
          </cell>
          <cell r="Y3794">
            <v>0</v>
          </cell>
          <cell r="Z3794">
            <v>0</v>
          </cell>
          <cell r="AA3794">
            <v>9.5256000000000007</v>
          </cell>
          <cell r="AB3794">
            <v>0</v>
          </cell>
        </row>
        <row r="3795">
          <cell r="A3795">
            <v>58127150</v>
          </cell>
          <cell r="B3795" t="str">
            <v>Vegetables and cheese in pastry</v>
          </cell>
          <cell r="I3795">
            <v>140</v>
          </cell>
          <cell r="J3795">
            <v>370.74421000000001</v>
          </cell>
          <cell r="K3795">
            <v>2.6481729285714288</v>
          </cell>
          <cell r="L3795">
            <v>0.87640839999999998</v>
          </cell>
          <cell r="M3795">
            <v>7.8703694999999998</v>
          </cell>
          <cell r="N3795">
            <v>0</v>
          </cell>
          <cell r="O3795">
            <v>0.1650017</v>
          </cell>
          <cell r="P3795">
            <v>2.3953958000000002</v>
          </cell>
          <cell r="Q3795">
            <v>3.8880279999999998</v>
          </cell>
          <cell r="R3795">
            <v>0</v>
          </cell>
          <cell r="S3795">
            <v>0</v>
          </cell>
          <cell r="T3795">
            <v>0.12918760000000001</v>
          </cell>
          <cell r="U3795">
            <v>34.363892</v>
          </cell>
          <cell r="V3795">
            <v>0</v>
          </cell>
          <cell r="W3795">
            <v>0</v>
          </cell>
          <cell r="X3795">
            <v>0.21261169999999999</v>
          </cell>
          <cell r="Y3795">
            <v>14.717625</v>
          </cell>
          <cell r="Z3795">
            <v>0</v>
          </cell>
          <cell r="AA3795">
            <v>0</v>
          </cell>
          <cell r="AB3795">
            <v>1.8417252</v>
          </cell>
        </row>
        <row r="3796">
          <cell r="A3796">
            <v>58127210</v>
          </cell>
          <cell r="B3796" t="str">
            <v>Croissant sandwich, filled with ham and cheese</v>
          </cell>
          <cell r="I3796">
            <v>140</v>
          </cell>
          <cell r="J3796">
            <v>418.14415000000002</v>
          </cell>
          <cell r="K3796">
            <v>2.9867439285714288</v>
          </cell>
          <cell r="L3796">
            <v>0</v>
          </cell>
          <cell r="M3796">
            <v>14.307524000000001</v>
          </cell>
          <cell r="N3796">
            <v>0</v>
          </cell>
          <cell r="O3796">
            <v>0.2026184</v>
          </cell>
          <cell r="P3796">
            <v>1.0255970000000001</v>
          </cell>
          <cell r="Q3796">
            <v>1.3544008000000001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1.049137</v>
          </cell>
          <cell r="Y3796">
            <v>0</v>
          </cell>
          <cell r="Z3796">
            <v>0</v>
          </cell>
          <cell r="AA3796">
            <v>35.003098000000001</v>
          </cell>
          <cell r="AB3796">
            <v>0.70042539999999998</v>
          </cell>
        </row>
        <row r="3797">
          <cell r="A3797">
            <v>58127270</v>
          </cell>
          <cell r="B3797" t="str">
            <v>Croissant sandwich with sausage and egg</v>
          </cell>
          <cell r="I3797">
            <v>140</v>
          </cell>
          <cell r="J3797">
            <v>489.86196999999999</v>
          </cell>
          <cell r="K3797">
            <v>3.4990140714285713</v>
          </cell>
          <cell r="L3797">
            <v>0</v>
          </cell>
          <cell r="M3797">
            <v>14.718575</v>
          </cell>
          <cell r="N3797">
            <v>0</v>
          </cell>
          <cell r="O3797">
            <v>4.8842299999999998E-2</v>
          </cell>
          <cell r="P3797">
            <v>1.6149296</v>
          </cell>
          <cell r="Q3797">
            <v>2.9746351999999998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0.72833519999999996</v>
          </cell>
          <cell r="Y3797">
            <v>0</v>
          </cell>
          <cell r="Z3797">
            <v>0</v>
          </cell>
          <cell r="AA3797">
            <v>27.727098999999999</v>
          </cell>
          <cell r="AB3797">
            <v>1.0757318</v>
          </cell>
        </row>
        <row r="3798">
          <cell r="A3798">
            <v>58127310</v>
          </cell>
          <cell r="B3798" t="str">
            <v>Croissant sandwich with ham, egg, and cheese</v>
          </cell>
          <cell r="I3798">
            <v>140</v>
          </cell>
          <cell r="J3798">
            <v>365.4</v>
          </cell>
          <cell r="K3798">
            <v>2.61</v>
          </cell>
          <cell r="L3798">
            <v>0</v>
          </cell>
          <cell r="M3798">
            <v>7.2253999999999996</v>
          </cell>
          <cell r="N3798">
            <v>0</v>
          </cell>
          <cell r="O3798">
            <v>0.13300000000000001</v>
          </cell>
          <cell r="P3798">
            <v>1.26</v>
          </cell>
          <cell r="Q3798">
            <v>2.0790000000000002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0.99539999999999995</v>
          </cell>
          <cell r="Y3798">
            <v>0</v>
          </cell>
          <cell r="Z3798">
            <v>0</v>
          </cell>
          <cell r="AA3798">
            <v>22.226400000000002</v>
          </cell>
          <cell r="AB3798">
            <v>0.73039730000000003</v>
          </cell>
        </row>
        <row r="3799">
          <cell r="A3799">
            <v>58127330</v>
          </cell>
          <cell r="B3799" t="str">
            <v>Croissant sandwich with sausage, egg, and cheese</v>
          </cell>
          <cell r="I3799">
            <v>140</v>
          </cell>
          <cell r="J3799">
            <v>431.2</v>
          </cell>
          <cell r="K3799">
            <v>3.08</v>
          </cell>
          <cell r="L3799">
            <v>0</v>
          </cell>
          <cell r="M3799">
            <v>11.678800000000001</v>
          </cell>
          <cell r="N3799">
            <v>0</v>
          </cell>
          <cell r="O3799">
            <v>0.126</v>
          </cell>
          <cell r="P3799">
            <v>2.52</v>
          </cell>
          <cell r="Q3799">
            <v>5.8967999999999998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0.80779999999999996</v>
          </cell>
          <cell r="Y3799">
            <v>0</v>
          </cell>
          <cell r="Z3799">
            <v>0</v>
          </cell>
          <cell r="AA3799">
            <v>16.669799999999999</v>
          </cell>
          <cell r="AB3799">
            <v>0.21</v>
          </cell>
        </row>
        <row r="3800">
          <cell r="A3800">
            <v>58127350</v>
          </cell>
          <cell r="B3800" t="str">
            <v>Croissant sandwich with bacon, egg, and cheese</v>
          </cell>
          <cell r="I3800">
            <v>140</v>
          </cell>
          <cell r="J3800">
            <v>436.8</v>
          </cell>
          <cell r="K3800">
            <v>3.12</v>
          </cell>
          <cell r="L3800">
            <v>0</v>
          </cell>
          <cell r="M3800">
            <v>9.8434000000000008</v>
          </cell>
          <cell r="N3800">
            <v>0</v>
          </cell>
          <cell r="O3800">
            <v>0.1638</v>
          </cell>
          <cell r="P3800">
            <v>1.4</v>
          </cell>
          <cell r="Q3800">
            <v>2.7846000000000002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0.84279999999999999</v>
          </cell>
          <cell r="Y3800">
            <v>0</v>
          </cell>
          <cell r="Z3800">
            <v>0</v>
          </cell>
          <cell r="AA3800">
            <v>8.7317999999999998</v>
          </cell>
          <cell r="AB3800">
            <v>1.1415656000000001</v>
          </cell>
        </row>
        <row r="3801">
          <cell r="A3801">
            <v>58127500</v>
          </cell>
          <cell r="B3801" t="str">
            <v>Vegetable submarine sandwich, with fat free spread</v>
          </cell>
          <cell r="I3801">
            <v>140</v>
          </cell>
          <cell r="J3801">
            <v>174.41059000000001</v>
          </cell>
          <cell r="K3801">
            <v>1.2457899285714287</v>
          </cell>
          <cell r="L3801">
            <v>0.97756940000000003</v>
          </cell>
          <cell r="M3801">
            <v>0.54926299999999995</v>
          </cell>
          <cell r="N3801">
            <v>0</v>
          </cell>
          <cell r="O3801">
            <v>9.4069799999999995E-2</v>
          </cell>
          <cell r="P3801">
            <v>1.1763889000000001</v>
          </cell>
          <cell r="Q3801">
            <v>0.98349640000000005</v>
          </cell>
          <cell r="R3801">
            <v>0</v>
          </cell>
          <cell r="S3801">
            <v>0</v>
          </cell>
          <cell r="T3801">
            <v>0</v>
          </cell>
          <cell r="U3801">
            <v>62.829861000000001</v>
          </cell>
          <cell r="V3801">
            <v>0</v>
          </cell>
          <cell r="W3801">
            <v>0</v>
          </cell>
          <cell r="X3801">
            <v>0.54068919999999998</v>
          </cell>
          <cell r="Y3801">
            <v>0</v>
          </cell>
          <cell r="Z3801">
            <v>0</v>
          </cell>
          <cell r="AA3801">
            <v>0</v>
          </cell>
          <cell r="AB3801">
            <v>1.27969E-2</v>
          </cell>
        </row>
        <row r="3802">
          <cell r="A3802">
            <v>58128000</v>
          </cell>
          <cell r="B3802" t="str">
            <v>Biscuit with gravy</v>
          </cell>
          <cell r="I3802">
            <v>140</v>
          </cell>
          <cell r="J3802">
            <v>300.49599999999998</v>
          </cell>
          <cell r="K3802">
            <v>2.1463999999999999</v>
          </cell>
          <cell r="L3802">
            <v>0</v>
          </cell>
          <cell r="M3802">
            <v>4.5858679999999996</v>
          </cell>
          <cell r="N3802">
            <v>0</v>
          </cell>
          <cell r="O3802">
            <v>0.103404</v>
          </cell>
          <cell r="P3802">
            <v>0.62160000000000004</v>
          </cell>
          <cell r="Q3802">
            <v>4.4660140000000004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0.61572000000000005</v>
          </cell>
          <cell r="Y3802">
            <v>0</v>
          </cell>
          <cell r="Z3802">
            <v>0</v>
          </cell>
          <cell r="AA3802">
            <v>13.288212</v>
          </cell>
          <cell r="AB3802">
            <v>1.06246</v>
          </cell>
        </row>
        <row r="3803">
          <cell r="A3803">
            <v>58128120</v>
          </cell>
          <cell r="B3803" t="str">
            <v>Cornmeal dressing with chicken or turkey and vegetables</v>
          </cell>
          <cell r="I3803">
            <v>161</v>
          </cell>
          <cell r="J3803">
            <v>361.82044000000002</v>
          </cell>
          <cell r="K3803">
            <v>2.2473319254658386</v>
          </cell>
          <cell r="L3803">
            <v>0.60321789999999997</v>
          </cell>
          <cell r="M3803">
            <v>4.8926832999999998</v>
          </cell>
          <cell r="N3803">
            <v>0</v>
          </cell>
          <cell r="O3803">
            <v>0.1465515</v>
          </cell>
          <cell r="P3803">
            <v>1.2187943000000001</v>
          </cell>
          <cell r="Q3803">
            <v>6.5998022000000001</v>
          </cell>
          <cell r="R3803">
            <v>0</v>
          </cell>
          <cell r="S3803">
            <v>0</v>
          </cell>
          <cell r="T3803">
            <v>0</v>
          </cell>
          <cell r="U3803">
            <v>36.384569999999997</v>
          </cell>
          <cell r="V3803">
            <v>0</v>
          </cell>
          <cell r="W3803">
            <v>0</v>
          </cell>
          <cell r="X3803">
            <v>0.87326130000000002</v>
          </cell>
          <cell r="Y3803">
            <v>0</v>
          </cell>
          <cell r="Z3803">
            <v>0</v>
          </cell>
          <cell r="AA3803">
            <v>0</v>
          </cell>
          <cell r="AB3803">
            <v>2.2085045999999999</v>
          </cell>
        </row>
        <row r="3804">
          <cell r="A3804">
            <v>58128220</v>
          </cell>
          <cell r="B3804" t="str">
            <v>Dressing with chicken or turkey and vegetables</v>
          </cell>
          <cell r="I3804">
            <v>100</v>
          </cell>
          <cell r="J3804">
            <v>216.94370000000001</v>
          </cell>
          <cell r="K3804">
            <v>2.1694370000000003</v>
          </cell>
          <cell r="L3804">
            <v>0.34172609999999998</v>
          </cell>
          <cell r="M3804">
            <v>2.4941963</v>
          </cell>
          <cell r="N3804">
            <v>0</v>
          </cell>
          <cell r="O3804">
            <v>7.29717E-2</v>
          </cell>
          <cell r="P3804">
            <v>1.2380898</v>
          </cell>
          <cell r="Q3804">
            <v>3.2733064999999999</v>
          </cell>
          <cell r="R3804">
            <v>0</v>
          </cell>
          <cell r="S3804">
            <v>0</v>
          </cell>
          <cell r="T3804">
            <v>0</v>
          </cell>
          <cell r="U3804">
            <v>20.612048000000001</v>
          </cell>
          <cell r="V3804">
            <v>0</v>
          </cell>
          <cell r="W3804">
            <v>0</v>
          </cell>
          <cell r="X3804">
            <v>0.52375430000000001</v>
          </cell>
          <cell r="Y3804">
            <v>0</v>
          </cell>
          <cell r="Z3804">
            <v>0</v>
          </cell>
          <cell r="AA3804">
            <v>0</v>
          </cell>
          <cell r="AB3804">
            <v>1.2477936999999999</v>
          </cell>
        </row>
        <row r="3805">
          <cell r="A3805">
            <v>58128250</v>
          </cell>
          <cell r="B3805" t="str">
            <v>Dressing with meat and vegetables</v>
          </cell>
          <cell r="I3805">
            <v>100</v>
          </cell>
          <cell r="J3805">
            <v>261.04584999999997</v>
          </cell>
          <cell r="K3805">
            <v>2.6104584999999996</v>
          </cell>
          <cell r="L3805">
            <v>0.27388829999999997</v>
          </cell>
          <cell r="M3805">
            <v>4.8994909</v>
          </cell>
          <cell r="N3805">
            <v>0</v>
          </cell>
          <cell r="O3805">
            <v>6.7608100000000004E-2</v>
          </cell>
          <cell r="P3805">
            <v>1.1109401000000001</v>
          </cell>
          <cell r="Q3805">
            <v>3.4412048</v>
          </cell>
          <cell r="R3805">
            <v>0</v>
          </cell>
          <cell r="S3805">
            <v>0</v>
          </cell>
          <cell r="T3805">
            <v>0</v>
          </cell>
          <cell r="U3805">
            <v>18.464379000000001</v>
          </cell>
          <cell r="V3805">
            <v>0</v>
          </cell>
          <cell r="W3805">
            <v>0</v>
          </cell>
          <cell r="X3805">
            <v>0.68720820000000005</v>
          </cell>
          <cell r="Y3805">
            <v>0</v>
          </cell>
          <cell r="Z3805">
            <v>0</v>
          </cell>
          <cell r="AA3805">
            <v>16.357239</v>
          </cell>
          <cell r="AB3805">
            <v>0.87677850000000002</v>
          </cell>
        </row>
        <row r="3806">
          <cell r="A3806">
            <v>58130011</v>
          </cell>
          <cell r="B3806" t="str">
            <v>Lasagna with meat</v>
          </cell>
          <cell r="I3806">
            <v>140</v>
          </cell>
          <cell r="J3806">
            <v>173.6</v>
          </cell>
          <cell r="K3806">
            <v>1.24</v>
          </cell>
          <cell r="L3806">
            <v>1.1303551000000001</v>
          </cell>
          <cell r="M3806">
            <v>2.8938000000000001</v>
          </cell>
          <cell r="N3806">
            <v>0</v>
          </cell>
          <cell r="O3806">
            <v>0.1022</v>
          </cell>
          <cell r="P3806">
            <v>0.82964490000000002</v>
          </cell>
          <cell r="Q3806">
            <v>0.50119999999999998</v>
          </cell>
          <cell r="R3806">
            <v>0</v>
          </cell>
          <cell r="S3806">
            <v>0</v>
          </cell>
          <cell r="T3806">
            <v>0</v>
          </cell>
          <cell r="U3806">
            <v>85.75</v>
          </cell>
          <cell r="V3806">
            <v>0</v>
          </cell>
          <cell r="W3806">
            <v>0</v>
          </cell>
          <cell r="X3806">
            <v>0.48580000000000001</v>
          </cell>
          <cell r="Y3806">
            <v>0</v>
          </cell>
          <cell r="Z3806">
            <v>9.5256000000000007</v>
          </cell>
          <cell r="AA3806">
            <v>0</v>
          </cell>
          <cell r="AB3806">
            <v>0.252</v>
          </cell>
        </row>
        <row r="3807">
          <cell r="A3807">
            <v>58130013</v>
          </cell>
          <cell r="B3807" t="str">
            <v>Lasagna with meat, canned</v>
          </cell>
          <cell r="I3807">
            <v>140</v>
          </cell>
          <cell r="J3807">
            <v>135.80000000000001</v>
          </cell>
          <cell r="K3807">
            <v>0.97000000000000008</v>
          </cell>
          <cell r="L3807">
            <v>0.66036669999999997</v>
          </cell>
          <cell r="M3807">
            <v>2.044</v>
          </cell>
          <cell r="N3807">
            <v>0</v>
          </cell>
          <cell r="O3807">
            <v>1.6799999999999999E-2</v>
          </cell>
          <cell r="P3807">
            <v>1.4396332999999999</v>
          </cell>
          <cell r="Q3807">
            <v>0.33179999999999998</v>
          </cell>
          <cell r="R3807">
            <v>0</v>
          </cell>
          <cell r="S3807">
            <v>0</v>
          </cell>
          <cell r="T3807">
            <v>0</v>
          </cell>
          <cell r="U3807">
            <v>51.45</v>
          </cell>
          <cell r="V3807">
            <v>0</v>
          </cell>
          <cell r="W3807">
            <v>0</v>
          </cell>
          <cell r="X3807">
            <v>0.3962</v>
          </cell>
          <cell r="Y3807">
            <v>0</v>
          </cell>
          <cell r="Z3807">
            <v>3.9689999999999999</v>
          </cell>
          <cell r="AA3807">
            <v>0</v>
          </cell>
          <cell r="AB3807">
            <v>0.26879999999999998</v>
          </cell>
        </row>
        <row r="3808">
          <cell r="A3808">
            <v>58130014</v>
          </cell>
          <cell r="B3808" t="str">
            <v>Lasagna with meat, from restaurant</v>
          </cell>
          <cell r="I3808">
            <v>140</v>
          </cell>
          <cell r="J3808">
            <v>259</v>
          </cell>
          <cell r="K3808">
            <v>1.85</v>
          </cell>
          <cell r="L3808">
            <v>1.3266001000000001</v>
          </cell>
          <cell r="M3808">
            <v>6.9173999999999998</v>
          </cell>
          <cell r="N3808">
            <v>0</v>
          </cell>
          <cell r="O3808">
            <v>0.27579999999999999</v>
          </cell>
          <cell r="P3808">
            <v>0.77339990000000003</v>
          </cell>
          <cell r="Q3808">
            <v>1.1032</v>
          </cell>
          <cell r="R3808">
            <v>0</v>
          </cell>
          <cell r="S3808">
            <v>0</v>
          </cell>
          <cell r="T3808">
            <v>0</v>
          </cell>
          <cell r="U3808">
            <v>51.45</v>
          </cell>
          <cell r="V3808">
            <v>0</v>
          </cell>
          <cell r="W3808">
            <v>0</v>
          </cell>
          <cell r="X3808">
            <v>0.65239999999999998</v>
          </cell>
          <cell r="Y3808">
            <v>0</v>
          </cell>
          <cell r="Z3808">
            <v>21.829499999999999</v>
          </cell>
          <cell r="AA3808">
            <v>0</v>
          </cell>
          <cell r="AB3808">
            <v>0.43680000000000002</v>
          </cell>
        </row>
        <row r="3809">
          <cell r="A3809">
            <v>58130015</v>
          </cell>
          <cell r="B3809" t="str">
            <v>Lasagna with meat, home recipe</v>
          </cell>
          <cell r="I3809">
            <v>140</v>
          </cell>
          <cell r="J3809">
            <v>241.46679</v>
          </cell>
          <cell r="K3809">
            <v>1.7247627857142858</v>
          </cell>
          <cell r="L3809">
            <v>0.41040510000000002</v>
          </cell>
          <cell r="M3809">
            <v>6.6022841999999997</v>
          </cell>
          <cell r="N3809">
            <v>0</v>
          </cell>
          <cell r="O3809">
            <v>0.36106579999999999</v>
          </cell>
          <cell r="P3809">
            <v>0.8595218</v>
          </cell>
          <cell r="Q3809">
            <v>0.75563939999999996</v>
          </cell>
          <cell r="R3809">
            <v>0</v>
          </cell>
          <cell r="S3809">
            <v>0</v>
          </cell>
          <cell r="T3809">
            <v>0</v>
          </cell>
          <cell r="U3809">
            <v>22.813979</v>
          </cell>
          <cell r="V3809">
            <v>0</v>
          </cell>
          <cell r="W3809">
            <v>0</v>
          </cell>
          <cell r="X3809">
            <v>0.4863323</v>
          </cell>
          <cell r="Y3809">
            <v>0</v>
          </cell>
          <cell r="Z3809">
            <v>11.709906999999999</v>
          </cell>
          <cell r="AA3809">
            <v>0</v>
          </cell>
          <cell r="AB3809">
            <v>0.39601310000000001</v>
          </cell>
        </row>
        <row r="3810">
          <cell r="A3810">
            <v>58130016</v>
          </cell>
          <cell r="B3810" t="str">
            <v>Lasagna with meat, frozen</v>
          </cell>
          <cell r="I3810">
            <v>140</v>
          </cell>
          <cell r="J3810">
            <v>173.6</v>
          </cell>
          <cell r="K3810">
            <v>1.24</v>
          </cell>
          <cell r="L3810">
            <v>1.1303551000000001</v>
          </cell>
          <cell r="M3810">
            <v>2.8938000000000001</v>
          </cell>
          <cell r="N3810">
            <v>0</v>
          </cell>
          <cell r="O3810">
            <v>0.1022</v>
          </cell>
          <cell r="P3810">
            <v>0.82964490000000002</v>
          </cell>
          <cell r="Q3810">
            <v>0.50119999999999998</v>
          </cell>
          <cell r="R3810">
            <v>0</v>
          </cell>
          <cell r="S3810">
            <v>0</v>
          </cell>
          <cell r="T3810">
            <v>0</v>
          </cell>
          <cell r="U3810">
            <v>85.75</v>
          </cell>
          <cell r="V3810">
            <v>0</v>
          </cell>
          <cell r="W3810">
            <v>0</v>
          </cell>
          <cell r="X3810">
            <v>0.48580000000000001</v>
          </cell>
          <cell r="Y3810">
            <v>0</v>
          </cell>
          <cell r="Z3810">
            <v>9.5256000000000007</v>
          </cell>
          <cell r="AA3810">
            <v>0</v>
          </cell>
          <cell r="AB3810">
            <v>0.252</v>
          </cell>
        </row>
        <row r="3811">
          <cell r="A3811">
            <v>58130020</v>
          </cell>
          <cell r="B3811" t="str">
            <v>Lasagna with meat and spinach</v>
          </cell>
          <cell r="I3811">
            <v>140</v>
          </cell>
          <cell r="J3811">
            <v>242.62196</v>
          </cell>
          <cell r="K3811">
            <v>1.7330140000000001</v>
          </cell>
          <cell r="L3811">
            <v>0.66749610000000004</v>
          </cell>
          <cell r="M3811">
            <v>6.3892313999999999</v>
          </cell>
          <cell r="N3811">
            <v>0</v>
          </cell>
          <cell r="O3811">
            <v>0.34964089999999998</v>
          </cell>
          <cell r="P3811">
            <v>0.65036340000000004</v>
          </cell>
          <cell r="Q3811">
            <v>0.89597939999999998</v>
          </cell>
          <cell r="R3811">
            <v>0</v>
          </cell>
          <cell r="S3811">
            <v>0</v>
          </cell>
          <cell r="T3811">
            <v>0</v>
          </cell>
          <cell r="U3811">
            <v>36.539185000000003</v>
          </cell>
          <cell r="V3811">
            <v>0</v>
          </cell>
          <cell r="W3811">
            <v>0</v>
          </cell>
          <cell r="X3811">
            <v>0.48568790000000001</v>
          </cell>
          <cell r="Y3811">
            <v>0</v>
          </cell>
          <cell r="Z3811">
            <v>11.23391</v>
          </cell>
          <cell r="AA3811">
            <v>0</v>
          </cell>
          <cell r="AB3811">
            <v>0.1972343</v>
          </cell>
        </row>
        <row r="3812">
          <cell r="A3812">
            <v>58130140</v>
          </cell>
          <cell r="B3812" t="str">
            <v>Lasagna with chicken or turkey</v>
          </cell>
          <cell r="I3812">
            <v>140</v>
          </cell>
          <cell r="J3812">
            <v>240.37845999999999</v>
          </cell>
          <cell r="K3812">
            <v>1.7169889999999999</v>
          </cell>
          <cell r="L3812">
            <v>0.60300600000000004</v>
          </cell>
          <cell r="M3812">
            <v>6.0612357000000001</v>
          </cell>
          <cell r="N3812">
            <v>0</v>
          </cell>
          <cell r="O3812">
            <v>0.35398079999999998</v>
          </cell>
          <cell r="P3812">
            <v>0.66594070000000005</v>
          </cell>
          <cell r="Q3812">
            <v>1.220818</v>
          </cell>
          <cell r="R3812">
            <v>0</v>
          </cell>
          <cell r="S3812">
            <v>0</v>
          </cell>
          <cell r="T3812">
            <v>0</v>
          </cell>
          <cell r="U3812">
            <v>34.061120000000003</v>
          </cell>
          <cell r="V3812">
            <v>0</v>
          </cell>
          <cell r="W3812">
            <v>0</v>
          </cell>
          <cell r="X3812">
            <v>0.45454810000000001</v>
          </cell>
          <cell r="Y3812">
            <v>0</v>
          </cell>
          <cell r="Z3812">
            <v>0</v>
          </cell>
          <cell r="AA3812">
            <v>0</v>
          </cell>
          <cell r="AB3812">
            <v>0.15672449999999999</v>
          </cell>
        </row>
        <row r="3813">
          <cell r="A3813">
            <v>58130150</v>
          </cell>
          <cell r="B3813" t="str">
            <v>Lasagna, with chicken or turkey, and spinach</v>
          </cell>
          <cell r="I3813">
            <v>140</v>
          </cell>
          <cell r="J3813">
            <v>235.50886</v>
          </cell>
          <cell r="K3813">
            <v>1.6822061428571429</v>
          </cell>
          <cell r="L3813">
            <v>0.66749610000000004</v>
          </cell>
          <cell r="M3813">
            <v>5.9208626999999998</v>
          </cell>
          <cell r="N3813">
            <v>0</v>
          </cell>
          <cell r="O3813">
            <v>0.35015439999999998</v>
          </cell>
          <cell r="P3813">
            <v>0.65036340000000004</v>
          </cell>
          <cell r="Q3813">
            <v>1.1958308</v>
          </cell>
          <cell r="R3813">
            <v>0</v>
          </cell>
          <cell r="S3813">
            <v>0</v>
          </cell>
          <cell r="T3813">
            <v>0</v>
          </cell>
          <cell r="U3813">
            <v>36.539185000000003</v>
          </cell>
          <cell r="V3813">
            <v>0</v>
          </cell>
          <cell r="W3813">
            <v>0</v>
          </cell>
          <cell r="X3813">
            <v>0.44620799999999999</v>
          </cell>
          <cell r="Y3813">
            <v>0</v>
          </cell>
          <cell r="Z3813">
            <v>0</v>
          </cell>
          <cell r="AA3813">
            <v>0</v>
          </cell>
          <cell r="AB3813">
            <v>0.15491279999999999</v>
          </cell>
        </row>
        <row r="3814">
          <cell r="A3814">
            <v>58130310</v>
          </cell>
          <cell r="B3814" t="str">
            <v>Lasagna, meatless</v>
          </cell>
          <cell r="I3814">
            <v>140</v>
          </cell>
          <cell r="J3814">
            <v>182</v>
          </cell>
          <cell r="K3814">
            <v>1.3</v>
          </cell>
          <cell r="L3814">
            <v>1.1842611000000001</v>
          </cell>
          <cell r="M3814">
            <v>2.9540000000000002</v>
          </cell>
          <cell r="N3814">
            <v>0</v>
          </cell>
          <cell r="O3814">
            <v>0.15540000000000001</v>
          </cell>
          <cell r="P3814">
            <v>1.1957389</v>
          </cell>
          <cell r="Q3814">
            <v>1.4308000000000001</v>
          </cell>
          <cell r="R3814">
            <v>0</v>
          </cell>
          <cell r="S3814">
            <v>0</v>
          </cell>
          <cell r="T3814">
            <v>0</v>
          </cell>
          <cell r="U3814">
            <v>72.03</v>
          </cell>
          <cell r="V3814">
            <v>0</v>
          </cell>
          <cell r="W3814">
            <v>0</v>
          </cell>
          <cell r="X3814">
            <v>0.39760000000000001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</row>
        <row r="3815">
          <cell r="A3815">
            <v>58130320</v>
          </cell>
          <cell r="B3815" t="str">
            <v>Lasagna, meatless, with vegetables</v>
          </cell>
          <cell r="I3815">
            <v>140</v>
          </cell>
          <cell r="J3815">
            <v>218.26990000000001</v>
          </cell>
          <cell r="K3815">
            <v>1.5590707142857143</v>
          </cell>
          <cell r="L3815">
            <v>0.81443189999999999</v>
          </cell>
          <cell r="M3815">
            <v>5.7510303</v>
          </cell>
          <cell r="N3815">
            <v>0</v>
          </cell>
          <cell r="O3815">
            <v>0.35734860000000002</v>
          </cell>
          <cell r="P3815">
            <v>0.66846689999999998</v>
          </cell>
          <cell r="Q3815">
            <v>0.87109499999999995</v>
          </cell>
          <cell r="R3815">
            <v>0</v>
          </cell>
          <cell r="S3815">
            <v>0</v>
          </cell>
          <cell r="T3815">
            <v>0</v>
          </cell>
          <cell r="U3815">
            <v>46.382587999999998</v>
          </cell>
          <cell r="V3815">
            <v>0</v>
          </cell>
          <cell r="W3815">
            <v>0</v>
          </cell>
          <cell r="X3815">
            <v>0.4489146</v>
          </cell>
          <cell r="Y3815">
            <v>0</v>
          </cell>
          <cell r="Z3815">
            <v>0</v>
          </cell>
          <cell r="AA3815">
            <v>0</v>
          </cell>
          <cell r="AB3815">
            <v>0.13474330000000001</v>
          </cell>
        </row>
        <row r="3816">
          <cell r="A3816">
            <v>58131120</v>
          </cell>
          <cell r="B3816" t="str">
            <v>Ravioli, NS as to filling, with cream sauce</v>
          </cell>
          <cell r="I3816">
            <v>195</v>
          </cell>
          <cell r="J3816">
            <v>377.15827999999999</v>
          </cell>
          <cell r="K3816">
            <v>1.9341450256410255</v>
          </cell>
          <cell r="L3816">
            <v>3.25253E-2</v>
          </cell>
          <cell r="M3816">
            <v>6.8672069999999996</v>
          </cell>
          <cell r="N3816">
            <v>0</v>
          </cell>
          <cell r="O3816">
            <v>0.1754067</v>
          </cell>
          <cell r="P3816">
            <v>0.98843349999999996</v>
          </cell>
          <cell r="Q3816">
            <v>2.9563617</v>
          </cell>
          <cell r="R3816">
            <v>0</v>
          </cell>
          <cell r="S3816">
            <v>0</v>
          </cell>
          <cell r="T3816">
            <v>0</v>
          </cell>
          <cell r="U3816">
            <v>1.9132530000000001</v>
          </cell>
          <cell r="V3816">
            <v>0</v>
          </cell>
          <cell r="W3816">
            <v>0</v>
          </cell>
          <cell r="X3816">
            <v>0.52650269999999999</v>
          </cell>
          <cell r="Y3816">
            <v>0</v>
          </cell>
          <cell r="Z3816">
            <v>22.149811</v>
          </cell>
          <cell r="AA3816">
            <v>0</v>
          </cell>
          <cell r="AB3816">
            <v>1.442609</v>
          </cell>
        </row>
        <row r="3817">
          <cell r="A3817">
            <v>58131310</v>
          </cell>
          <cell r="B3817" t="str">
            <v>Ravioli, meat-filled, no sauce</v>
          </cell>
          <cell r="I3817">
            <v>140</v>
          </cell>
          <cell r="J3817">
            <v>344.84123</v>
          </cell>
          <cell r="K3817">
            <v>2.4631516428571429</v>
          </cell>
          <cell r="L3817">
            <v>5.4330099999999999E-2</v>
          </cell>
          <cell r="M3817">
            <v>4.8817430999999996</v>
          </cell>
          <cell r="N3817">
            <v>0</v>
          </cell>
          <cell r="O3817">
            <v>5.6833700000000001E-2</v>
          </cell>
          <cell r="P3817">
            <v>1.1044986999999999</v>
          </cell>
          <cell r="Q3817">
            <v>1.0880768000000001</v>
          </cell>
          <cell r="R3817">
            <v>0</v>
          </cell>
          <cell r="S3817">
            <v>0</v>
          </cell>
          <cell r="T3817">
            <v>0</v>
          </cell>
          <cell r="U3817">
            <v>3.1958872999999999</v>
          </cell>
          <cell r="V3817">
            <v>0</v>
          </cell>
          <cell r="W3817">
            <v>0</v>
          </cell>
          <cell r="X3817">
            <v>1.4176318000000001</v>
          </cell>
          <cell r="Y3817">
            <v>0</v>
          </cell>
          <cell r="Z3817">
            <v>49.30536</v>
          </cell>
          <cell r="AA3817">
            <v>0</v>
          </cell>
          <cell r="AB3817">
            <v>0.43972</v>
          </cell>
        </row>
        <row r="3818">
          <cell r="A3818">
            <v>58131320</v>
          </cell>
          <cell r="B3818" t="str">
            <v>Ravioli, meat-filled, with tomato sauce or meat sauce</v>
          </cell>
          <cell r="I3818">
            <v>195</v>
          </cell>
          <cell r="J3818">
            <v>328.30822000000001</v>
          </cell>
          <cell r="K3818">
            <v>1.6836318974358975</v>
          </cell>
          <cell r="L3818">
            <v>1.2330236000000001</v>
          </cell>
          <cell r="M3818">
            <v>4.4770918000000002</v>
          </cell>
          <cell r="N3818">
            <v>0</v>
          </cell>
          <cell r="O3818">
            <v>5.9788399999999998E-2</v>
          </cell>
          <cell r="P3818">
            <v>0.91800029999999999</v>
          </cell>
          <cell r="Q3818">
            <v>1.7990264</v>
          </cell>
          <cell r="R3818">
            <v>0</v>
          </cell>
          <cell r="S3818">
            <v>0</v>
          </cell>
          <cell r="T3818">
            <v>0</v>
          </cell>
          <cell r="U3818">
            <v>65.703946000000002</v>
          </cell>
          <cell r="V3818">
            <v>0</v>
          </cell>
          <cell r="W3818">
            <v>0</v>
          </cell>
          <cell r="X3818">
            <v>1.3277493</v>
          </cell>
          <cell r="Y3818">
            <v>0</v>
          </cell>
          <cell r="Z3818">
            <v>39.472906999999999</v>
          </cell>
          <cell r="AA3818">
            <v>0</v>
          </cell>
          <cell r="AB3818">
            <v>0.88919939999999997</v>
          </cell>
        </row>
        <row r="3819">
          <cell r="A3819">
            <v>58131323</v>
          </cell>
          <cell r="B3819" t="str">
            <v>Ravioli, meat-filled, with tomato sauce or meat sauce, canned</v>
          </cell>
          <cell r="I3819">
            <v>195</v>
          </cell>
          <cell r="J3819">
            <v>189.15</v>
          </cell>
          <cell r="K3819">
            <v>0.97000000000000008</v>
          </cell>
          <cell r="L3819">
            <v>0.95401639999999999</v>
          </cell>
          <cell r="M3819">
            <v>2.847</v>
          </cell>
          <cell r="N3819">
            <v>0</v>
          </cell>
          <cell r="O3819">
            <v>2.3400000000000001E-2</v>
          </cell>
          <cell r="P3819">
            <v>1.9709836000000001</v>
          </cell>
          <cell r="Q3819">
            <v>0.46215000000000001</v>
          </cell>
          <cell r="R3819">
            <v>0</v>
          </cell>
          <cell r="S3819">
            <v>0</v>
          </cell>
          <cell r="T3819">
            <v>0</v>
          </cell>
          <cell r="U3819">
            <v>71.662499999999994</v>
          </cell>
          <cell r="V3819">
            <v>0</v>
          </cell>
          <cell r="W3819">
            <v>0</v>
          </cell>
          <cell r="X3819">
            <v>0.55184999999999995</v>
          </cell>
          <cell r="Y3819">
            <v>0</v>
          </cell>
          <cell r="Z3819">
            <v>5.5282499999999999</v>
          </cell>
          <cell r="AA3819">
            <v>0</v>
          </cell>
          <cell r="AB3819">
            <v>0.37440000000000001</v>
          </cell>
        </row>
        <row r="3820">
          <cell r="A3820">
            <v>58131330</v>
          </cell>
          <cell r="B3820" t="str">
            <v>Ravioli, meat-filled, with cream sauce</v>
          </cell>
          <cell r="I3820">
            <v>195</v>
          </cell>
          <cell r="J3820">
            <v>388.4228</v>
          </cell>
          <cell r="K3820">
            <v>1.9919117948717948</v>
          </cell>
          <cell r="L3820">
            <v>4.5727999999999998E-2</v>
          </cell>
          <cell r="M3820">
            <v>6.3281485999999996</v>
          </cell>
          <cell r="N3820">
            <v>0</v>
          </cell>
          <cell r="O3820">
            <v>0.12684870000000001</v>
          </cell>
          <cell r="P3820">
            <v>0.92962429999999996</v>
          </cell>
          <cell r="Q3820">
            <v>2.8566034</v>
          </cell>
          <cell r="R3820">
            <v>0</v>
          </cell>
          <cell r="S3820">
            <v>0</v>
          </cell>
          <cell r="T3820">
            <v>0</v>
          </cell>
          <cell r="U3820">
            <v>2.6898852</v>
          </cell>
          <cell r="V3820">
            <v>0</v>
          </cell>
          <cell r="W3820">
            <v>0</v>
          </cell>
          <cell r="X3820">
            <v>1.2952146</v>
          </cell>
          <cell r="Y3820">
            <v>0</v>
          </cell>
          <cell r="Z3820">
            <v>45.038494999999998</v>
          </cell>
          <cell r="AA3820">
            <v>0</v>
          </cell>
          <cell r="AB3820">
            <v>1.5566485000000001</v>
          </cell>
        </row>
        <row r="3821">
          <cell r="A3821">
            <v>58131510</v>
          </cell>
          <cell r="B3821" t="str">
            <v>Ravioli, cheese-filled, no sauce</v>
          </cell>
          <cell r="I3821">
            <v>140</v>
          </cell>
          <cell r="J3821">
            <v>322.71319999999997</v>
          </cell>
          <cell r="K3821">
            <v>2.3050942857142855</v>
          </cell>
          <cell r="L3821">
            <v>2.0445899999999999E-2</v>
          </cell>
          <cell r="M3821">
            <v>6.4782932999999998</v>
          </cell>
          <cell r="N3821">
            <v>0</v>
          </cell>
          <cell r="O3821">
            <v>0.16766790000000001</v>
          </cell>
          <cell r="P3821">
            <v>1.2178526000000001</v>
          </cell>
          <cell r="Q3821">
            <v>1.0483769999999999</v>
          </cell>
          <cell r="R3821">
            <v>0</v>
          </cell>
          <cell r="S3821">
            <v>0</v>
          </cell>
          <cell r="T3821">
            <v>0</v>
          </cell>
          <cell r="U3821">
            <v>1.2026971</v>
          </cell>
          <cell r="V3821">
            <v>0</v>
          </cell>
          <cell r="W3821">
            <v>0</v>
          </cell>
          <cell r="X3821">
            <v>1.1690180999999999</v>
          </cell>
          <cell r="Y3821">
            <v>0</v>
          </cell>
          <cell r="Z3821">
            <v>0</v>
          </cell>
          <cell r="AA3821">
            <v>0</v>
          </cell>
          <cell r="AB3821">
            <v>0.15371989999999999</v>
          </cell>
        </row>
        <row r="3822">
          <cell r="A3822">
            <v>58131520</v>
          </cell>
          <cell r="B3822" t="str">
            <v>Ravioli, cheese-filled, with tomato sauce</v>
          </cell>
          <cell r="I3822">
            <v>195</v>
          </cell>
          <cell r="J3822">
            <v>216.45</v>
          </cell>
          <cell r="K3822">
            <v>1.1099999999999999</v>
          </cell>
          <cell r="L3822">
            <v>1.1464083</v>
          </cell>
          <cell r="M3822">
            <v>2.3224499999999999</v>
          </cell>
          <cell r="N3822">
            <v>0</v>
          </cell>
          <cell r="O3822">
            <v>0.15404999999999999</v>
          </cell>
          <cell r="P3822">
            <v>1.5835916999999999</v>
          </cell>
          <cell r="Q3822">
            <v>0.81899999999999995</v>
          </cell>
          <cell r="R3822">
            <v>0</v>
          </cell>
          <cell r="S3822">
            <v>0</v>
          </cell>
          <cell r="T3822">
            <v>0</v>
          </cell>
          <cell r="U3822">
            <v>78.974999999999994</v>
          </cell>
          <cell r="V3822">
            <v>0</v>
          </cell>
          <cell r="W3822">
            <v>0</v>
          </cell>
          <cell r="X3822">
            <v>0.54600000000000004</v>
          </cell>
          <cell r="Y3822">
            <v>0</v>
          </cell>
          <cell r="Z3822">
            <v>0</v>
          </cell>
          <cell r="AA3822">
            <v>0</v>
          </cell>
          <cell r="AB3822">
            <v>0.14430000000000001</v>
          </cell>
        </row>
        <row r="3823">
          <cell r="A3823">
            <v>58131523</v>
          </cell>
          <cell r="B3823" t="str">
            <v>Ravioli, cheese-filled, with tomato sauce, canned</v>
          </cell>
          <cell r="I3823">
            <v>195</v>
          </cell>
          <cell r="J3823">
            <v>150.15</v>
          </cell>
          <cell r="K3823">
            <v>0.77</v>
          </cell>
          <cell r="L3823">
            <v>0.87841159999999996</v>
          </cell>
          <cell r="M3823">
            <v>1.40985</v>
          </cell>
          <cell r="N3823">
            <v>0</v>
          </cell>
          <cell r="O3823">
            <v>6.4350000000000004E-2</v>
          </cell>
          <cell r="P3823">
            <v>1.6565884</v>
          </cell>
          <cell r="Q3823">
            <v>0.35489999999999999</v>
          </cell>
          <cell r="R3823">
            <v>0</v>
          </cell>
          <cell r="S3823">
            <v>0</v>
          </cell>
          <cell r="T3823">
            <v>0</v>
          </cell>
          <cell r="U3823">
            <v>76.44</v>
          </cell>
          <cell r="V3823">
            <v>0</v>
          </cell>
          <cell r="W3823">
            <v>0</v>
          </cell>
          <cell r="X3823">
            <v>0.59670000000000001</v>
          </cell>
          <cell r="Y3823">
            <v>0</v>
          </cell>
          <cell r="Z3823">
            <v>0</v>
          </cell>
          <cell r="AA3823">
            <v>0</v>
          </cell>
          <cell r="AB3823">
            <v>0.1334757</v>
          </cell>
        </row>
        <row r="3824">
          <cell r="A3824">
            <v>58131530</v>
          </cell>
          <cell r="B3824" t="str">
            <v>Ravioli, cheese-filled, with meat sauce</v>
          </cell>
          <cell r="I3824">
            <v>195</v>
          </cell>
          <cell r="J3824">
            <v>309.28210999999999</v>
          </cell>
          <cell r="K3824">
            <v>1.5860621025641024</v>
          </cell>
          <cell r="L3824">
            <v>0.95757009999999998</v>
          </cell>
          <cell r="M3824">
            <v>6.0933197000000003</v>
          </cell>
          <cell r="N3824">
            <v>0</v>
          </cell>
          <cell r="O3824">
            <v>0.1326186</v>
          </cell>
          <cell r="P3824">
            <v>0.88403529999999997</v>
          </cell>
          <cell r="Q3824">
            <v>1.7433232000000001</v>
          </cell>
          <cell r="R3824">
            <v>0</v>
          </cell>
          <cell r="S3824">
            <v>0</v>
          </cell>
          <cell r="T3824">
            <v>0</v>
          </cell>
          <cell r="U3824">
            <v>63.053767000000001</v>
          </cell>
          <cell r="V3824">
            <v>0</v>
          </cell>
          <cell r="W3824">
            <v>0</v>
          </cell>
          <cell r="X3824">
            <v>1.3231573000000001</v>
          </cell>
          <cell r="Y3824">
            <v>0</v>
          </cell>
          <cell r="Z3824">
            <v>14.069184</v>
          </cell>
          <cell r="AA3824">
            <v>0</v>
          </cell>
          <cell r="AB3824">
            <v>0.66477350000000002</v>
          </cell>
        </row>
        <row r="3825">
          <cell r="A3825">
            <v>58131590</v>
          </cell>
          <cell r="B3825" t="str">
            <v>Ravioli, cheese and spinach-filled, no sauce</v>
          </cell>
          <cell r="I3825">
            <v>140</v>
          </cell>
          <cell r="J3825">
            <v>274.11203999999998</v>
          </cell>
          <cell r="K3825">
            <v>1.9579431428571428</v>
          </cell>
          <cell r="L3825">
            <v>0.78687119999999999</v>
          </cell>
          <cell r="M3825">
            <v>3.9695480999999999</v>
          </cell>
          <cell r="N3825">
            <v>0</v>
          </cell>
          <cell r="O3825">
            <v>0.1479441</v>
          </cell>
          <cell r="P3825">
            <v>1.1980588000000001</v>
          </cell>
          <cell r="Q3825">
            <v>0.95397100000000001</v>
          </cell>
          <cell r="R3825">
            <v>0</v>
          </cell>
          <cell r="S3825">
            <v>0</v>
          </cell>
          <cell r="T3825">
            <v>0</v>
          </cell>
          <cell r="U3825">
            <v>33.131383</v>
          </cell>
          <cell r="V3825">
            <v>0</v>
          </cell>
          <cell r="W3825">
            <v>0</v>
          </cell>
          <cell r="X3825">
            <v>0.94152899999999995</v>
          </cell>
          <cell r="Y3825">
            <v>0</v>
          </cell>
          <cell r="Z3825">
            <v>0</v>
          </cell>
          <cell r="AA3825">
            <v>0</v>
          </cell>
          <cell r="AB3825">
            <v>8.6333099999999996E-2</v>
          </cell>
        </row>
        <row r="3826">
          <cell r="A3826">
            <v>58131600</v>
          </cell>
          <cell r="B3826" t="str">
            <v>Ravioli, cheese and spinach-filled, with cream sauce</v>
          </cell>
          <cell r="I3826">
            <v>195</v>
          </cell>
          <cell r="J3826">
            <v>321.24901</v>
          </cell>
          <cell r="K3826">
            <v>1.6474308205128205</v>
          </cell>
          <cell r="L3826">
            <v>0.64852189999999998</v>
          </cell>
          <cell r="M3826">
            <v>5.4021711999999997</v>
          </cell>
          <cell r="N3826">
            <v>0</v>
          </cell>
          <cell r="O3826">
            <v>0.20681340000000001</v>
          </cell>
          <cell r="P3826">
            <v>0.9874136</v>
          </cell>
          <cell r="Q3826">
            <v>2.8636537999999998</v>
          </cell>
          <cell r="R3826">
            <v>0</v>
          </cell>
          <cell r="S3826">
            <v>0</v>
          </cell>
          <cell r="T3826">
            <v>0</v>
          </cell>
          <cell r="U3826">
            <v>27.306156000000001</v>
          </cell>
          <cell r="V3826">
            <v>0</v>
          </cell>
          <cell r="W3826">
            <v>0</v>
          </cell>
          <cell r="X3826">
            <v>0.86972519999999998</v>
          </cell>
          <cell r="Y3826">
            <v>0</v>
          </cell>
          <cell r="Z3826">
            <v>0</v>
          </cell>
          <cell r="AA3826">
            <v>0</v>
          </cell>
          <cell r="AB3826">
            <v>1.2725108000000001</v>
          </cell>
        </row>
        <row r="3827">
          <cell r="A3827">
            <v>58131610</v>
          </cell>
          <cell r="B3827" t="str">
            <v>Ravioli, cheese and spinach filled, with tomato sauce</v>
          </cell>
          <cell r="I3827">
            <v>195</v>
          </cell>
          <cell r="J3827">
            <v>259.47899999999998</v>
          </cell>
          <cell r="K3827">
            <v>1.3306615384615383</v>
          </cell>
          <cell r="L3827">
            <v>1.7639899999999999</v>
          </cell>
          <cell r="M3827">
            <v>3.5380175</v>
          </cell>
          <cell r="N3827">
            <v>0</v>
          </cell>
          <cell r="O3827">
            <v>0.14076530000000001</v>
          </cell>
          <cell r="P3827">
            <v>1.0595881</v>
          </cell>
          <cell r="Q3827">
            <v>0.92977960000000004</v>
          </cell>
          <cell r="R3827">
            <v>0</v>
          </cell>
          <cell r="S3827">
            <v>0</v>
          </cell>
          <cell r="T3827">
            <v>0</v>
          </cell>
          <cell r="U3827">
            <v>100.5064</v>
          </cell>
          <cell r="V3827">
            <v>0</v>
          </cell>
          <cell r="W3827">
            <v>0</v>
          </cell>
          <cell r="X3827">
            <v>1.1701968</v>
          </cell>
          <cell r="Y3827">
            <v>0</v>
          </cell>
          <cell r="Z3827">
            <v>0</v>
          </cell>
          <cell r="AA3827">
            <v>0</v>
          </cell>
          <cell r="AB3827">
            <v>8.5020399999999996E-2</v>
          </cell>
        </row>
        <row r="3828">
          <cell r="A3828">
            <v>58132110</v>
          </cell>
          <cell r="B3828" t="str">
            <v>Spaghetti with tomato sauce, meatless</v>
          </cell>
          <cell r="I3828">
            <v>248</v>
          </cell>
          <cell r="J3828">
            <v>293.23277000000002</v>
          </cell>
          <cell r="K3828">
            <v>1.1823902016129033</v>
          </cell>
          <cell r="L3828">
            <v>2.1278866999999999</v>
          </cell>
          <cell r="M3828">
            <v>1.0347017999999999</v>
          </cell>
          <cell r="N3828">
            <v>0</v>
          </cell>
          <cell r="O3828">
            <v>3.96035E-2</v>
          </cell>
          <cell r="P3828">
            <v>2.2568495</v>
          </cell>
          <cell r="Q3828">
            <v>2.8798102000000001</v>
          </cell>
          <cell r="R3828">
            <v>0</v>
          </cell>
          <cell r="S3828">
            <v>0</v>
          </cell>
          <cell r="T3828">
            <v>0</v>
          </cell>
          <cell r="U3828">
            <v>116.5278</v>
          </cell>
          <cell r="V3828">
            <v>0</v>
          </cell>
          <cell r="W3828">
            <v>0</v>
          </cell>
          <cell r="X3828">
            <v>0.64804289999999998</v>
          </cell>
          <cell r="Y3828">
            <v>0</v>
          </cell>
          <cell r="Z3828">
            <v>0</v>
          </cell>
          <cell r="AA3828">
            <v>0</v>
          </cell>
          <cell r="AB3828">
            <v>6.2716499999999994E-2</v>
          </cell>
        </row>
        <row r="3829">
          <cell r="A3829">
            <v>58132113</v>
          </cell>
          <cell r="B3829" t="str">
            <v>Pasta with tomato sauce and cheese, canned</v>
          </cell>
          <cell r="I3829">
            <v>249</v>
          </cell>
          <cell r="J3829">
            <v>174.3</v>
          </cell>
          <cell r="K3829">
            <v>0.70000000000000007</v>
          </cell>
          <cell r="L3829">
            <v>1.5096441</v>
          </cell>
          <cell r="M3829">
            <v>0.33864</v>
          </cell>
          <cell r="N3829">
            <v>0</v>
          </cell>
          <cell r="O3829">
            <v>3.2370000000000003E-2</v>
          </cell>
          <cell r="P3829">
            <v>0.73135589999999995</v>
          </cell>
          <cell r="Q3829">
            <v>0.42579</v>
          </cell>
          <cell r="R3829">
            <v>0</v>
          </cell>
          <cell r="S3829">
            <v>0</v>
          </cell>
          <cell r="T3829">
            <v>0</v>
          </cell>
          <cell r="U3829">
            <v>213.51750000000001</v>
          </cell>
          <cell r="V3829">
            <v>0</v>
          </cell>
          <cell r="W3829">
            <v>0</v>
          </cell>
          <cell r="X3829">
            <v>0.67727999999999999</v>
          </cell>
          <cell r="Y3829">
            <v>0</v>
          </cell>
          <cell r="Z3829">
            <v>0</v>
          </cell>
          <cell r="AA3829">
            <v>0</v>
          </cell>
          <cell r="AB3829">
            <v>1.494E-2</v>
          </cell>
        </row>
        <row r="3830">
          <cell r="A3830">
            <v>58132310</v>
          </cell>
          <cell r="B3830" t="str">
            <v>Spaghetti with tomato sauce and meatballs or spaghetti with meat sauce or spaghetti with meat sauce and meatballs</v>
          </cell>
          <cell r="I3830">
            <v>248</v>
          </cell>
          <cell r="J3830">
            <v>332.70657999999997</v>
          </cell>
          <cell r="K3830">
            <v>1.3415587903225805</v>
          </cell>
          <cell r="L3830">
            <v>1.9152134999999999</v>
          </cell>
          <cell r="M3830">
            <v>2.6797724000000001</v>
          </cell>
          <cell r="N3830">
            <v>0</v>
          </cell>
          <cell r="O3830">
            <v>4.1329900000000003E-2</v>
          </cell>
          <cell r="P3830">
            <v>2.0312871000000001</v>
          </cell>
          <cell r="Q3830">
            <v>2.8831180000000001</v>
          </cell>
          <cell r="R3830">
            <v>0</v>
          </cell>
          <cell r="S3830">
            <v>0</v>
          </cell>
          <cell r="T3830">
            <v>0</v>
          </cell>
          <cell r="U3830">
            <v>104.88135</v>
          </cell>
          <cell r="V3830">
            <v>0</v>
          </cell>
          <cell r="W3830">
            <v>0</v>
          </cell>
          <cell r="X3830">
            <v>0.68145080000000002</v>
          </cell>
          <cell r="Y3830">
            <v>0</v>
          </cell>
          <cell r="Z3830">
            <v>21.978487000000001</v>
          </cell>
          <cell r="AA3830">
            <v>0</v>
          </cell>
          <cell r="AB3830">
            <v>0.31013220000000002</v>
          </cell>
        </row>
        <row r="3831">
          <cell r="A3831">
            <v>58132313</v>
          </cell>
          <cell r="B3831" t="str">
            <v>Pasta with tomato sauce and meat or meatballs, canned</v>
          </cell>
          <cell r="I3831">
            <v>249</v>
          </cell>
          <cell r="J3831">
            <v>249</v>
          </cell>
          <cell r="K3831">
            <v>1</v>
          </cell>
          <cell r="L3831">
            <v>4.0398436999999996</v>
          </cell>
          <cell r="M3831">
            <v>3.6329099999999999</v>
          </cell>
          <cell r="N3831">
            <v>0</v>
          </cell>
          <cell r="O3831">
            <v>7.2209999999999996E-2</v>
          </cell>
          <cell r="P3831">
            <v>2.6831562999999998</v>
          </cell>
          <cell r="Q3831">
            <v>1.4018699999999999</v>
          </cell>
          <cell r="R3831">
            <v>0</v>
          </cell>
          <cell r="S3831">
            <v>0</v>
          </cell>
          <cell r="T3831">
            <v>0</v>
          </cell>
          <cell r="U3831">
            <v>189.1155</v>
          </cell>
          <cell r="V3831">
            <v>0</v>
          </cell>
          <cell r="W3831">
            <v>0</v>
          </cell>
          <cell r="X3831">
            <v>0.69720000000000004</v>
          </cell>
          <cell r="Y3831">
            <v>0</v>
          </cell>
          <cell r="Z3831">
            <v>37.413494999999998</v>
          </cell>
          <cell r="AA3831">
            <v>0</v>
          </cell>
          <cell r="AB3831">
            <v>0.28137000000000001</v>
          </cell>
        </row>
        <row r="3832">
          <cell r="A3832">
            <v>58132340</v>
          </cell>
          <cell r="B3832" t="str">
            <v>Spaghetti with tomato sauce and vegetables</v>
          </cell>
          <cell r="I3832">
            <v>248</v>
          </cell>
          <cell r="J3832">
            <v>291.87338</v>
          </cell>
          <cell r="K3832">
            <v>1.1769087903225806</v>
          </cell>
          <cell r="L3832">
            <v>1.9656882</v>
          </cell>
          <cell r="M3832">
            <v>0.99993620000000005</v>
          </cell>
          <cell r="N3832">
            <v>0</v>
          </cell>
          <cell r="O3832">
            <v>3.5788300000000002E-2</v>
          </cell>
          <cell r="P3832">
            <v>2.3153784000000002</v>
          </cell>
          <cell r="Q3832">
            <v>2.7576744999999998</v>
          </cell>
          <cell r="R3832">
            <v>0</v>
          </cell>
          <cell r="S3832">
            <v>0</v>
          </cell>
          <cell r="T3832">
            <v>0</v>
          </cell>
          <cell r="U3832">
            <v>113.61039</v>
          </cell>
          <cell r="V3832">
            <v>0</v>
          </cell>
          <cell r="W3832">
            <v>0</v>
          </cell>
          <cell r="X3832">
            <v>0.51495420000000003</v>
          </cell>
          <cell r="Y3832">
            <v>0</v>
          </cell>
          <cell r="Z3832">
            <v>0</v>
          </cell>
          <cell r="AA3832">
            <v>0</v>
          </cell>
          <cell r="AB3832">
            <v>9.24508E-2</v>
          </cell>
        </row>
        <row r="3833">
          <cell r="A3833">
            <v>58132350</v>
          </cell>
          <cell r="B3833" t="str">
            <v>Spaghetti with tomato sauce, meatless, whole wheat noodles</v>
          </cell>
          <cell r="I3833">
            <v>248</v>
          </cell>
          <cell r="J3833">
            <v>281.94853000000001</v>
          </cell>
          <cell r="K3833">
            <v>1.1368892338709677</v>
          </cell>
          <cell r="L3833">
            <v>7.0177272999999998</v>
          </cell>
          <cell r="M3833">
            <v>1.1187068</v>
          </cell>
          <cell r="N3833">
            <v>0</v>
          </cell>
          <cell r="O3833">
            <v>4.7126399999999999E-2</v>
          </cell>
          <cell r="P3833">
            <v>0</v>
          </cell>
          <cell r="Q3833">
            <v>3.1907540000000001</v>
          </cell>
          <cell r="R3833">
            <v>50.118986</v>
          </cell>
          <cell r="S3833">
            <v>0</v>
          </cell>
          <cell r="T3833">
            <v>0</v>
          </cell>
          <cell r="U3833">
            <v>116.5278</v>
          </cell>
          <cell r="V3833">
            <v>0</v>
          </cell>
          <cell r="W3833">
            <v>0</v>
          </cell>
          <cell r="X3833">
            <v>0.6518043</v>
          </cell>
          <cell r="Y3833">
            <v>0</v>
          </cell>
          <cell r="Z3833">
            <v>0</v>
          </cell>
          <cell r="AA3833">
            <v>0</v>
          </cell>
          <cell r="AB3833">
            <v>2.5671099999999999E-2</v>
          </cell>
        </row>
        <row r="3834">
          <cell r="A3834">
            <v>58132360</v>
          </cell>
          <cell r="B3834" t="str">
            <v>Spaghetti with tomato sauce and meatballs, whole wheat noodles or spaghetti with meat sauce, whole wheat noodles or spaghetti with meat sauce and meatballs, whole wheat noodles</v>
          </cell>
          <cell r="I3834">
            <v>248</v>
          </cell>
          <cell r="J3834">
            <v>322.55014999999997</v>
          </cell>
          <cell r="K3834">
            <v>1.3006054435483869</v>
          </cell>
          <cell r="L3834">
            <v>6.3163355000000001</v>
          </cell>
          <cell r="M3834">
            <v>2.7553814000000001</v>
          </cell>
          <cell r="N3834">
            <v>0</v>
          </cell>
          <cell r="O3834">
            <v>4.8100799999999999E-2</v>
          </cell>
          <cell r="P3834">
            <v>0</v>
          </cell>
          <cell r="Q3834">
            <v>3.1629841999999999</v>
          </cell>
          <cell r="R3834">
            <v>45.109808000000001</v>
          </cell>
          <cell r="S3834">
            <v>0</v>
          </cell>
          <cell r="T3834">
            <v>0</v>
          </cell>
          <cell r="U3834">
            <v>104.88135</v>
          </cell>
          <cell r="V3834">
            <v>0</v>
          </cell>
          <cell r="W3834">
            <v>0</v>
          </cell>
          <cell r="X3834">
            <v>0.68483629999999995</v>
          </cell>
          <cell r="Y3834">
            <v>0</v>
          </cell>
          <cell r="Z3834">
            <v>21.978487000000001</v>
          </cell>
          <cell r="AA3834">
            <v>0</v>
          </cell>
          <cell r="AB3834">
            <v>0.24300099999999999</v>
          </cell>
        </row>
        <row r="3835">
          <cell r="A3835">
            <v>58132450</v>
          </cell>
          <cell r="B3835" t="str">
            <v>Spaghetti with tomato sauce, meatless, made with spinach noodles</v>
          </cell>
          <cell r="I3835">
            <v>248</v>
          </cell>
          <cell r="J3835">
            <v>248.00124</v>
          </cell>
          <cell r="K3835">
            <v>1.000005</v>
          </cell>
          <cell r="L3835">
            <v>1.9845546000000001</v>
          </cell>
          <cell r="M3835">
            <v>0.78120650000000003</v>
          </cell>
          <cell r="N3835">
            <v>0</v>
          </cell>
          <cell r="O3835">
            <v>5.7703400000000002E-2</v>
          </cell>
          <cell r="P3835">
            <v>4.5696272000000002</v>
          </cell>
          <cell r="Q3835">
            <v>2.4782323000000002</v>
          </cell>
          <cell r="R3835">
            <v>0</v>
          </cell>
          <cell r="S3835">
            <v>0</v>
          </cell>
          <cell r="T3835">
            <v>0</v>
          </cell>
          <cell r="U3835">
            <v>109.14167999999999</v>
          </cell>
          <cell r="V3835">
            <v>0</v>
          </cell>
          <cell r="W3835">
            <v>0</v>
          </cell>
          <cell r="X3835">
            <v>0.85310830000000004</v>
          </cell>
          <cell r="Y3835">
            <v>0</v>
          </cell>
          <cell r="Z3835">
            <v>0</v>
          </cell>
          <cell r="AA3835">
            <v>0</v>
          </cell>
          <cell r="AB3835">
            <v>2.3869600000000001E-2</v>
          </cell>
        </row>
        <row r="3836">
          <cell r="A3836">
            <v>58132710</v>
          </cell>
          <cell r="B3836" t="str">
            <v>Spaghetti with tomato sauce and frankfurters or hot dogs</v>
          </cell>
          <cell r="I3836">
            <v>248</v>
          </cell>
          <cell r="J3836">
            <v>376.16541999999998</v>
          </cell>
          <cell r="K3836">
            <v>1.5167960483870968</v>
          </cell>
          <cell r="L3836">
            <v>1.7662408999999999</v>
          </cell>
          <cell r="M3836">
            <v>5.6891162</v>
          </cell>
          <cell r="N3836">
            <v>0</v>
          </cell>
          <cell r="O3836">
            <v>3.8773599999999998E-2</v>
          </cell>
          <cell r="P3836">
            <v>1.8732857999999999</v>
          </cell>
          <cell r="Q3836">
            <v>2.8531662999999998</v>
          </cell>
          <cell r="R3836">
            <v>0</v>
          </cell>
          <cell r="S3836">
            <v>0</v>
          </cell>
          <cell r="T3836">
            <v>0</v>
          </cell>
          <cell r="U3836">
            <v>96.723277999999993</v>
          </cell>
          <cell r="V3836">
            <v>0</v>
          </cell>
          <cell r="W3836">
            <v>0</v>
          </cell>
          <cell r="X3836">
            <v>0.90249279999999998</v>
          </cell>
          <cell r="Y3836">
            <v>0</v>
          </cell>
          <cell r="Z3836">
            <v>0</v>
          </cell>
          <cell r="AA3836">
            <v>32.860360999999997</v>
          </cell>
          <cell r="AB3836">
            <v>0.71850519999999996</v>
          </cell>
        </row>
        <row r="3837">
          <cell r="A3837">
            <v>58132800</v>
          </cell>
          <cell r="B3837" t="str">
            <v>Spaghetti with clam sauce, NS as to red or white</v>
          </cell>
          <cell r="I3837">
            <v>248</v>
          </cell>
          <cell r="J3837">
            <v>454.40928000000002</v>
          </cell>
          <cell r="K3837">
            <v>1.8322954838709677</v>
          </cell>
          <cell r="L3837">
            <v>2.0389600000000001E-2</v>
          </cell>
          <cell r="M3837">
            <v>3.3452682999999999</v>
          </cell>
          <cell r="N3837">
            <v>6.4594399999999996E-2</v>
          </cell>
          <cell r="O3837">
            <v>4.3881000000000003E-2</v>
          </cell>
          <cell r="P3837">
            <v>2.4666125999999999</v>
          </cell>
          <cell r="Q3837">
            <v>4.1437917000000004</v>
          </cell>
          <cell r="R3837">
            <v>0</v>
          </cell>
          <cell r="S3837">
            <v>0</v>
          </cell>
          <cell r="T3837">
            <v>0</v>
          </cell>
          <cell r="U3837">
            <v>0.97093529999999995</v>
          </cell>
          <cell r="V3837">
            <v>0</v>
          </cell>
          <cell r="W3837">
            <v>0</v>
          </cell>
          <cell r="X3837">
            <v>0.63528720000000005</v>
          </cell>
          <cell r="Y3837">
            <v>0</v>
          </cell>
          <cell r="Z3837">
            <v>0</v>
          </cell>
          <cell r="AA3837">
            <v>0</v>
          </cell>
          <cell r="AB3837">
            <v>0.18522230000000001</v>
          </cell>
        </row>
        <row r="3838">
          <cell r="A3838">
            <v>58132910</v>
          </cell>
          <cell r="B3838" t="str">
            <v>Spaghetti with tomato sauce and poultry</v>
          </cell>
          <cell r="I3838">
            <v>248</v>
          </cell>
          <cell r="J3838">
            <v>308.36218000000002</v>
          </cell>
          <cell r="K3838">
            <v>1.2433958870967743</v>
          </cell>
          <cell r="L3838">
            <v>1.9026904</v>
          </cell>
          <cell r="M3838">
            <v>1.3806311</v>
          </cell>
          <cell r="N3838">
            <v>0</v>
          </cell>
          <cell r="O3838">
            <v>3.9779599999999998E-2</v>
          </cell>
          <cell r="P3838">
            <v>2.018005</v>
          </cell>
          <cell r="Q3838">
            <v>3.0480657999999998</v>
          </cell>
          <cell r="R3838">
            <v>0</v>
          </cell>
          <cell r="S3838">
            <v>0</v>
          </cell>
          <cell r="T3838">
            <v>0</v>
          </cell>
          <cell r="U3838">
            <v>104.19556</v>
          </cell>
          <cell r="V3838">
            <v>0</v>
          </cell>
          <cell r="W3838">
            <v>0</v>
          </cell>
          <cell r="X3838">
            <v>0.64143399999999995</v>
          </cell>
          <cell r="Y3838">
            <v>0</v>
          </cell>
          <cell r="Z3838">
            <v>0</v>
          </cell>
          <cell r="AA3838">
            <v>0</v>
          </cell>
          <cell r="AB3838">
            <v>5.03334E-2</v>
          </cell>
        </row>
        <row r="3839">
          <cell r="A3839">
            <v>58133120</v>
          </cell>
          <cell r="B3839" t="str">
            <v>Manicotti, cheese-filled, with tomato sauce, meatless</v>
          </cell>
          <cell r="I3839">
            <v>195</v>
          </cell>
          <cell r="J3839">
            <v>306.29888</v>
          </cell>
          <cell r="K3839">
            <v>1.5707634871794871</v>
          </cell>
          <cell r="L3839">
            <v>0.85025390000000001</v>
          </cell>
          <cell r="M3839">
            <v>7.4441772000000004</v>
          </cell>
          <cell r="N3839">
            <v>0</v>
          </cell>
          <cell r="O3839">
            <v>0.26322640000000003</v>
          </cell>
          <cell r="P3839">
            <v>0.81104719999999997</v>
          </cell>
          <cell r="Q3839">
            <v>1.1041391</v>
          </cell>
          <cell r="R3839">
            <v>0</v>
          </cell>
          <cell r="S3839">
            <v>0</v>
          </cell>
          <cell r="T3839">
            <v>0</v>
          </cell>
          <cell r="U3839">
            <v>56.077674000000002</v>
          </cell>
          <cell r="V3839">
            <v>0</v>
          </cell>
          <cell r="W3839">
            <v>0</v>
          </cell>
          <cell r="X3839">
            <v>0.8450955</v>
          </cell>
          <cell r="Y3839">
            <v>0</v>
          </cell>
          <cell r="Z3839">
            <v>0</v>
          </cell>
          <cell r="AA3839">
            <v>0</v>
          </cell>
          <cell r="AB3839">
            <v>0.33912059999999999</v>
          </cell>
        </row>
        <row r="3840">
          <cell r="A3840">
            <v>58134120</v>
          </cell>
          <cell r="B3840" t="str">
            <v>Stuffed shells, cheese-filled, with tomato sauce, meatless</v>
          </cell>
          <cell r="I3840">
            <v>195</v>
          </cell>
          <cell r="J3840">
            <v>290.79084999999998</v>
          </cell>
          <cell r="K3840">
            <v>1.4912351282051282</v>
          </cell>
          <cell r="L3840">
            <v>0.92254590000000003</v>
          </cell>
          <cell r="M3840">
            <v>6.3192877000000003</v>
          </cell>
          <cell r="N3840">
            <v>0</v>
          </cell>
          <cell r="O3840">
            <v>0.2183889</v>
          </cell>
          <cell r="P3840">
            <v>0.88000579999999995</v>
          </cell>
          <cell r="Q3840">
            <v>1.0843478</v>
          </cell>
          <cell r="R3840">
            <v>0</v>
          </cell>
          <cell r="S3840">
            <v>0</v>
          </cell>
          <cell r="T3840">
            <v>0</v>
          </cell>
          <cell r="U3840">
            <v>60.845626000000003</v>
          </cell>
          <cell r="V3840">
            <v>0</v>
          </cell>
          <cell r="W3840">
            <v>0</v>
          </cell>
          <cell r="X3840">
            <v>0.81891809999999998</v>
          </cell>
          <cell r="Y3840">
            <v>0</v>
          </cell>
          <cell r="Z3840">
            <v>0</v>
          </cell>
          <cell r="AA3840">
            <v>0</v>
          </cell>
          <cell r="AB3840">
            <v>0.29084209999999999</v>
          </cell>
        </row>
        <row r="3841">
          <cell r="A3841">
            <v>58134130</v>
          </cell>
          <cell r="B3841" t="str">
            <v>Stuffed shells, cheese-filled, with meat sauce</v>
          </cell>
          <cell r="I3841">
            <v>195</v>
          </cell>
          <cell r="J3841">
            <v>313.71755000000002</v>
          </cell>
          <cell r="K3841">
            <v>1.6088079487179487</v>
          </cell>
          <cell r="L3841">
            <v>1.0635125999999999</v>
          </cell>
          <cell r="M3841">
            <v>6.7649318000000003</v>
          </cell>
          <cell r="N3841">
            <v>0</v>
          </cell>
          <cell r="O3841">
            <v>0.208064</v>
          </cell>
          <cell r="P3841">
            <v>0.81651790000000002</v>
          </cell>
          <cell r="Q3841">
            <v>1.0575543000000001</v>
          </cell>
          <cell r="R3841">
            <v>0</v>
          </cell>
          <cell r="S3841">
            <v>0</v>
          </cell>
          <cell r="T3841">
            <v>0</v>
          </cell>
          <cell r="U3841">
            <v>56.455931999999997</v>
          </cell>
          <cell r="V3841">
            <v>0</v>
          </cell>
          <cell r="W3841">
            <v>0</v>
          </cell>
          <cell r="X3841">
            <v>0.58429010000000003</v>
          </cell>
          <cell r="Y3841">
            <v>0</v>
          </cell>
          <cell r="Z3841">
            <v>12.76713</v>
          </cell>
          <cell r="AA3841">
            <v>0</v>
          </cell>
          <cell r="AB3841">
            <v>0.34292299999999998</v>
          </cell>
        </row>
        <row r="3842">
          <cell r="A3842">
            <v>58134210</v>
          </cell>
          <cell r="B3842" t="str">
            <v>Stuffed shells, with chicken, with tomato sauce</v>
          </cell>
          <cell r="I3842">
            <v>195</v>
          </cell>
          <cell r="J3842">
            <v>258.92779000000002</v>
          </cell>
          <cell r="K3842">
            <v>1.3278348205128205</v>
          </cell>
          <cell r="L3842">
            <v>1.1813031000000001</v>
          </cell>
          <cell r="M3842">
            <v>1.3445851</v>
          </cell>
          <cell r="N3842">
            <v>0</v>
          </cell>
          <cell r="O3842">
            <v>4.2235399999999999E-2</v>
          </cell>
          <cell r="P3842">
            <v>0.90695219999999999</v>
          </cell>
          <cell r="Q3842">
            <v>1.1737607000000001</v>
          </cell>
          <cell r="R3842">
            <v>0</v>
          </cell>
          <cell r="S3842">
            <v>0</v>
          </cell>
          <cell r="T3842">
            <v>0</v>
          </cell>
          <cell r="U3842">
            <v>62.708767000000002</v>
          </cell>
          <cell r="V3842">
            <v>0</v>
          </cell>
          <cell r="W3842">
            <v>0</v>
          </cell>
          <cell r="X3842">
            <v>0.41046539999999998</v>
          </cell>
          <cell r="Y3842">
            <v>0</v>
          </cell>
          <cell r="Z3842">
            <v>0</v>
          </cell>
          <cell r="AA3842">
            <v>0</v>
          </cell>
          <cell r="AB3842">
            <v>2.1325799999999999E-2</v>
          </cell>
        </row>
        <row r="3843">
          <cell r="A3843">
            <v>58134610</v>
          </cell>
          <cell r="B3843" t="str">
            <v>Tortellini, meat-filled, with tomato sauce</v>
          </cell>
          <cell r="I3843">
            <v>210</v>
          </cell>
          <cell r="J3843">
            <v>280.38702000000001</v>
          </cell>
          <cell r="K3843">
            <v>1.3351762857142857</v>
          </cell>
          <cell r="L3843">
            <v>0.69659170000000004</v>
          </cell>
          <cell r="M3843">
            <v>2.9656847000000002</v>
          </cell>
          <cell r="N3843">
            <v>0</v>
          </cell>
          <cell r="O3843">
            <v>7.7915700000000004E-2</v>
          </cell>
          <cell r="P3843">
            <v>1.4187871000000001</v>
          </cell>
          <cell r="Q3843">
            <v>2.1729853000000001</v>
          </cell>
          <cell r="R3843">
            <v>0</v>
          </cell>
          <cell r="S3843">
            <v>0</v>
          </cell>
          <cell r="T3843">
            <v>0</v>
          </cell>
          <cell r="U3843">
            <v>46.762842999999997</v>
          </cell>
          <cell r="V3843">
            <v>0</v>
          </cell>
          <cell r="W3843">
            <v>0</v>
          </cell>
          <cell r="X3843">
            <v>1.3022338</v>
          </cell>
          <cell r="Y3843">
            <v>0</v>
          </cell>
          <cell r="Z3843">
            <v>10.278527</v>
          </cell>
          <cell r="AA3843">
            <v>5.3010694999999997</v>
          </cell>
          <cell r="AB3843">
            <v>0.75411790000000001</v>
          </cell>
        </row>
        <row r="3844">
          <cell r="A3844">
            <v>58134620</v>
          </cell>
          <cell r="B3844" t="str">
            <v>Tortellini, cheese-filled, meatless, with tomato sauce</v>
          </cell>
          <cell r="I3844">
            <v>250</v>
          </cell>
          <cell r="J3844">
            <v>466.75531999999998</v>
          </cell>
          <cell r="K3844">
            <v>1.8670212799999999</v>
          </cell>
          <cell r="L3844">
            <v>2.1063830000000001</v>
          </cell>
          <cell r="M3844">
            <v>5.0423403999999996</v>
          </cell>
          <cell r="N3844">
            <v>0</v>
          </cell>
          <cell r="O3844">
            <v>0.23255319999999999</v>
          </cell>
          <cell r="P3844">
            <v>2.5265957000000001</v>
          </cell>
          <cell r="Q3844">
            <v>1.4005851</v>
          </cell>
          <cell r="R3844">
            <v>0</v>
          </cell>
          <cell r="S3844">
            <v>0</v>
          </cell>
          <cell r="T3844">
            <v>0</v>
          </cell>
          <cell r="U3844">
            <v>115.35021</v>
          </cell>
          <cell r="V3844">
            <v>0</v>
          </cell>
          <cell r="W3844">
            <v>0</v>
          </cell>
          <cell r="X3844">
            <v>1.0512766</v>
          </cell>
          <cell r="Y3844">
            <v>0</v>
          </cell>
          <cell r="Z3844">
            <v>0</v>
          </cell>
          <cell r="AA3844">
            <v>0</v>
          </cell>
          <cell r="AB3844">
            <v>0.32708379999999998</v>
          </cell>
        </row>
        <row r="3845">
          <cell r="A3845">
            <v>58134640</v>
          </cell>
          <cell r="B3845" t="str">
            <v>Tortellini, cheese-filled, meatless, with vinaigrette dressing</v>
          </cell>
          <cell r="I3845">
            <v>169</v>
          </cell>
          <cell r="J3845">
            <v>377.61214999999999</v>
          </cell>
          <cell r="K3845">
            <v>2.2343914201183432</v>
          </cell>
          <cell r="L3845">
            <v>0.1086545</v>
          </cell>
          <cell r="M3845">
            <v>7.5571183</v>
          </cell>
          <cell r="N3845">
            <v>0</v>
          </cell>
          <cell r="O3845">
            <v>0.1504074</v>
          </cell>
          <cell r="P3845">
            <v>1.0785560999999999</v>
          </cell>
          <cell r="Q3845">
            <v>5.7429265999999997</v>
          </cell>
          <cell r="R3845">
            <v>0</v>
          </cell>
          <cell r="S3845">
            <v>0</v>
          </cell>
          <cell r="T3845">
            <v>0</v>
          </cell>
          <cell r="U3845">
            <v>6.3914438000000002</v>
          </cell>
          <cell r="V3845">
            <v>0</v>
          </cell>
          <cell r="W3845">
            <v>0</v>
          </cell>
          <cell r="X3845">
            <v>1.2220868</v>
          </cell>
          <cell r="Y3845">
            <v>0</v>
          </cell>
          <cell r="Z3845">
            <v>0</v>
          </cell>
          <cell r="AA3845">
            <v>0</v>
          </cell>
          <cell r="AB3845">
            <v>0.15338589999999999</v>
          </cell>
        </row>
        <row r="3846">
          <cell r="A3846">
            <v>58134650</v>
          </cell>
          <cell r="B3846" t="str">
            <v>Tortellini, meat-filled, no sauce</v>
          </cell>
          <cell r="I3846">
            <v>190</v>
          </cell>
          <cell r="J3846">
            <v>471.59483999999998</v>
          </cell>
          <cell r="K3846">
            <v>2.4820781052631578</v>
          </cell>
          <cell r="L3846">
            <v>2.1090000000000001E-16</v>
          </cell>
          <cell r="M3846">
            <v>6.4168143000000004</v>
          </cell>
          <cell r="N3846">
            <v>0</v>
          </cell>
          <cell r="O3846">
            <v>0.16253390000000001</v>
          </cell>
          <cell r="P3846">
            <v>1.4713879999999999</v>
          </cell>
          <cell r="Q3846">
            <v>3.0638209000000001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1.0858004999999999</v>
          </cell>
          <cell r="Y3846">
            <v>0</v>
          </cell>
          <cell r="Z3846">
            <v>26.431609999999999</v>
          </cell>
          <cell r="AA3846">
            <v>12.506112999999999</v>
          </cell>
          <cell r="AB3846">
            <v>0.80085010000000001</v>
          </cell>
        </row>
        <row r="3847">
          <cell r="A3847">
            <v>58134660</v>
          </cell>
          <cell r="B3847" t="str">
            <v>Tortellini, cheese-filled, with cream sauce</v>
          </cell>
          <cell r="I3847">
            <v>250</v>
          </cell>
          <cell r="J3847">
            <v>443.28402</v>
          </cell>
          <cell r="K3847">
            <v>1.77313608</v>
          </cell>
          <cell r="L3847">
            <v>0.1188155</v>
          </cell>
          <cell r="M3847">
            <v>8.7696690000000004</v>
          </cell>
          <cell r="N3847">
            <v>0</v>
          </cell>
          <cell r="O3847">
            <v>0.26755289999999998</v>
          </cell>
          <cell r="P3847">
            <v>1.354147</v>
          </cell>
          <cell r="Q3847">
            <v>3.5166483999999998</v>
          </cell>
          <cell r="R3847">
            <v>0</v>
          </cell>
          <cell r="S3847">
            <v>0</v>
          </cell>
          <cell r="T3847">
            <v>0</v>
          </cell>
          <cell r="U3847">
            <v>6.9891458999999996</v>
          </cell>
          <cell r="V3847">
            <v>0</v>
          </cell>
          <cell r="W3847">
            <v>0</v>
          </cell>
          <cell r="X3847">
            <v>1.6454129</v>
          </cell>
          <cell r="Y3847">
            <v>0</v>
          </cell>
          <cell r="Z3847">
            <v>0</v>
          </cell>
          <cell r="AA3847">
            <v>0</v>
          </cell>
          <cell r="AB3847">
            <v>0.71698720000000005</v>
          </cell>
        </row>
        <row r="3848">
          <cell r="A3848">
            <v>58134680</v>
          </cell>
          <cell r="B3848" t="str">
            <v>Tortellini, cheese-filled, no sauce</v>
          </cell>
          <cell r="I3848">
            <v>150</v>
          </cell>
          <cell r="J3848">
            <v>460.5</v>
          </cell>
          <cell r="K3848">
            <v>3.07</v>
          </cell>
          <cell r="L3848">
            <v>0</v>
          </cell>
          <cell r="M3848">
            <v>5.4</v>
          </cell>
          <cell r="N3848">
            <v>0</v>
          </cell>
          <cell r="O3848">
            <v>0.22800000000000001</v>
          </cell>
          <cell r="P3848">
            <v>2.85</v>
          </cell>
          <cell r="Q3848">
            <v>0.6915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0.60899999999999999</v>
          </cell>
          <cell r="Y3848">
            <v>0</v>
          </cell>
          <cell r="Z3848">
            <v>0</v>
          </cell>
          <cell r="AA3848">
            <v>0</v>
          </cell>
          <cell r="AB3848">
            <v>0.36611490000000002</v>
          </cell>
        </row>
        <row r="3849">
          <cell r="A3849">
            <v>58134720</v>
          </cell>
          <cell r="B3849" t="str">
            <v>Tortellini, spinach-filled, no sauce</v>
          </cell>
          <cell r="I3849">
            <v>122</v>
          </cell>
          <cell r="J3849">
            <v>296.28791999999999</v>
          </cell>
          <cell r="K3849">
            <v>2.4285895081967213</v>
          </cell>
          <cell r="L3849">
            <v>0.31963599999999998</v>
          </cell>
          <cell r="M3849">
            <v>3.8941088000000001</v>
          </cell>
          <cell r="N3849">
            <v>0</v>
          </cell>
          <cell r="O3849">
            <v>0.13548360000000001</v>
          </cell>
          <cell r="P3849">
            <v>1.1071138</v>
          </cell>
          <cell r="Q3849">
            <v>2.0552499000000002</v>
          </cell>
          <cell r="R3849">
            <v>0</v>
          </cell>
          <cell r="S3849">
            <v>0</v>
          </cell>
          <cell r="T3849">
            <v>0</v>
          </cell>
          <cell r="U3849">
            <v>13.318168</v>
          </cell>
          <cell r="V3849">
            <v>0</v>
          </cell>
          <cell r="W3849">
            <v>0</v>
          </cell>
          <cell r="X3849">
            <v>0.32069310000000001</v>
          </cell>
          <cell r="Y3849">
            <v>0</v>
          </cell>
          <cell r="Z3849">
            <v>0</v>
          </cell>
          <cell r="AA3849">
            <v>2.7508677000000001</v>
          </cell>
          <cell r="AB3849">
            <v>0.59832039999999997</v>
          </cell>
        </row>
        <row r="3850">
          <cell r="A3850">
            <v>58135110</v>
          </cell>
          <cell r="B3850" t="str">
            <v>Chow fun noodles with meat and vegetables</v>
          </cell>
          <cell r="I3850">
            <v>152</v>
          </cell>
          <cell r="J3850">
            <v>154.51401999999999</v>
          </cell>
          <cell r="K3850">
            <v>1.0165396052631579</v>
          </cell>
          <cell r="L3850">
            <v>0.67575300000000005</v>
          </cell>
          <cell r="M3850">
            <v>1.2898864000000001</v>
          </cell>
          <cell r="N3850">
            <v>0</v>
          </cell>
          <cell r="O3850">
            <v>2.3697699999999999E-2</v>
          </cell>
          <cell r="P3850">
            <v>0.65958939999999999</v>
          </cell>
          <cell r="Q3850">
            <v>0.83134399999999997</v>
          </cell>
          <cell r="R3850">
            <v>0</v>
          </cell>
          <cell r="S3850">
            <v>0</v>
          </cell>
          <cell r="T3850">
            <v>0</v>
          </cell>
          <cell r="U3850">
            <v>56.312750000000001</v>
          </cell>
          <cell r="V3850">
            <v>0</v>
          </cell>
          <cell r="W3850">
            <v>0</v>
          </cell>
          <cell r="X3850">
            <v>0.24628340000000001</v>
          </cell>
          <cell r="Y3850">
            <v>0</v>
          </cell>
          <cell r="Z3850">
            <v>30.945235</v>
          </cell>
          <cell r="AA3850">
            <v>0</v>
          </cell>
          <cell r="AB3850">
            <v>9.0192999999999992E-3</v>
          </cell>
        </row>
        <row r="3851">
          <cell r="A3851">
            <v>58135120</v>
          </cell>
          <cell r="B3851" t="str">
            <v>Chow fun noodles with vegetables, meatless</v>
          </cell>
          <cell r="I3851">
            <v>152</v>
          </cell>
          <cell r="J3851">
            <v>112.54489</v>
          </cell>
          <cell r="K3851">
            <v>0.74042690789473686</v>
          </cell>
          <cell r="L3851">
            <v>0.84956849999999995</v>
          </cell>
          <cell r="M3851">
            <v>0.24936120000000001</v>
          </cell>
          <cell r="N3851">
            <v>0</v>
          </cell>
          <cell r="O3851">
            <v>2.27557E-2</v>
          </cell>
          <cell r="P3851">
            <v>0.82924730000000002</v>
          </cell>
          <cell r="Q3851">
            <v>0.7480426</v>
          </cell>
          <cell r="R3851">
            <v>0</v>
          </cell>
          <cell r="S3851">
            <v>0</v>
          </cell>
          <cell r="T3851">
            <v>0</v>
          </cell>
          <cell r="U3851">
            <v>70.797370999999998</v>
          </cell>
          <cell r="V3851">
            <v>0</v>
          </cell>
          <cell r="W3851">
            <v>0</v>
          </cell>
          <cell r="X3851">
            <v>0.28695559999999998</v>
          </cell>
          <cell r="Y3851">
            <v>0</v>
          </cell>
          <cell r="Z3851">
            <v>0</v>
          </cell>
          <cell r="AA3851">
            <v>0</v>
          </cell>
          <cell r="AB3851">
            <v>1.92371E-2</v>
          </cell>
        </row>
        <row r="3852">
          <cell r="A3852">
            <v>58136110</v>
          </cell>
          <cell r="B3852" t="str">
            <v>Lo mein, NFS</v>
          </cell>
          <cell r="I3852">
            <v>200</v>
          </cell>
          <cell r="J3852">
            <v>242</v>
          </cell>
          <cell r="K3852">
            <v>1.21</v>
          </cell>
          <cell r="L3852">
            <v>0.8573828</v>
          </cell>
          <cell r="M3852">
            <v>0.92800000000000005</v>
          </cell>
          <cell r="N3852">
            <v>0</v>
          </cell>
          <cell r="O3852">
            <v>4.2000000000000003E-2</v>
          </cell>
          <cell r="P3852">
            <v>1.7426172</v>
          </cell>
          <cell r="Q3852">
            <v>2.5819999999999999</v>
          </cell>
          <cell r="R3852">
            <v>0</v>
          </cell>
          <cell r="S3852">
            <v>0</v>
          </cell>
          <cell r="T3852">
            <v>0</v>
          </cell>
          <cell r="U3852">
            <v>93</v>
          </cell>
          <cell r="V3852">
            <v>0</v>
          </cell>
          <cell r="W3852">
            <v>0</v>
          </cell>
          <cell r="X3852">
            <v>0.86</v>
          </cell>
          <cell r="Y3852">
            <v>0</v>
          </cell>
          <cell r="Z3852">
            <v>0</v>
          </cell>
          <cell r="AA3852">
            <v>0</v>
          </cell>
          <cell r="AB3852">
            <v>1.6E-2</v>
          </cell>
        </row>
        <row r="3853">
          <cell r="A3853">
            <v>58136120</v>
          </cell>
          <cell r="B3853" t="str">
            <v>Lo mein, meatless</v>
          </cell>
          <cell r="I3853">
            <v>200</v>
          </cell>
          <cell r="J3853">
            <v>242</v>
          </cell>
          <cell r="K3853">
            <v>1.21</v>
          </cell>
          <cell r="L3853">
            <v>0.83679360000000003</v>
          </cell>
          <cell r="M3853">
            <v>0.92800000000000005</v>
          </cell>
          <cell r="N3853">
            <v>0</v>
          </cell>
          <cell r="O3853">
            <v>4.2000000000000003E-2</v>
          </cell>
          <cell r="P3853">
            <v>1.7632064000000001</v>
          </cell>
          <cell r="Q3853">
            <v>2.5819999999999999</v>
          </cell>
          <cell r="R3853">
            <v>0</v>
          </cell>
          <cell r="S3853">
            <v>0</v>
          </cell>
          <cell r="T3853">
            <v>0</v>
          </cell>
          <cell r="U3853">
            <v>80.599999999999994</v>
          </cell>
          <cell r="V3853">
            <v>0</v>
          </cell>
          <cell r="W3853">
            <v>0</v>
          </cell>
          <cell r="X3853">
            <v>0.86</v>
          </cell>
          <cell r="Y3853">
            <v>0</v>
          </cell>
          <cell r="Z3853">
            <v>0</v>
          </cell>
          <cell r="AA3853">
            <v>0</v>
          </cell>
          <cell r="AB3853">
            <v>1.6E-2</v>
          </cell>
        </row>
        <row r="3854">
          <cell r="A3854">
            <v>58136130</v>
          </cell>
          <cell r="B3854" t="str">
            <v>Lo mein, with shrimp</v>
          </cell>
          <cell r="I3854">
            <v>200</v>
          </cell>
          <cell r="J3854">
            <v>241.15767</v>
          </cell>
          <cell r="K3854">
            <v>1.20578835</v>
          </cell>
          <cell r="L3854">
            <v>0.66058050000000001</v>
          </cell>
          <cell r="M3854">
            <v>0.95200629999999997</v>
          </cell>
          <cell r="N3854">
            <v>0.11624089999999999</v>
          </cell>
          <cell r="O3854">
            <v>7.14814E-2</v>
          </cell>
          <cell r="P3854">
            <v>1.3919081</v>
          </cell>
          <cell r="Q3854">
            <v>2.2867651000000002</v>
          </cell>
          <cell r="R3854">
            <v>0</v>
          </cell>
          <cell r="S3854">
            <v>0</v>
          </cell>
          <cell r="T3854">
            <v>0</v>
          </cell>
          <cell r="U3854">
            <v>63.627149000000003</v>
          </cell>
          <cell r="V3854">
            <v>0</v>
          </cell>
          <cell r="W3854">
            <v>0</v>
          </cell>
          <cell r="X3854">
            <v>1.0777410000000001</v>
          </cell>
          <cell r="Y3854">
            <v>0</v>
          </cell>
          <cell r="Z3854">
            <v>0</v>
          </cell>
          <cell r="AA3854">
            <v>0</v>
          </cell>
          <cell r="AB3854">
            <v>2.7371400000000001E-2</v>
          </cell>
        </row>
        <row r="3855">
          <cell r="A3855">
            <v>58136140</v>
          </cell>
          <cell r="B3855" t="str">
            <v>Lo mein, with pork</v>
          </cell>
          <cell r="I3855">
            <v>200</v>
          </cell>
          <cell r="J3855">
            <v>276.76825000000002</v>
          </cell>
          <cell r="K3855">
            <v>1.3838412500000001</v>
          </cell>
          <cell r="L3855">
            <v>0.67148759999999996</v>
          </cell>
          <cell r="M3855">
            <v>2.1314555999999998</v>
          </cell>
          <cell r="N3855">
            <v>0</v>
          </cell>
          <cell r="O3855">
            <v>4.0814700000000002E-2</v>
          </cell>
          <cell r="P3855">
            <v>1.4148905000000001</v>
          </cell>
          <cell r="Q3855">
            <v>2.3722051999999998</v>
          </cell>
          <cell r="R3855">
            <v>0</v>
          </cell>
          <cell r="S3855">
            <v>0</v>
          </cell>
          <cell r="T3855">
            <v>0</v>
          </cell>
          <cell r="U3855">
            <v>64.677721000000005</v>
          </cell>
          <cell r="V3855">
            <v>0</v>
          </cell>
          <cell r="W3855">
            <v>0</v>
          </cell>
          <cell r="X3855">
            <v>0.71302509999999997</v>
          </cell>
          <cell r="Y3855">
            <v>0</v>
          </cell>
          <cell r="Z3855">
            <v>39.315187999999999</v>
          </cell>
          <cell r="AA3855">
            <v>0</v>
          </cell>
          <cell r="AB3855">
            <v>0.15855269999999999</v>
          </cell>
        </row>
        <row r="3856">
          <cell r="A3856">
            <v>58136150</v>
          </cell>
          <cell r="B3856" t="str">
            <v>Lo mein, with beef</v>
          </cell>
          <cell r="I3856">
            <v>200</v>
          </cell>
          <cell r="J3856">
            <v>257.40866</v>
          </cell>
          <cell r="K3856">
            <v>1.2870432999999999</v>
          </cell>
          <cell r="L3856">
            <v>0.67148759999999996</v>
          </cell>
          <cell r="M3856">
            <v>1.4048782</v>
          </cell>
          <cell r="N3856">
            <v>0</v>
          </cell>
          <cell r="O3856">
            <v>4.0024499999999998E-2</v>
          </cell>
          <cell r="P3856">
            <v>1.4148905000000001</v>
          </cell>
          <cell r="Q3856">
            <v>2.1908571999999999</v>
          </cell>
          <cell r="R3856">
            <v>0</v>
          </cell>
          <cell r="S3856">
            <v>0</v>
          </cell>
          <cell r="T3856">
            <v>0</v>
          </cell>
          <cell r="U3856">
            <v>64.677721000000005</v>
          </cell>
          <cell r="V3856">
            <v>0</v>
          </cell>
          <cell r="W3856">
            <v>0</v>
          </cell>
          <cell r="X3856">
            <v>0.71658100000000002</v>
          </cell>
          <cell r="Y3856">
            <v>0</v>
          </cell>
          <cell r="Z3856">
            <v>39.509376000000003</v>
          </cell>
          <cell r="AA3856">
            <v>0</v>
          </cell>
          <cell r="AB3856">
            <v>9.7389299999999998E-2</v>
          </cell>
        </row>
        <row r="3857">
          <cell r="A3857">
            <v>58136160</v>
          </cell>
          <cell r="B3857" t="str">
            <v>Lo mein, with chicken</v>
          </cell>
          <cell r="I3857">
            <v>200</v>
          </cell>
          <cell r="J3857">
            <v>259.20985999999999</v>
          </cell>
          <cell r="K3857">
            <v>1.2960493</v>
          </cell>
          <cell r="L3857">
            <v>0.67049919999999996</v>
          </cell>
          <cell r="M3857">
            <v>1.3712432000000001</v>
          </cell>
          <cell r="N3857">
            <v>0</v>
          </cell>
          <cell r="O3857">
            <v>3.9376800000000003E-2</v>
          </cell>
          <cell r="P3857">
            <v>1.4128077000000001</v>
          </cell>
          <cell r="Q3857">
            <v>2.4413402</v>
          </cell>
          <cell r="R3857">
            <v>0</v>
          </cell>
          <cell r="S3857">
            <v>0</v>
          </cell>
          <cell r="T3857">
            <v>0</v>
          </cell>
          <cell r="U3857">
            <v>64.582511999999994</v>
          </cell>
          <cell r="V3857">
            <v>0</v>
          </cell>
          <cell r="W3857">
            <v>0</v>
          </cell>
          <cell r="X3857">
            <v>0.82625599999999999</v>
          </cell>
          <cell r="Y3857">
            <v>0</v>
          </cell>
          <cell r="Z3857">
            <v>0</v>
          </cell>
          <cell r="AA3857">
            <v>0</v>
          </cell>
          <cell r="AB3857">
            <v>1.28203E-2</v>
          </cell>
        </row>
        <row r="3858">
          <cell r="A3858">
            <v>58137220</v>
          </cell>
          <cell r="B3858" t="str">
            <v>Pad Thai, meatless</v>
          </cell>
          <cell r="I3858">
            <v>200</v>
          </cell>
          <cell r="J3858">
            <v>294.60654</v>
          </cell>
          <cell r="K3858">
            <v>1.4730327000000001</v>
          </cell>
          <cell r="L3858">
            <v>0.93732919999999997</v>
          </cell>
          <cell r="M3858">
            <v>2.5773538</v>
          </cell>
          <cell r="N3858">
            <v>0</v>
          </cell>
          <cell r="O3858">
            <v>0.11586109999999999</v>
          </cell>
          <cell r="P3858">
            <v>2.1583831</v>
          </cell>
          <cell r="Q3858">
            <v>6.3422253</v>
          </cell>
          <cell r="R3858">
            <v>0</v>
          </cell>
          <cell r="S3858">
            <v>0</v>
          </cell>
          <cell r="T3858">
            <v>10.573369</v>
          </cell>
          <cell r="U3858">
            <v>49.248071000000003</v>
          </cell>
          <cell r="V3858">
            <v>0</v>
          </cell>
          <cell r="W3858">
            <v>0</v>
          </cell>
          <cell r="X3858">
            <v>0.62205449999999995</v>
          </cell>
          <cell r="Y3858">
            <v>6.9988197000000003</v>
          </cell>
          <cell r="Z3858">
            <v>0</v>
          </cell>
          <cell r="AA3858">
            <v>0</v>
          </cell>
          <cell r="AB3858">
            <v>0.1038572</v>
          </cell>
        </row>
        <row r="3859">
          <cell r="A3859">
            <v>58137230</v>
          </cell>
          <cell r="B3859" t="str">
            <v>Pad Thai with chicken</v>
          </cell>
          <cell r="I3859">
            <v>200</v>
          </cell>
          <cell r="J3859">
            <v>275.03041000000002</v>
          </cell>
          <cell r="K3859">
            <v>1.3751520500000001</v>
          </cell>
          <cell r="L3859">
            <v>0.88103580000000004</v>
          </cell>
          <cell r="M3859">
            <v>2.3384394999999998</v>
          </cell>
          <cell r="N3859">
            <v>0</v>
          </cell>
          <cell r="O3859">
            <v>3.7496399999999999E-2</v>
          </cell>
          <cell r="P3859">
            <v>1.2311314</v>
          </cell>
          <cell r="Q3859">
            <v>3.9360686</v>
          </cell>
          <cell r="R3859">
            <v>0</v>
          </cell>
          <cell r="S3859">
            <v>0</v>
          </cell>
          <cell r="T3859">
            <v>9.9383616999999997</v>
          </cell>
          <cell r="U3859">
            <v>46.290368000000001</v>
          </cell>
          <cell r="V3859">
            <v>0</v>
          </cell>
          <cell r="W3859">
            <v>0</v>
          </cell>
          <cell r="X3859">
            <v>0.69345440000000003</v>
          </cell>
          <cell r="Y3859">
            <v>6.5784899000000001</v>
          </cell>
          <cell r="Z3859">
            <v>0</v>
          </cell>
          <cell r="AA3859">
            <v>0</v>
          </cell>
          <cell r="AB3859">
            <v>5.0557299999999999E-2</v>
          </cell>
        </row>
        <row r="3860">
          <cell r="A3860">
            <v>58137240</v>
          </cell>
          <cell r="B3860" t="str">
            <v>Pad Thai with seafood</v>
          </cell>
          <cell r="I3860">
            <v>200</v>
          </cell>
          <cell r="J3860">
            <v>261.04491000000002</v>
          </cell>
          <cell r="K3860">
            <v>1.3052245500000001</v>
          </cell>
          <cell r="L3860">
            <v>0.90946669999999996</v>
          </cell>
          <cell r="M3860">
            <v>2.0256623</v>
          </cell>
          <cell r="N3860">
            <v>7.4677300000000002E-2</v>
          </cell>
          <cell r="O3860">
            <v>5.8502699999999998E-2</v>
          </cell>
          <cell r="P3860">
            <v>1.2708598</v>
          </cell>
          <cell r="Q3860">
            <v>3.9086899000000002</v>
          </cell>
          <cell r="R3860">
            <v>0</v>
          </cell>
          <cell r="S3860">
            <v>0</v>
          </cell>
          <cell r="T3860">
            <v>10.259071</v>
          </cell>
          <cell r="U3860">
            <v>47.784149999999997</v>
          </cell>
          <cell r="V3860">
            <v>0</v>
          </cell>
          <cell r="W3860">
            <v>0</v>
          </cell>
          <cell r="X3860">
            <v>0.8564155</v>
          </cell>
          <cell r="Y3860">
            <v>6.7907766000000001</v>
          </cell>
          <cell r="Z3860">
            <v>0</v>
          </cell>
          <cell r="AA3860">
            <v>0</v>
          </cell>
          <cell r="AB3860">
            <v>3.9990199999999997E-2</v>
          </cell>
        </row>
        <row r="3861">
          <cell r="A3861">
            <v>58137250</v>
          </cell>
          <cell r="B3861" t="str">
            <v>Pad Thai with meat</v>
          </cell>
          <cell r="I3861">
            <v>200</v>
          </cell>
          <cell r="J3861">
            <v>284.80786000000001</v>
          </cell>
          <cell r="K3861">
            <v>1.4240393</v>
          </cell>
          <cell r="L3861">
            <v>0.90385760000000004</v>
          </cell>
          <cell r="M3861">
            <v>2.8334931000000001</v>
          </cell>
          <cell r="N3861">
            <v>0</v>
          </cell>
          <cell r="O3861">
            <v>3.5640499999999999E-2</v>
          </cell>
          <cell r="P3861">
            <v>1.2630218</v>
          </cell>
          <cell r="Q3861">
            <v>3.8291450999999999</v>
          </cell>
          <cell r="R3861">
            <v>0</v>
          </cell>
          <cell r="S3861">
            <v>0</v>
          </cell>
          <cell r="T3861">
            <v>10.195798</v>
          </cell>
          <cell r="U3861">
            <v>47.489443000000001</v>
          </cell>
          <cell r="V3861">
            <v>0</v>
          </cell>
          <cell r="W3861">
            <v>0</v>
          </cell>
          <cell r="X3861">
            <v>0.60801479999999997</v>
          </cell>
          <cell r="Y3861">
            <v>6.7488947000000001</v>
          </cell>
          <cell r="Z3861">
            <v>28.123618</v>
          </cell>
          <cell r="AA3861">
            <v>0</v>
          </cell>
          <cell r="AB3861">
            <v>0.1028731</v>
          </cell>
        </row>
        <row r="3862">
          <cell r="A3862">
            <v>58137300</v>
          </cell>
          <cell r="B3862" t="str">
            <v>Adobo, with noodles</v>
          </cell>
          <cell r="I3862">
            <v>200</v>
          </cell>
          <cell r="J3862">
            <v>344.22442000000001</v>
          </cell>
          <cell r="K3862">
            <v>1.7211221000000001</v>
          </cell>
          <cell r="L3862">
            <v>1.7580700000000001E-2</v>
          </cell>
          <cell r="M3862">
            <v>4.7505309000000002</v>
          </cell>
          <cell r="N3862">
            <v>0</v>
          </cell>
          <cell r="O3862">
            <v>3.1262499999999999E-2</v>
          </cell>
          <cell r="P3862">
            <v>0.71484210000000004</v>
          </cell>
          <cell r="Q3862">
            <v>2.2433440999999998</v>
          </cell>
          <cell r="R3862">
            <v>0</v>
          </cell>
          <cell r="S3862">
            <v>0</v>
          </cell>
          <cell r="T3862">
            <v>0</v>
          </cell>
          <cell r="U3862">
            <v>0.83717699999999995</v>
          </cell>
          <cell r="V3862">
            <v>0</v>
          </cell>
          <cell r="W3862">
            <v>0</v>
          </cell>
          <cell r="X3862">
            <v>0.85576980000000002</v>
          </cell>
          <cell r="Y3862">
            <v>0</v>
          </cell>
          <cell r="Z3862">
            <v>60.467503999999998</v>
          </cell>
          <cell r="AA3862">
            <v>0</v>
          </cell>
          <cell r="AB3862">
            <v>6.45564E-2</v>
          </cell>
        </row>
        <row r="3863">
          <cell r="A3863">
            <v>58145110</v>
          </cell>
          <cell r="B3863" t="str">
            <v>Macaroni or noodles with cheese</v>
          </cell>
          <cell r="I3863">
            <v>243</v>
          </cell>
          <cell r="J3863">
            <v>482.59354000000002</v>
          </cell>
          <cell r="K3863">
            <v>1.9859816460905351</v>
          </cell>
          <cell r="L3863">
            <v>0</v>
          </cell>
          <cell r="M3863">
            <v>11.513374000000001</v>
          </cell>
          <cell r="N3863">
            <v>0</v>
          </cell>
          <cell r="O3863">
            <v>0.36874709999999999</v>
          </cell>
          <cell r="P3863">
            <v>2.6913138000000001</v>
          </cell>
          <cell r="Q3863">
            <v>2.5715897999999999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0.79508290000000004</v>
          </cell>
          <cell r="Y3863">
            <v>0</v>
          </cell>
          <cell r="Z3863">
            <v>0</v>
          </cell>
          <cell r="AA3863">
            <v>0</v>
          </cell>
          <cell r="AB3863">
            <v>0.82590079999999999</v>
          </cell>
        </row>
        <row r="3864">
          <cell r="A3864">
            <v>58145111</v>
          </cell>
          <cell r="B3864" t="str">
            <v>Macaroni or noodles with cheese, from restaurant</v>
          </cell>
          <cell r="I3864">
            <v>243</v>
          </cell>
          <cell r="J3864">
            <v>366.93</v>
          </cell>
          <cell r="K3864">
            <v>1.51</v>
          </cell>
          <cell r="L3864">
            <v>0</v>
          </cell>
          <cell r="M3864">
            <v>5.2172099999999997</v>
          </cell>
          <cell r="N3864">
            <v>0</v>
          </cell>
          <cell r="O3864">
            <v>0.24057000000000001</v>
          </cell>
          <cell r="P3864">
            <v>2.673</v>
          </cell>
          <cell r="Q3864">
            <v>4.0410899999999996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0.87722999999999995</v>
          </cell>
          <cell r="Y3864">
            <v>0</v>
          </cell>
          <cell r="Z3864">
            <v>0</v>
          </cell>
          <cell r="AA3864">
            <v>0</v>
          </cell>
          <cell r="AB3864">
            <v>0.28431000000000001</v>
          </cell>
        </row>
        <row r="3865">
          <cell r="A3865">
            <v>58145112</v>
          </cell>
          <cell r="B3865" t="str">
            <v>Macaroni or noodles with cheese, made from packaged mix</v>
          </cell>
          <cell r="I3865">
            <v>243</v>
          </cell>
          <cell r="J3865">
            <v>420.66228000000001</v>
          </cell>
          <cell r="K3865">
            <v>1.7311204938271605</v>
          </cell>
          <cell r="L3865">
            <v>-2.7E-16</v>
          </cell>
          <cell r="M3865">
            <v>8.3595734999999998</v>
          </cell>
          <cell r="N3865">
            <v>0</v>
          </cell>
          <cell r="O3865">
            <v>0.1417815</v>
          </cell>
          <cell r="P3865">
            <v>2.3545842000000001</v>
          </cell>
          <cell r="Q3865">
            <v>3.1429404999999999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0.64870320000000004</v>
          </cell>
          <cell r="Y3865">
            <v>0</v>
          </cell>
          <cell r="Z3865">
            <v>0</v>
          </cell>
          <cell r="AA3865">
            <v>0</v>
          </cell>
          <cell r="AB3865">
            <v>0.9362665</v>
          </cell>
        </row>
        <row r="3866">
          <cell r="A3866">
            <v>58145113</v>
          </cell>
          <cell r="B3866" t="str">
            <v>Macaroni or noodles with cheese, canned</v>
          </cell>
          <cell r="I3866">
            <v>239</v>
          </cell>
          <cell r="J3866">
            <v>195.98</v>
          </cell>
          <cell r="K3866">
            <v>0.82</v>
          </cell>
          <cell r="L3866">
            <v>0</v>
          </cell>
          <cell r="M3866">
            <v>2.1055899999999999</v>
          </cell>
          <cell r="N3866">
            <v>0</v>
          </cell>
          <cell r="O3866">
            <v>8.3650000000000002E-2</v>
          </cell>
          <cell r="P3866">
            <v>1.1950000000000001</v>
          </cell>
          <cell r="Q3866">
            <v>0.72416999999999998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0.72177999999999998</v>
          </cell>
          <cell r="Y3866">
            <v>0</v>
          </cell>
          <cell r="Z3866">
            <v>0</v>
          </cell>
          <cell r="AA3866">
            <v>0</v>
          </cell>
          <cell r="AB3866">
            <v>0.42216930000000003</v>
          </cell>
        </row>
        <row r="3867">
          <cell r="A3867">
            <v>58145117</v>
          </cell>
          <cell r="B3867" t="str">
            <v>Macaroni or noodles with cheese, Easy Mac type</v>
          </cell>
          <cell r="I3867">
            <v>217</v>
          </cell>
          <cell r="J3867">
            <v>234.37958</v>
          </cell>
          <cell r="K3867">
            <v>1.0800902304147466</v>
          </cell>
          <cell r="L3867">
            <v>0</v>
          </cell>
          <cell r="M3867">
            <v>1.699856</v>
          </cell>
          <cell r="N3867">
            <v>0</v>
          </cell>
          <cell r="O3867">
            <v>0.20283309999999999</v>
          </cell>
          <cell r="P3867">
            <v>0.96651370000000003</v>
          </cell>
          <cell r="Q3867">
            <v>1.2002892999999999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0.55113579999999995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</row>
        <row r="3868">
          <cell r="A3868">
            <v>58145120</v>
          </cell>
          <cell r="B3868" t="str">
            <v>Macaroni or noodles with cheese and tuna</v>
          </cell>
          <cell r="I3868">
            <v>243</v>
          </cell>
          <cell r="J3868">
            <v>379.41264000000001</v>
          </cell>
          <cell r="K3868">
            <v>1.561368888888889</v>
          </cell>
          <cell r="L3868">
            <v>0</v>
          </cell>
          <cell r="M3868">
            <v>6.8304919999999996</v>
          </cell>
          <cell r="N3868">
            <v>0.10606939999999999</v>
          </cell>
          <cell r="O3868">
            <v>0.12220300000000001</v>
          </cell>
          <cell r="P3868">
            <v>1.8957561999999999</v>
          </cell>
          <cell r="Q3868">
            <v>2.6616548999999998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0.63925350000000003</v>
          </cell>
          <cell r="Y3868">
            <v>0</v>
          </cell>
          <cell r="Z3868">
            <v>0</v>
          </cell>
          <cell r="AA3868">
            <v>0</v>
          </cell>
          <cell r="AB3868">
            <v>0.75678829999999997</v>
          </cell>
        </row>
        <row r="3869">
          <cell r="A3869">
            <v>58145135</v>
          </cell>
          <cell r="B3869" t="str">
            <v>Macaroni or noodles with cheese and meat</v>
          </cell>
          <cell r="I3869">
            <v>243</v>
          </cell>
          <cell r="J3869">
            <v>490.86682999999999</v>
          </cell>
          <cell r="K3869">
            <v>2.0200281069958845</v>
          </cell>
          <cell r="L3869">
            <v>0</v>
          </cell>
          <cell r="M3869">
            <v>10.780760000000001</v>
          </cell>
          <cell r="N3869">
            <v>0</v>
          </cell>
          <cell r="O3869">
            <v>0.1140573</v>
          </cell>
          <cell r="P3869">
            <v>1.5758129000000001</v>
          </cell>
          <cell r="Q3869">
            <v>2.5010162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0.75316760000000005</v>
          </cell>
          <cell r="Y3869">
            <v>0</v>
          </cell>
          <cell r="Z3869">
            <v>72.938316999999998</v>
          </cell>
          <cell r="AA3869">
            <v>0</v>
          </cell>
          <cell r="AB3869">
            <v>1.2351327999999999</v>
          </cell>
        </row>
        <row r="3870">
          <cell r="A3870">
            <v>58145136</v>
          </cell>
          <cell r="B3870" t="str">
            <v>Macaroni or noodles with cheese and meat, prepared from Hamburger Helper mix</v>
          </cell>
          <cell r="I3870">
            <v>243</v>
          </cell>
          <cell r="J3870">
            <v>341.99788999999998</v>
          </cell>
          <cell r="K3870">
            <v>1.4073987242798354</v>
          </cell>
          <cell r="L3870">
            <v>0</v>
          </cell>
          <cell r="M3870">
            <v>7.1053386999999999</v>
          </cell>
          <cell r="N3870">
            <v>0</v>
          </cell>
          <cell r="O3870">
            <v>0.1239783</v>
          </cell>
          <cell r="P3870">
            <v>0.76933649999999998</v>
          </cell>
          <cell r="Q3870">
            <v>0.63700909999999999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0.7047871</v>
          </cell>
          <cell r="Y3870">
            <v>0</v>
          </cell>
          <cell r="Z3870">
            <v>47.688253000000003</v>
          </cell>
          <cell r="AA3870">
            <v>0</v>
          </cell>
          <cell r="AB3870">
            <v>0.96950950000000002</v>
          </cell>
        </row>
        <row r="3871">
          <cell r="A3871">
            <v>58145140</v>
          </cell>
          <cell r="B3871" t="str">
            <v>Macaroni or noodles with cheese and tomato</v>
          </cell>
          <cell r="I3871">
            <v>243</v>
          </cell>
          <cell r="J3871">
            <v>341.99272000000002</v>
          </cell>
          <cell r="K3871">
            <v>1.4073774485596708</v>
          </cell>
          <cell r="L3871">
            <v>0.60861469999999995</v>
          </cell>
          <cell r="M3871">
            <v>6.6290011</v>
          </cell>
          <cell r="N3871">
            <v>0</v>
          </cell>
          <cell r="O3871">
            <v>0.1172613</v>
          </cell>
          <cell r="P3871">
            <v>1.8631457</v>
          </cell>
          <cell r="Q3871">
            <v>2.5290556</v>
          </cell>
          <cell r="R3871">
            <v>0</v>
          </cell>
          <cell r="S3871">
            <v>0</v>
          </cell>
          <cell r="T3871">
            <v>0</v>
          </cell>
          <cell r="U3871">
            <v>50.717889999999997</v>
          </cell>
          <cell r="V3871">
            <v>0</v>
          </cell>
          <cell r="W3871">
            <v>0</v>
          </cell>
          <cell r="X3871">
            <v>0.51584459999999999</v>
          </cell>
          <cell r="Y3871">
            <v>0</v>
          </cell>
          <cell r="Z3871">
            <v>0</v>
          </cell>
          <cell r="AA3871">
            <v>0</v>
          </cell>
          <cell r="AB3871">
            <v>0.55721770000000004</v>
          </cell>
        </row>
        <row r="3872">
          <cell r="A3872">
            <v>58145160</v>
          </cell>
          <cell r="B3872" t="str">
            <v>Macaroni or noodles with cheese and frankfurters or hot dogs</v>
          </cell>
          <cell r="I3872">
            <v>243</v>
          </cell>
          <cell r="J3872">
            <v>489.13927999999999</v>
          </cell>
          <cell r="K3872">
            <v>2.0129188477366253</v>
          </cell>
          <cell r="L3872">
            <v>0</v>
          </cell>
          <cell r="M3872">
            <v>12.230057</v>
          </cell>
          <cell r="N3872">
            <v>0</v>
          </cell>
          <cell r="O3872">
            <v>0.1203794</v>
          </cell>
          <cell r="P3872">
            <v>1.886949</v>
          </cell>
          <cell r="Q3872">
            <v>3.0486420999999999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0.93732709999999997</v>
          </cell>
          <cell r="Y3872">
            <v>0</v>
          </cell>
          <cell r="Z3872">
            <v>0</v>
          </cell>
          <cell r="AA3872">
            <v>37.625734999999999</v>
          </cell>
          <cell r="AB3872">
            <v>1.3654746</v>
          </cell>
        </row>
        <row r="3873">
          <cell r="A3873">
            <v>58145170</v>
          </cell>
          <cell r="B3873" t="str">
            <v>Macaroni or noodles with cheese and egg</v>
          </cell>
          <cell r="I3873">
            <v>243</v>
          </cell>
          <cell r="J3873">
            <v>427.11266000000001</v>
          </cell>
          <cell r="K3873">
            <v>1.757665267489712</v>
          </cell>
          <cell r="L3873">
            <v>0</v>
          </cell>
          <cell r="M3873">
            <v>8.4941621000000005</v>
          </cell>
          <cell r="N3873">
            <v>0</v>
          </cell>
          <cell r="O3873">
            <v>0.13931080000000001</v>
          </cell>
          <cell r="P3873">
            <v>1.9621535000000001</v>
          </cell>
          <cell r="Q3873">
            <v>4.3952755000000003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0.70351490000000005</v>
          </cell>
          <cell r="Y3873">
            <v>0</v>
          </cell>
          <cell r="Z3873">
            <v>0</v>
          </cell>
          <cell r="AA3873">
            <v>0</v>
          </cell>
          <cell r="AB3873">
            <v>0.74292800000000003</v>
          </cell>
        </row>
        <row r="3874">
          <cell r="A3874">
            <v>58145190</v>
          </cell>
          <cell r="B3874" t="str">
            <v>Macaroni or noodles with cheese and chicken or turkey</v>
          </cell>
          <cell r="I3874">
            <v>243</v>
          </cell>
          <cell r="J3874">
            <v>413.28048999999999</v>
          </cell>
          <cell r="K3874">
            <v>1.700742757201646</v>
          </cell>
          <cell r="L3874">
            <v>-2.7E-16</v>
          </cell>
          <cell r="M3874">
            <v>6.8006669000000004</v>
          </cell>
          <cell r="N3874">
            <v>0</v>
          </cell>
          <cell r="O3874">
            <v>0.10496800000000001</v>
          </cell>
          <cell r="P3874">
            <v>1.5428899</v>
          </cell>
          <cell r="Q3874">
            <v>2.8444780999999999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0.71416380000000002</v>
          </cell>
          <cell r="Y3874">
            <v>0</v>
          </cell>
          <cell r="Z3874">
            <v>0</v>
          </cell>
          <cell r="AA3874">
            <v>0</v>
          </cell>
          <cell r="AB3874">
            <v>0.54734329999999998</v>
          </cell>
        </row>
        <row r="3875">
          <cell r="A3875">
            <v>58146100</v>
          </cell>
          <cell r="B3875" t="str">
            <v>Pasta with tomato sauce, meatless</v>
          </cell>
          <cell r="I3875">
            <v>248</v>
          </cell>
          <cell r="J3875">
            <v>293.22933999999998</v>
          </cell>
          <cell r="K3875">
            <v>1.182376370967742</v>
          </cell>
          <cell r="L3875">
            <v>2.1278904999999999</v>
          </cell>
          <cell r="M3875">
            <v>1.0346424999999999</v>
          </cell>
          <cell r="N3875">
            <v>0</v>
          </cell>
          <cell r="O3875">
            <v>3.9603600000000003E-2</v>
          </cell>
          <cell r="P3875">
            <v>2.2568535999999999</v>
          </cell>
          <cell r="Q3875">
            <v>2.8796309999999998</v>
          </cell>
          <cell r="R3875">
            <v>0</v>
          </cell>
          <cell r="S3875">
            <v>0</v>
          </cell>
          <cell r="T3875">
            <v>0</v>
          </cell>
          <cell r="U3875">
            <v>116.52800999999999</v>
          </cell>
          <cell r="V3875">
            <v>0</v>
          </cell>
          <cell r="W3875">
            <v>0</v>
          </cell>
          <cell r="X3875">
            <v>0.64804410000000001</v>
          </cell>
          <cell r="Y3875">
            <v>0</v>
          </cell>
          <cell r="Z3875">
            <v>0</v>
          </cell>
          <cell r="AA3875">
            <v>0</v>
          </cell>
          <cell r="AB3875">
            <v>5.7523199999999997E-2</v>
          </cell>
        </row>
        <row r="3876">
          <cell r="A3876">
            <v>58146110</v>
          </cell>
          <cell r="B3876" t="str">
            <v>Pasta with meat sauce</v>
          </cell>
          <cell r="I3876">
            <v>255</v>
          </cell>
          <cell r="J3876">
            <v>374.31680999999998</v>
          </cell>
          <cell r="K3876">
            <v>1.4679090588235293</v>
          </cell>
          <cell r="L3876">
            <v>1.4616159</v>
          </cell>
          <cell r="M3876">
            <v>2.6939090000000001</v>
          </cell>
          <cell r="N3876">
            <v>0</v>
          </cell>
          <cell r="O3876">
            <v>3.7279399999999997E-2</v>
          </cell>
          <cell r="P3876">
            <v>2.5836644999999998</v>
          </cell>
          <cell r="Q3876">
            <v>3.0570732</v>
          </cell>
          <cell r="R3876">
            <v>0</v>
          </cell>
          <cell r="S3876">
            <v>0</v>
          </cell>
          <cell r="T3876">
            <v>0</v>
          </cell>
          <cell r="U3876">
            <v>80.041336999999999</v>
          </cell>
          <cell r="V3876">
            <v>0</v>
          </cell>
          <cell r="W3876">
            <v>0</v>
          </cell>
          <cell r="X3876">
            <v>0.60543329999999995</v>
          </cell>
          <cell r="Y3876">
            <v>0</v>
          </cell>
          <cell r="Z3876">
            <v>22.888874999999999</v>
          </cell>
          <cell r="AA3876">
            <v>0</v>
          </cell>
          <cell r="AB3876">
            <v>0.2707542</v>
          </cell>
        </row>
        <row r="3877">
          <cell r="A3877">
            <v>58146120</v>
          </cell>
          <cell r="B3877" t="str">
            <v>Pasta with tomato-based sauce, cheese and meat</v>
          </cell>
          <cell r="I3877">
            <v>242</v>
          </cell>
          <cell r="J3877">
            <v>410.83625999999998</v>
          </cell>
          <cell r="K3877">
            <v>1.6976704958677684</v>
          </cell>
          <cell r="L3877">
            <v>1.1094515</v>
          </cell>
          <cell r="M3877">
            <v>8.1375506000000009</v>
          </cell>
          <cell r="N3877">
            <v>0</v>
          </cell>
          <cell r="O3877">
            <v>0.1574033</v>
          </cell>
          <cell r="P3877">
            <v>1.0242532</v>
          </cell>
          <cell r="Q3877">
            <v>2.7470023000000001</v>
          </cell>
          <cell r="R3877">
            <v>0</v>
          </cell>
          <cell r="S3877">
            <v>0</v>
          </cell>
          <cell r="T3877">
            <v>0</v>
          </cell>
          <cell r="U3877">
            <v>73.054801999999995</v>
          </cell>
          <cell r="V3877">
            <v>0</v>
          </cell>
          <cell r="W3877">
            <v>0</v>
          </cell>
          <cell r="X3877">
            <v>0.89444230000000002</v>
          </cell>
          <cell r="Y3877">
            <v>0</v>
          </cell>
          <cell r="Z3877">
            <v>32.601429000000003</v>
          </cell>
          <cell r="AA3877">
            <v>0</v>
          </cell>
          <cell r="AB3877">
            <v>0.3551898</v>
          </cell>
        </row>
        <row r="3878">
          <cell r="A3878">
            <v>58146130</v>
          </cell>
          <cell r="B3878" t="str">
            <v>Pasta with carbonara sauce</v>
          </cell>
          <cell r="I3878">
            <v>201</v>
          </cell>
          <cell r="J3878">
            <v>395.00671999999997</v>
          </cell>
          <cell r="K3878">
            <v>1.9652075621890546</v>
          </cell>
          <cell r="L3878">
            <v>0.17811940000000001</v>
          </cell>
          <cell r="M3878">
            <v>8.0343253000000008</v>
          </cell>
          <cell r="N3878">
            <v>0</v>
          </cell>
          <cell r="O3878">
            <v>0.12309879999999999</v>
          </cell>
          <cell r="P3878">
            <v>2.4495203999999999</v>
          </cell>
          <cell r="Q3878">
            <v>1.7252839</v>
          </cell>
          <cell r="R3878">
            <v>0</v>
          </cell>
          <cell r="S3878">
            <v>0</v>
          </cell>
          <cell r="T3878">
            <v>0</v>
          </cell>
          <cell r="U3878">
            <v>12.722818</v>
          </cell>
          <cell r="V3878">
            <v>0</v>
          </cell>
          <cell r="W3878">
            <v>0</v>
          </cell>
          <cell r="X3878">
            <v>0.51038170000000005</v>
          </cell>
          <cell r="Y3878">
            <v>0</v>
          </cell>
          <cell r="Z3878">
            <v>0</v>
          </cell>
          <cell r="AA3878">
            <v>4.9382332</v>
          </cell>
          <cell r="AB3878">
            <v>0.39311620000000003</v>
          </cell>
        </row>
        <row r="3879">
          <cell r="A3879">
            <v>58146150</v>
          </cell>
          <cell r="B3879" t="str">
            <v>Pasta with tomato-based sauce and cheese</v>
          </cell>
          <cell r="I3879">
            <v>242</v>
          </cell>
          <cell r="J3879">
            <v>284.71861000000001</v>
          </cell>
          <cell r="K3879">
            <v>1.1765231818181818</v>
          </cell>
          <cell r="L3879">
            <v>2.6543196999999998</v>
          </cell>
          <cell r="M3879">
            <v>3.1377563999999998</v>
          </cell>
          <cell r="N3879">
            <v>0</v>
          </cell>
          <cell r="O3879">
            <v>0.1186956</v>
          </cell>
          <cell r="P3879">
            <v>1.4075937999999999</v>
          </cell>
          <cell r="Q3879">
            <v>3.4866678000000002</v>
          </cell>
          <cell r="R3879">
            <v>0</v>
          </cell>
          <cell r="S3879">
            <v>0</v>
          </cell>
          <cell r="T3879">
            <v>0</v>
          </cell>
          <cell r="U3879">
            <v>145.35643999999999</v>
          </cell>
          <cell r="V3879">
            <v>0</v>
          </cell>
          <cell r="W3879">
            <v>0</v>
          </cell>
          <cell r="X3879">
            <v>1.0025645000000001</v>
          </cell>
          <cell r="Y3879">
            <v>0</v>
          </cell>
          <cell r="Z3879">
            <v>0</v>
          </cell>
          <cell r="AA3879">
            <v>0</v>
          </cell>
          <cell r="AB3879">
            <v>0.1562026</v>
          </cell>
        </row>
        <row r="3880">
          <cell r="A3880">
            <v>58146160</v>
          </cell>
          <cell r="B3880" t="str">
            <v>Pasta with vegetables, no sauce or dressing</v>
          </cell>
          <cell r="I3880">
            <v>248</v>
          </cell>
          <cell r="J3880">
            <v>353.61545999999998</v>
          </cell>
          <cell r="K3880">
            <v>1.4258687903225806</v>
          </cell>
          <cell r="L3880">
            <v>2.1752639</v>
          </cell>
          <cell r="M3880">
            <v>1.2679579999999999</v>
          </cell>
          <cell r="N3880">
            <v>0</v>
          </cell>
          <cell r="O3880">
            <v>3.5831700000000001E-2</v>
          </cell>
          <cell r="P3880">
            <v>3.6571779000000002</v>
          </cell>
          <cell r="Q3880">
            <v>3.4679772</v>
          </cell>
          <cell r="R3880">
            <v>0</v>
          </cell>
          <cell r="S3880">
            <v>0</v>
          </cell>
          <cell r="T3880">
            <v>0</v>
          </cell>
          <cell r="U3880">
            <v>62.150888000000002</v>
          </cell>
          <cell r="V3880">
            <v>0</v>
          </cell>
          <cell r="W3880">
            <v>0</v>
          </cell>
          <cell r="X3880">
            <v>0.3695155</v>
          </cell>
          <cell r="Y3880">
            <v>0</v>
          </cell>
          <cell r="Z3880">
            <v>0</v>
          </cell>
          <cell r="AA3880">
            <v>0</v>
          </cell>
          <cell r="AB3880">
            <v>0.1129628</v>
          </cell>
        </row>
        <row r="3881">
          <cell r="A3881">
            <v>58146210</v>
          </cell>
          <cell r="B3881" t="str">
            <v>Pasta with sauce, NFS</v>
          </cell>
          <cell r="I3881">
            <v>248</v>
          </cell>
          <cell r="J3881">
            <v>310.00013000000001</v>
          </cell>
          <cell r="K3881">
            <v>1.2500005241935483</v>
          </cell>
          <cell r="L3881">
            <v>1.7463333000000001</v>
          </cell>
          <cell r="M3881">
            <v>1.8824995</v>
          </cell>
          <cell r="N3881">
            <v>0</v>
          </cell>
          <cell r="O3881">
            <v>3.9566299999999999E-2</v>
          </cell>
          <cell r="P3881">
            <v>2.3146667000000001</v>
          </cell>
          <cell r="Q3881">
            <v>1.1829031000000001</v>
          </cell>
          <cell r="R3881">
            <v>0</v>
          </cell>
          <cell r="S3881">
            <v>0</v>
          </cell>
          <cell r="T3881">
            <v>0</v>
          </cell>
          <cell r="U3881">
            <v>95.633094</v>
          </cell>
          <cell r="V3881">
            <v>0</v>
          </cell>
          <cell r="W3881">
            <v>0</v>
          </cell>
          <cell r="X3881">
            <v>0.51412570000000002</v>
          </cell>
          <cell r="Y3881">
            <v>0</v>
          </cell>
          <cell r="Z3881">
            <v>20.318249999999999</v>
          </cell>
          <cell r="AA3881">
            <v>0</v>
          </cell>
          <cell r="AB3881">
            <v>0.17567379999999999</v>
          </cell>
        </row>
        <row r="3882">
          <cell r="A3882">
            <v>58146221</v>
          </cell>
          <cell r="B3882" t="str">
            <v>Pasta with tomato-based sauce, restaurant</v>
          </cell>
          <cell r="I3882">
            <v>248</v>
          </cell>
          <cell r="J3882">
            <v>394.17962</v>
          </cell>
          <cell r="K3882">
            <v>1.5894339516129032</v>
          </cell>
          <cell r="L3882">
            <v>1.9908062</v>
          </cell>
          <cell r="M3882">
            <v>2.7778637000000002</v>
          </cell>
          <cell r="N3882">
            <v>0</v>
          </cell>
          <cell r="O3882">
            <v>3.7442499999999997E-2</v>
          </cell>
          <cell r="P3882">
            <v>2.1439450999999998</v>
          </cell>
          <cell r="Q3882">
            <v>8.1412487000000002</v>
          </cell>
          <cell r="R3882">
            <v>0</v>
          </cell>
          <cell r="S3882">
            <v>0</v>
          </cell>
          <cell r="T3882">
            <v>0</v>
          </cell>
          <cell r="U3882">
            <v>109.02097000000001</v>
          </cell>
          <cell r="V3882">
            <v>0</v>
          </cell>
          <cell r="W3882">
            <v>0</v>
          </cell>
          <cell r="X3882">
            <v>0.97921290000000005</v>
          </cell>
          <cell r="Y3882">
            <v>0</v>
          </cell>
          <cell r="Z3882">
            <v>0</v>
          </cell>
          <cell r="AA3882">
            <v>0</v>
          </cell>
          <cell r="AB3882">
            <v>0.1157769</v>
          </cell>
        </row>
        <row r="3883">
          <cell r="A3883">
            <v>58146222</v>
          </cell>
          <cell r="B3883" t="str">
            <v>Pasta with tomato-based sauce, home recipe</v>
          </cell>
          <cell r="I3883">
            <v>248</v>
          </cell>
          <cell r="J3883">
            <v>262.88</v>
          </cell>
          <cell r="K3883">
            <v>1.06</v>
          </cell>
          <cell r="L3883">
            <v>2.1493332999999999</v>
          </cell>
          <cell r="M3883">
            <v>0.48663109999999998</v>
          </cell>
          <cell r="N3883">
            <v>0</v>
          </cell>
          <cell r="O3883">
            <v>4.0047399999999997E-2</v>
          </cell>
          <cell r="P3883">
            <v>2.3146667000000001</v>
          </cell>
          <cell r="Q3883">
            <v>1.2228237</v>
          </cell>
          <cell r="R3883">
            <v>0</v>
          </cell>
          <cell r="S3883">
            <v>0</v>
          </cell>
          <cell r="T3883">
            <v>0</v>
          </cell>
          <cell r="U3883">
            <v>117.70227</v>
          </cell>
          <cell r="V3883">
            <v>0</v>
          </cell>
          <cell r="W3883">
            <v>0</v>
          </cell>
          <cell r="X3883">
            <v>0.52309629999999996</v>
          </cell>
          <cell r="Y3883">
            <v>0</v>
          </cell>
          <cell r="Z3883">
            <v>0</v>
          </cell>
          <cell r="AA3883">
            <v>0</v>
          </cell>
          <cell r="AB3883">
            <v>8.3584999999999996E-3</v>
          </cell>
        </row>
        <row r="3884">
          <cell r="A3884">
            <v>58146223</v>
          </cell>
          <cell r="B3884" t="str">
            <v>Pasta with tomato-based sauce, ready-to-heat</v>
          </cell>
          <cell r="I3884">
            <v>248</v>
          </cell>
          <cell r="J3884">
            <v>296.95303999999999</v>
          </cell>
          <cell r="K3884">
            <v>1.1973912903225805</v>
          </cell>
          <cell r="L3884">
            <v>2.1026087000000002</v>
          </cell>
          <cell r="M3884">
            <v>1.0905058999999999</v>
          </cell>
          <cell r="N3884">
            <v>0</v>
          </cell>
          <cell r="O3884">
            <v>3.94037E-2</v>
          </cell>
          <cell r="P3884">
            <v>2.2643477999999999</v>
          </cell>
          <cell r="Q3884">
            <v>3.0467946000000001</v>
          </cell>
          <cell r="R3884">
            <v>0</v>
          </cell>
          <cell r="S3884">
            <v>0</v>
          </cell>
          <cell r="T3884">
            <v>0</v>
          </cell>
          <cell r="U3884">
            <v>115.14352</v>
          </cell>
          <cell r="V3884">
            <v>0</v>
          </cell>
          <cell r="W3884">
            <v>0</v>
          </cell>
          <cell r="X3884">
            <v>0.86000739999999998</v>
          </cell>
          <cell r="Y3884">
            <v>0</v>
          </cell>
          <cell r="Z3884">
            <v>0</v>
          </cell>
          <cell r="AA3884">
            <v>0</v>
          </cell>
          <cell r="AB3884">
            <v>6.7561399999999994E-2</v>
          </cell>
        </row>
        <row r="3885">
          <cell r="A3885">
            <v>58146301</v>
          </cell>
          <cell r="B3885" t="str">
            <v>Pasta with tomato-based sauce, and added vegetables, restaurant</v>
          </cell>
          <cell r="I3885">
            <v>248</v>
          </cell>
          <cell r="J3885">
            <v>387.39722</v>
          </cell>
          <cell r="K3885">
            <v>1.5620855645161291</v>
          </cell>
          <cell r="L3885">
            <v>1.8997234999999999</v>
          </cell>
          <cell r="M3885">
            <v>2.7347784000000002</v>
          </cell>
          <cell r="N3885">
            <v>0</v>
          </cell>
          <cell r="O3885">
            <v>3.3506399999999999E-2</v>
          </cell>
          <cell r="P3885">
            <v>2.1439450999999998</v>
          </cell>
          <cell r="Q3885">
            <v>8.0036162999999991</v>
          </cell>
          <cell r="R3885">
            <v>0</v>
          </cell>
          <cell r="S3885">
            <v>0</v>
          </cell>
          <cell r="T3885">
            <v>0</v>
          </cell>
          <cell r="U3885">
            <v>109.39259</v>
          </cell>
          <cell r="V3885">
            <v>0</v>
          </cell>
          <cell r="W3885">
            <v>0</v>
          </cell>
          <cell r="X3885">
            <v>0.86609150000000001</v>
          </cell>
          <cell r="Y3885">
            <v>0</v>
          </cell>
          <cell r="Z3885">
            <v>0</v>
          </cell>
          <cell r="AA3885">
            <v>0</v>
          </cell>
          <cell r="AB3885">
            <v>0.1157297</v>
          </cell>
        </row>
        <row r="3886">
          <cell r="A3886">
            <v>58146302</v>
          </cell>
          <cell r="B3886" t="str">
            <v>Pasta with tomato-based sauce, and added vegetables, home recipe</v>
          </cell>
          <cell r="I3886">
            <v>248</v>
          </cell>
          <cell r="J3886">
            <v>255.55752000000001</v>
          </cell>
          <cell r="K3886">
            <v>1.0304738709677419</v>
          </cell>
          <cell r="L3886">
            <v>2.0509978000000002</v>
          </cell>
          <cell r="M3886">
            <v>0.44011489999999998</v>
          </cell>
          <cell r="N3886">
            <v>0</v>
          </cell>
          <cell r="O3886">
            <v>3.5797900000000001E-2</v>
          </cell>
          <cell r="P3886">
            <v>2.3146667000000001</v>
          </cell>
          <cell r="Q3886">
            <v>1.0742316999999999</v>
          </cell>
          <cell r="R3886">
            <v>0</v>
          </cell>
          <cell r="S3886">
            <v>0</v>
          </cell>
          <cell r="T3886">
            <v>0</v>
          </cell>
          <cell r="U3886">
            <v>118.10348</v>
          </cell>
          <cell r="V3886">
            <v>0</v>
          </cell>
          <cell r="W3886">
            <v>0</v>
          </cell>
          <cell r="X3886">
            <v>0.40096710000000002</v>
          </cell>
          <cell r="Y3886">
            <v>0</v>
          </cell>
          <cell r="Z3886">
            <v>0</v>
          </cell>
          <cell r="AA3886">
            <v>0</v>
          </cell>
          <cell r="AB3886">
            <v>6.3918000000000004E-3</v>
          </cell>
        </row>
        <row r="3887">
          <cell r="A3887">
            <v>58146321</v>
          </cell>
          <cell r="B3887" t="str">
            <v>Pasta with tomato-based sauce and meat, restaurant</v>
          </cell>
          <cell r="I3887">
            <v>248</v>
          </cell>
          <cell r="J3887">
            <v>437.82434000000001</v>
          </cell>
          <cell r="K3887">
            <v>1.7654207258064516</v>
          </cell>
          <cell r="L3887">
            <v>1.6175299999999999</v>
          </cell>
          <cell r="M3887">
            <v>4.0707778000000001</v>
          </cell>
          <cell r="N3887">
            <v>0</v>
          </cell>
          <cell r="O3887">
            <v>3.6996899999999999E-2</v>
          </cell>
          <cell r="P3887">
            <v>2.1439450999999998</v>
          </cell>
          <cell r="Q3887">
            <v>8.1042725000000004</v>
          </cell>
          <cell r="R3887">
            <v>0</v>
          </cell>
          <cell r="S3887">
            <v>0</v>
          </cell>
          <cell r="T3887">
            <v>0</v>
          </cell>
          <cell r="U3887">
            <v>88.579537999999999</v>
          </cell>
          <cell r="V3887">
            <v>0</v>
          </cell>
          <cell r="W3887">
            <v>0</v>
          </cell>
          <cell r="X3887">
            <v>0.97090399999999999</v>
          </cell>
          <cell r="Y3887">
            <v>0</v>
          </cell>
          <cell r="Z3887">
            <v>18.819648000000001</v>
          </cell>
          <cell r="AA3887">
            <v>0</v>
          </cell>
          <cell r="AB3887">
            <v>0.2293018</v>
          </cell>
        </row>
        <row r="3888">
          <cell r="A3888">
            <v>58146322</v>
          </cell>
          <cell r="B3888" t="str">
            <v>Pasta with tomato-based sauce and meat, home recipe</v>
          </cell>
          <cell r="I3888">
            <v>248</v>
          </cell>
          <cell r="J3888">
            <v>310.00013000000001</v>
          </cell>
          <cell r="K3888">
            <v>1.2500005241935483</v>
          </cell>
          <cell r="L3888">
            <v>1.7463333000000001</v>
          </cell>
          <cell r="M3888">
            <v>1.8824995</v>
          </cell>
          <cell r="N3888">
            <v>0</v>
          </cell>
          <cell r="O3888">
            <v>3.9566299999999999E-2</v>
          </cell>
          <cell r="P3888">
            <v>2.3146667000000001</v>
          </cell>
          <cell r="Q3888">
            <v>1.1829031000000001</v>
          </cell>
          <cell r="R3888">
            <v>0</v>
          </cell>
          <cell r="S3888">
            <v>0</v>
          </cell>
          <cell r="T3888">
            <v>0</v>
          </cell>
          <cell r="U3888">
            <v>95.633094</v>
          </cell>
          <cell r="V3888">
            <v>0</v>
          </cell>
          <cell r="W3888">
            <v>0</v>
          </cell>
          <cell r="X3888">
            <v>0.51412570000000002</v>
          </cell>
          <cell r="Y3888">
            <v>0</v>
          </cell>
          <cell r="Z3888">
            <v>20.318249999999999</v>
          </cell>
          <cell r="AA3888">
            <v>0</v>
          </cell>
          <cell r="AB3888">
            <v>0.17567379999999999</v>
          </cell>
        </row>
        <row r="3889">
          <cell r="A3889">
            <v>58146323</v>
          </cell>
          <cell r="B3889" t="str">
            <v>Pasta with tomato-based sauce and meat, ready-to-heat</v>
          </cell>
          <cell r="I3889">
            <v>248</v>
          </cell>
          <cell r="J3889">
            <v>343.04881999999998</v>
          </cell>
          <cell r="K3889">
            <v>1.3832613709677419</v>
          </cell>
          <cell r="L3889">
            <v>1.7083695999999999</v>
          </cell>
          <cell r="M3889">
            <v>2.4560293</v>
          </cell>
          <cell r="N3889">
            <v>0</v>
          </cell>
          <cell r="O3889">
            <v>3.8933099999999998E-2</v>
          </cell>
          <cell r="P3889">
            <v>2.2643477999999999</v>
          </cell>
          <cell r="Q3889">
            <v>3.0077417999999998</v>
          </cell>
          <cell r="R3889">
            <v>0</v>
          </cell>
          <cell r="S3889">
            <v>0</v>
          </cell>
          <cell r="T3889">
            <v>0</v>
          </cell>
          <cell r="U3889">
            <v>93.554113999999998</v>
          </cell>
          <cell r="V3889">
            <v>0</v>
          </cell>
          <cell r="W3889">
            <v>0</v>
          </cell>
          <cell r="X3889">
            <v>0.85123179999999998</v>
          </cell>
          <cell r="Y3889">
            <v>0</v>
          </cell>
          <cell r="Z3889">
            <v>19.876549000000001</v>
          </cell>
          <cell r="AA3889">
            <v>0</v>
          </cell>
          <cell r="AB3889">
            <v>0.18777479999999999</v>
          </cell>
        </row>
        <row r="3890">
          <cell r="A3890">
            <v>58146332</v>
          </cell>
          <cell r="B3890" t="str">
            <v>Pasta with tomato-based sauce, meat, and added vegetables, home recipe</v>
          </cell>
          <cell r="I3890">
            <v>248</v>
          </cell>
          <cell r="J3890">
            <v>304.05061000000001</v>
          </cell>
          <cell r="K3890">
            <v>1.2260105241935484</v>
          </cell>
          <cell r="L3890">
            <v>1.6664357000000001</v>
          </cell>
          <cell r="M3890">
            <v>1.8447051000000001</v>
          </cell>
          <cell r="N3890">
            <v>0</v>
          </cell>
          <cell r="O3890">
            <v>3.6113600000000003E-2</v>
          </cell>
          <cell r="P3890">
            <v>2.3146667000000001</v>
          </cell>
          <cell r="Q3890">
            <v>1.0621721</v>
          </cell>
          <cell r="R3890">
            <v>0</v>
          </cell>
          <cell r="S3890">
            <v>0</v>
          </cell>
          <cell r="T3890">
            <v>0</v>
          </cell>
          <cell r="U3890">
            <v>95.959075999999996</v>
          </cell>
          <cell r="V3890">
            <v>0</v>
          </cell>
          <cell r="W3890">
            <v>0</v>
          </cell>
          <cell r="X3890">
            <v>0.41489579999999998</v>
          </cell>
          <cell r="Y3890">
            <v>0</v>
          </cell>
          <cell r="Z3890">
            <v>20.318249999999999</v>
          </cell>
          <cell r="AA3890">
            <v>0</v>
          </cell>
          <cell r="AB3890">
            <v>0.1740758</v>
          </cell>
        </row>
        <row r="3891">
          <cell r="A3891">
            <v>58146333</v>
          </cell>
          <cell r="B3891" t="str">
            <v>Pasta with tomato-based sauce, meat, and added vegetables, ready-to-heat</v>
          </cell>
          <cell r="I3891">
            <v>248</v>
          </cell>
          <cell r="J3891">
            <v>337.22863999999998</v>
          </cell>
          <cell r="K3891">
            <v>1.3597929032258065</v>
          </cell>
          <cell r="L3891">
            <v>1.6302089</v>
          </cell>
          <cell r="M3891">
            <v>2.4190564999999999</v>
          </cell>
          <cell r="N3891">
            <v>0</v>
          </cell>
          <cell r="O3891">
            <v>3.5555400000000001E-2</v>
          </cell>
          <cell r="P3891">
            <v>2.2643477999999999</v>
          </cell>
          <cell r="Q3891">
            <v>2.8896354</v>
          </cell>
          <cell r="R3891">
            <v>0</v>
          </cell>
          <cell r="S3891">
            <v>0</v>
          </cell>
          <cell r="T3891">
            <v>0</v>
          </cell>
          <cell r="U3891">
            <v>93.873008999999996</v>
          </cell>
          <cell r="V3891">
            <v>0</v>
          </cell>
          <cell r="W3891">
            <v>0</v>
          </cell>
          <cell r="X3891">
            <v>0.75415900000000002</v>
          </cell>
          <cell r="Y3891">
            <v>0</v>
          </cell>
          <cell r="Z3891">
            <v>19.876549000000001</v>
          </cell>
          <cell r="AA3891">
            <v>0</v>
          </cell>
          <cell r="AB3891">
            <v>0.1888193</v>
          </cell>
        </row>
        <row r="3892">
          <cell r="A3892">
            <v>58146341</v>
          </cell>
          <cell r="B3892" t="str">
            <v>Pasta with tomato-based sauce and poultry, restaurant</v>
          </cell>
          <cell r="I3892">
            <v>248</v>
          </cell>
          <cell r="J3892">
            <v>419.61518000000001</v>
          </cell>
          <cell r="K3892">
            <v>1.6919966935483872</v>
          </cell>
          <cell r="L3892">
            <v>1.6175299999999999</v>
          </cell>
          <cell r="M3892">
            <v>3.0965760000000002</v>
          </cell>
          <cell r="N3892">
            <v>0</v>
          </cell>
          <cell r="O3892">
            <v>3.6298400000000001E-2</v>
          </cell>
          <cell r="P3892">
            <v>2.1439450999999998</v>
          </cell>
          <cell r="Q3892">
            <v>8.3524297999999995</v>
          </cell>
          <cell r="R3892">
            <v>0</v>
          </cell>
          <cell r="S3892">
            <v>0</v>
          </cell>
          <cell r="T3892">
            <v>0</v>
          </cell>
          <cell r="U3892">
            <v>88.579537999999999</v>
          </cell>
          <cell r="V3892">
            <v>0</v>
          </cell>
          <cell r="W3892">
            <v>0</v>
          </cell>
          <cell r="X3892">
            <v>0.96409579999999995</v>
          </cell>
          <cell r="Y3892">
            <v>0</v>
          </cell>
          <cell r="Z3892">
            <v>0</v>
          </cell>
          <cell r="AA3892">
            <v>0</v>
          </cell>
          <cell r="AB3892">
            <v>0.10959960000000001</v>
          </cell>
        </row>
        <row r="3893">
          <cell r="A3893">
            <v>58146342</v>
          </cell>
          <cell r="B3893" t="str">
            <v>Pasta with tomato-based sauce and poultry, home recipe</v>
          </cell>
          <cell r="I3893">
            <v>248</v>
          </cell>
          <cell r="J3893">
            <v>290.34098</v>
          </cell>
          <cell r="K3893">
            <v>1.1707297580645162</v>
          </cell>
          <cell r="L3893">
            <v>1.7463333000000001</v>
          </cell>
          <cell r="M3893">
            <v>0.83072230000000002</v>
          </cell>
          <cell r="N3893">
            <v>0</v>
          </cell>
          <cell r="O3893">
            <v>3.8812300000000001E-2</v>
          </cell>
          <cell r="P3893">
            <v>2.3146667000000001</v>
          </cell>
          <cell r="Q3893">
            <v>1.4508211</v>
          </cell>
          <cell r="R3893">
            <v>0</v>
          </cell>
          <cell r="S3893">
            <v>0</v>
          </cell>
          <cell r="T3893">
            <v>0</v>
          </cell>
          <cell r="U3893">
            <v>95.633094</v>
          </cell>
          <cell r="V3893">
            <v>0</v>
          </cell>
          <cell r="W3893">
            <v>0</v>
          </cell>
          <cell r="X3893">
            <v>0.50677539999999999</v>
          </cell>
          <cell r="Y3893">
            <v>0</v>
          </cell>
          <cell r="Z3893">
            <v>0</v>
          </cell>
          <cell r="AA3893">
            <v>0</v>
          </cell>
          <cell r="AB3893">
            <v>4.4689199999999998E-2</v>
          </cell>
        </row>
        <row r="3894">
          <cell r="A3894">
            <v>58146351</v>
          </cell>
          <cell r="B3894" t="str">
            <v>Pasta with tomato-based sauce, poultry, and added vegetables, restaurant</v>
          </cell>
          <cell r="I3894">
            <v>248</v>
          </cell>
          <cell r="J3894">
            <v>414.10448000000002</v>
          </cell>
          <cell r="K3894">
            <v>1.6697761290322581</v>
          </cell>
          <cell r="L3894">
            <v>1.5435254</v>
          </cell>
          <cell r="M3894">
            <v>3.0615690999999998</v>
          </cell>
          <cell r="N3894">
            <v>0</v>
          </cell>
          <cell r="O3894">
            <v>3.3100400000000002E-2</v>
          </cell>
          <cell r="P3894">
            <v>2.1439450999999998</v>
          </cell>
          <cell r="Q3894">
            <v>8.2406035000000006</v>
          </cell>
          <cell r="R3894">
            <v>0</v>
          </cell>
          <cell r="S3894">
            <v>0</v>
          </cell>
          <cell r="T3894">
            <v>0</v>
          </cell>
          <cell r="U3894">
            <v>88.881477000000004</v>
          </cell>
          <cell r="V3894">
            <v>0</v>
          </cell>
          <cell r="W3894">
            <v>0</v>
          </cell>
          <cell r="X3894">
            <v>0.87218470000000003</v>
          </cell>
          <cell r="Y3894">
            <v>0</v>
          </cell>
          <cell r="Z3894">
            <v>0</v>
          </cell>
          <cell r="AA3894">
            <v>0</v>
          </cell>
          <cell r="AB3894">
            <v>0.1087615</v>
          </cell>
        </row>
        <row r="3895">
          <cell r="A3895">
            <v>58146352</v>
          </cell>
          <cell r="B3895" t="str">
            <v>Pasta with tomato-based sauce, poultry, and added vegetables, home recipe</v>
          </cell>
          <cell r="I3895">
            <v>248</v>
          </cell>
          <cell r="J3895">
            <v>284.39146</v>
          </cell>
          <cell r="K3895">
            <v>1.146739758064516</v>
          </cell>
          <cell r="L3895">
            <v>1.6664357000000001</v>
          </cell>
          <cell r="M3895">
            <v>0.79292779999999996</v>
          </cell>
          <cell r="N3895">
            <v>0</v>
          </cell>
          <cell r="O3895">
            <v>3.5359599999999998E-2</v>
          </cell>
          <cell r="P3895">
            <v>2.3146667000000001</v>
          </cell>
          <cell r="Q3895">
            <v>1.3300901000000001</v>
          </cell>
          <cell r="R3895">
            <v>0</v>
          </cell>
          <cell r="S3895">
            <v>0</v>
          </cell>
          <cell r="T3895">
            <v>0</v>
          </cell>
          <cell r="U3895">
            <v>95.959075999999996</v>
          </cell>
          <cell r="V3895">
            <v>0</v>
          </cell>
          <cell r="W3895">
            <v>0</v>
          </cell>
          <cell r="X3895">
            <v>0.4075454</v>
          </cell>
          <cell r="Y3895">
            <v>0</v>
          </cell>
          <cell r="Z3895">
            <v>0</v>
          </cell>
          <cell r="AA3895">
            <v>0</v>
          </cell>
          <cell r="AB3895">
            <v>4.5435000000000003E-2</v>
          </cell>
        </row>
        <row r="3896">
          <cell r="A3896">
            <v>58146361</v>
          </cell>
          <cell r="B3896" t="str">
            <v>Pasta with tomato-based sauce and seafood, restaurant</v>
          </cell>
          <cell r="I3896">
            <v>248</v>
          </cell>
          <cell r="J3896">
            <v>408.90329000000003</v>
          </cell>
          <cell r="K3896">
            <v>1.6488035887096775</v>
          </cell>
          <cell r="L3896">
            <v>1.6175299999999999</v>
          </cell>
          <cell r="M3896">
            <v>2.7841887000000001</v>
          </cell>
          <cell r="N3896">
            <v>7.4758900000000003E-2</v>
          </cell>
          <cell r="O3896">
            <v>5.3825100000000001E-2</v>
          </cell>
          <cell r="P3896">
            <v>2.1439450999999998</v>
          </cell>
          <cell r="Q3896">
            <v>8.1055800999999992</v>
          </cell>
          <cell r="R3896">
            <v>0</v>
          </cell>
          <cell r="S3896">
            <v>0</v>
          </cell>
          <cell r="T3896">
            <v>0</v>
          </cell>
          <cell r="U3896">
            <v>88.579537999999999</v>
          </cell>
          <cell r="V3896">
            <v>0</v>
          </cell>
          <cell r="W3896">
            <v>0</v>
          </cell>
          <cell r="X3896">
            <v>0.99041120000000005</v>
          </cell>
          <cell r="Y3896">
            <v>0</v>
          </cell>
          <cell r="Z3896">
            <v>0</v>
          </cell>
          <cell r="AA3896">
            <v>0</v>
          </cell>
          <cell r="AB3896">
            <v>9.5870399999999995E-2</v>
          </cell>
        </row>
        <row r="3897">
          <cell r="A3897">
            <v>58146371</v>
          </cell>
          <cell r="B3897" t="str">
            <v>Pasta with tomato-based sauce, seafood, and added vegetables, restaurant</v>
          </cell>
          <cell r="I3897">
            <v>248</v>
          </cell>
          <cell r="J3897">
            <v>403.39258999999998</v>
          </cell>
          <cell r="K3897">
            <v>1.6265830241935484</v>
          </cell>
          <cell r="L3897">
            <v>1.5435254</v>
          </cell>
          <cell r="M3897">
            <v>2.7491819</v>
          </cell>
          <cell r="N3897">
            <v>7.4758900000000003E-2</v>
          </cell>
          <cell r="O3897">
            <v>5.0627100000000001E-2</v>
          </cell>
          <cell r="P3897">
            <v>2.1439450999999998</v>
          </cell>
          <cell r="Q3897">
            <v>7.9937538000000004</v>
          </cell>
          <cell r="R3897">
            <v>0</v>
          </cell>
          <cell r="S3897">
            <v>0</v>
          </cell>
          <cell r="T3897">
            <v>0</v>
          </cell>
          <cell r="U3897">
            <v>88.881477000000004</v>
          </cell>
          <cell r="V3897">
            <v>0</v>
          </cell>
          <cell r="W3897">
            <v>0</v>
          </cell>
          <cell r="X3897">
            <v>0.89850010000000002</v>
          </cell>
          <cell r="Y3897">
            <v>0</v>
          </cell>
          <cell r="Z3897">
            <v>0</v>
          </cell>
          <cell r="AA3897">
            <v>0</v>
          </cell>
          <cell r="AB3897">
            <v>9.6471000000000001E-2</v>
          </cell>
        </row>
        <row r="3898">
          <cell r="A3898">
            <v>58146372</v>
          </cell>
          <cell r="B3898" t="str">
            <v>Pasta with tomato-based sauce, seafood, and added vegetables, home recipe</v>
          </cell>
          <cell r="I3898">
            <v>248</v>
          </cell>
          <cell r="J3898">
            <v>272.82659000000001</v>
          </cell>
          <cell r="K3898">
            <v>1.1001072177419355</v>
          </cell>
          <cell r="L3898">
            <v>1.6664357000000001</v>
          </cell>
          <cell r="M3898">
            <v>0.4556653</v>
          </cell>
          <cell r="N3898">
            <v>8.0711900000000003E-2</v>
          </cell>
          <cell r="O3898">
            <v>5.4281900000000001E-2</v>
          </cell>
          <cell r="P3898">
            <v>2.3146667000000001</v>
          </cell>
          <cell r="Q3898">
            <v>1.0635838</v>
          </cell>
          <cell r="R3898">
            <v>0</v>
          </cell>
          <cell r="S3898">
            <v>0</v>
          </cell>
          <cell r="T3898">
            <v>0</v>
          </cell>
          <cell r="U3898">
            <v>95.959075999999996</v>
          </cell>
          <cell r="V3898">
            <v>0</v>
          </cell>
          <cell r="W3898">
            <v>0</v>
          </cell>
          <cell r="X3898">
            <v>0.43595630000000002</v>
          </cell>
          <cell r="Y3898">
            <v>0</v>
          </cell>
          <cell r="Z3898">
            <v>0</v>
          </cell>
          <cell r="AA3898">
            <v>0</v>
          </cell>
          <cell r="AB3898">
            <v>2.8520500000000001E-2</v>
          </cell>
        </row>
        <row r="3899">
          <cell r="A3899">
            <v>58146381</v>
          </cell>
          <cell r="B3899" t="str">
            <v>Pasta with cream sauce, restaurant</v>
          </cell>
          <cell r="I3899">
            <v>248</v>
          </cell>
          <cell r="J3899">
            <v>500.02</v>
          </cell>
          <cell r="K3899">
            <v>2.0162096774193548</v>
          </cell>
          <cell r="L3899">
            <v>0</v>
          </cell>
          <cell r="M3899">
            <v>13.069564</v>
          </cell>
          <cell r="N3899">
            <v>0</v>
          </cell>
          <cell r="O3899">
            <v>9.9483000000000002E-2</v>
          </cell>
          <cell r="P3899">
            <v>2.1366154000000002</v>
          </cell>
          <cell r="Q3899">
            <v>8.0420309000000003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1.4178512000000001</v>
          </cell>
          <cell r="Y3899">
            <v>0</v>
          </cell>
          <cell r="Z3899">
            <v>0</v>
          </cell>
          <cell r="AA3899">
            <v>0</v>
          </cell>
          <cell r="AB3899">
            <v>0.76740229999999998</v>
          </cell>
        </row>
        <row r="3900">
          <cell r="A3900">
            <v>58146382</v>
          </cell>
          <cell r="B3900" t="str">
            <v>Pasta with cream sauce, home recipe</v>
          </cell>
          <cell r="I3900">
            <v>248</v>
          </cell>
          <cell r="J3900">
            <v>379.00033000000002</v>
          </cell>
          <cell r="K3900">
            <v>1.5282271370967744</v>
          </cell>
          <cell r="L3900">
            <v>0</v>
          </cell>
          <cell r="M3900">
            <v>11.646262</v>
          </cell>
          <cell r="N3900">
            <v>0</v>
          </cell>
          <cell r="O3900">
            <v>0.1071762</v>
          </cell>
          <cell r="P3900">
            <v>2.3146667000000001</v>
          </cell>
          <cell r="Q3900">
            <v>1.1454906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0.64591509999999996</v>
          </cell>
          <cell r="Y3900">
            <v>0</v>
          </cell>
          <cell r="Z3900">
            <v>0</v>
          </cell>
          <cell r="AA3900">
            <v>0</v>
          </cell>
          <cell r="AB3900">
            <v>0.7579901</v>
          </cell>
        </row>
        <row r="3901">
          <cell r="A3901">
            <v>58146383</v>
          </cell>
          <cell r="B3901" t="str">
            <v>Pasta with cream sauce, ready-to-heat</v>
          </cell>
          <cell r="I3901">
            <v>248</v>
          </cell>
          <cell r="J3901">
            <v>410.54901999999998</v>
          </cell>
          <cell r="K3901">
            <v>1.6554395967741935</v>
          </cell>
          <cell r="L3901">
            <v>0</v>
          </cell>
          <cell r="M3901">
            <v>12.007536</v>
          </cell>
          <cell r="N3901">
            <v>0</v>
          </cell>
          <cell r="O3901">
            <v>0.10507320000000001</v>
          </cell>
          <cell r="P3901">
            <v>2.2643477999999999</v>
          </cell>
          <cell r="Q3901">
            <v>2.9711425999999999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0.98015629999999998</v>
          </cell>
          <cell r="Y3901">
            <v>0</v>
          </cell>
          <cell r="Z3901">
            <v>0</v>
          </cell>
          <cell r="AA3901">
            <v>0</v>
          </cell>
          <cell r="AB3901">
            <v>0.75996280000000005</v>
          </cell>
        </row>
        <row r="3902">
          <cell r="A3902">
            <v>58146391</v>
          </cell>
          <cell r="B3902" t="str">
            <v>Pasta with cream sauce and added vegetables, restaurant</v>
          </cell>
          <cell r="I3902">
            <v>248</v>
          </cell>
          <cell r="J3902">
            <v>468.04007999999999</v>
          </cell>
          <cell r="K3902">
            <v>1.8872583870967741</v>
          </cell>
          <cell r="L3902">
            <v>0.37605230000000001</v>
          </cell>
          <cell r="M3902">
            <v>10.602815</v>
          </cell>
          <cell r="N3902">
            <v>0</v>
          </cell>
          <cell r="O3902">
            <v>8.0980399999999994E-2</v>
          </cell>
          <cell r="P3902">
            <v>2.1366154000000002</v>
          </cell>
          <cell r="Q3902">
            <v>7.9216654000000002</v>
          </cell>
          <cell r="R3902">
            <v>0</v>
          </cell>
          <cell r="S3902">
            <v>0</v>
          </cell>
          <cell r="T3902">
            <v>0</v>
          </cell>
          <cell r="U3902">
            <v>25.934640999999999</v>
          </cell>
          <cell r="V3902">
            <v>0</v>
          </cell>
          <cell r="W3902">
            <v>0</v>
          </cell>
          <cell r="X3902">
            <v>1.2784409999999999</v>
          </cell>
          <cell r="Y3902">
            <v>0</v>
          </cell>
          <cell r="Z3902">
            <v>0</v>
          </cell>
          <cell r="AA3902">
            <v>0</v>
          </cell>
          <cell r="AB3902">
            <v>0.61304179999999997</v>
          </cell>
        </row>
        <row r="3903">
          <cell r="A3903">
            <v>58146392</v>
          </cell>
          <cell r="B3903" t="str">
            <v>Pasta with cream sauce and added vegetables, from home recipe</v>
          </cell>
          <cell r="I3903">
            <v>248</v>
          </cell>
          <cell r="J3903">
            <v>344.35541999999998</v>
          </cell>
          <cell r="K3903">
            <v>1.3885299193548386</v>
          </cell>
          <cell r="L3903">
            <v>0.40738999999999997</v>
          </cell>
          <cell r="M3903">
            <v>8.9739500000000003</v>
          </cell>
          <cell r="N3903">
            <v>0</v>
          </cell>
          <cell r="O3903">
            <v>8.7131700000000006E-2</v>
          </cell>
          <cell r="P3903">
            <v>2.3146667000000001</v>
          </cell>
          <cell r="Q3903">
            <v>1.0150946000000001</v>
          </cell>
          <cell r="R3903">
            <v>0</v>
          </cell>
          <cell r="S3903">
            <v>0</v>
          </cell>
          <cell r="T3903">
            <v>0</v>
          </cell>
          <cell r="U3903">
            <v>28.095860999999999</v>
          </cell>
          <cell r="V3903">
            <v>0</v>
          </cell>
          <cell r="W3903">
            <v>0</v>
          </cell>
          <cell r="X3903">
            <v>0.49488739999999998</v>
          </cell>
          <cell r="Y3903">
            <v>0</v>
          </cell>
          <cell r="Z3903">
            <v>0</v>
          </cell>
          <cell r="AA3903">
            <v>0</v>
          </cell>
          <cell r="AB3903">
            <v>0.59226719999999999</v>
          </cell>
        </row>
        <row r="3904">
          <cell r="A3904">
            <v>58146393</v>
          </cell>
          <cell r="B3904" t="str">
            <v>Pasta with cream sauce and added vegetables, ready-to-heat</v>
          </cell>
          <cell r="I3904">
            <v>248</v>
          </cell>
          <cell r="J3904">
            <v>376.65726000000001</v>
          </cell>
          <cell r="K3904">
            <v>1.5187792741935484</v>
          </cell>
          <cell r="L3904">
            <v>0.39853369999999999</v>
          </cell>
          <cell r="M3904">
            <v>9.3933178000000002</v>
          </cell>
          <cell r="N3904">
            <v>0</v>
          </cell>
          <cell r="O3904">
            <v>8.5464399999999996E-2</v>
          </cell>
          <cell r="P3904">
            <v>2.2643477999999999</v>
          </cell>
          <cell r="Q3904">
            <v>2.8435812999999999</v>
          </cell>
          <cell r="R3904">
            <v>0</v>
          </cell>
          <cell r="S3904">
            <v>0</v>
          </cell>
          <cell r="T3904">
            <v>0</v>
          </cell>
          <cell r="U3904">
            <v>27.485081000000001</v>
          </cell>
          <cell r="V3904">
            <v>0</v>
          </cell>
          <cell r="W3904">
            <v>0</v>
          </cell>
          <cell r="X3904">
            <v>0.83241169999999998</v>
          </cell>
          <cell r="Y3904">
            <v>0</v>
          </cell>
          <cell r="Z3904">
            <v>0</v>
          </cell>
          <cell r="AA3904">
            <v>0</v>
          </cell>
          <cell r="AB3904">
            <v>0.59549580000000002</v>
          </cell>
        </row>
        <row r="3905">
          <cell r="A3905">
            <v>58146402</v>
          </cell>
          <cell r="B3905" t="str">
            <v>Pasta with cream sauce and meat, home recipe</v>
          </cell>
          <cell r="I3905">
            <v>248</v>
          </cell>
          <cell r="J3905">
            <v>404.34789999999998</v>
          </cell>
          <cell r="K3905">
            <v>1.6304350806451613</v>
          </cell>
          <cell r="L3905">
            <v>0</v>
          </cell>
          <cell r="M3905">
            <v>10.949699000000001</v>
          </cell>
          <cell r="N3905">
            <v>0</v>
          </cell>
          <cell r="O3905">
            <v>9.4108499999999998E-2</v>
          </cell>
          <cell r="P3905">
            <v>2.3146667000000001</v>
          </cell>
          <cell r="Q3905">
            <v>1.1200699000000001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0.61391600000000002</v>
          </cell>
          <cell r="Y3905">
            <v>0</v>
          </cell>
          <cell r="Z3905">
            <v>20.318249999999999</v>
          </cell>
          <cell r="AA3905">
            <v>0</v>
          </cell>
          <cell r="AB3905">
            <v>0.74958720000000001</v>
          </cell>
        </row>
        <row r="3906">
          <cell r="A3906">
            <v>58146403</v>
          </cell>
          <cell r="B3906" t="str">
            <v>Pasta with cream sauce and meat, ready-to-heat</v>
          </cell>
          <cell r="I3906">
            <v>248</v>
          </cell>
          <cell r="J3906">
            <v>435.34555</v>
          </cell>
          <cell r="K3906">
            <v>1.7554256048387098</v>
          </cell>
          <cell r="L3906">
            <v>0</v>
          </cell>
          <cell r="M3906">
            <v>11.326116000000001</v>
          </cell>
          <cell r="N3906">
            <v>0</v>
          </cell>
          <cell r="O3906">
            <v>9.2289599999999999E-2</v>
          </cell>
          <cell r="P3906">
            <v>2.2643477999999999</v>
          </cell>
          <cell r="Q3906">
            <v>2.9462746000000002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0.94885280000000005</v>
          </cell>
          <cell r="Y3906">
            <v>0</v>
          </cell>
          <cell r="Z3906">
            <v>19.876549000000001</v>
          </cell>
          <cell r="AA3906">
            <v>0</v>
          </cell>
          <cell r="AB3906">
            <v>0.75082800000000005</v>
          </cell>
        </row>
        <row r="3907">
          <cell r="A3907">
            <v>58146412</v>
          </cell>
          <cell r="B3907" t="str">
            <v>Pasta with cream sauce, meat, and added vegetables, home recipe</v>
          </cell>
          <cell r="I3907">
            <v>248</v>
          </cell>
          <cell r="J3907">
            <v>376.19891000000001</v>
          </cell>
          <cell r="K3907">
            <v>1.5169310887096774</v>
          </cell>
          <cell r="L3907">
            <v>0.33100439999999998</v>
          </cell>
          <cell r="M3907">
            <v>8.7784461</v>
          </cell>
          <cell r="N3907">
            <v>0</v>
          </cell>
          <cell r="O3907">
            <v>7.7822299999999997E-2</v>
          </cell>
          <cell r="P3907">
            <v>2.3146667000000001</v>
          </cell>
          <cell r="Q3907">
            <v>1.0141232</v>
          </cell>
          <cell r="R3907">
            <v>0</v>
          </cell>
          <cell r="S3907">
            <v>0</v>
          </cell>
          <cell r="T3907">
            <v>0</v>
          </cell>
          <cell r="U3907">
            <v>22.827887</v>
          </cell>
          <cell r="V3907">
            <v>0</v>
          </cell>
          <cell r="W3907">
            <v>0</v>
          </cell>
          <cell r="X3907">
            <v>0.49120599999999998</v>
          </cell>
          <cell r="Y3907">
            <v>0</v>
          </cell>
          <cell r="Z3907">
            <v>20.318249999999999</v>
          </cell>
          <cell r="AA3907">
            <v>0</v>
          </cell>
          <cell r="AB3907">
            <v>0.61373529999999998</v>
          </cell>
        </row>
        <row r="3908">
          <cell r="A3908">
            <v>58146421</v>
          </cell>
          <cell r="B3908" t="str">
            <v>Pasta with cream sauce and poultry, restaurant</v>
          </cell>
          <cell r="I3908">
            <v>248</v>
          </cell>
          <cell r="J3908">
            <v>505.27085</v>
          </cell>
          <cell r="K3908">
            <v>2.0373824596774193</v>
          </cell>
          <cell r="L3908">
            <v>0</v>
          </cell>
          <cell r="M3908">
            <v>11.455712</v>
          </cell>
          <cell r="N3908">
            <v>0</v>
          </cell>
          <cell r="O3908">
            <v>8.6724499999999996E-2</v>
          </cell>
          <cell r="P3908">
            <v>2.1366154000000002</v>
          </cell>
          <cell r="Q3908">
            <v>8.2658746999999995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1.3815287000000001</v>
          </cell>
          <cell r="Y3908">
            <v>0</v>
          </cell>
          <cell r="Z3908">
            <v>0</v>
          </cell>
          <cell r="AA3908">
            <v>0</v>
          </cell>
          <cell r="AB3908">
            <v>0.64396620000000004</v>
          </cell>
        </row>
        <row r="3909">
          <cell r="A3909">
            <v>58146422</v>
          </cell>
          <cell r="B3909" t="str">
            <v>Pasta with cream sauce and poultry, home recipe</v>
          </cell>
          <cell r="I3909">
            <v>248</v>
          </cell>
          <cell r="J3909">
            <v>384.68875000000003</v>
          </cell>
          <cell r="K3909">
            <v>1.5511643145161291</v>
          </cell>
          <cell r="L3909">
            <v>0</v>
          </cell>
          <cell r="M3909">
            <v>9.8979221000000006</v>
          </cell>
          <cell r="N3909">
            <v>0</v>
          </cell>
          <cell r="O3909">
            <v>9.3354500000000007E-2</v>
          </cell>
          <cell r="P3909">
            <v>2.3146667000000001</v>
          </cell>
          <cell r="Q3909">
            <v>1.3879878999999999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0.60656569999999999</v>
          </cell>
          <cell r="Y3909">
            <v>0</v>
          </cell>
          <cell r="Z3909">
            <v>0</v>
          </cell>
          <cell r="AA3909">
            <v>0</v>
          </cell>
          <cell r="AB3909">
            <v>0.6240753</v>
          </cell>
        </row>
        <row r="3910">
          <cell r="A3910">
            <v>58146423</v>
          </cell>
          <cell r="B3910" t="str">
            <v>Pasta with cream sauce and poultry, ready-to-heat</v>
          </cell>
          <cell r="I3910">
            <v>248</v>
          </cell>
          <cell r="J3910">
            <v>416.11378000000002</v>
          </cell>
          <cell r="K3910">
            <v>1.6778781451612903</v>
          </cell>
          <cell r="L3910">
            <v>0</v>
          </cell>
          <cell r="M3910">
            <v>10.297204000000001</v>
          </cell>
          <cell r="N3910">
            <v>0</v>
          </cell>
          <cell r="O3910">
            <v>9.1551900000000005E-2</v>
          </cell>
          <cell r="P3910">
            <v>2.2643477999999999</v>
          </cell>
          <cell r="Q3910">
            <v>3.2083683000000001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0.94166229999999995</v>
          </cell>
          <cell r="Y3910">
            <v>0</v>
          </cell>
          <cell r="Z3910">
            <v>0</v>
          </cell>
          <cell r="AA3910">
            <v>0</v>
          </cell>
          <cell r="AB3910">
            <v>0.62988880000000003</v>
          </cell>
        </row>
        <row r="3911">
          <cell r="A3911">
            <v>58146431</v>
          </cell>
          <cell r="B3911" t="str">
            <v>Pasta with cream sauce, poultry, and added vegetables, restaurant</v>
          </cell>
          <cell r="I3911">
            <v>248</v>
          </cell>
          <cell r="J3911">
            <v>479.28715999999997</v>
          </cell>
          <cell r="K3911">
            <v>1.9326095161290322</v>
          </cell>
          <cell r="L3911">
            <v>0.30554249999999999</v>
          </cell>
          <cell r="M3911">
            <v>9.4514785000000003</v>
          </cell>
          <cell r="N3911">
            <v>0</v>
          </cell>
          <cell r="O3911">
            <v>7.1691099999999994E-2</v>
          </cell>
          <cell r="P3911">
            <v>2.1366154000000002</v>
          </cell>
          <cell r="Q3911">
            <v>8.1680776999999996</v>
          </cell>
          <cell r="R3911">
            <v>0</v>
          </cell>
          <cell r="S3911">
            <v>0</v>
          </cell>
          <cell r="T3911">
            <v>0</v>
          </cell>
          <cell r="U3911">
            <v>21.071895000000001</v>
          </cell>
          <cell r="V3911">
            <v>0</v>
          </cell>
          <cell r="W3911">
            <v>0</v>
          </cell>
          <cell r="X3911">
            <v>1.2682579</v>
          </cell>
          <cell r="Y3911">
            <v>0</v>
          </cell>
          <cell r="Z3911">
            <v>0</v>
          </cell>
          <cell r="AA3911">
            <v>0</v>
          </cell>
          <cell r="AB3911">
            <v>0.51866950000000001</v>
          </cell>
        </row>
        <row r="3912">
          <cell r="A3912">
            <v>58146432</v>
          </cell>
          <cell r="B3912" t="str">
            <v>Pasta with cream sauce, poultry, and added vegetables, home recipe</v>
          </cell>
          <cell r="I3912">
            <v>248</v>
          </cell>
          <cell r="J3912">
            <v>356.53976</v>
          </cell>
          <cell r="K3912">
            <v>1.4376603225806452</v>
          </cell>
          <cell r="L3912">
            <v>0.33100439999999998</v>
          </cell>
          <cell r="M3912">
            <v>7.7266689</v>
          </cell>
          <cell r="N3912">
            <v>0</v>
          </cell>
          <cell r="O3912">
            <v>7.7068300000000006E-2</v>
          </cell>
          <cell r="P3912">
            <v>2.3146667000000001</v>
          </cell>
          <cell r="Q3912">
            <v>1.2820412000000001</v>
          </cell>
          <cell r="R3912">
            <v>0</v>
          </cell>
          <cell r="S3912">
            <v>0</v>
          </cell>
          <cell r="T3912">
            <v>0</v>
          </cell>
          <cell r="U3912">
            <v>22.827887</v>
          </cell>
          <cell r="V3912">
            <v>0</v>
          </cell>
          <cell r="W3912">
            <v>0</v>
          </cell>
          <cell r="X3912">
            <v>0.4838557</v>
          </cell>
          <cell r="Y3912">
            <v>0</v>
          </cell>
          <cell r="Z3912">
            <v>0</v>
          </cell>
          <cell r="AA3912">
            <v>0</v>
          </cell>
          <cell r="AB3912">
            <v>0.49129149999999999</v>
          </cell>
        </row>
        <row r="3913">
          <cell r="A3913">
            <v>58146433</v>
          </cell>
          <cell r="B3913" t="str">
            <v>Pasta with cream sauce, poultry, and added vegetables, ready-to-heat</v>
          </cell>
          <cell r="I3913">
            <v>248</v>
          </cell>
          <cell r="J3913">
            <v>388.57672000000002</v>
          </cell>
          <cell r="K3913">
            <v>1.5668416129032259</v>
          </cell>
          <cell r="L3913">
            <v>0.3238086</v>
          </cell>
          <cell r="M3913">
            <v>8.1731514999999995</v>
          </cell>
          <cell r="N3913">
            <v>0</v>
          </cell>
          <cell r="O3913">
            <v>7.5619800000000001E-2</v>
          </cell>
          <cell r="P3913">
            <v>2.2643477999999999</v>
          </cell>
          <cell r="Q3913">
            <v>3.1047246999999998</v>
          </cell>
          <cell r="R3913">
            <v>0</v>
          </cell>
          <cell r="S3913">
            <v>0</v>
          </cell>
          <cell r="T3913">
            <v>0</v>
          </cell>
          <cell r="U3913">
            <v>22.331627999999998</v>
          </cell>
          <cell r="V3913">
            <v>0</v>
          </cell>
          <cell r="W3913">
            <v>0</v>
          </cell>
          <cell r="X3913">
            <v>0.82161980000000001</v>
          </cell>
          <cell r="Y3913">
            <v>0</v>
          </cell>
          <cell r="Z3913">
            <v>0</v>
          </cell>
          <cell r="AA3913">
            <v>0</v>
          </cell>
          <cell r="AB3913">
            <v>0.50068319999999999</v>
          </cell>
        </row>
        <row r="3914">
          <cell r="A3914">
            <v>58146441</v>
          </cell>
          <cell r="B3914" t="str">
            <v>Pasta with cream sauce and seafood, restaurant</v>
          </cell>
          <cell r="I3914">
            <v>248</v>
          </cell>
          <cell r="J3914">
            <v>494.59557999999998</v>
          </cell>
          <cell r="K3914">
            <v>1.9943370161290321</v>
          </cell>
          <cell r="L3914">
            <v>0</v>
          </cell>
          <cell r="M3914">
            <v>11.144393000000001</v>
          </cell>
          <cell r="N3914">
            <v>7.4503299999999995E-2</v>
          </cell>
          <cell r="O3914">
            <v>0.1041912</v>
          </cell>
          <cell r="P3914">
            <v>2.1366154000000002</v>
          </cell>
          <cell r="Q3914">
            <v>8.0198689000000005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1.4077541</v>
          </cell>
          <cell r="Y3914">
            <v>0</v>
          </cell>
          <cell r="Z3914">
            <v>0</v>
          </cell>
          <cell r="AA3914">
            <v>0</v>
          </cell>
          <cell r="AB3914">
            <v>0.62441270000000004</v>
          </cell>
        </row>
        <row r="3915">
          <cell r="A3915">
            <v>58146442</v>
          </cell>
          <cell r="B3915" t="str">
            <v>Pasta with cream sauce and seafood, home recipe</v>
          </cell>
          <cell r="I3915">
            <v>248</v>
          </cell>
          <cell r="J3915">
            <v>373.12387999999999</v>
          </cell>
          <cell r="K3915">
            <v>1.5045317741935482</v>
          </cell>
          <cell r="L3915">
            <v>0</v>
          </cell>
          <cell r="M3915">
            <v>9.5606594999999999</v>
          </cell>
          <cell r="N3915">
            <v>8.0711900000000003E-2</v>
          </cell>
          <cell r="O3915">
            <v>0.1122768</v>
          </cell>
          <cell r="P3915">
            <v>2.3146667000000001</v>
          </cell>
          <cell r="Q3915">
            <v>1.1214816000000001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0.6349766</v>
          </cell>
          <cell r="Y3915">
            <v>0</v>
          </cell>
          <cell r="Z3915">
            <v>0</v>
          </cell>
          <cell r="AA3915">
            <v>0</v>
          </cell>
          <cell r="AB3915">
            <v>0.60297829999999997</v>
          </cell>
        </row>
        <row r="3916">
          <cell r="A3916">
            <v>58146451</v>
          </cell>
          <cell r="B3916" t="str">
            <v>Pasta with cream sauce, seafood, and added vegetables, restaurant</v>
          </cell>
          <cell r="I3916">
            <v>248</v>
          </cell>
          <cell r="J3916">
            <v>468.61189999999999</v>
          </cell>
          <cell r="K3916">
            <v>1.8895641129032257</v>
          </cell>
          <cell r="L3916">
            <v>0.30554249999999999</v>
          </cell>
          <cell r="M3916">
            <v>9.1401593000000005</v>
          </cell>
          <cell r="N3916">
            <v>7.4503299999999995E-2</v>
          </cell>
          <cell r="O3916">
            <v>8.9157899999999998E-2</v>
          </cell>
          <cell r="P3916">
            <v>2.1366154000000002</v>
          </cell>
          <cell r="Q3916">
            <v>7.9220718999999997</v>
          </cell>
          <cell r="R3916">
            <v>0</v>
          </cell>
          <cell r="S3916">
            <v>0</v>
          </cell>
          <cell r="T3916">
            <v>0</v>
          </cell>
          <cell r="U3916">
            <v>21.071895000000001</v>
          </cell>
          <cell r="V3916">
            <v>0</v>
          </cell>
          <cell r="W3916">
            <v>0</v>
          </cell>
          <cell r="X3916">
            <v>1.2944833</v>
          </cell>
          <cell r="Y3916">
            <v>0</v>
          </cell>
          <cell r="Z3916">
            <v>0</v>
          </cell>
          <cell r="AA3916">
            <v>0</v>
          </cell>
          <cell r="AB3916">
            <v>0.5001466</v>
          </cell>
        </row>
        <row r="3917">
          <cell r="A3917">
            <v>58146452</v>
          </cell>
          <cell r="B3917" t="str">
            <v>Pasta with cream sauce, seafood, and added vegetables, home recipe</v>
          </cell>
          <cell r="I3917">
            <v>248</v>
          </cell>
          <cell r="J3917">
            <v>344.97489000000002</v>
          </cell>
          <cell r="K3917">
            <v>1.3910277822580646</v>
          </cell>
          <cell r="L3917">
            <v>0.33100439999999998</v>
          </cell>
          <cell r="M3917">
            <v>7.3894063000000001</v>
          </cell>
          <cell r="N3917">
            <v>8.0711900000000003E-2</v>
          </cell>
          <cell r="O3917">
            <v>9.5990599999999995E-2</v>
          </cell>
          <cell r="P3917">
            <v>2.3146667000000001</v>
          </cell>
          <cell r="Q3917">
            <v>1.0155349</v>
          </cell>
          <cell r="R3917">
            <v>0</v>
          </cell>
          <cell r="S3917">
            <v>0</v>
          </cell>
          <cell r="T3917">
            <v>0</v>
          </cell>
          <cell r="U3917">
            <v>22.827887</v>
          </cell>
          <cell r="V3917">
            <v>0</v>
          </cell>
          <cell r="W3917">
            <v>0</v>
          </cell>
          <cell r="X3917">
            <v>0.51226660000000002</v>
          </cell>
          <cell r="Y3917">
            <v>0</v>
          </cell>
          <cell r="Z3917">
            <v>0</v>
          </cell>
          <cell r="AA3917">
            <v>0</v>
          </cell>
          <cell r="AB3917">
            <v>0.46751730000000002</v>
          </cell>
        </row>
        <row r="3918">
          <cell r="A3918">
            <v>58146602</v>
          </cell>
          <cell r="B3918" t="str">
            <v>Pasta, whole grain, with tomato-based sauce, home recipe</v>
          </cell>
          <cell r="I3918">
            <v>248</v>
          </cell>
          <cell r="J3918">
            <v>251.30667</v>
          </cell>
          <cell r="K3918">
            <v>1.0133333467741936</v>
          </cell>
          <cell r="L3918">
            <v>7.1644443999999998</v>
          </cell>
          <cell r="M3918">
            <v>0.57278810000000002</v>
          </cell>
          <cell r="N3918">
            <v>0</v>
          </cell>
          <cell r="O3918">
            <v>4.7763E-2</v>
          </cell>
          <cell r="P3918">
            <v>0</v>
          </cell>
          <cell r="Q3918">
            <v>1.5417333</v>
          </cell>
          <cell r="R3918">
            <v>51.40296</v>
          </cell>
          <cell r="S3918">
            <v>0</v>
          </cell>
          <cell r="T3918">
            <v>0</v>
          </cell>
          <cell r="U3918">
            <v>117.70227</v>
          </cell>
          <cell r="V3918">
            <v>0</v>
          </cell>
          <cell r="W3918">
            <v>0</v>
          </cell>
          <cell r="X3918">
            <v>0.52695409999999998</v>
          </cell>
          <cell r="Y3918">
            <v>0</v>
          </cell>
          <cell r="Z3918">
            <v>0</v>
          </cell>
          <cell r="AA3918">
            <v>0</v>
          </cell>
          <cell r="AB3918">
            <v>8.3584999999999996E-3</v>
          </cell>
        </row>
        <row r="3919">
          <cell r="A3919">
            <v>58146612</v>
          </cell>
          <cell r="B3919" t="str">
            <v>Pasta, whole grain, with tomato-based sauce and added vegetables, home recipe</v>
          </cell>
          <cell r="I3919">
            <v>248</v>
          </cell>
          <cell r="J3919">
            <v>243.98418000000001</v>
          </cell>
          <cell r="K3919">
            <v>0.98380717741935486</v>
          </cell>
          <cell r="L3919">
            <v>7.0661088999999997</v>
          </cell>
          <cell r="M3919">
            <v>0.52627190000000001</v>
          </cell>
          <cell r="N3919">
            <v>0</v>
          </cell>
          <cell r="O3919">
            <v>4.3513499999999997E-2</v>
          </cell>
          <cell r="P3919">
            <v>0</v>
          </cell>
          <cell r="Q3919">
            <v>1.3931414</v>
          </cell>
          <cell r="R3919">
            <v>51.40296</v>
          </cell>
          <cell r="S3919">
            <v>0</v>
          </cell>
          <cell r="T3919">
            <v>0</v>
          </cell>
          <cell r="U3919">
            <v>118.10348</v>
          </cell>
          <cell r="V3919">
            <v>0</v>
          </cell>
          <cell r="W3919">
            <v>0</v>
          </cell>
          <cell r="X3919">
            <v>0.40482489999999999</v>
          </cell>
          <cell r="Y3919">
            <v>0</v>
          </cell>
          <cell r="Z3919">
            <v>0</v>
          </cell>
          <cell r="AA3919">
            <v>0</v>
          </cell>
          <cell r="AB3919">
            <v>6.3918000000000004E-3</v>
          </cell>
        </row>
        <row r="3920">
          <cell r="A3920">
            <v>58146613</v>
          </cell>
          <cell r="B3920" t="str">
            <v>Pasta, whole grain, with tomato-based sauce and added vegetables, ready-to-heat</v>
          </cell>
          <cell r="I3920">
            <v>248</v>
          </cell>
          <cell r="J3920">
            <v>278.46800999999999</v>
          </cell>
          <cell r="K3920">
            <v>1.1228548790322581</v>
          </cell>
          <cell r="L3920">
            <v>6.9124979</v>
          </cell>
          <cell r="M3920">
            <v>1.1292849</v>
          </cell>
          <cell r="N3920">
            <v>0</v>
          </cell>
          <cell r="O3920">
            <v>4.2794400000000003E-2</v>
          </cell>
          <cell r="P3920">
            <v>0</v>
          </cell>
          <cell r="Q3920">
            <v>3.2134097000000001</v>
          </cell>
          <cell r="R3920">
            <v>50.285504000000003</v>
          </cell>
          <cell r="S3920">
            <v>0</v>
          </cell>
          <cell r="T3920">
            <v>0</v>
          </cell>
          <cell r="U3920">
            <v>115.53601</v>
          </cell>
          <cell r="V3920">
            <v>0</v>
          </cell>
          <cell r="W3920">
            <v>0</v>
          </cell>
          <cell r="X3920">
            <v>0.7443071</v>
          </cell>
          <cell r="Y3920">
            <v>0</v>
          </cell>
          <cell r="Z3920">
            <v>0</v>
          </cell>
          <cell r="AA3920">
            <v>0</v>
          </cell>
          <cell r="AB3920">
            <v>0.12083770000000001</v>
          </cell>
        </row>
        <row r="3921">
          <cell r="A3921">
            <v>58146622</v>
          </cell>
          <cell r="B3921" t="str">
            <v>Pasta, whole grain, with tomato-based sauce and meat, home recipe</v>
          </cell>
          <cell r="I3921">
            <v>248</v>
          </cell>
          <cell r="J3921">
            <v>298.42680000000001</v>
          </cell>
          <cell r="K3921">
            <v>1.2033338709677419</v>
          </cell>
          <cell r="L3921">
            <v>6.7614444000000002</v>
          </cell>
          <cell r="M3921">
            <v>1.9686565</v>
          </cell>
          <cell r="N3921">
            <v>0</v>
          </cell>
          <cell r="O3921">
            <v>4.7281900000000002E-2</v>
          </cell>
          <cell r="P3921">
            <v>0</v>
          </cell>
          <cell r="Q3921">
            <v>1.5018126999999999</v>
          </cell>
          <cell r="R3921">
            <v>51.40296</v>
          </cell>
          <cell r="S3921">
            <v>0</v>
          </cell>
          <cell r="T3921">
            <v>0</v>
          </cell>
          <cell r="U3921">
            <v>95.633094</v>
          </cell>
          <cell r="V3921">
            <v>0</v>
          </cell>
          <cell r="W3921">
            <v>0</v>
          </cell>
          <cell r="X3921">
            <v>0.51798350000000004</v>
          </cell>
          <cell r="Y3921">
            <v>0</v>
          </cell>
          <cell r="Z3921">
            <v>20.318249999999999</v>
          </cell>
          <cell r="AA3921">
            <v>0</v>
          </cell>
          <cell r="AB3921">
            <v>0.17567379999999999</v>
          </cell>
        </row>
        <row r="3922">
          <cell r="A3922">
            <v>58146632</v>
          </cell>
          <cell r="B3922" t="str">
            <v>Pasta, whole grain, with tomato-based sauce, meat, and added vegetables, home recipe</v>
          </cell>
          <cell r="I3922">
            <v>248</v>
          </cell>
          <cell r="J3922">
            <v>292.47728000000001</v>
          </cell>
          <cell r="K3922">
            <v>1.179343870967742</v>
          </cell>
          <cell r="L3922">
            <v>6.6815467999999996</v>
          </cell>
          <cell r="M3922">
            <v>1.9308620999999999</v>
          </cell>
          <cell r="N3922">
            <v>0</v>
          </cell>
          <cell r="O3922">
            <v>4.3829199999999999E-2</v>
          </cell>
          <cell r="P3922">
            <v>0</v>
          </cell>
          <cell r="Q3922">
            <v>1.3810817</v>
          </cell>
          <cell r="R3922">
            <v>51.40296</v>
          </cell>
          <cell r="S3922">
            <v>0</v>
          </cell>
          <cell r="T3922">
            <v>0</v>
          </cell>
          <cell r="U3922">
            <v>95.959075999999996</v>
          </cell>
          <cell r="V3922">
            <v>0</v>
          </cell>
          <cell r="W3922">
            <v>0</v>
          </cell>
          <cell r="X3922">
            <v>0.4187535</v>
          </cell>
          <cell r="Y3922">
            <v>0</v>
          </cell>
          <cell r="Z3922">
            <v>20.318249999999999</v>
          </cell>
          <cell r="AA3922">
            <v>0</v>
          </cell>
          <cell r="AB3922">
            <v>0.1740758</v>
          </cell>
        </row>
        <row r="3923">
          <cell r="A3923">
            <v>58146642</v>
          </cell>
          <cell r="B3923" t="str">
            <v>Pasta, whole grain, with tomato-based sauce and poultry, home recipe</v>
          </cell>
          <cell r="I3923">
            <v>248</v>
          </cell>
          <cell r="J3923">
            <v>278.76765</v>
          </cell>
          <cell r="K3923">
            <v>1.1240631048387097</v>
          </cell>
          <cell r="L3923">
            <v>6.7614444000000002</v>
          </cell>
          <cell r="M3923">
            <v>0.91687929999999995</v>
          </cell>
          <cell r="N3923">
            <v>0</v>
          </cell>
          <cell r="O3923">
            <v>4.6527800000000001E-2</v>
          </cell>
          <cell r="P3923">
            <v>0</v>
          </cell>
          <cell r="Q3923">
            <v>1.7697307</v>
          </cell>
          <cell r="R3923">
            <v>51.40296</v>
          </cell>
          <cell r="S3923">
            <v>0</v>
          </cell>
          <cell r="T3923">
            <v>0</v>
          </cell>
          <cell r="U3923">
            <v>95.633094</v>
          </cell>
          <cell r="V3923">
            <v>0</v>
          </cell>
          <cell r="W3923">
            <v>0</v>
          </cell>
          <cell r="X3923">
            <v>0.51063320000000001</v>
          </cell>
          <cell r="Y3923">
            <v>0</v>
          </cell>
          <cell r="Z3923">
            <v>0</v>
          </cell>
          <cell r="AA3923">
            <v>0</v>
          </cell>
          <cell r="AB3923">
            <v>9.9475999999999995E-2</v>
          </cell>
        </row>
        <row r="3924">
          <cell r="A3924">
            <v>58146662</v>
          </cell>
          <cell r="B3924" t="str">
            <v>Pasta, whole grain, with tomato-based sauce and seafood, home recipe</v>
          </cell>
          <cell r="I3924">
            <v>248</v>
          </cell>
          <cell r="J3924">
            <v>267.20278000000002</v>
          </cell>
          <cell r="K3924">
            <v>1.0774305645161291</v>
          </cell>
          <cell r="L3924">
            <v>6.7614444000000002</v>
          </cell>
          <cell r="M3924">
            <v>0.57961680000000004</v>
          </cell>
          <cell r="N3924">
            <v>8.0711900000000003E-2</v>
          </cell>
          <cell r="O3924">
            <v>6.54502E-2</v>
          </cell>
          <cell r="P3924">
            <v>0</v>
          </cell>
          <cell r="Q3924">
            <v>1.5032243999999999</v>
          </cell>
          <cell r="R3924">
            <v>51.40296</v>
          </cell>
          <cell r="S3924">
            <v>0</v>
          </cell>
          <cell r="T3924">
            <v>0</v>
          </cell>
          <cell r="U3924">
            <v>95.633094</v>
          </cell>
          <cell r="V3924">
            <v>0</v>
          </cell>
          <cell r="W3924">
            <v>0</v>
          </cell>
          <cell r="X3924">
            <v>0.53904410000000003</v>
          </cell>
          <cell r="Y3924">
            <v>0</v>
          </cell>
          <cell r="Z3924">
            <v>0</v>
          </cell>
          <cell r="AA3924">
            <v>0</v>
          </cell>
          <cell r="AB3924">
            <v>8.5605700000000007E-2</v>
          </cell>
        </row>
        <row r="3925">
          <cell r="A3925">
            <v>58146682</v>
          </cell>
          <cell r="B3925" t="str">
            <v>Pasta, whole grain, with cream sauce, home recipe</v>
          </cell>
          <cell r="I3925">
            <v>248</v>
          </cell>
          <cell r="J3925">
            <v>367.42700000000002</v>
          </cell>
          <cell r="K3925">
            <v>1.4815604838709677</v>
          </cell>
          <cell r="L3925">
            <v>5.0151111000000004</v>
          </cell>
          <cell r="M3925">
            <v>11.732419</v>
          </cell>
          <cell r="N3925">
            <v>0</v>
          </cell>
          <cell r="O3925">
            <v>0.1148918</v>
          </cell>
          <cell r="P3925">
            <v>0</v>
          </cell>
          <cell r="Q3925">
            <v>1.4644002</v>
          </cell>
          <cell r="R3925">
            <v>51.40296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0.64977289999999999</v>
          </cell>
          <cell r="Y3925">
            <v>0</v>
          </cell>
          <cell r="Z3925">
            <v>0</v>
          </cell>
          <cell r="AA3925">
            <v>0</v>
          </cell>
          <cell r="AB3925">
            <v>0.8127086</v>
          </cell>
        </row>
        <row r="3926">
          <cell r="A3926">
            <v>58146683</v>
          </cell>
          <cell r="B3926" t="str">
            <v>Pasta, whole grain, with cream sauce, ready-to-heat</v>
          </cell>
          <cell r="I3926">
            <v>248</v>
          </cell>
          <cell r="J3926">
            <v>399.22728000000001</v>
          </cell>
          <cell r="K3926">
            <v>1.6097874193548387</v>
          </cell>
          <cell r="L3926">
            <v>4.9060870000000003</v>
          </cell>
          <cell r="M3926">
            <v>12.09182</v>
          </cell>
          <cell r="N3926">
            <v>0</v>
          </cell>
          <cell r="O3926">
            <v>0.112621</v>
          </cell>
          <cell r="P3926">
            <v>0</v>
          </cell>
          <cell r="Q3926">
            <v>3.2831193999999999</v>
          </cell>
          <cell r="R3926">
            <v>50.285504000000003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0.98393019999999998</v>
          </cell>
          <cell r="Y3926">
            <v>0</v>
          </cell>
          <cell r="Z3926">
            <v>0</v>
          </cell>
          <cell r="AA3926">
            <v>0</v>
          </cell>
          <cell r="AB3926">
            <v>0.81262639999999997</v>
          </cell>
        </row>
        <row r="3927">
          <cell r="A3927">
            <v>58146732</v>
          </cell>
          <cell r="B3927" t="str">
            <v>Pasta, whole grain, with cream sauce, poultry, and added vegetables, home recipe</v>
          </cell>
          <cell r="I3927">
            <v>248</v>
          </cell>
          <cell r="J3927">
            <v>344.96642000000003</v>
          </cell>
          <cell r="K3927">
            <v>1.3909936290322582</v>
          </cell>
          <cell r="L3927">
            <v>5.3461154999999998</v>
          </cell>
          <cell r="M3927">
            <v>7.8128259</v>
          </cell>
          <cell r="N3927">
            <v>0</v>
          </cell>
          <cell r="O3927">
            <v>8.4783899999999995E-2</v>
          </cell>
          <cell r="P3927">
            <v>0</v>
          </cell>
          <cell r="Q3927">
            <v>1.6009507999999999</v>
          </cell>
          <cell r="R3927">
            <v>51.40296</v>
          </cell>
          <cell r="S3927">
            <v>0</v>
          </cell>
          <cell r="T3927">
            <v>0</v>
          </cell>
          <cell r="U3927">
            <v>22.827887</v>
          </cell>
          <cell r="V3927">
            <v>0</v>
          </cell>
          <cell r="W3927">
            <v>0</v>
          </cell>
          <cell r="X3927">
            <v>0.48771340000000002</v>
          </cell>
          <cell r="Y3927">
            <v>0</v>
          </cell>
          <cell r="Z3927">
            <v>0</v>
          </cell>
          <cell r="AA3927">
            <v>0</v>
          </cell>
          <cell r="AB3927">
            <v>0.54488610000000004</v>
          </cell>
        </row>
        <row r="3928">
          <cell r="A3928">
            <v>58147100</v>
          </cell>
          <cell r="B3928" t="str">
            <v>Pasta with pesto sauce</v>
          </cell>
          <cell r="I3928">
            <v>122</v>
          </cell>
          <cell r="J3928">
            <v>352.31263000000001</v>
          </cell>
          <cell r="K3928">
            <v>2.8878084426229509</v>
          </cell>
          <cell r="L3928">
            <v>0.13276750000000001</v>
          </cell>
          <cell r="M3928">
            <v>3.8334939000000001</v>
          </cell>
          <cell r="N3928">
            <v>0</v>
          </cell>
          <cell r="O3928">
            <v>8.4780999999999995E-2</v>
          </cell>
          <cell r="P3928">
            <v>1.7442226999999999</v>
          </cell>
          <cell r="Q3928">
            <v>4.3685103999999999</v>
          </cell>
          <cell r="R3928">
            <v>0</v>
          </cell>
          <cell r="S3928">
            <v>0</v>
          </cell>
          <cell r="T3928">
            <v>0</v>
          </cell>
          <cell r="U3928">
            <v>8.0195156000000001</v>
          </cell>
          <cell r="V3928">
            <v>0</v>
          </cell>
          <cell r="W3928">
            <v>0</v>
          </cell>
          <cell r="X3928">
            <v>0.39469530000000003</v>
          </cell>
          <cell r="Y3928">
            <v>6.6779086000000003</v>
          </cell>
          <cell r="Z3928">
            <v>0</v>
          </cell>
          <cell r="AA3928">
            <v>0</v>
          </cell>
          <cell r="AB3928">
            <v>0.24195829999999999</v>
          </cell>
        </row>
        <row r="3929">
          <cell r="A3929">
            <v>58147110</v>
          </cell>
          <cell r="B3929" t="str">
            <v>Macaroni or noodles with beans or lentils and tomato sauce</v>
          </cell>
          <cell r="I3929">
            <v>227</v>
          </cell>
          <cell r="J3929">
            <v>280.88398999999998</v>
          </cell>
          <cell r="K3929">
            <v>1.2373744052863436</v>
          </cell>
          <cell r="L3929">
            <v>5.2200062999999997</v>
          </cell>
          <cell r="M3929">
            <v>0.75088860000000002</v>
          </cell>
          <cell r="N3929">
            <v>0</v>
          </cell>
          <cell r="O3929">
            <v>8.0765299999999998E-2</v>
          </cell>
          <cell r="P3929">
            <v>1.5185468</v>
          </cell>
          <cell r="Q3929">
            <v>2.0289874999999999</v>
          </cell>
          <cell r="R3929">
            <v>0</v>
          </cell>
          <cell r="S3929">
            <v>59.980367000000001</v>
          </cell>
          <cell r="T3929">
            <v>0</v>
          </cell>
          <cell r="U3929">
            <v>78.407051999999993</v>
          </cell>
          <cell r="V3929">
            <v>0</v>
          </cell>
          <cell r="W3929">
            <v>0</v>
          </cell>
          <cell r="X3929">
            <v>0.43965080000000001</v>
          </cell>
          <cell r="Y3929">
            <v>0</v>
          </cell>
          <cell r="Z3929">
            <v>0</v>
          </cell>
          <cell r="AA3929">
            <v>0</v>
          </cell>
          <cell r="AB3929">
            <v>3.3608800000000001E-2</v>
          </cell>
        </row>
        <row r="3930">
          <cell r="A3930">
            <v>58147310</v>
          </cell>
          <cell r="B3930" t="str">
            <v>Macaroni, creamed</v>
          </cell>
          <cell r="I3930">
            <v>200</v>
          </cell>
          <cell r="J3930">
            <v>305.13902000000002</v>
          </cell>
          <cell r="K3930">
            <v>1.5256951000000001</v>
          </cell>
          <cell r="L3930">
            <v>-4.4400000000000002E-16</v>
          </cell>
          <cell r="M3930">
            <v>2.8738603</v>
          </cell>
          <cell r="N3930">
            <v>0</v>
          </cell>
          <cell r="O3930">
            <v>0.1186051</v>
          </cell>
          <cell r="P3930">
            <v>2.0872579</v>
          </cell>
          <cell r="Q3930">
            <v>3.0396353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0.4571499</v>
          </cell>
          <cell r="Y3930">
            <v>0</v>
          </cell>
          <cell r="Z3930">
            <v>0</v>
          </cell>
          <cell r="AA3930">
            <v>0</v>
          </cell>
          <cell r="AB3930">
            <v>0.58072539999999995</v>
          </cell>
        </row>
        <row r="3931">
          <cell r="A3931">
            <v>58147330</v>
          </cell>
          <cell r="B3931" t="str">
            <v>Macaroni or noodles, creamed, with cheese</v>
          </cell>
          <cell r="I3931">
            <v>200</v>
          </cell>
          <cell r="J3931">
            <v>308.54899</v>
          </cell>
          <cell r="K3931">
            <v>1.5427449500000001</v>
          </cell>
          <cell r="L3931">
            <v>0</v>
          </cell>
          <cell r="M3931">
            <v>6.2923755000000003</v>
          </cell>
          <cell r="N3931">
            <v>0</v>
          </cell>
          <cell r="O3931">
            <v>6.1671400000000001E-2</v>
          </cell>
          <cell r="P3931">
            <v>2.4535098999999998</v>
          </cell>
          <cell r="Q3931">
            <v>0.82927980000000001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0.50149999999999995</v>
          </cell>
          <cell r="Y3931">
            <v>0</v>
          </cell>
          <cell r="Z3931">
            <v>0</v>
          </cell>
          <cell r="AA3931">
            <v>0</v>
          </cell>
          <cell r="AB3931">
            <v>0.77542880000000003</v>
          </cell>
        </row>
        <row r="3932">
          <cell r="A3932">
            <v>58147340</v>
          </cell>
          <cell r="B3932" t="str">
            <v>Macaroni or noodles, creamed, with cheese and tuna</v>
          </cell>
          <cell r="I3932">
            <v>200</v>
          </cell>
          <cell r="J3932">
            <v>420.99245000000002</v>
          </cell>
          <cell r="K3932">
            <v>2.1049622500000003</v>
          </cell>
          <cell r="L3932">
            <v>2.2200000000000001E-16</v>
          </cell>
          <cell r="M3932">
            <v>13.951108</v>
          </cell>
          <cell r="N3932">
            <v>9.7099299999999999E-2</v>
          </cell>
          <cell r="O3932">
            <v>0.1388453</v>
          </cell>
          <cell r="P3932">
            <v>1.9770511</v>
          </cell>
          <cell r="Q3932">
            <v>1.3062426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0.4268612</v>
          </cell>
          <cell r="Y3932">
            <v>0</v>
          </cell>
          <cell r="Z3932">
            <v>0</v>
          </cell>
          <cell r="AA3932">
            <v>0</v>
          </cell>
          <cell r="AB3932">
            <v>0.8961401</v>
          </cell>
        </row>
        <row r="3933">
          <cell r="A3933">
            <v>58147510</v>
          </cell>
          <cell r="B3933" t="str">
            <v>Flavored pasta</v>
          </cell>
          <cell r="I3933">
            <v>185</v>
          </cell>
          <cell r="J3933">
            <v>161.70527999999999</v>
          </cell>
          <cell r="K3933">
            <v>0.87408259459459448</v>
          </cell>
          <cell r="L3933">
            <v>0</v>
          </cell>
          <cell r="M3933">
            <v>0.81574939999999996</v>
          </cell>
          <cell r="N3933">
            <v>0</v>
          </cell>
          <cell r="O3933">
            <v>1.2203800000000001E-2</v>
          </cell>
          <cell r="P3933">
            <v>0.7393111</v>
          </cell>
          <cell r="Q3933">
            <v>1.3442174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0.60621979999999998</v>
          </cell>
          <cell r="Y3933">
            <v>0</v>
          </cell>
          <cell r="Z3933">
            <v>0</v>
          </cell>
          <cell r="AA3933">
            <v>0</v>
          </cell>
          <cell r="AB3933">
            <v>0.67979029999999996</v>
          </cell>
        </row>
        <row r="3934">
          <cell r="A3934">
            <v>58148110</v>
          </cell>
          <cell r="B3934" t="str">
            <v>Macaroni or pasta salad, made with mayonnaise</v>
          </cell>
          <cell r="I3934">
            <v>140</v>
          </cell>
          <cell r="J3934">
            <v>309.83895000000001</v>
          </cell>
          <cell r="K3934">
            <v>2.2131353571428574</v>
          </cell>
          <cell r="L3934">
            <v>0.1032256</v>
          </cell>
          <cell r="M3934">
            <v>2.5542087000000002</v>
          </cell>
          <cell r="N3934">
            <v>0</v>
          </cell>
          <cell r="O3934">
            <v>1.1237E-2</v>
          </cell>
          <cell r="P3934">
            <v>1.9141756000000001</v>
          </cell>
          <cell r="Q3934">
            <v>9.3800247999999993</v>
          </cell>
          <cell r="R3934">
            <v>0</v>
          </cell>
          <cell r="S3934">
            <v>0</v>
          </cell>
          <cell r="T3934">
            <v>5.6964724999999996</v>
          </cell>
          <cell r="U3934">
            <v>5.2830189000000001</v>
          </cell>
          <cell r="V3934">
            <v>0</v>
          </cell>
          <cell r="W3934">
            <v>0</v>
          </cell>
          <cell r="X3934">
            <v>0.28491529999999998</v>
          </cell>
          <cell r="Y3934">
            <v>0</v>
          </cell>
          <cell r="Z3934">
            <v>0</v>
          </cell>
          <cell r="AA3934">
            <v>0</v>
          </cell>
          <cell r="AB3934">
            <v>3.7798900000000003E-2</v>
          </cell>
        </row>
        <row r="3935">
          <cell r="A3935">
            <v>58148111</v>
          </cell>
          <cell r="B3935" t="str">
            <v>Macaroni or pasta salad, made with light mayonnaise</v>
          </cell>
          <cell r="I3935">
            <v>140</v>
          </cell>
          <cell r="J3935">
            <v>221.95634000000001</v>
          </cell>
          <cell r="K3935">
            <v>1.5854024285714285</v>
          </cell>
          <cell r="L3935">
            <v>0.1018883</v>
          </cell>
          <cell r="M3935">
            <v>0.93623160000000005</v>
          </cell>
          <cell r="N3935">
            <v>0</v>
          </cell>
          <cell r="O3935">
            <v>1.08012E-2</v>
          </cell>
          <cell r="P3935">
            <v>1.8893765</v>
          </cell>
          <cell r="Q3935">
            <v>3.1701641</v>
          </cell>
          <cell r="R3935">
            <v>0</v>
          </cell>
          <cell r="S3935">
            <v>0</v>
          </cell>
          <cell r="T3935">
            <v>5.6226721</v>
          </cell>
          <cell r="U3935">
            <v>5.2145748999999997</v>
          </cell>
          <cell r="V3935">
            <v>0</v>
          </cell>
          <cell r="W3935">
            <v>0</v>
          </cell>
          <cell r="X3935">
            <v>0.33453060000000001</v>
          </cell>
          <cell r="Y3935">
            <v>0</v>
          </cell>
          <cell r="Z3935">
            <v>0</v>
          </cell>
          <cell r="AA3935">
            <v>0</v>
          </cell>
          <cell r="AB3935">
            <v>1.21885E-2</v>
          </cell>
        </row>
        <row r="3936">
          <cell r="A3936">
            <v>58148112</v>
          </cell>
          <cell r="B3936" t="str">
            <v>Macaroni or pasta salad, made with mayonnaise-type salad dressing</v>
          </cell>
          <cell r="I3936">
            <v>140</v>
          </cell>
          <cell r="J3936">
            <v>224.16058000000001</v>
          </cell>
          <cell r="K3936">
            <v>1.6011470000000001</v>
          </cell>
          <cell r="L3936">
            <v>0.1022193</v>
          </cell>
          <cell r="M3936">
            <v>0.91290689999999997</v>
          </cell>
          <cell r="N3936">
            <v>0</v>
          </cell>
          <cell r="O3936">
            <v>1.0595200000000001E-2</v>
          </cell>
          <cell r="P3936">
            <v>1.8955158000000001</v>
          </cell>
          <cell r="Q3936">
            <v>2.9490273</v>
          </cell>
          <cell r="R3936">
            <v>0</v>
          </cell>
          <cell r="S3936">
            <v>0</v>
          </cell>
          <cell r="T3936">
            <v>5.6409422999999999</v>
          </cell>
          <cell r="U3936">
            <v>5.2315190999999999</v>
          </cell>
          <cell r="V3936">
            <v>0</v>
          </cell>
          <cell r="W3936">
            <v>0</v>
          </cell>
          <cell r="X3936">
            <v>0.29465259999999999</v>
          </cell>
          <cell r="Y3936">
            <v>0</v>
          </cell>
          <cell r="Z3936">
            <v>0</v>
          </cell>
          <cell r="AA3936">
            <v>0</v>
          </cell>
          <cell r="AB3936">
            <v>1.66772E-2</v>
          </cell>
        </row>
        <row r="3937">
          <cell r="A3937">
            <v>58148114</v>
          </cell>
          <cell r="B3937" t="str">
            <v>Macaroni or pasta salad, made with Italian dressing</v>
          </cell>
          <cell r="I3937">
            <v>140</v>
          </cell>
          <cell r="J3937">
            <v>184.60776999999999</v>
          </cell>
          <cell r="K3937">
            <v>1.3186269285714285</v>
          </cell>
          <cell r="L3937">
            <v>0.88438640000000002</v>
          </cell>
          <cell r="M3937">
            <v>0.75346429999999998</v>
          </cell>
          <cell r="N3937">
            <v>0</v>
          </cell>
          <cell r="O3937">
            <v>2.1993800000000001E-2</v>
          </cell>
          <cell r="P3937">
            <v>1.4395593</v>
          </cell>
          <cell r="Q3937">
            <v>2.1632731999999999</v>
          </cell>
          <cell r="R3937">
            <v>0</v>
          </cell>
          <cell r="S3937">
            <v>0</v>
          </cell>
          <cell r="T3937">
            <v>0</v>
          </cell>
          <cell r="U3937">
            <v>43.029685000000001</v>
          </cell>
          <cell r="V3937">
            <v>0</v>
          </cell>
          <cell r="W3937">
            <v>0</v>
          </cell>
          <cell r="X3937">
            <v>0.31492500000000001</v>
          </cell>
          <cell r="Y3937">
            <v>0</v>
          </cell>
          <cell r="Z3937">
            <v>0</v>
          </cell>
          <cell r="AA3937">
            <v>0</v>
          </cell>
          <cell r="AB3937">
            <v>1.1243E-2</v>
          </cell>
        </row>
        <row r="3938">
          <cell r="A3938">
            <v>58148116</v>
          </cell>
          <cell r="B3938" t="str">
            <v>Macaroni or pasta salad, made with creamy dressing</v>
          </cell>
          <cell r="I3938">
            <v>140</v>
          </cell>
          <cell r="J3938">
            <v>215.93305000000001</v>
          </cell>
          <cell r="K3938">
            <v>1.5423789285714287</v>
          </cell>
          <cell r="L3938">
            <v>0.88213680000000005</v>
          </cell>
          <cell r="M3938">
            <v>1.448542</v>
          </cell>
          <cell r="N3938">
            <v>0</v>
          </cell>
          <cell r="O3938">
            <v>2.4548299999999999E-2</v>
          </cell>
          <cell r="P3938">
            <v>1.4358974</v>
          </cell>
          <cell r="Q3938">
            <v>4.7429413</v>
          </cell>
          <cell r="R3938">
            <v>0</v>
          </cell>
          <cell r="S3938">
            <v>0</v>
          </cell>
          <cell r="T3938">
            <v>0</v>
          </cell>
          <cell r="U3938">
            <v>42.920228000000002</v>
          </cell>
          <cell r="V3938">
            <v>0</v>
          </cell>
          <cell r="W3938">
            <v>0</v>
          </cell>
          <cell r="X3938">
            <v>0.30193379999999997</v>
          </cell>
          <cell r="Y3938">
            <v>0</v>
          </cell>
          <cell r="Z3938">
            <v>0</v>
          </cell>
          <cell r="AA3938">
            <v>0</v>
          </cell>
          <cell r="AB3938">
            <v>3.1111099999999999E-2</v>
          </cell>
        </row>
        <row r="3939">
          <cell r="A3939">
            <v>58148118</v>
          </cell>
          <cell r="B3939" t="str">
            <v>Macaroni or pasta salad, made with any type of fat free dressing</v>
          </cell>
          <cell r="I3939">
            <v>140</v>
          </cell>
          <cell r="J3939">
            <v>187.71129999999999</v>
          </cell>
          <cell r="K3939">
            <v>1.340795</v>
          </cell>
          <cell r="L3939">
            <v>0.1008431</v>
          </cell>
          <cell r="M3939">
            <v>0.32216159999999999</v>
          </cell>
          <cell r="N3939">
            <v>0</v>
          </cell>
          <cell r="O3939">
            <v>1.0776600000000001E-2</v>
          </cell>
          <cell r="P3939">
            <v>2.306578</v>
          </cell>
          <cell r="Q3939">
            <v>0.35317969999999999</v>
          </cell>
          <cell r="R3939">
            <v>0</v>
          </cell>
          <cell r="S3939">
            <v>0</v>
          </cell>
          <cell r="T3939">
            <v>5.5649943999999998</v>
          </cell>
          <cell r="U3939">
            <v>5.1610835000000002</v>
          </cell>
          <cell r="V3939">
            <v>0</v>
          </cell>
          <cell r="W3939">
            <v>0</v>
          </cell>
          <cell r="X3939">
            <v>0.33401429999999999</v>
          </cell>
          <cell r="Y3939">
            <v>0</v>
          </cell>
          <cell r="Z3939">
            <v>0</v>
          </cell>
          <cell r="AA3939">
            <v>0</v>
          </cell>
          <cell r="AB3939">
            <v>6.9788699999999995E-2</v>
          </cell>
        </row>
        <row r="3940">
          <cell r="A3940">
            <v>58148120</v>
          </cell>
          <cell r="B3940" t="str">
            <v>Macaroni or pasta salad with egg</v>
          </cell>
          <cell r="I3940">
            <v>140</v>
          </cell>
          <cell r="J3940">
            <v>301.51880999999997</v>
          </cell>
          <cell r="K3940">
            <v>2.1537057857142856</v>
          </cell>
          <cell r="L3940">
            <v>9.3974600000000005E-2</v>
          </cell>
          <cell r="M3940">
            <v>2.7352026999999999</v>
          </cell>
          <cell r="N3940">
            <v>0</v>
          </cell>
          <cell r="O3940">
            <v>1.6503299999999999E-2</v>
          </cell>
          <cell r="P3940">
            <v>1.7426288000000001</v>
          </cell>
          <cell r="Q3940">
            <v>8.7168053000000008</v>
          </cell>
          <cell r="R3940">
            <v>0</v>
          </cell>
          <cell r="S3940">
            <v>0</v>
          </cell>
          <cell r="T3940">
            <v>5.1859596999999997</v>
          </cell>
          <cell r="U3940">
            <v>4.8095594000000004</v>
          </cell>
          <cell r="V3940">
            <v>0</v>
          </cell>
          <cell r="W3940">
            <v>0</v>
          </cell>
          <cell r="X3940">
            <v>0.2749393</v>
          </cell>
          <cell r="Y3940">
            <v>0</v>
          </cell>
          <cell r="Z3940">
            <v>0</v>
          </cell>
          <cell r="AA3940">
            <v>0</v>
          </cell>
          <cell r="AB3940">
            <v>0.1275596</v>
          </cell>
        </row>
        <row r="3941">
          <cell r="A3941">
            <v>58148130</v>
          </cell>
          <cell r="B3941" t="str">
            <v>Macaroni or pasta salad with tuna</v>
          </cell>
          <cell r="I3941">
            <v>140</v>
          </cell>
          <cell r="J3941">
            <v>280.78760999999997</v>
          </cell>
          <cell r="K3941">
            <v>2.0056257857142854</v>
          </cell>
          <cell r="L3941">
            <v>8.7395500000000001E-2</v>
          </cell>
          <cell r="M3941">
            <v>2.2078099</v>
          </cell>
          <cell r="N3941">
            <v>4.8092000000000003E-2</v>
          </cell>
          <cell r="O3941">
            <v>1.3163599999999999E-2</v>
          </cell>
          <cell r="P3941">
            <v>1.6206278999999999</v>
          </cell>
          <cell r="Q3941">
            <v>8.0010255000000008</v>
          </cell>
          <cell r="R3941">
            <v>0</v>
          </cell>
          <cell r="S3941">
            <v>0</v>
          </cell>
          <cell r="T3941">
            <v>4.8228920999999998</v>
          </cell>
          <cell r="U3941">
            <v>4.4728434999999998</v>
          </cell>
          <cell r="V3941">
            <v>0</v>
          </cell>
          <cell r="W3941">
            <v>0</v>
          </cell>
          <cell r="X3941">
            <v>0.29425220000000002</v>
          </cell>
          <cell r="Y3941">
            <v>0</v>
          </cell>
          <cell r="Z3941">
            <v>0</v>
          </cell>
          <cell r="AA3941">
            <v>0</v>
          </cell>
          <cell r="AB3941">
            <v>3.2431599999999998E-2</v>
          </cell>
        </row>
        <row r="3942">
          <cell r="A3942">
            <v>58148140</v>
          </cell>
          <cell r="B3942" t="str">
            <v>Macaroni or pasta salad with crab meat</v>
          </cell>
          <cell r="I3942">
            <v>140</v>
          </cell>
          <cell r="J3942">
            <v>280.69189999999998</v>
          </cell>
          <cell r="K3942">
            <v>2.0049421428571428</v>
          </cell>
          <cell r="L3942">
            <v>8.7687799999999996E-2</v>
          </cell>
          <cell r="M3942">
            <v>2.2120994999999999</v>
          </cell>
          <cell r="N3942">
            <v>3.5402900000000001E-2</v>
          </cell>
          <cell r="O3942">
            <v>2.87221E-2</v>
          </cell>
          <cell r="P3942">
            <v>1.6260488</v>
          </cell>
          <cell r="Q3942">
            <v>8.0224873999999993</v>
          </cell>
          <cell r="R3942">
            <v>0</v>
          </cell>
          <cell r="S3942">
            <v>0</v>
          </cell>
          <cell r="T3942">
            <v>4.8390243999999996</v>
          </cell>
          <cell r="U3942">
            <v>4.4878049000000004</v>
          </cell>
          <cell r="V3942">
            <v>0</v>
          </cell>
          <cell r="W3942">
            <v>0</v>
          </cell>
          <cell r="X3942">
            <v>0.3252681</v>
          </cell>
          <cell r="Y3942">
            <v>0</v>
          </cell>
          <cell r="Z3942">
            <v>0</v>
          </cell>
          <cell r="AA3942">
            <v>0</v>
          </cell>
          <cell r="AB3942">
            <v>3.50595E-2</v>
          </cell>
        </row>
        <row r="3943">
          <cell r="A3943">
            <v>58148150</v>
          </cell>
          <cell r="B3943" t="str">
            <v>Macaroni or pasta salad with shrimp</v>
          </cell>
          <cell r="I3943">
            <v>140</v>
          </cell>
          <cell r="J3943">
            <v>285.40924000000001</v>
          </cell>
          <cell r="K3943">
            <v>2.0386374285714286</v>
          </cell>
          <cell r="L3943">
            <v>8.8377600000000001E-2</v>
          </cell>
          <cell r="M3943">
            <v>2.224669</v>
          </cell>
          <cell r="N3943">
            <v>0.10975020000000001</v>
          </cell>
          <cell r="O3943">
            <v>3.8820300000000002E-2</v>
          </cell>
          <cell r="P3943">
            <v>1.6388396999999999</v>
          </cell>
          <cell r="Q3943">
            <v>8.1685396000000008</v>
          </cell>
          <cell r="R3943">
            <v>0</v>
          </cell>
          <cell r="S3943">
            <v>0</v>
          </cell>
          <cell r="T3943">
            <v>4.8770895000000003</v>
          </cell>
          <cell r="U3943">
            <v>4.5231072000000001</v>
          </cell>
          <cell r="V3943">
            <v>0</v>
          </cell>
          <cell r="W3943">
            <v>0</v>
          </cell>
          <cell r="X3943">
            <v>0.41913060000000002</v>
          </cell>
          <cell r="Y3943">
            <v>0</v>
          </cell>
          <cell r="Z3943">
            <v>0</v>
          </cell>
          <cell r="AA3943">
            <v>0</v>
          </cell>
          <cell r="AB3943">
            <v>3.2361899999999999E-2</v>
          </cell>
        </row>
        <row r="3944">
          <cell r="A3944">
            <v>58148160</v>
          </cell>
          <cell r="B3944" t="str">
            <v>Macaroni or pasta salad with tuna and egg</v>
          </cell>
          <cell r="I3944">
            <v>140</v>
          </cell>
          <cell r="J3944">
            <v>275.88024000000001</v>
          </cell>
          <cell r="K3944">
            <v>1.9705731428571429</v>
          </cell>
          <cell r="L3944">
            <v>8.0671900000000005E-2</v>
          </cell>
          <cell r="M3944">
            <v>2.3898324999999998</v>
          </cell>
          <cell r="N3944">
            <v>4.43922E-2</v>
          </cell>
          <cell r="O3944">
            <v>1.7536199999999998E-2</v>
          </cell>
          <cell r="P3944">
            <v>1.4959482</v>
          </cell>
          <cell r="Q3944">
            <v>7.5377795000000001</v>
          </cell>
          <cell r="R3944">
            <v>0</v>
          </cell>
          <cell r="S3944">
            <v>0</v>
          </cell>
          <cell r="T3944">
            <v>4.4518528000000002</v>
          </cell>
          <cell r="U3944">
            <v>4.1287345000000002</v>
          </cell>
          <cell r="V3944">
            <v>0</v>
          </cell>
          <cell r="W3944">
            <v>0</v>
          </cell>
          <cell r="X3944">
            <v>0.2849701</v>
          </cell>
          <cell r="Y3944">
            <v>0</v>
          </cell>
          <cell r="Z3944">
            <v>0</v>
          </cell>
          <cell r="AA3944">
            <v>0</v>
          </cell>
          <cell r="AB3944">
            <v>0.12534390000000001</v>
          </cell>
        </row>
        <row r="3945">
          <cell r="A3945">
            <v>58148170</v>
          </cell>
          <cell r="B3945" t="str">
            <v>Macaroni or pasta salad with chicken</v>
          </cell>
          <cell r="I3945">
            <v>140</v>
          </cell>
          <cell r="J3945">
            <v>297.82438999999999</v>
          </cell>
          <cell r="K3945">
            <v>2.1273170714285712</v>
          </cell>
          <cell r="L3945">
            <v>8.7687799999999996E-2</v>
          </cell>
          <cell r="M3945">
            <v>2.5025300000000001</v>
          </cell>
          <cell r="N3945">
            <v>0</v>
          </cell>
          <cell r="O3945">
            <v>1.25801E-2</v>
          </cell>
          <cell r="P3945">
            <v>1.6260488</v>
          </cell>
          <cell r="Q3945">
            <v>8.1655952999999997</v>
          </cell>
          <cell r="R3945">
            <v>0</v>
          </cell>
          <cell r="S3945">
            <v>0</v>
          </cell>
          <cell r="T3945">
            <v>4.8390243999999996</v>
          </cell>
          <cell r="U3945">
            <v>4.4878049000000004</v>
          </cell>
          <cell r="V3945">
            <v>0</v>
          </cell>
          <cell r="W3945">
            <v>0</v>
          </cell>
          <cell r="X3945">
            <v>0.31475259999999999</v>
          </cell>
          <cell r="Y3945">
            <v>0</v>
          </cell>
          <cell r="Z3945">
            <v>0</v>
          </cell>
          <cell r="AA3945">
            <v>0</v>
          </cell>
          <cell r="AB3945">
            <v>3.21093E-2</v>
          </cell>
        </row>
        <row r="3946">
          <cell r="A3946">
            <v>58148180</v>
          </cell>
          <cell r="B3946" t="str">
            <v>Macaroni or pasta salad with cheese</v>
          </cell>
          <cell r="I3946">
            <v>140</v>
          </cell>
          <cell r="J3946">
            <v>342.87338</v>
          </cell>
          <cell r="K3946">
            <v>2.4490955714285714</v>
          </cell>
          <cell r="L3946">
            <v>8.9892799999999995E-2</v>
          </cell>
          <cell r="M3946">
            <v>5.6359446999999996</v>
          </cell>
          <cell r="N3946">
            <v>0</v>
          </cell>
          <cell r="O3946">
            <v>0.13817189999999999</v>
          </cell>
          <cell r="P3946">
            <v>1.6669381000000001</v>
          </cell>
          <cell r="Q3946">
            <v>8.4254420000000003</v>
          </cell>
          <cell r="R3946">
            <v>0</v>
          </cell>
          <cell r="S3946">
            <v>0</v>
          </cell>
          <cell r="T3946">
            <v>4.9607086999999996</v>
          </cell>
          <cell r="U3946">
            <v>4.6006571999999997</v>
          </cell>
          <cell r="V3946">
            <v>0</v>
          </cell>
          <cell r="W3946">
            <v>0</v>
          </cell>
          <cell r="X3946">
            <v>0.36619449999999998</v>
          </cell>
          <cell r="Y3946">
            <v>0</v>
          </cell>
          <cell r="Z3946">
            <v>0</v>
          </cell>
          <cell r="AA3946">
            <v>0</v>
          </cell>
          <cell r="AB3946">
            <v>0.19873399999999999</v>
          </cell>
        </row>
        <row r="3947">
          <cell r="A3947">
            <v>58148550</v>
          </cell>
          <cell r="B3947" t="str">
            <v>Macaroni or pasta salad with meat</v>
          </cell>
          <cell r="I3947">
            <v>140</v>
          </cell>
          <cell r="J3947">
            <v>295.86201</v>
          </cell>
          <cell r="K3947">
            <v>2.1133000714285712</v>
          </cell>
          <cell r="L3947">
            <v>8.7201699999999993E-2</v>
          </cell>
          <cell r="M3947">
            <v>2.5575914000000002</v>
          </cell>
          <cell r="N3947">
            <v>0</v>
          </cell>
          <cell r="O3947">
            <v>1.10139E-2</v>
          </cell>
          <cell r="P3947">
            <v>1.6170340000000001</v>
          </cell>
          <cell r="Q3947">
            <v>8.0608581000000008</v>
          </cell>
          <cell r="R3947">
            <v>0</v>
          </cell>
          <cell r="S3947">
            <v>0</v>
          </cell>
          <cell r="T3947">
            <v>4.8121967999999997</v>
          </cell>
          <cell r="U3947">
            <v>4.4629244999999997</v>
          </cell>
          <cell r="V3947">
            <v>0</v>
          </cell>
          <cell r="W3947">
            <v>0</v>
          </cell>
          <cell r="X3947">
            <v>0.52907760000000004</v>
          </cell>
          <cell r="Y3947">
            <v>0</v>
          </cell>
          <cell r="Z3947">
            <v>0</v>
          </cell>
          <cell r="AA3947">
            <v>21.732502</v>
          </cell>
          <cell r="AB3947">
            <v>0.24676519999999999</v>
          </cell>
        </row>
        <row r="3948">
          <cell r="A3948">
            <v>58150100</v>
          </cell>
          <cell r="B3948" t="str">
            <v>Bibimbap, Korean</v>
          </cell>
          <cell r="I3948">
            <v>140</v>
          </cell>
          <cell r="J3948">
            <v>110.09350000000001</v>
          </cell>
          <cell r="K3948">
            <v>0.78638214285714292</v>
          </cell>
          <cell r="L3948">
            <v>1.3142579999999999</v>
          </cell>
          <cell r="M3948">
            <v>0.95316369999999995</v>
          </cell>
          <cell r="N3948">
            <v>0</v>
          </cell>
          <cell r="O3948">
            <v>4.61378E-2</v>
          </cell>
          <cell r="P3948">
            <v>0.1002223</v>
          </cell>
          <cell r="Q3948">
            <v>1.0602697999999999</v>
          </cell>
          <cell r="R3948">
            <v>0</v>
          </cell>
          <cell r="S3948">
            <v>0</v>
          </cell>
          <cell r="T3948">
            <v>0</v>
          </cell>
          <cell r="U3948">
            <v>93.373638999999997</v>
          </cell>
          <cell r="V3948">
            <v>0</v>
          </cell>
          <cell r="W3948">
            <v>0</v>
          </cell>
          <cell r="X3948">
            <v>0.59061129999999995</v>
          </cell>
          <cell r="Y3948">
            <v>0</v>
          </cell>
          <cell r="Z3948">
            <v>17.982924000000001</v>
          </cell>
          <cell r="AA3948">
            <v>0</v>
          </cell>
          <cell r="AB3948">
            <v>4.6575800000000001E-2</v>
          </cell>
        </row>
        <row r="3949">
          <cell r="A3949">
            <v>58150110</v>
          </cell>
          <cell r="B3949" t="str">
            <v>Rice, fried, meatless</v>
          </cell>
          <cell r="I3949">
            <v>166</v>
          </cell>
          <cell r="J3949">
            <v>288.83999999999997</v>
          </cell>
          <cell r="K3949">
            <v>1.7399999999999998</v>
          </cell>
          <cell r="L3949">
            <v>2.6840900000000001E-2</v>
          </cell>
          <cell r="M3949">
            <v>0.89639999999999997</v>
          </cell>
          <cell r="N3949">
            <v>0</v>
          </cell>
          <cell r="O3949">
            <v>1.992E-2</v>
          </cell>
          <cell r="P3949">
            <v>1.7991591</v>
          </cell>
          <cell r="Q3949">
            <v>1.84426</v>
          </cell>
          <cell r="R3949">
            <v>0</v>
          </cell>
          <cell r="S3949">
            <v>0</v>
          </cell>
          <cell r="T3949">
            <v>0</v>
          </cell>
          <cell r="U3949">
            <v>2.573</v>
          </cell>
          <cell r="V3949">
            <v>0</v>
          </cell>
          <cell r="W3949">
            <v>0</v>
          </cell>
          <cell r="X3949">
            <v>0.64241999999999999</v>
          </cell>
          <cell r="Y3949">
            <v>0</v>
          </cell>
          <cell r="Z3949">
            <v>0</v>
          </cell>
          <cell r="AA3949">
            <v>0</v>
          </cell>
          <cell r="AB3949">
            <v>1.8259999999999998E-2</v>
          </cell>
        </row>
        <row r="3950">
          <cell r="A3950">
            <v>58150310</v>
          </cell>
          <cell r="B3950" t="str">
            <v>Rice, fried, NFS</v>
          </cell>
          <cell r="I3950">
            <v>198</v>
          </cell>
          <cell r="J3950">
            <v>344.52</v>
          </cell>
          <cell r="K3950">
            <v>1.74</v>
          </cell>
          <cell r="L3950">
            <v>3.2015000000000002E-2</v>
          </cell>
          <cell r="M3950">
            <v>1.0691999999999999</v>
          </cell>
          <cell r="N3950">
            <v>0</v>
          </cell>
          <cell r="O3950">
            <v>2.376E-2</v>
          </cell>
          <cell r="P3950">
            <v>2.145985</v>
          </cell>
          <cell r="Q3950">
            <v>2.1997800000000001</v>
          </cell>
          <cell r="R3950">
            <v>0</v>
          </cell>
          <cell r="S3950">
            <v>0</v>
          </cell>
          <cell r="T3950">
            <v>0</v>
          </cell>
          <cell r="U3950">
            <v>3.069</v>
          </cell>
          <cell r="V3950">
            <v>0</v>
          </cell>
          <cell r="W3950">
            <v>0</v>
          </cell>
          <cell r="X3950">
            <v>0.76626000000000005</v>
          </cell>
          <cell r="Y3950">
            <v>0</v>
          </cell>
          <cell r="Z3950">
            <v>0</v>
          </cell>
          <cell r="AA3950">
            <v>0</v>
          </cell>
          <cell r="AB3950">
            <v>2.1780000000000001E-2</v>
          </cell>
        </row>
        <row r="3951">
          <cell r="A3951">
            <v>58150320</v>
          </cell>
          <cell r="B3951" t="str">
            <v>Rice, fried, with chicken</v>
          </cell>
          <cell r="I3951">
            <v>198</v>
          </cell>
          <cell r="J3951">
            <v>341.63909999999998</v>
          </cell>
          <cell r="K3951">
            <v>1.7254499999999999</v>
          </cell>
          <cell r="L3951">
            <v>2.7212799999999999E-2</v>
          </cell>
          <cell r="M3951">
            <v>1.3778424</v>
          </cell>
          <cell r="N3951">
            <v>0</v>
          </cell>
          <cell r="O3951">
            <v>2.4472799999999999E-2</v>
          </cell>
          <cell r="P3951">
            <v>1.8240871999999999</v>
          </cell>
          <cell r="Q3951">
            <v>2.1481317</v>
          </cell>
          <cell r="R3951">
            <v>0</v>
          </cell>
          <cell r="S3951">
            <v>0</v>
          </cell>
          <cell r="T3951">
            <v>0</v>
          </cell>
          <cell r="U3951">
            <v>2.6086499999999999</v>
          </cell>
          <cell r="V3951">
            <v>0</v>
          </cell>
          <cell r="W3951">
            <v>0</v>
          </cell>
          <cell r="X3951">
            <v>0.75381569999999998</v>
          </cell>
          <cell r="Y3951">
            <v>0</v>
          </cell>
          <cell r="Z3951">
            <v>0</v>
          </cell>
          <cell r="AA3951">
            <v>0</v>
          </cell>
          <cell r="AB3951">
            <v>0.1723652</v>
          </cell>
        </row>
        <row r="3952">
          <cell r="A3952">
            <v>58150330</v>
          </cell>
          <cell r="B3952" t="str">
            <v>Rice, fried, with pork</v>
          </cell>
          <cell r="I3952">
            <v>198</v>
          </cell>
          <cell r="J3952">
            <v>354.91500000000002</v>
          </cell>
          <cell r="K3952">
            <v>1.7925000000000002</v>
          </cell>
          <cell r="L3952">
            <v>2.7212799999999999E-2</v>
          </cell>
          <cell r="M3952">
            <v>1.95129</v>
          </cell>
          <cell r="N3952">
            <v>0</v>
          </cell>
          <cell r="O3952">
            <v>2.5541999999999999E-2</v>
          </cell>
          <cell r="P3952">
            <v>1.8240871999999999</v>
          </cell>
          <cell r="Q3952">
            <v>2.0955330000000001</v>
          </cell>
          <cell r="R3952">
            <v>0</v>
          </cell>
          <cell r="S3952">
            <v>0</v>
          </cell>
          <cell r="T3952">
            <v>0</v>
          </cell>
          <cell r="U3952">
            <v>2.6086499999999999</v>
          </cell>
          <cell r="V3952">
            <v>0</v>
          </cell>
          <cell r="W3952">
            <v>0</v>
          </cell>
          <cell r="X3952">
            <v>0.668547</v>
          </cell>
          <cell r="Y3952">
            <v>0</v>
          </cell>
          <cell r="Z3952">
            <v>29.554024999999999</v>
          </cell>
          <cell r="AA3952">
            <v>0</v>
          </cell>
          <cell r="AB3952">
            <v>0.18407499999999999</v>
          </cell>
        </row>
        <row r="3953">
          <cell r="A3953">
            <v>58150340</v>
          </cell>
          <cell r="B3953" t="str">
            <v>Rice, fried, with beef</v>
          </cell>
          <cell r="I3953">
            <v>198</v>
          </cell>
          <cell r="J3953">
            <v>353.43</v>
          </cell>
          <cell r="K3953">
            <v>1.7850000000000001</v>
          </cell>
          <cell r="L3953">
            <v>2.7212799999999999E-2</v>
          </cell>
          <cell r="M3953">
            <v>1.9230750000000001</v>
          </cell>
          <cell r="N3953">
            <v>0</v>
          </cell>
          <cell r="O3953">
            <v>2.2275E-2</v>
          </cell>
          <cell r="P3953">
            <v>1.8240871999999999</v>
          </cell>
          <cell r="Q3953">
            <v>1.978812</v>
          </cell>
          <cell r="R3953">
            <v>0</v>
          </cell>
          <cell r="S3953">
            <v>0</v>
          </cell>
          <cell r="T3953">
            <v>0</v>
          </cell>
          <cell r="U3953">
            <v>2.6086499999999999</v>
          </cell>
          <cell r="V3953">
            <v>0</v>
          </cell>
          <cell r="W3953">
            <v>0</v>
          </cell>
          <cell r="X3953">
            <v>0.66349800000000003</v>
          </cell>
          <cell r="Y3953">
            <v>0</v>
          </cell>
          <cell r="Z3953">
            <v>29.7</v>
          </cell>
          <cell r="AA3953">
            <v>0</v>
          </cell>
          <cell r="AB3953">
            <v>0.22823589999999999</v>
          </cell>
        </row>
        <row r="3954">
          <cell r="A3954">
            <v>58150510</v>
          </cell>
          <cell r="B3954" t="str">
            <v>Rice, fried, with shrimp</v>
          </cell>
          <cell r="I3954">
            <v>198</v>
          </cell>
          <cell r="J3954">
            <v>328.185</v>
          </cell>
          <cell r="K3954">
            <v>1.6575</v>
          </cell>
          <cell r="L3954">
            <v>2.7212799999999999E-2</v>
          </cell>
          <cell r="M3954">
            <v>1.0635570000000001</v>
          </cell>
          <cell r="N3954">
            <v>8.1972000000000003E-2</v>
          </cell>
          <cell r="O3954">
            <v>4.7223000000000001E-2</v>
          </cell>
          <cell r="P3954">
            <v>1.8240871999999999</v>
          </cell>
          <cell r="Q3954">
            <v>2.0450430000000002</v>
          </cell>
          <cell r="R3954">
            <v>0</v>
          </cell>
          <cell r="S3954">
            <v>0</v>
          </cell>
          <cell r="T3954">
            <v>0</v>
          </cell>
          <cell r="U3954">
            <v>2.6086499999999999</v>
          </cell>
          <cell r="V3954">
            <v>0</v>
          </cell>
          <cell r="W3954">
            <v>0</v>
          </cell>
          <cell r="X3954">
            <v>0.93257999999999996</v>
          </cell>
          <cell r="Y3954">
            <v>0</v>
          </cell>
          <cell r="Z3954">
            <v>0</v>
          </cell>
          <cell r="AA3954">
            <v>0</v>
          </cell>
          <cell r="AB3954">
            <v>2.8908E-2</v>
          </cell>
        </row>
        <row r="3955">
          <cell r="A3955">
            <v>58150520</v>
          </cell>
          <cell r="B3955" t="str">
            <v>Dukboki or Tteokbokki, Korean</v>
          </cell>
          <cell r="I3955">
            <v>166</v>
          </cell>
          <cell r="J3955">
            <v>186.23493999999999</v>
          </cell>
          <cell r="K3955">
            <v>1.1218972289156626</v>
          </cell>
          <cell r="L3955">
            <v>0.27141880000000002</v>
          </cell>
          <cell r="M3955">
            <v>1.3255606</v>
          </cell>
          <cell r="N3955">
            <v>4.5182899999999998E-2</v>
          </cell>
          <cell r="O3955">
            <v>2.76706E-2</v>
          </cell>
          <cell r="P3955">
            <v>1.1383627999999999</v>
          </cell>
          <cell r="Q3955">
            <v>2.6907716000000002</v>
          </cell>
          <cell r="R3955">
            <v>0</v>
          </cell>
          <cell r="S3955">
            <v>0</v>
          </cell>
          <cell r="T3955">
            <v>0</v>
          </cell>
          <cell r="U3955">
            <v>21.267344000000001</v>
          </cell>
          <cell r="V3955">
            <v>0</v>
          </cell>
          <cell r="W3955">
            <v>0</v>
          </cell>
          <cell r="X3955">
            <v>0.27813300000000002</v>
          </cell>
          <cell r="Y3955">
            <v>0</v>
          </cell>
          <cell r="Z3955">
            <v>0</v>
          </cell>
          <cell r="AA3955">
            <v>0</v>
          </cell>
          <cell r="AB3955">
            <v>4.0599099999999999E-2</v>
          </cell>
        </row>
        <row r="3956">
          <cell r="A3956">
            <v>58150530</v>
          </cell>
          <cell r="B3956" t="str">
            <v>Adobo, with rice</v>
          </cell>
          <cell r="I3956">
            <v>166</v>
          </cell>
          <cell r="J3956">
            <v>300.50035000000003</v>
          </cell>
          <cell r="K3956">
            <v>1.8102430722891567</v>
          </cell>
          <cell r="L3956">
            <v>1.5097599999999999E-2</v>
          </cell>
          <cell r="M3956">
            <v>4.1054919999999999</v>
          </cell>
          <cell r="N3956">
            <v>0</v>
          </cell>
          <cell r="O3956">
            <v>2.9645899999999999E-2</v>
          </cell>
          <cell r="P3956">
            <v>0.25345129999999999</v>
          </cell>
          <cell r="Q3956">
            <v>1.9519223000000001</v>
          </cell>
          <cell r="R3956">
            <v>0</v>
          </cell>
          <cell r="S3956">
            <v>0</v>
          </cell>
          <cell r="T3956">
            <v>0</v>
          </cell>
          <cell r="U3956">
            <v>0.71893180000000001</v>
          </cell>
          <cell r="V3956">
            <v>0</v>
          </cell>
          <cell r="W3956">
            <v>0</v>
          </cell>
          <cell r="X3956">
            <v>0.72471839999999998</v>
          </cell>
          <cell r="Y3956">
            <v>0</v>
          </cell>
          <cell r="Z3956">
            <v>51.926909000000002</v>
          </cell>
          <cell r="AA3956">
            <v>0</v>
          </cell>
          <cell r="AB3956">
            <v>5.5438300000000003E-2</v>
          </cell>
        </row>
        <row r="3957">
          <cell r="A3957">
            <v>58151100</v>
          </cell>
          <cell r="B3957" t="str">
            <v>Sushi, NFS</v>
          </cell>
          <cell r="I3957">
            <v>166</v>
          </cell>
          <cell r="J3957">
            <v>155.06889000000001</v>
          </cell>
          <cell r="K3957">
            <v>0.93414993975903615</v>
          </cell>
          <cell r="L3957">
            <v>0.37071730000000003</v>
          </cell>
          <cell r="M3957">
            <v>0.22048429999999999</v>
          </cell>
          <cell r="N3957">
            <v>8.5082999999999999E-3</v>
          </cell>
          <cell r="O3957">
            <v>9.8533000000000006E-3</v>
          </cell>
          <cell r="P3957">
            <v>1.2819198000000001</v>
          </cell>
          <cell r="Q3957">
            <v>0.2172413</v>
          </cell>
          <cell r="R3957">
            <v>0</v>
          </cell>
          <cell r="S3957">
            <v>0</v>
          </cell>
          <cell r="T3957">
            <v>0</v>
          </cell>
          <cell r="U3957">
            <v>12.154665</v>
          </cell>
          <cell r="V3957">
            <v>0</v>
          </cell>
          <cell r="W3957">
            <v>0</v>
          </cell>
          <cell r="X3957">
            <v>0.71155610000000002</v>
          </cell>
          <cell r="Y3957">
            <v>0</v>
          </cell>
          <cell r="Z3957">
            <v>0</v>
          </cell>
          <cell r="AA3957">
            <v>0</v>
          </cell>
          <cell r="AB3957">
            <v>2.4309000000000002E-3</v>
          </cell>
        </row>
        <row r="3958">
          <cell r="A3958">
            <v>58151130</v>
          </cell>
          <cell r="B3958" t="str">
            <v>Sushi, with vegetables and seafood</v>
          </cell>
          <cell r="I3958">
            <v>166</v>
          </cell>
          <cell r="J3958">
            <v>159.95595</v>
          </cell>
          <cell r="K3958">
            <v>0.96359006024096383</v>
          </cell>
          <cell r="L3958">
            <v>0.37076249999999999</v>
          </cell>
          <cell r="M3958">
            <v>0.27621899999999999</v>
          </cell>
          <cell r="N3958">
            <v>6.5136700000000006E-2</v>
          </cell>
          <cell r="O3958">
            <v>8.4106000000000007E-3</v>
          </cell>
          <cell r="P3958">
            <v>1.1805724</v>
          </cell>
          <cell r="Q3958">
            <v>0.28532819999999998</v>
          </cell>
          <cell r="R3958">
            <v>0</v>
          </cell>
          <cell r="S3958">
            <v>0</v>
          </cell>
          <cell r="T3958">
            <v>0</v>
          </cell>
          <cell r="U3958">
            <v>12.156148</v>
          </cell>
          <cell r="V3958">
            <v>0</v>
          </cell>
          <cell r="W3958">
            <v>0</v>
          </cell>
          <cell r="X3958">
            <v>0.61684930000000004</v>
          </cell>
          <cell r="Y3958">
            <v>0</v>
          </cell>
          <cell r="Z3958">
            <v>0</v>
          </cell>
          <cell r="AA3958">
            <v>0</v>
          </cell>
          <cell r="AB3958">
            <v>5.8754999999999996E-3</v>
          </cell>
        </row>
        <row r="3959">
          <cell r="A3959">
            <v>58151140</v>
          </cell>
          <cell r="B3959" t="str">
            <v>Sushi, with vegetables, rolled in seaweed</v>
          </cell>
          <cell r="I3959">
            <v>166</v>
          </cell>
          <cell r="J3959">
            <v>145.11725999999999</v>
          </cell>
          <cell r="K3959">
            <v>0.87420036144578306</v>
          </cell>
          <cell r="L3959">
            <v>1.2316727000000001</v>
          </cell>
          <cell r="M3959">
            <v>0.27320519999999998</v>
          </cell>
          <cell r="N3959">
            <v>0</v>
          </cell>
          <cell r="O3959">
            <v>1.1043499999999999E-2</v>
          </cell>
          <cell r="P3959">
            <v>1.1299865</v>
          </cell>
          <cell r="Q3959">
            <v>0.28267389999999998</v>
          </cell>
          <cell r="R3959">
            <v>0</v>
          </cell>
          <cell r="S3959">
            <v>0</v>
          </cell>
          <cell r="T3959">
            <v>0</v>
          </cell>
          <cell r="U3959">
            <v>42.541328</v>
          </cell>
          <cell r="V3959">
            <v>0</v>
          </cell>
          <cell r="W3959">
            <v>0</v>
          </cell>
          <cell r="X3959">
            <v>0.55888839999999995</v>
          </cell>
          <cell r="Y3959">
            <v>0</v>
          </cell>
          <cell r="Z3959">
            <v>0</v>
          </cell>
          <cell r="AA3959">
            <v>0</v>
          </cell>
          <cell r="AB3959">
            <v>0</v>
          </cell>
        </row>
        <row r="3960">
          <cell r="A3960">
            <v>58151150</v>
          </cell>
          <cell r="B3960" t="str">
            <v>Sushi, with seafood, no vegetables</v>
          </cell>
          <cell r="I3960">
            <v>166</v>
          </cell>
          <cell r="J3960">
            <v>176.85955999999999</v>
          </cell>
          <cell r="K3960">
            <v>1.0654190361445783</v>
          </cell>
          <cell r="L3960">
            <v>0</v>
          </cell>
          <cell r="M3960">
            <v>0.50150459999999997</v>
          </cell>
          <cell r="N3960">
            <v>0.15836980000000001</v>
          </cell>
          <cell r="O3960">
            <v>1.5514099999999999E-2</v>
          </cell>
          <cell r="P3960">
            <v>0.99289269999999996</v>
          </cell>
          <cell r="Q3960">
            <v>0.3989298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0.62607420000000003</v>
          </cell>
          <cell r="Y3960">
            <v>0</v>
          </cell>
          <cell r="Z3960">
            <v>0</v>
          </cell>
          <cell r="AA3960">
            <v>0</v>
          </cell>
          <cell r="AB3960">
            <v>1.2941599999999999E-2</v>
          </cell>
        </row>
        <row r="3961">
          <cell r="A3961">
            <v>58151170</v>
          </cell>
          <cell r="B3961" t="str">
            <v>Sushi roll, avocado</v>
          </cell>
          <cell r="I3961">
            <v>166</v>
          </cell>
          <cell r="J3961">
            <v>153.44368</v>
          </cell>
          <cell r="K3961">
            <v>0.92435951807228911</v>
          </cell>
          <cell r="L3961">
            <v>1.0734532000000001</v>
          </cell>
          <cell r="M3961">
            <v>0.36973279999999997</v>
          </cell>
          <cell r="N3961">
            <v>0</v>
          </cell>
          <cell r="O3961">
            <v>9.0227999999999992E-3</v>
          </cell>
          <cell r="P3961">
            <v>1.2279685</v>
          </cell>
          <cell r="Q3961">
            <v>0.36097600000000002</v>
          </cell>
          <cell r="R3961">
            <v>0</v>
          </cell>
          <cell r="S3961">
            <v>0</v>
          </cell>
          <cell r="T3961">
            <v>0</v>
          </cell>
          <cell r="U3961">
            <v>31.836127000000001</v>
          </cell>
          <cell r="V3961">
            <v>0</v>
          </cell>
          <cell r="W3961">
            <v>0</v>
          </cell>
          <cell r="X3961">
            <v>0.59941009999999995</v>
          </cell>
          <cell r="Y3961">
            <v>0</v>
          </cell>
          <cell r="Z3961">
            <v>0</v>
          </cell>
          <cell r="AA3961">
            <v>0</v>
          </cell>
          <cell r="AB3961">
            <v>0</v>
          </cell>
        </row>
        <row r="3962">
          <cell r="A3962">
            <v>58151180</v>
          </cell>
          <cell r="B3962" t="str">
            <v>Sushi roll, California</v>
          </cell>
          <cell r="I3962">
            <v>166</v>
          </cell>
          <cell r="J3962">
            <v>155.06889000000001</v>
          </cell>
          <cell r="K3962">
            <v>0.93414993975903615</v>
          </cell>
          <cell r="L3962">
            <v>0.37071730000000003</v>
          </cell>
          <cell r="M3962">
            <v>0.22048429999999999</v>
          </cell>
          <cell r="N3962">
            <v>8.5082999999999999E-3</v>
          </cell>
          <cell r="O3962">
            <v>9.8533000000000006E-3</v>
          </cell>
          <cell r="P3962">
            <v>1.2819198000000001</v>
          </cell>
          <cell r="Q3962">
            <v>0.2172413</v>
          </cell>
          <cell r="R3962">
            <v>0</v>
          </cell>
          <cell r="S3962">
            <v>0</v>
          </cell>
          <cell r="T3962">
            <v>0</v>
          </cell>
          <cell r="U3962">
            <v>12.154665</v>
          </cell>
          <cell r="V3962">
            <v>0</v>
          </cell>
          <cell r="W3962">
            <v>0</v>
          </cell>
          <cell r="X3962">
            <v>0.71155610000000002</v>
          </cell>
          <cell r="Y3962">
            <v>0</v>
          </cell>
          <cell r="Z3962">
            <v>0</v>
          </cell>
          <cell r="AA3962">
            <v>0</v>
          </cell>
          <cell r="AB3962">
            <v>2.4309000000000002E-3</v>
          </cell>
        </row>
        <row r="3963">
          <cell r="A3963">
            <v>58151190</v>
          </cell>
          <cell r="B3963" t="str">
            <v>Sushi roll, eel</v>
          </cell>
          <cell r="I3963">
            <v>166</v>
          </cell>
          <cell r="J3963">
            <v>191.39759000000001</v>
          </cell>
          <cell r="K3963">
            <v>1.152997530120482</v>
          </cell>
          <cell r="L3963">
            <v>6.0772999999999999E-3</v>
          </cell>
          <cell r="M3963">
            <v>0.99438490000000002</v>
          </cell>
          <cell r="N3963">
            <v>5.9166499999999997E-2</v>
          </cell>
          <cell r="O3963">
            <v>1.25988E-2</v>
          </cell>
          <cell r="P3963">
            <v>1.1299865</v>
          </cell>
          <cell r="Q3963">
            <v>0.46135880000000001</v>
          </cell>
          <cell r="R3963">
            <v>0</v>
          </cell>
          <cell r="S3963">
            <v>0</v>
          </cell>
          <cell r="T3963">
            <v>0</v>
          </cell>
          <cell r="U3963">
            <v>2.0257774999999998</v>
          </cell>
          <cell r="V3963">
            <v>0</v>
          </cell>
          <cell r="W3963">
            <v>0</v>
          </cell>
          <cell r="X3963">
            <v>0.67405559999999998</v>
          </cell>
          <cell r="Y3963">
            <v>0</v>
          </cell>
          <cell r="Z3963">
            <v>0</v>
          </cell>
          <cell r="AA3963">
            <v>0</v>
          </cell>
          <cell r="AB3963">
            <v>0</v>
          </cell>
        </row>
        <row r="3964">
          <cell r="A3964">
            <v>58151200</v>
          </cell>
          <cell r="B3964" t="str">
            <v>Sushi roll, salmon</v>
          </cell>
          <cell r="I3964">
            <v>166</v>
          </cell>
          <cell r="J3964">
            <v>170.41415000000001</v>
          </cell>
          <cell r="K3964">
            <v>1.0265912650602409</v>
          </cell>
          <cell r="L3964">
            <v>6.0772999999999999E-3</v>
          </cell>
          <cell r="M3964">
            <v>0.37510179999999999</v>
          </cell>
          <cell r="N3964">
            <v>0.29252230000000001</v>
          </cell>
          <cell r="O3964">
            <v>8.1314000000000004E-3</v>
          </cell>
          <cell r="P3964">
            <v>1.1299865</v>
          </cell>
          <cell r="Q3964">
            <v>0.53194580000000002</v>
          </cell>
          <cell r="R3964">
            <v>0</v>
          </cell>
          <cell r="S3964">
            <v>0</v>
          </cell>
          <cell r="T3964">
            <v>0</v>
          </cell>
          <cell r="U3964">
            <v>2.0257774999999998</v>
          </cell>
          <cell r="V3964">
            <v>0</v>
          </cell>
          <cell r="W3964">
            <v>0</v>
          </cell>
          <cell r="X3964">
            <v>0.5819569</v>
          </cell>
          <cell r="Y3964">
            <v>0</v>
          </cell>
          <cell r="Z3964">
            <v>0</v>
          </cell>
          <cell r="AA3964">
            <v>0</v>
          </cell>
          <cell r="AB3964">
            <v>0.1120028</v>
          </cell>
        </row>
        <row r="3965">
          <cell r="A3965">
            <v>58151210</v>
          </cell>
          <cell r="B3965" t="str">
            <v>Sushi roll, shrimp</v>
          </cell>
          <cell r="I3965">
            <v>166</v>
          </cell>
          <cell r="J3965">
            <v>165.55229</v>
          </cell>
          <cell r="K3965">
            <v>0.99730295180722894</v>
          </cell>
          <cell r="L3965">
            <v>6.0772999999999999E-3</v>
          </cell>
          <cell r="M3965">
            <v>0.25639119999999999</v>
          </cell>
          <cell r="N3965">
            <v>0.1118229</v>
          </cell>
          <cell r="O3965">
            <v>4.1354200000000001E-2</v>
          </cell>
          <cell r="P3965">
            <v>1.1299865</v>
          </cell>
          <cell r="Q3965">
            <v>0.3192392</v>
          </cell>
          <cell r="R3965">
            <v>0</v>
          </cell>
          <cell r="S3965">
            <v>0</v>
          </cell>
          <cell r="T3965">
            <v>0</v>
          </cell>
          <cell r="U3965">
            <v>2.0257774999999998</v>
          </cell>
          <cell r="V3965">
            <v>0</v>
          </cell>
          <cell r="W3965">
            <v>0</v>
          </cell>
          <cell r="X3965">
            <v>0.93403709999999995</v>
          </cell>
          <cell r="Y3965">
            <v>0</v>
          </cell>
          <cell r="Z3965">
            <v>0</v>
          </cell>
          <cell r="AA3965">
            <v>0</v>
          </cell>
          <cell r="AB3965">
            <v>1.41805E-2</v>
          </cell>
        </row>
        <row r="3966">
          <cell r="A3966">
            <v>58151220</v>
          </cell>
          <cell r="B3966" t="str">
            <v>Sushi roll tuna</v>
          </cell>
          <cell r="I3966">
            <v>166</v>
          </cell>
          <cell r="J3966">
            <v>161.50073</v>
          </cell>
          <cell r="K3966">
            <v>0.97289596385542176</v>
          </cell>
          <cell r="L3966">
            <v>6.0772999999999999E-3</v>
          </cell>
          <cell r="M3966">
            <v>0.11499189999999999</v>
          </cell>
          <cell r="N3966">
            <v>4.0515599999999999E-2</v>
          </cell>
          <cell r="O3966">
            <v>6.1056000000000001E-3</v>
          </cell>
          <cell r="P3966">
            <v>1.1299865</v>
          </cell>
          <cell r="Q3966">
            <v>0.1397553</v>
          </cell>
          <cell r="R3966">
            <v>0</v>
          </cell>
          <cell r="S3966">
            <v>0</v>
          </cell>
          <cell r="T3966">
            <v>0</v>
          </cell>
          <cell r="U3966">
            <v>2.0257774999999998</v>
          </cell>
          <cell r="V3966">
            <v>0</v>
          </cell>
          <cell r="W3966">
            <v>0</v>
          </cell>
          <cell r="X3966">
            <v>0.56858679999999995</v>
          </cell>
          <cell r="Y3966">
            <v>0</v>
          </cell>
          <cell r="Z3966">
            <v>0</v>
          </cell>
          <cell r="AA3966">
            <v>0</v>
          </cell>
          <cell r="AB3966">
            <v>6.4825000000000004E-3</v>
          </cell>
        </row>
        <row r="3967">
          <cell r="A3967">
            <v>58151230</v>
          </cell>
          <cell r="B3967" t="str">
            <v>Sushi roll, vegetable</v>
          </cell>
          <cell r="I3967">
            <v>166</v>
          </cell>
          <cell r="J3967">
            <v>153.44368</v>
          </cell>
          <cell r="K3967">
            <v>0.92435951807228911</v>
          </cell>
          <cell r="L3967">
            <v>1.0734532000000001</v>
          </cell>
          <cell r="M3967">
            <v>0.36973279999999997</v>
          </cell>
          <cell r="N3967">
            <v>0</v>
          </cell>
          <cell r="O3967">
            <v>9.0227999999999992E-3</v>
          </cell>
          <cell r="P3967">
            <v>1.2279685</v>
          </cell>
          <cell r="Q3967">
            <v>0.36097600000000002</v>
          </cell>
          <cell r="R3967">
            <v>0</v>
          </cell>
          <cell r="S3967">
            <v>0</v>
          </cell>
          <cell r="T3967">
            <v>0</v>
          </cell>
          <cell r="U3967">
            <v>31.836127000000001</v>
          </cell>
          <cell r="V3967">
            <v>0</v>
          </cell>
          <cell r="W3967">
            <v>0</v>
          </cell>
          <cell r="X3967">
            <v>0.59941009999999995</v>
          </cell>
          <cell r="Y3967">
            <v>0</v>
          </cell>
          <cell r="Z3967">
            <v>0</v>
          </cell>
          <cell r="AA3967">
            <v>0</v>
          </cell>
          <cell r="AB3967">
            <v>0</v>
          </cell>
        </row>
        <row r="3968">
          <cell r="A3968">
            <v>58151410</v>
          </cell>
          <cell r="B3968" t="str">
            <v>Sushi, topped with eel</v>
          </cell>
          <cell r="I3968">
            <v>166</v>
          </cell>
          <cell r="J3968">
            <v>207.61391</v>
          </cell>
          <cell r="K3968">
            <v>1.2506862048192771</v>
          </cell>
          <cell r="L3968">
            <v>0</v>
          </cell>
          <cell r="M3968">
            <v>1.385947</v>
          </cell>
          <cell r="N3968">
            <v>8.3987099999999995E-2</v>
          </cell>
          <cell r="O3968">
            <v>1.4212600000000001E-2</v>
          </cell>
          <cell r="P3968">
            <v>0.99296419999999996</v>
          </cell>
          <cell r="Q3968">
            <v>0.60957419999999995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0.65835779999999999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</row>
        <row r="3969">
          <cell r="A3969">
            <v>58151420</v>
          </cell>
          <cell r="B3969" t="str">
            <v>Sushi, topped with salmon</v>
          </cell>
          <cell r="I3969">
            <v>166</v>
          </cell>
          <cell r="J3969">
            <v>177.82785999999999</v>
          </cell>
          <cell r="K3969">
            <v>1.0712521686746987</v>
          </cell>
          <cell r="L3969">
            <v>0</v>
          </cell>
          <cell r="M3969">
            <v>0.50687280000000001</v>
          </cell>
          <cell r="N3969">
            <v>0.4152362</v>
          </cell>
          <cell r="O3969">
            <v>7.8711000000000007E-3</v>
          </cell>
          <cell r="P3969">
            <v>0.99296419999999996</v>
          </cell>
          <cell r="Q3969">
            <v>0.70977270000000003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0.52762359999999997</v>
          </cell>
          <cell r="Y3969">
            <v>0</v>
          </cell>
          <cell r="Z3969">
            <v>0</v>
          </cell>
          <cell r="AA3969">
            <v>0</v>
          </cell>
          <cell r="AB3969">
            <v>0.15779319999999999</v>
          </cell>
        </row>
        <row r="3970">
          <cell r="A3970">
            <v>58151430</v>
          </cell>
          <cell r="B3970" t="str">
            <v>Sushi, topped with shrimp</v>
          </cell>
          <cell r="I3970">
            <v>166</v>
          </cell>
          <cell r="J3970">
            <v>170.92643000000001</v>
          </cell>
          <cell r="K3970">
            <v>1.0296772891566266</v>
          </cell>
          <cell r="L3970">
            <v>0</v>
          </cell>
          <cell r="M3970">
            <v>0.33836280000000002</v>
          </cell>
          <cell r="N3970">
            <v>0.15873300000000001</v>
          </cell>
          <cell r="O3970">
            <v>5.5030900000000001E-2</v>
          </cell>
          <cell r="P3970">
            <v>0.99296419999999996</v>
          </cell>
          <cell r="Q3970">
            <v>0.407835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1.0274023000000001</v>
          </cell>
          <cell r="Y3970">
            <v>0</v>
          </cell>
          <cell r="Z3970">
            <v>0</v>
          </cell>
          <cell r="AA3970">
            <v>0</v>
          </cell>
          <cell r="AB3970">
            <v>2.01292E-2</v>
          </cell>
        </row>
        <row r="3971">
          <cell r="A3971">
            <v>58151440</v>
          </cell>
          <cell r="B3971" t="str">
            <v>Sushi, topped with tuna</v>
          </cell>
          <cell r="I3971">
            <v>166</v>
          </cell>
          <cell r="J3971">
            <v>165.17524</v>
          </cell>
          <cell r="K3971">
            <v>0.99503156626506029</v>
          </cell>
          <cell r="L3971">
            <v>0</v>
          </cell>
          <cell r="M3971">
            <v>0.13764609999999999</v>
          </cell>
          <cell r="N3971">
            <v>5.7511899999999998E-2</v>
          </cell>
          <cell r="O3971">
            <v>4.9954999999999999E-3</v>
          </cell>
          <cell r="P3971">
            <v>0.99296419999999996</v>
          </cell>
          <cell r="Q3971">
            <v>0.1530571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0.5086446</v>
          </cell>
          <cell r="Y3971">
            <v>0</v>
          </cell>
          <cell r="Z3971">
            <v>0</v>
          </cell>
          <cell r="AA3971">
            <v>0</v>
          </cell>
          <cell r="AB3971">
            <v>9.2019000000000007E-3</v>
          </cell>
        </row>
        <row r="3972">
          <cell r="A3972">
            <v>58151450</v>
          </cell>
          <cell r="B3972" t="str">
            <v>Sushi, topped with egg</v>
          </cell>
          <cell r="I3972">
            <v>166</v>
          </cell>
          <cell r="J3972">
            <v>178.63553999999999</v>
          </cell>
          <cell r="K3972">
            <v>1.0761177108433735</v>
          </cell>
          <cell r="L3972">
            <v>3.8760000000000001E-3</v>
          </cell>
          <cell r="M3972">
            <v>2.3224534000000001</v>
          </cell>
          <cell r="N3972">
            <v>0</v>
          </cell>
          <cell r="O3972">
            <v>6.33552E-2</v>
          </cell>
          <cell r="P3972">
            <v>0.7206863</v>
          </cell>
          <cell r="Q3972">
            <v>1.3231295999999999</v>
          </cell>
          <cell r="R3972">
            <v>0</v>
          </cell>
          <cell r="S3972">
            <v>0</v>
          </cell>
          <cell r="T3972">
            <v>0</v>
          </cell>
          <cell r="U3972">
            <v>1.2920067</v>
          </cell>
          <cell r="V3972">
            <v>0</v>
          </cell>
          <cell r="W3972">
            <v>0</v>
          </cell>
          <cell r="X3972">
            <v>0.64331159999999998</v>
          </cell>
          <cell r="Y3972">
            <v>0</v>
          </cell>
          <cell r="Z3972">
            <v>0</v>
          </cell>
          <cell r="AA3972">
            <v>0</v>
          </cell>
          <cell r="AB3972">
            <v>0.1297006</v>
          </cell>
        </row>
        <row r="3973">
          <cell r="A3973">
            <v>58155310</v>
          </cell>
          <cell r="B3973" t="str">
            <v>Paella, Valenciana style, with meat (Paella Valenciana)</v>
          </cell>
          <cell r="I3973">
            <v>183</v>
          </cell>
          <cell r="J3973">
            <v>306.66831999999999</v>
          </cell>
          <cell r="K3973">
            <v>1.6757831693989071</v>
          </cell>
          <cell r="L3973">
            <v>0.33455829999999998</v>
          </cell>
          <cell r="M3973">
            <v>2.7793565999999998</v>
          </cell>
          <cell r="N3973">
            <v>3.6267000000000001E-2</v>
          </cell>
          <cell r="O3973">
            <v>3.2043099999999998E-2</v>
          </cell>
          <cell r="P3973">
            <v>0.28009699999999998</v>
          </cell>
          <cell r="Q3973">
            <v>1.6064921000000001</v>
          </cell>
          <cell r="R3973">
            <v>0</v>
          </cell>
          <cell r="S3973">
            <v>0</v>
          </cell>
          <cell r="T3973">
            <v>0</v>
          </cell>
          <cell r="U3973">
            <v>20.956669999999999</v>
          </cell>
          <cell r="V3973">
            <v>0</v>
          </cell>
          <cell r="W3973">
            <v>0</v>
          </cell>
          <cell r="X3973">
            <v>1.0948285</v>
          </cell>
          <cell r="Y3973">
            <v>0</v>
          </cell>
          <cell r="Z3973">
            <v>12.75282</v>
          </cell>
          <cell r="AA3973">
            <v>3.819353</v>
          </cell>
          <cell r="AB3973">
            <v>3.1319600000000003E-2</v>
          </cell>
        </row>
        <row r="3974">
          <cell r="A3974">
            <v>58155320</v>
          </cell>
          <cell r="B3974" t="str">
            <v>Seafood paella, Puerto Rican style</v>
          </cell>
          <cell r="I3974">
            <v>230</v>
          </cell>
          <cell r="J3974">
            <v>223.32119</v>
          </cell>
          <cell r="K3974">
            <v>0.97096169565217394</v>
          </cell>
          <cell r="L3974">
            <v>0.46540690000000001</v>
          </cell>
          <cell r="M3974">
            <v>1.2641355999999999</v>
          </cell>
          <cell r="N3974">
            <v>9.8888500000000004E-2</v>
          </cell>
          <cell r="O3974">
            <v>5.3596900000000003E-2</v>
          </cell>
          <cell r="P3974">
            <v>0.9413125</v>
          </cell>
          <cell r="Q3974">
            <v>1.0988194</v>
          </cell>
          <cell r="R3974">
            <v>0</v>
          </cell>
          <cell r="S3974">
            <v>0</v>
          </cell>
          <cell r="T3974">
            <v>0</v>
          </cell>
          <cell r="U3974">
            <v>28.439762000000002</v>
          </cell>
          <cell r="V3974">
            <v>0</v>
          </cell>
          <cell r="W3974">
            <v>0</v>
          </cell>
          <cell r="X3974">
            <v>0.54187909999999995</v>
          </cell>
          <cell r="Y3974">
            <v>0</v>
          </cell>
          <cell r="Z3974">
            <v>0</v>
          </cell>
          <cell r="AA3974">
            <v>0</v>
          </cell>
          <cell r="AB3974">
            <v>3.6039300000000003E-2</v>
          </cell>
        </row>
        <row r="3975">
          <cell r="A3975">
            <v>58156310</v>
          </cell>
          <cell r="B3975" t="str">
            <v>Rice with Spanish sausage, Puerto Rican style</v>
          </cell>
          <cell r="I3975">
            <v>180</v>
          </cell>
          <cell r="J3975">
            <v>448.35449999999997</v>
          </cell>
          <cell r="K3975">
            <v>2.4908583333333332</v>
          </cell>
          <cell r="L3975">
            <v>0.37335590000000002</v>
          </cell>
          <cell r="M3975">
            <v>6.9736608000000002</v>
          </cell>
          <cell r="N3975">
            <v>0</v>
          </cell>
          <cell r="O3975">
            <v>2.68802E-2</v>
          </cell>
          <cell r="P3975">
            <v>0.72217229999999999</v>
          </cell>
          <cell r="Q3975">
            <v>4.0382673999999996</v>
          </cell>
          <cell r="R3975">
            <v>0</v>
          </cell>
          <cell r="S3975">
            <v>0</v>
          </cell>
          <cell r="T3975">
            <v>0</v>
          </cell>
          <cell r="U3975">
            <v>19.095721000000001</v>
          </cell>
          <cell r="V3975">
            <v>0</v>
          </cell>
          <cell r="W3975">
            <v>0</v>
          </cell>
          <cell r="X3975">
            <v>1.4210809</v>
          </cell>
          <cell r="Y3975">
            <v>0</v>
          </cell>
          <cell r="Z3975">
            <v>0</v>
          </cell>
          <cell r="AA3975">
            <v>26.764664</v>
          </cell>
          <cell r="AB3975">
            <v>0.61507080000000003</v>
          </cell>
        </row>
        <row r="3976">
          <cell r="A3976">
            <v>58156610</v>
          </cell>
          <cell r="B3976" t="str">
            <v>Pigeon pea asopao (Asopao de gandules)</v>
          </cell>
          <cell r="I3976">
            <v>178</v>
          </cell>
          <cell r="J3976">
            <v>216.12119000000001</v>
          </cell>
          <cell r="K3976">
            <v>1.214163988764045</v>
          </cell>
          <cell r="L3976">
            <v>7.2550199999999995E-2</v>
          </cell>
          <cell r="M3976">
            <v>0.8204458</v>
          </cell>
          <cell r="N3976">
            <v>0</v>
          </cell>
          <cell r="O3976">
            <v>2.02122E-2</v>
          </cell>
          <cell r="P3976">
            <v>1.2823556</v>
          </cell>
          <cell r="Q3976">
            <v>0.69207620000000003</v>
          </cell>
          <cell r="R3976">
            <v>0</v>
          </cell>
          <cell r="S3976">
            <v>0</v>
          </cell>
          <cell r="T3976">
            <v>0</v>
          </cell>
          <cell r="U3976">
            <v>6.8997928000000002</v>
          </cell>
          <cell r="V3976">
            <v>0</v>
          </cell>
          <cell r="W3976">
            <v>0</v>
          </cell>
          <cell r="X3976">
            <v>0.8310978</v>
          </cell>
          <cell r="Y3976">
            <v>0</v>
          </cell>
          <cell r="Z3976">
            <v>0</v>
          </cell>
          <cell r="AA3976">
            <v>0.22969719999999999</v>
          </cell>
          <cell r="AB3976">
            <v>4.6802000000000003E-2</v>
          </cell>
        </row>
        <row r="3977">
          <cell r="A3977">
            <v>58157210</v>
          </cell>
          <cell r="B3977" t="str">
            <v>Rice pudding made with coconut milk, Puerto Rican style</v>
          </cell>
          <cell r="I3977">
            <v>256</v>
          </cell>
          <cell r="J3977">
            <v>665.51360999999997</v>
          </cell>
          <cell r="K3977">
            <v>2.5996625390624999</v>
          </cell>
          <cell r="L3977">
            <v>0.68562299999999998</v>
          </cell>
          <cell r="M3977">
            <v>38.958599</v>
          </cell>
          <cell r="N3977">
            <v>0</v>
          </cell>
          <cell r="O3977">
            <v>5.23507E-2</v>
          </cell>
          <cell r="P3977">
            <v>4.7087795999999997</v>
          </cell>
          <cell r="Q3977">
            <v>0.52946150000000003</v>
          </cell>
          <cell r="R3977">
            <v>0</v>
          </cell>
          <cell r="S3977">
            <v>0</v>
          </cell>
          <cell r="T3977">
            <v>18.530351</v>
          </cell>
          <cell r="U3977">
            <v>0</v>
          </cell>
          <cell r="V3977">
            <v>0</v>
          </cell>
          <cell r="W3977">
            <v>0</v>
          </cell>
          <cell r="X3977">
            <v>3.1289499999999998E-2</v>
          </cell>
          <cell r="Y3977">
            <v>0</v>
          </cell>
          <cell r="Z3977">
            <v>0</v>
          </cell>
          <cell r="AA3977">
            <v>0</v>
          </cell>
          <cell r="AB3977">
            <v>0.85110969999999997</v>
          </cell>
        </row>
        <row r="3978">
          <cell r="A3978">
            <v>58157300</v>
          </cell>
          <cell r="B3978" t="str">
            <v>Congee, with meat, poultry, and/or seafood</v>
          </cell>
          <cell r="I3978">
            <v>239</v>
          </cell>
          <cell r="J3978">
            <v>110.98948</v>
          </cell>
          <cell r="K3978">
            <v>0.46439112970711299</v>
          </cell>
          <cell r="L3978">
            <v>-3.3200000000000002E-17</v>
          </cell>
          <cell r="M3978">
            <v>0.62275429999999998</v>
          </cell>
          <cell r="N3978">
            <v>1.84491E-2</v>
          </cell>
          <cell r="O3978">
            <v>1.3154900000000001E-2</v>
          </cell>
          <cell r="P3978">
            <v>0.18067939999999999</v>
          </cell>
          <cell r="Q3978">
            <v>0.2078777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0.53740319999999997</v>
          </cell>
          <cell r="Y3978">
            <v>0</v>
          </cell>
          <cell r="Z3978">
            <v>11.530702</v>
          </cell>
          <cell r="AA3978">
            <v>0</v>
          </cell>
          <cell r="AB3978">
            <v>6.9180000000000001E-4</v>
          </cell>
        </row>
        <row r="3979">
          <cell r="A3979">
            <v>58157310</v>
          </cell>
          <cell r="B3979" t="str">
            <v>Congee, with meat, poultry, and/or seafood, and vegetables</v>
          </cell>
          <cell r="I3979">
            <v>239</v>
          </cell>
          <cell r="J3979">
            <v>107.44221</v>
          </cell>
          <cell r="K3979">
            <v>0.44954899581589958</v>
          </cell>
          <cell r="L3979">
            <v>0.39975939999999999</v>
          </cell>
          <cell r="M3979">
            <v>0.58910450000000003</v>
          </cell>
          <cell r="N3979">
            <v>1.7077100000000001E-2</v>
          </cell>
          <cell r="O3979">
            <v>1.6915099999999999E-2</v>
          </cell>
          <cell r="P3979">
            <v>0.16724269999999999</v>
          </cell>
          <cell r="Q3979">
            <v>0.23040769999999999</v>
          </cell>
          <cell r="R3979">
            <v>0</v>
          </cell>
          <cell r="S3979">
            <v>0</v>
          </cell>
          <cell r="T3979">
            <v>0</v>
          </cell>
          <cell r="U3979">
            <v>17.641631</v>
          </cell>
          <cell r="V3979">
            <v>0</v>
          </cell>
          <cell r="W3979">
            <v>0</v>
          </cell>
          <cell r="X3979">
            <v>0.54926609999999998</v>
          </cell>
          <cell r="Y3979">
            <v>0</v>
          </cell>
          <cell r="Z3979">
            <v>10.673187</v>
          </cell>
          <cell r="AA3979">
            <v>0</v>
          </cell>
          <cell r="AB3979">
            <v>6.4039999999999995E-4</v>
          </cell>
        </row>
        <row r="3980">
          <cell r="A3980">
            <v>58157320</v>
          </cell>
          <cell r="B3980" t="str">
            <v>Congee, with vegetables</v>
          </cell>
          <cell r="I3980">
            <v>239</v>
          </cell>
          <cell r="J3980">
            <v>72.404506999999995</v>
          </cell>
          <cell r="K3980">
            <v>0.30294772803347281</v>
          </cell>
          <cell r="L3980">
            <v>0.42444520000000002</v>
          </cell>
          <cell r="M3980">
            <v>4.9753800000000001E-2</v>
          </cell>
          <cell r="N3980">
            <v>0</v>
          </cell>
          <cell r="O3980">
            <v>1.5196100000000001E-2</v>
          </cell>
          <cell r="P3980">
            <v>0.19414909999999999</v>
          </cell>
          <cell r="Q3980">
            <v>5.6805000000000001E-2</v>
          </cell>
          <cell r="R3980">
            <v>0</v>
          </cell>
          <cell r="S3980">
            <v>0</v>
          </cell>
          <cell r="T3980">
            <v>0</v>
          </cell>
          <cell r="U3980">
            <v>19.353470000000002</v>
          </cell>
          <cell r="V3980">
            <v>0</v>
          </cell>
          <cell r="W3980">
            <v>0</v>
          </cell>
          <cell r="X3980">
            <v>0.48444500000000001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</row>
        <row r="3981">
          <cell r="A3981">
            <v>58160000</v>
          </cell>
          <cell r="B3981" t="str">
            <v>Biryani with vegetables</v>
          </cell>
          <cell r="I3981">
            <v>239</v>
          </cell>
          <cell r="J3981">
            <v>284.75936000000002</v>
          </cell>
          <cell r="K3981">
            <v>1.1914617573221757</v>
          </cell>
          <cell r="L3981">
            <v>0.87997150000000002</v>
          </cell>
          <cell r="M3981">
            <v>4.7433415999999999</v>
          </cell>
          <cell r="N3981">
            <v>0</v>
          </cell>
          <cell r="O3981">
            <v>5.3873900000000002E-2</v>
          </cell>
          <cell r="P3981">
            <v>2.3745104000000001</v>
          </cell>
          <cell r="Q3981">
            <v>1.0824033</v>
          </cell>
          <cell r="R3981">
            <v>0</v>
          </cell>
          <cell r="S3981">
            <v>0</v>
          </cell>
          <cell r="T3981">
            <v>0</v>
          </cell>
          <cell r="U3981">
            <v>50.971195000000002</v>
          </cell>
          <cell r="V3981">
            <v>0</v>
          </cell>
          <cell r="W3981">
            <v>0</v>
          </cell>
          <cell r="X3981">
            <v>0.42476730000000001</v>
          </cell>
          <cell r="Y3981">
            <v>5.4791742000000001</v>
          </cell>
          <cell r="Z3981">
            <v>0</v>
          </cell>
          <cell r="AA3981">
            <v>0</v>
          </cell>
          <cell r="AB3981">
            <v>0.29804940000000002</v>
          </cell>
        </row>
        <row r="3982">
          <cell r="A3982">
            <v>58160110</v>
          </cell>
          <cell r="B3982" t="str">
            <v>Rice with beans</v>
          </cell>
          <cell r="I3982">
            <v>239</v>
          </cell>
          <cell r="J3982">
            <v>373.74135999999999</v>
          </cell>
          <cell r="K3982">
            <v>1.5637713807531379</v>
          </cell>
          <cell r="L3982">
            <v>9.4791696999999999</v>
          </cell>
          <cell r="M3982">
            <v>1.668755</v>
          </cell>
          <cell r="N3982">
            <v>0</v>
          </cell>
          <cell r="O3982">
            <v>8.0610500000000002E-2</v>
          </cell>
          <cell r="P3982">
            <v>0.46729949999999998</v>
          </cell>
          <cell r="Q3982">
            <v>4.7290555000000003</v>
          </cell>
          <cell r="R3982">
            <v>0</v>
          </cell>
          <cell r="S3982">
            <v>110.12268</v>
          </cell>
          <cell r="T3982">
            <v>0</v>
          </cell>
          <cell r="U3982">
            <v>22.013496</v>
          </cell>
          <cell r="V3982">
            <v>0</v>
          </cell>
          <cell r="W3982">
            <v>0</v>
          </cell>
          <cell r="X3982">
            <v>0.46782849999999998</v>
          </cell>
          <cell r="Y3982">
            <v>0</v>
          </cell>
          <cell r="Z3982">
            <v>0</v>
          </cell>
          <cell r="AA3982">
            <v>0</v>
          </cell>
          <cell r="AB3982">
            <v>5.99827E-2</v>
          </cell>
        </row>
        <row r="3983">
          <cell r="A3983">
            <v>58160120</v>
          </cell>
          <cell r="B3983" t="str">
            <v>Rice with beans and tomatoes</v>
          </cell>
          <cell r="I3983">
            <v>239</v>
          </cell>
          <cell r="J3983">
            <v>296.39278999999999</v>
          </cell>
          <cell r="K3983">
            <v>1.2401371966527197</v>
          </cell>
          <cell r="L3983">
            <v>7.9742746999999996</v>
          </cell>
          <cell r="M3983">
            <v>1.3027641000000001</v>
          </cell>
          <cell r="N3983">
            <v>0</v>
          </cell>
          <cell r="O3983">
            <v>8.0209199999999994E-2</v>
          </cell>
          <cell r="P3983">
            <v>0.72598399999999996</v>
          </cell>
          <cell r="Q3983">
            <v>3.6944412</v>
          </cell>
          <cell r="R3983">
            <v>0</v>
          </cell>
          <cell r="S3983">
            <v>84.734309999999994</v>
          </cell>
          <cell r="T3983">
            <v>0</v>
          </cell>
          <cell r="U3983">
            <v>52.753723000000001</v>
          </cell>
          <cell r="V3983">
            <v>0</v>
          </cell>
          <cell r="W3983">
            <v>0</v>
          </cell>
          <cell r="X3983">
            <v>0.42333799999999999</v>
          </cell>
          <cell r="Y3983">
            <v>0</v>
          </cell>
          <cell r="Z3983">
            <v>0</v>
          </cell>
          <cell r="AA3983">
            <v>0</v>
          </cell>
          <cell r="AB3983">
            <v>8.0219899999999997E-2</v>
          </cell>
        </row>
        <row r="3984">
          <cell r="A3984">
            <v>58160130</v>
          </cell>
          <cell r="B3984" t="str">
            <v>Rice with beans and chicken</v>
          </cell>
          <cell r="I3984">
            <v>239</v>
          </cell>
          <cell r="J3984">
            <v>376.71685000000002</v>
          </cell>
          <cell r="K3984">
            <v>1.5762211297071131</v>
          </cell>
          <cell r="L3984">
            <v>7.9896428000000004</v>
          </cell>
          <cell r="M3984">
            <v>1.9996119000000001</v>
          </cell>
          <cell r="N3984">
            <v>0</v>
          </cell>
          <cell r="O3984">
            <v>7.3351600000000003E-2</v>
          </cell>
          <cell r="P3984">
            <v>0.39386949999999998</v>
          </cell>
          <cell r="Q3984">
            <v>4.3378810999999997</v>
          </cell>
          <cell r="R3984">
            <v>0</v>
          </cell>
          <cell r="S3984">
            <v>92.818346000000005</v>
          </cell>
          <cell r="T3984">
            <v>0</v>
          </cell>
          <cell r="U3984">
            <v>18.554364</v>
          </cell>
          <cell r="V3984">
            <v>0</v>
          </cell>
          <cell r="W3984">
            <v>0</v>
          </cell>
          <cell r="X3984">
            <v>0.52392019999999995</v>
          </cell>
          <cell r="Y3984">
            <v>0</v>
          </cell>
          <cell r="Z3984">
            <v>0</v>
          </cell>
          <cell r="AA3984">
            <v>0</v>
          </cell>
          <cell r="AB3984">
            <v>3.2378499999999998E-2</v>
          </cell>
        </row>
        <row r="3985">
          <cell r="A3985">
            <v>58160135</v>
          </cell>
          <cell r="B3985" t="str">
            <v>Rice with beans and beef</v>
          </cell>
          <cell r="I3985">
            <v>239</v>
          </cell>
          <cell r="J3985">
            <v>413.24225000000001</v>
          </cell>
          <cell r="K3985">
            <v>1.7290470711297072</v>
          </cell>
          <cell r="L3985">
            <v>7.9739801999999997</v>
          </cell>
          <cell r="M3985">
            <v>3.8525941000000001</v>
          </cell>
          <cell r="N3985">
            <v>0</v>
          </cell>
          <cell r="O3985">
            <v>7.6862100000000003E-2</v>
          </cell>
          <cell r="P3985">
            <v>0.39309739999999999</v>
          </cell>
          <cell r="Q3985">
            <v>4.1658723000000002</v>
          </cell>
          <cell r="R3985">
            <v>0</v>
          </cell>
          <cell r="S3985">
            <v>92.636388999999994</v>
          </cell>
          <cell r="T3985">
            <v>0</v>
          </cell>
          <cell r="U3985">
            <v>18.517990999999999</v>
          </cell>
          <cell r="V3985">
            <v>0</v>
          </cell>
          <cell r="W3985">
            <v>0</v>
          </cell>
          <cell r="X3985">
            <v>0.54418089999999997</v>
          </cell>
          <cell r="Y3985">
            <v>0</v>
          </cell>
          <cell r="Z3985">
            <v>34.440744000000002</v>
          </cell>
          <cell r="AA3985">
            <v>0</v>
          </cell>
          <cell r="AB3985">
            <v>0.31858170000000002</v>
          </cell>
        </row>
        <row r="3986">
          <cell r="A3986">
            <v>58160140</v>
          </cell>
          <cell r="B3986" t="str">
            <v>Rice with beans and pork</v>
          </cell>
          <cell r="I3986">
            <v>239</v>
          </cell>
          <cell r="J3986">
            <v>404.71773999999999</v>
          </cell>
          <cell r="K3986">
            <v>1.6933796652719666</v>
          </cell>
          <cell r="L3986">
            <v>7.9739801999999997</v>
          </cell>
          <cell r="M3986">
            <v>3.2606982000000002</v>
          </cell>
          <cell r="N3986">
            <v>0</v>
          </cell>
          <cell r="O3986">
            <v>7.5400499999999995E-2</v>
          </cell>
          <cell r="P3986">
            <v>0.39309739999999999</v>
          </cell>
          <cell r="Q3986">
            <v>4.5546024999999997</v>
          </cell>
          <cell r="R3986">
            <v>0</v>
          </cell>
          <cell r="S3986">
            <v>92.636388999999994</v>
          </cell>
          <cell r="T3986">
            <v>0</v>
          </cell>
          <cell r="U3986">
            <v>18.517990999999999</v>
          </cell>
          <cell r="V3986">
            <v>0</v>
          </cell>
          <cell r="W3986">
            <v>0</v>
          </cell>
          <cell r="X3986">
            <v>0.4151743</v>
          </cell>
          <cell r="Y3986">
            <v>0</v>
          </cell>
          <cell r="Z3986">
            <v>36.042645</v>
          </cell>
          <cell r="AA3986">
            <v>0</v>
          </cell>
          <cell r="AB3986">
            <v>0.21939639999999999</v>
          </cell>
        </row>
        <row r="3987">
          <cell r="A3987">
            <v>58160150</v>
          </cell>
          <cell r="B3987" t="str">
            <v>Red beans and rice</v>
          </cell>
          <cell r="I3987">
            <v>224</v>
          </cell>
          <cell r="J3987">
            <v>408.36766</v>
          </cell>
          <cell r="K3987">
            <v>1.8230699107142858</v>
          </cell>
          <cell r="L3987">
            <v>6.2538910999999997</v>
          </cell>
          <cell r="M3987">
            <v>5.0482711</v>
          </cell>
          <cell r="N3987">
            <v>0</v>
          </cell>
          <cell r="O3987">
            <v>4.8847799999999997E-2</v>
          </cell>
          <cell r="P3987">
            <v>0.28517019999999998</v>
          </cell>
          <cell r="Q3987">
            <v>5.7294482999999996</v>
          </cell>
          <cell r="R3987">
            <v>0</v>
          </cell>
          <cell r="S3987">
            <v>79.666043999999999</v>
          </cell>
          <cell r="T3987">
            <v>0</v>
          </cell>
          <cell r="U3987">
            <v>26.020278000000001</v>
          </cell>
          <cell r="V3987">
            <v>0</v>
          </cell>
          <cell r="W3987">
            <v>0</v>
          </cell>
          <cell r="X3987">
            <v>0.77585530000000003</v>
          </cell>
          <cell r="Y3987">
            <v>0</v>
          </cell>
          <cell r="Z3987">
            <v>0</v>
          </cell>
          <cell r="AA3987">
            <v>28.109762</v>
          </cell>
          <cell r="AB3987">
            <v>0.23145740000000001</v>
          </cell>
        </row>
        <row r="3988">
          <cell r="A3988">
            <v>58160400</v>
          </cell>
          <cell r="B3988" t="str">
            <v>Rice, white, with corn, NS as to fat added in cooking</v>
          </cell>
          <cell r="I3988">
            <v>160</v>
          </cell>
          <cell r="J3988">
            <v>218.59694999999999</v>
          </cell>
          <cell r="K3988">
            <v>1.3662309374999999</v>
          </cell>
          <cell r="L3988">
            <v>-3.55E-16</v>
          </cell>
          <cell r="M3988">
            <v>0.6237258</v>
          </cell>
          <cell r="N3988">
            <v>0</v>
          </cell>
          <cell r="O3988">
            <v>1.2974299999999999E-2</v>
          </cell>
          <cell r="P3988">
            <v>1.4248065000000001</v>
          </cell>
          <cell r="Q3988">
            <v>1.7017024999999999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0.28640349999999998</v>
          </cell>
          <cell r="Y3988">
            <v>0</v>
          </cell>
          <cell r="Z3988">
            <v>0</v>
          </cell>
          <cell r="AA3988">
            <v>0</v>
          </cell>
          <cell r="AB3988">
            <v>3.5729200000000003E-2</v>
          </cell>
        </row>
        <row r="3989">
          <cell r="A3989">
            <v>58160430</v>
          </cell>
          <cell r="B3989" t="str">
            <v>Rice, white, with peas, NS as to fat added in cooking</v>
          </cell>
          <cell r="I3989">
            <v>160</v>
          </cell>
          <cell r="J3989">
            <v>214.27824000000001</v>
          </cell>
          <cell r="K3989">
            <v>1.3392390000000001</v>
          </cell>
          <cell r="L3989">
            <v>0</v>
          </cell>
          <cell r="M3989">
            <v>0.56350080000000002</v>
          </cell>
          <cell r="N3989">
            <v>0</v>
          </cell>
          <cell r="O3989">
            <v>2.2460600000000001E-2</v>
          </cell>
          <cell r="P3989">
            <v>2.6287864999999999</v>
          </cell>
          <cell r="Q3989">
            <v>1.5092528999999999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0.28893940000000001</v>
          </cell>
          <cell r="Y3989">
            <v>0</v>
          </cell>
          <cell r="Z3989">
            <v>0</v>
          </cell>
          <cell r="AA3989">
            <v>0</v>
          </cell>
          <cell r="AB3989">
            <v>1.1876599999999999E-2</v>
          </cell>
        </row>
        <row r="3990">
          <cell r="A3990">
            <v>58160440</v>
          </cell>
          <cell r="B3990" t="str">
            <v>Rice, white, with peas, fat not added in cooking</v>
          </cell>
          <cell r="I3990">
            <v>160</v>
          </cell>
          <cell r="J3990">
            <v>188.54558</v>
          </cell>
          <cell r="K3990">
            <v>1.1784098750000001</v>
          </cell>
          <cell r="L3990">
            <v>-3.55E-16</v>
          </cell>
          <cell r="M3990">
            <v>0.1073585</v>
          </cell>
          <cell r="N3990">
            <v>0</v>
          </cell>
          <cell r="O3990">
            <v>2.2932600000000001E-2</v>
          </cell>
          <cell r="P3990">
            <v>2.6850322000000002</v>
          </cell>
          <cell r="Q3990">
            <v>0.1314671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0.29510449999999999</v>
          </cell>
          <cell r="Y3990">
            <v>0</v>
          </cell>
          <cell r="Z3990">
            <v>0</v>
          </cell>
          <cell r="AA3990">
            <v>0</v>
          </cell>
          <cell r="AB3990">
            <v>0</v>
          </cell>
        </row>
        <row r="3991">
          <cell r="A3991">
            <v>58160450</v>
          </cell>
          <cell r="B3991" t="str">
            <v>Rice, white, with peas, fat added in cooking</v>
          </cell>
          <cell r="I3991">
            <v>160</v>
          </cell>
          <cell r="J3991">
            <v>214.27824000000001</v>
          </cell>
          <cell r="K3991">
            <v>1.3392390000000001</v>
          </cell>
          <cell r="L3991">
            <v>0</v>
          </cell>
          <cell r="M3991">
            <v>0.56350080000000002</v>
          </cell>
          <cell r="N3991">
            <v>0</v>
          </cell>
          <cell r="O3991">
            <v>2.2460600000000001E-2</v>
          </cell>
          <cell r="P3991">
            <v>2.6287864999999999</v>
          </cell>
          <cell r="Q3991">
            <v>1.5092528999999999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0.28893940000000001</v>
          </cell>
          <cell r="Y3991">
            <v>0</v>
          </cell>
          <cell r="Z3991">
            <v>0</v>
          </cell>
          <cell r="AA3991">
            <v>0</v>
          </cell>
          <cell r="AB3991">
            <v>1.1876599999999999E-2</v>
          </cell>
        </row>
        <row r="3992">
          <cell r="A3992">
            <v>58160460</v>
          </cell>
          <cell r="B3992" t="str">
            <v>Rice, white, with carrots, NS as to fat added in cooking</v>
          </cell>
          <cell r="I3992">
            <v>160</v>
          </cell>
          <cell r="J3992">
            <v>196.01527999999999</v>
          </cell>
          <cell r="K3992">
            <v>1.2250954999999999</v>
          </cell>
          <cell r="L3992">
            <v>1.1533985</v>
          </cell>
          <cell r="M3992">
            <v>0.56365330000000002</v>
          </cell>
          <cell r="N3992">
            <v>0</v>
          </cell>
          <cell r="O3992">
            <v>2.34644E-2</v>
          </cell>
          <cell r="P3992">
            <v>0.46973130000000002</v>
          </cell>
          <cell r="Q3992">
            <v>1.5139591999999999</v>
          </cell>
          <cell r="R3992">
            <v>0</v>
          </cell>
          <cell r="S3992">
            <v>0</v>
          </cell>
          <cell r="T3992">
            <v>0</v>
          </cell>
          <cell r="U3992">
            <v>38.446615999999999</v>
          </cell>
          <cell r="V3992">
            <v>0</v>
          </cell>
          <cell r="W3992">
            <v>0</v>
          </cell>
          <cell r="X3992">
            <v>0.31213360000000001</v>
          </cell>
          <cell r="Y3992">
            <v>0</v>
          </cell>
          <cell r="Z3992">
            <v>0</v>
          </cell>
          <cell r="AA3992">
            <v>0</v>
          </cell>
          <cell r="AB3992">
            <v>1.1962199999999999E-2</v>
          </cell>
        </row>
        <row r="3993">
          <cell r="A3993">
            <v>58160470</v>
          </cell>
          <cell r="B3993" t="str">
            <v>Rice, white, with carrots, fat not added in cooking</v>
          </cell>
          <cell r="I3993">
            <v>160</v>
          </cell>
          <cell r="J3993">
            <v>169.72429</v>
          </cell>
          <cell r="K3993">
            <v>1.0607768124999999</v>
          </cell>
          <cell r="L3993">
            <v>1.1774677</v>
          </cell>
          <cell r="M3993">
            <v>0.1041671</v>
          </cell>
          <cell r="N3993">
            <v>0</v>
          </cell>
          <cell r="O3993">
            <v>2.39563E-2</v>
          </cell>
          <cell r="P3993">
            <v>0.47996050000000001</v>
          </cell>
          <cell r="Q3993">
            <v>0.12612400000000001</v>
          </cell>
          <cell r="R3993">
            <v>0</v>
          </cell>
          <cell r="S3993">
            <v>0</v>
          </cell>
          <cell r="T3993">
            <v>0</v>
          </cell>
          <cell r="U3993">
            <v>39.248922999999998</v>
          </cell>
          <cell r="V3993">
            <v>0</v>
          </cell>
          <cell r="W3993">
            <v>0</v>
          </cell>
          <cell r="X3993">
            <v>0.31889329999999999</v>
          </cell>
          <cell r="Y3993">
            <v>0</v>
          </cell>
          <cell r="Z3993">
            <v>0</v>
          </cell>
          <cell r="AA3993">
            <v>0</v>
          </cell>
          <cell r="AB3993">
            <v>0</v>
          </cell>
        </row>
        <row r="3994">
          <cell r="A3994">
            <v>58160480</v>
          </cell>
          <cell r="B3994" t="str">
            <v>Rice, white, with carrots, fat added in cooking</v>
          </cell>
          <cell r="I3994">
            <v>160</v>
          </cell>
          <cell r="J3994">
            <v>196.04519999999999</v>
          </cell>
          <cell r="K3994">
            <v>1.2252825000000001</v>
          </cell>
          <cell r="L3994">
            <v>1.1526190999999999</v>
          </cell>
          <cell r="M3994">
            <v>0.56376349999999997</v>
          </cell>
          <cell r="N3994">
            <v>0</v>
          </cell>
          <cell r="O3994">
            <v>2.3459199999999999E-2</v>
          </cell>
          <cell r="P3994">
            <v>0.46983170000000002</v>
          </cell>
          <cell r="Q3994">
            <v>1.5142523000000001</v>
          </cell>
          <cell r="R3994">
            <v>0</v>
          </cell>
          <cell r="S3994">
            <v>0</v>
          </cell>
          <cell r="T3994">
            <v>0</v>
          </cell>
          <cell r="U3994">
            <v>38.420636999999999</v>
          </cell>
          <cell r="V3994">
            <v>0</v>
          </cell>
          <cell r="W3994">
            <v>0</v>
          </cell>
          <cell r="X3994">
            <v>0.31218040000000002</v>
          </cell>
          <cell r="Y3994">
            <v>0</v>
          </cell>
          <cell r="Z3994">
            <v>0</v>
          </cell>
          <cell r="AA3994">
            <v>0</v>
          </cell>
          <cell r="AB3994">
            <v>1.1964799999999999E-2</v>
          </cell>
        </row>
        <row r="3995">
          <cell r="A3995">
            <v>58160490</v>
          </cell>
          <cell r="B3995" t="str">
            <v>Rice, white, with peas and carrots, NS as to fat added in cooking</v>
          </cell>
          <cell r="I3995">
            <v>160</v>
          </cell>
          <cell r="J3995">
            <v>200.09238999999999</v>
          </cell>
          <cell r="K3995">
            <v>1.2505774375000001</v>
          </cell>
          <cell r="L3995">
            <v>0.53469940000000005</v>
          </cell>
          <cell r="M3995">
            <v>0.57832360000000005</v>
          </cell>
          <cell r="N3995">
            <v>0</v>
          </cell>
          <cell r="O3995">
            <v>2.0892000000000001E-2</v>
          </cell>
          <cell r="P3995">
            <v>1.1513323</v>
          </cell>
          <cell r="Q3995">
            <v>1.5478597000000001</v>
          </cell>
          <cell r="R3995">
            <v>0</v>
          </cell>
          <cell r="S3995">
            <v>0</v>
          </cell>
          <cell r="T3995">
            <v>0</v>
          </cell>
          <cell r="U3995">
            <v>17.248369</v>
          </cell>
          <cell r="V3995">
            <v>0</v>
          </cell>
          <cell r="W3995">
            <v>0</v>
          </cell>
          <cell r="X3995">
            <v>0.31444220000000001</v>
          </cell>
          <cell r="Y3995">
            <v>0</v>
          </cell>
          <cell r="Z3995">
            <v>0</v>
          </cell>
          <cell r="AA3995">
            <v>0</v>
          </cell>
          <cell r="AB3995">
            <v>1.4219000000000001E-2</v>
          </cell>
        </row>
        <row r="3996">
          <cell r="A3996">
            <v>58160500</v>
          </cell>
          <cell r="B3996" t="str">
            <v>Rice, white, with peas and carrots, fat not added in cooking</v>
          </cell>
          <cell r="I3996">
            <v>160</v>
          </cell>
          <cell r="J3996">
            <v>174.06307000000001</v>
          </cell>
          <cell r="K3996">
            <v>1.0878941875000001</v>
          </cell>
          <cell r="L3996">
            <v>0.54613690000000004</v>
          </cell>
          <cell r="M3996">
            <v>0.12261859999999999</v>
          </cell>
          <cell r="N3996">
            <v>0</v>
          </cell>
          <cell r="O3996">
            <v>2.13303E-2</v>
          </cell>
          <cell r="P3996">
            <v>1.1759598</v>
          </cell>
          <cell r="Q3996">
            <v>0.1712631</v>
          </cell>
          <cell r="R3996">
            <v>0</v>
          </cell>
          <cell r="S3996">
            <v>0</v>
          </cell>
          <cell r="T3996">
            <v>0</v>
          </cell>
          <cell r="U3996">
            <v>17.617318999999998</v>
          </cell>
          <cell r="V3996">
            <v>0</v>
          </cell>
          <cell r="W3996">
            <v>0</v>
          </cell>
          <cell r="X3996">
            <v>0.32115110000000002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</row>
        <row r="3997">
          <cell r="A3997">
            <v>58160510</v>
          </cell>
          <cell r="B3997" t="str">
            <v>Rice, white, with peas and carrots, fat added in cooking</v>
          </cell>
          <cell r="I3997">
            <v>160</v>
          </cell>
          <cell r="J3997">
            <v>200.09238999999999</v>
          </cell>
          <cell r="K3997">
            <v>1.2505774375000001</v>
          </cell>
          <cell r="L3997">
            <v>0.53469940000000005</v>
          </cell>
          <cell r="M3997">
            <v>0.57832360000000005</v>
          </cell>
          <cell r="N3997">
            <v>0</v>
          </cell>
          <cell r="O3997">
            <v>2.0892000000000001E-2</v>
          </cell>
          <cell r="P3997">
            <v>1.1513323</v>
          </cell>
          <cell r="Q3997">
            <v>1.5478597000000001</v>
          </cell>
          <cell r="R3997">
            <v>0</v>
          </cell>
          <cell r="S3997">
            <v>0</v>
          </cell>
          <cell r="T3997">
            <v>0</v>
          </cell>
          <cell r="U3997">
            <v>17.248369</v>
          </cell>
          <cell r="V3997">
            <v>0</v>
          </cell>
          <cell r="W3997">
            <v>0</v>
          </cell>
          <cell r="X3997">
            <v>0.31444220000000001</v>
          </cell>
          <cell r="Y3997">
            <v>0</v>
          </cell>
          <cell r="Z3997">
            <v>0</v>
          </cell>
          <cell r="AA3997">
            <v>0</v>
          </cell>
          <cell r="AB3997">
            <v>1.4785700000000001E-2</v>
          </cell>
        </row>
        <row r="3998">
          <cell r="A3998">
            <v>58160520</v>
          </cell>
          <cell r="B3998" t="str">
            <v>Rice, white, with tomatoes and/or tomato-based sauce, NS as to fat added in cooking</v>
          </cell>
          <cell r="I3998">
            <v>160</v>
          </cell>
          <cell r="J3998">
            <v>169.82299</v>
          </cell>
          <cell r="K3998">
            <v>1.0613936875000001</v>
          </cell>
          <cell r="L3998">
            <v>0.6486459</v>
          </cell>
          <cell r="M3998">
            <v>0.50604389999999999</v>
          </cell>
          <cell r="N3998">
            <v>0</v>
          </cell>
          <cell r="O3998">
            <v>2.7881199999999998E-2</v>
          </cell>
          <cell r="P3998">
            <v>0.76460950000000005</v>
          </cell>
          <cell r="Q3998">
            <v>1.3614416</v>
          </cell>
          <cell r="R3998">
            <v>0</v>
          </cell>
          <cell r="S3998">
            <v>0</v>
          </cell>
          <cell r="T3998">
            <v>0</v>
          </cell>
          <cell r="U3998">
            <v>34.139257000000001</v>
          </cell>
          <cell r="V3998">
            <v>0</v>
          </cell>
          <cell r="W3998">
            <v>0</v>
          </cell>
          <cell r="X3998">
            <v>0.31667329999999999</v>
          </cell>
          <cell r="Y3998">
            <v>0</v>
          </cell>
          <cell r="Z3998">
            <v>0</v>
          </cell>
          <cell r="AA3998">
            <v>0</v>
          </cell>
          <cell r="AB3998">
            <v>1.0577100000000001E-2</v>
          </cell>
        </row>
        <row r="3999">
          <cell r="A3999">
            <v>58160530</v>
          </cell>
          <cell r="B3999" t="str">
            <v>Rice, white, with tomatoes and/or tomato-based sauce, fat not added in cooking</v>
          </cell>
          <cell r="I3999">
            <v>160</v>
          </cell>
          <cell r="J3999">
            <v>146.11443</v>
          </cell>
          <cell r="K3999">
            <v>0.91321518749999997</v>
          </cell>
          <cell r="L3999">
            <v>0.66097689999999998</v>
          </cell>
          <cell r="M3999">
            <v>9.9669499999999994E-2</v>
          </cell>
          <cell r="N3999">
            <v>0</v>
          </cell>
          <cell r="O3999">
            <v>2.8403600000000001E-2</v>
          </cell>
          <cell r="P3999">
            <v>0.77914499999999998</v>
          </cell>
          <cell r="Q3999">
            <v>0.13447010000000001</v>
          </cell>
          <cell r="R3999">
            <v>0</v>
          </cell>
          <cell r="S3999">
            <v>0</v>
          </cell>
          <cell r="T3999">
            <v>0</v>
          </cell>
          <cell r="U3999">
            <v>34.788257000000002</v>
          </cell>
          <cell r="V3999">
            <v>0</v>
          </cell>
          <cell r="W3999">
            <v>0</v>
          </cell>
          <cell r="X3999">
            <v>0.32267810000000002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</row>
        <row r="4000">
          <cell r="A4000">
            <v>58160540</v>
          </cell>
          <cell r="B4000" t="str">
            <v>Rice, white, with tomatoes and/or tomato-based sauce, fat added in cooking</v>
          </cell>
          <cell r="I4000">
            <v>160</v>
          </cell>
          <cell r="J4000">
            <v>169.82299</v>
          </cell>
          <cell r="K4000">
            <v>1.0613936875000001</v>
          </cell>
          <cell r="L4000">
            <v>0.6486459</v>
          </cell>
          <cell r="M4000">
            <v>0.50604389999999999</v>
          </cell>
          <cell r="N4000">
            <v>0</v>
          </cell>
          <cell r="O4000">
            <v>2.7881199999999998E-2</v>
          </cell>
          <cell r="P4000">
            <v>0.76460950000000005</v>
          </cell>
          <cell r="Q4000">
            <v>1.3614416</v>
          </cell>
          <cell r="R4000">
            <v>0</v>
          </cell>
          <cell r="S4000">
            <v>0</v>
          </cell>
          <cell r="T4000">
            <v>0</v>
          </cell>
          <cell r="U4000">
            <v>34.139257000000001</v>
          </cell>
          <cell r="V4000">
            <v>0</v>
          </cell>
          <cell r="W4000">
            <v>0</v>
          </cell>
          <cell r="X4000">
            <v>0.31667329999999999</v>
          </cell>
          <cell r="Y4000">
            <v>0</v>
          </cell>
          <cell r="Z4000">
            <v>0</v>
          </cell>
          <cell r="AA4000">
            <v>0</v>
          </cell>
          <cell r="AB4000">
            <v>1.0577100000000001E-2</v>
          </cell>
        </row>
        <row r="4001">
          <cell r="A4001">
            <v>58160550</v>
          </cell>
          <cell r="B4001" t="str">
            <v>Rice, white, with dark green vegetables, NS as to fat added in cooking</v>
          </cell>
          <cell r="I4001">
            <v>160</v>
          </cell>
          <cell r="J4001">
            <v>195.82172</v>
          </cell>
          <cell r="K4001">
            <v>1.22388575</v>
          </cell>
          <cell r="L4001">
            <v>1.2742834000000001</v>
          </cell>
          <cell r="M4001">
            <v>0.58186159999999998</v>
          </cell>
          <cell r="N4001">
            <v>0</v>
          </cell>
          <cell r="O4001">
            <v>2.73598E-2</v>
          </cell>
          <cell r="P4001">
            <v>0.469082</v>
          </cell>
          <cell r="Q4001">
            <v>1.5433410000000001</v>
          </cell>
          <cell r="R4001">
            <v>0</v>
          </cell>
          <cell r="S4001">
            <v>0</v>
          </cell>
          <cell r="T4001">
            <v>0</v>
          </cell>
          <cell r="U4001">
            <v>38.614649999999997</v>
          </cell>
          <cell r="V4001">
            <v>0</v>
          </cell>
          <cell r="W4001">
            <v>0</v>
          </cell>
          <cell r="X4001">
            <v>0.30526589999999998</v>
          </cell>
          <cell r="Y4001">
            <v>0</v>
          </cell>
          <cell r="Z4001">
            <v>0</v>
          </cell>
          <cell r="AA4001">
            <v>0</v>
          </cell>
          <cell r="AB4001">
            <v>1.19457E-2</v>
          </cell>
        </row>
        <row r="4002">
          <cell r="A4002">
            <v>58160560</v>
          </cell>
          <cell r="B4002" t="str">
            <v>Rice, white, with dark green vegetables, fat not added in cooking</v>
          </cell>
          <cell r="I4002">
            <v>160</v>
          </cell>
          <cell r="J4002">
            <v>169.53890000000001</v>
          </cell>
          <cell r="K4002">
            <v>1.0596181250000001</v>
          </cell>
          <cell r="L4002">
            <v>1.3017101</v>
          </cell>
          <cell r="M4002">
            <v>0.1234039</v>
          </cell>
          <cell r="N4002">
            <v>0</v>
          </cell>
          <cell r="O4002">
            <v>2.7940099999999999E-2</v>
          </cell>
          <cell r="P4002">
            <v>0.4791781</v>
          </cell>
          <cell r="Q4002">
            <v>0.15810160000000001</v>
          </cell>
          <cell r="R4002">
            <v>0</v>
          </cell>
          <cell r="S4002">
            <v>0</v>
          </cell>
          <cell r="T4002">
            <v>0</v>
          </cell>
          <cell r="U4002">
            <v>39.445760999999997</v>
          </cell>
          <cell r="V4002">
            <v>0</v>
          </cell>
          <cell r="W4002">
            <v>0</v>
          </cell>
          <cell r="X4002">
            <v>0.31181900000000001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</row>
        <row r="4003">
          <cell r="A4003">
            <v>58160570</v>
          </cell>
          <cell r="B4003" t="str">
            <v>Rice, white, with dark green vegetables, fat added in cooking</v>
          </cell>
          <cell r="I4003">
            <v>160</v>
          </cell>
          <cell r="J4003">
            <v>195.82172</v>
          </cell>
          <cell r="K4003">
            <v>1.22388575</v>
          </cell>
          <cell r="L4003">
            <v>1.2742834000000001</v>
          </cell>
          <cell r="M4003">
            <v>0.58186159999999998</v>
          </cell>
          <cell r="N4003">
            <v>0</v>
          </cell>
          <cell r="O4003">
            <v>2.73598E-2</v>
          </cell>
          <cell r="P4003">
            <v>0.469082</v>
          </cell>
          <cell r="Q4003">
            <v>1.5433410000000001</v>
          </cell>
          <cell r="R4003">
            <v>0</v>
          </cell>
          <cell r="S4003">
            <v>0</v>
          </cell>
          <cell r="T4003">
            <v>0</v>
          </cell>
          <cell r="U4003">
            <v>38.614649999999997</v>
          </cell>
          <cell r="V4003">
            <v>0</v>
          </cell>
          <cell r="W4003">
            <v>0</v>
          </cell>
          <cell r="X4003">
            <v>0.30526589999999998</v>
          </cell>
          <cell r="Y4003">
            <v>0</v>
          </cell>
          <cell r="Z4003">
            <v>0</v>
          </cell>
          <cell r="AA4003">
            <v>0</v>
          </cell>
          <cell r="AB4003">
            <v>1.19457E-2</v>
          </cell>
        </row>
        <row r="4004">
          <cell r="A4004">
            <v>58160580</v>
          </cell>
          <cell r="B4004" t="str">
            <v>Rice, white, with carrots and tomatoes and/or tomato-based sauce, NS as to fat added in cooking</v>
          </cell>
          <cell r="I4004">
            <v>160</v>
          </cell>
          <cell r="J4004">
            <v>181.97207</v>
          </cell>
          <cell r="K4004">
            <v>1.1373254374999999</v>
          </cell>
          <cell r="L4004">
            <v>0.88795760000000001</v>
          </cell>
          <cell r="M4004">
            <v>0.53259579999999995</v>
          </cell>
          <cell r="N4004">
            <v>0</v>
          </cell>
          <cell r="O4004">
            <v>2.58333E-2</v>
          </cell>
          <cell r="P4004">
            <v>0.62616019999999994</v>
          </cell>
          <cell r="Q4004">
            <v>1.4317310000000001</v>
          </cell>
          <cell r="R4004">
            <v>0</v>
          </cell>
          <cell r="S4004">
            <v>0</v>
          </cell>
          <cell r="T4004">
            <v>0</v>
          </cell>
          <cell r="U4004">
            <v>36.255367999999997</v>
          </cell>
          <cell r="V4004">
            <v>0</v>
          </cell>
          <cell r="W4004">
            <v>0</v>
          </cell>
          <cell r="X4004">
            <v>0.31436839999999999</v>
          </cell>
          <cell r="Y4004">
            <v>0</v>
          </cell>
          <cell r="Z4004">
            <v>0</v>
          </cell>
          <cell r="AA4004">
            <v>0</v>
          </cell>
          <cell r="AB4004">
            <v>1.12158E-2</v>
          </cell>
        </row>
        <row r="4005">
          <cell r="A4005">
            <v>58160610</v>
          </cell>
          <cell r="B4005" t="str">
            <v>Rice, white, with dark green vegetables and tomatoes and/or tomato-based sauce, NS as to fat added in cooking</v>
          </cell>
          <cell r="I4005">
            <v>160</v>
          </cell>
          <cell r="J4005">
            <v>181.97207</v>
          </cell>
          <cell r="K4005">
            <v>1.1373254374999999</v>
          </cell>
          <cell r="L4005">
            <v>0.94225910000000002</v>
          </cell>
          <cell r="M4005">
            <v>0.54146499999999997</v>
          </cell>
          <cell r="N4005">
            <v>0</v>
          </cell>
          <cell r="O4005">
            <v>2.7643299999999999E-2</v>
          </cell>
          <cell r="P4005">
            <v>0.62616019999999994</v>
          </cell>
          <cell r="Q4005">
            <v>1.4463923999999999</v>
          </cell>
          <cell r="R4005">
            <v>0</v>
          </cell>
          <cell r="S4005">
            <v>0</v>
          </cell>
          <cell r="T4005">
            <v>0</v>
          </cell>
          <cell r="U4005">
            <v>36.255367999999997</v>
          </cell>
          <cell r="V4005">
            <v>0</v>
          </cell>
          <cell r="W4005">
            <v>0</v>
          </cell>
          <cell r="X4005">
            <v>0.3112914</v>
          </cell>
          <cell r="Y4005">
            <v>0</v>
          </cell>
          <cell r="Z4005">
            <v>0</v>
          </cell>
          <cell r="AA4005">
            <v>0</v>
          </cell>
          <cell r="AB4005">
            <v>1.12158E-2</v>
          </cell>
        </row>
        <row r="4006">
          <cell r="A4006">
            <v>58160630</v>
          </cell>
          <cell r="B4006" t="str">
            <v>Rice, white, with dark green vegetables and tomatoes and/or tomato-based sauce, fat added in cooking</v>
          </cell>
          <cell r="I4006">
            <v>160</v>
          </cell>
          <cell r="J4006">
            <v>181.97207</v>
          </cell>
          <cell r="K4006">
            <v>1.1373254374999999</v>
          </cell>
          <cell r="L4006">
            <v>0.94225910000000002</v>
          </cell>
          <cell r="M4006">
            <v>0.54146499999999997</v>
          </cell>
          <cell r="N4006">
            <v>0</v>
          </cell>
          <cell r="O4006">
            <v>2.7643299999999999E-2</v>
          </cell>
          <cell r="P4006">
            <v>0.62616019999999994</v>
          </cell>
          <cell r="Q4006">
            <v>1.4463923999999999</v>
          </cell>
          <cell r="R4006">
            <v>0</v>
          </cell>
          <cell r="S4006">
            <v>0</v>
          </cell>
          <cell r="T4006">
            <v>0</v>
          </cell>
          <cell r="U4006">
            <v>36.255367999999997</v>
          </cell>
          <cell r="V4006">
            <v>0</v>
          </cell>
          <cell r="W4006">
            <v>0</v>
          </cell>
          <cell r="X4006">
            <v>0.3112914</v>
          </cell>
          <cell r="Y4006">
            <v>0</v>
          </cell>
          <cell r="Z4006">
            <v>0</v>
          </cell>
          <cell r="AA4006">
            <v>0</v>
          </cell>
          <cell r="AB4006">
            <v>1.12158E-2</v>
          </cell>
        </row>
        <row r="4007">
          <cell r="A4007">
            <v>58160640</v>
          </cell>
          <cell r="B4007" t="str">
            <v>Rice, white, with carrots and dark green vegetables, NS as to fat added in cooking</v>
          </cell>
          <cell r="I4007">
            <v>160</v>
          </cell>
          <cell r="J4007">
            <v>195.87233000000001</v>
          </cell>
          <cell r="K4007">
            <v>1.2242020625000001</v>
          </cell>
          <cell r="L4007">
            <v>1.2149774</v>
          </cell>
          <cell r="M4007">
            <v>0.57257670000000005</v>
          </cell>
          <cell r="N4007">
            <v>0</v>
          </cell>
          <cell r="O4007">
            <v>2.5418E-2</v>
          </cell>
          <cell r="P4007">
            <v>0.4692518</v>
          </cell>
          <cell r="Q4007">
            <v>1.5281800999999999</v>
          </cell>
          <cell r="R4007">
            <v>0</v>
          </cell>
          <cell r="S4007">
            <v>0</v>
          </cell>
          <cell r="T4007">
            <v>0</v>
          </cell>
          <cell r="U4007">
            <v>38.570712999999998</v>
          </cell>
          <cell r="V4007">
            <v>0</v>
          </cell>
          <cell r="W4007">
            <v>0</v>
          </cell>
          <cell r="X4007">
            <v>0.30863109999999999</v>
          </cell>
          <cell r="Y4007">
            <v>0</v>
          </cell>
          <cell r="Z4007">
            <v>0</v>
          </cell>
          <cell r="AA4007">
            <v>0</v>
          </cell>
          <cell r="AB4007">
            <v>1.1950000000000001E-2</v>
          </cell>
        </row>
        <row r="4008">
          <cell r="A4008">
            <v>58160650</v>
          </cell>
          <cell r="B4008" t="str">
            <v>Rice, white, with carrots and dark green vegetables, fat not added in cooking</v>
          </cell>
          <cell r="I4008">
            <v>160</v>
          </cell>
          <cell r="J4008">
            <v>169.58089000000001</v>
          </cell>
          <cell r="K4008">
            <v>1.0598805625000001</v>
          </cell>
          <cell r="L4008">
            <v>1.2411373000000001</v>
          </cell>
          <cell r="M4008">
            <v>0.1137495</v>
          </cell>
          <cell r="N4008">
            <v>0</v>
          </cell>
          <cell r="O4008">
            <v>2.5956699999999999E-2</v>
          </cell>
          <cell r="P4008">
            <v>0.47935529999999998</v>
          </cell>
          <cell r="Q4008">
            <v>0.14210200000000001</v>
          </cell>
          <cell r="R4008">
            <v>0</v>
          </cell>
          <cell r="S4008">
            <v>0</v>
          </cell>
          <cell r="T4008">
            <v>0</v>
          </cell>
          <cell r="U4008">
            <v>39.401184999999998</v>
          </cell>
          <cell r="V4008">
            <v>0</v>
          </cell>
          <cell r="W4008">
            <v>0</v>
          </cell>
          <cell r="X4008">
            <v>0.31525910000000001</v>
          </cell>
          <cell r="Y4008">
            <v>0</v>
          </cell>
          <cell r="Z4008">
            <v>0</v>
          </cell>
          <cell r="AA4008">
            <v>0</v>
          </cell>
          <cell r="AB4008">
            <v>0</v>
          </cell>
        </row>
        <row r="4009">
          <cell r="A4009">
            <v>58160670</v>
          </cell>
          <cell r="B4009" t="str">
            <v>Rice, white, with carrots, dark green vegetables, and tomatoes and/or tomato-based sauce, NS as to fat added in cooking</v>
          </cell>
          <cell r="I4009">
            <v>160</v>
          </cell>
          <cell r="J4009">
            <v>186.46897000000001</v>
          </cell>
          <cell r="K4009">
            <v>1.1654310625000002</v>
          </cell>
          <cell r="L4009">
            <v>1.0105416</v>
          </cell>
          <cell r="M4009">
            <v>0.54855949999999998</v>
          </cell>
          <cell r="N4009">
            <v>0</v>
          </cell>
          <cell r="O4009">
            <v>2.6307199999999999E-2</v>
          </cell>
          <cell r="P4009">
            <v>0.57587080000000002</v>
          </cell>
          <cell r="Q4009">
            <v>1.4679903999999999</v>
          </cell>
          <cell r="R4009">
            <v>0</v>
          </cell>
          <cell r="S4009">
            <v>0</v>
          </cell>
          <cell r="T4009">
            <v>0</v>
          </cell>
          <cell r="U4009">
            <v>36.971034000000003</v>
          </cell>
          <cell r="V4009">
            <v>0</v>
          </cell>
          <cell r="W4009">
            <v>0</v>
          </cell>
          <cell r="X4009">
            <v>0.31153419999999998</v>
          </cell>
          <cell r="Y4009">
            <v>0</v>
          </cell>
          <cell r="Z4009">
            <v>0</v>
          </cell>
          <cell r="AA4009">
            <v>0</v>
          </cell>
          <cell r="AB4009">
            <v>1.14544E-2</v>
          </cell>
        </row>
        <row r="4010">
          <cell r="A4010">
            <v>58160700</v>
          </cell>
          <cell r="B4010" t="str">
            <v>Rice, white, with other vegetables, NS as to fat added in cooking</v>
          </cell>
          <cell r="I4010">
            <v>160</v>
          </cell>
          <cell r="J4010">
            <v>196.42839000000001</v>
          </cell>
          <cell r="K4010">
            <v>1.2276774375000001</v>
          </cell>
          <cell r="L4010">
            <v>0.70538040000000002</v>
          </cell>
          <cell r="M4010">
            <v>0.56589020000000001</v>
          </cell>
          <cell r="N4010">
            <v>0</v>
          </cell>
          <cell r="O4010">
            <v>2.1234699999999999E-2</v>
          </cell>
          <cell r="P4010">
            <v>0.46852769999999999</v>
          </cell>
          <cell r="Q4010">
            <v>1.5153426999999999</v>
          </cell>
          <cell r="R4010">
            <v>0</v>
          </cell>
          <cell r="S4010">
            <v>0</v>
          </cell>
          <cell r="T4010">
            <v>0</v>
          </cell>
          <cell r="U4010">
            <v>38.758068000000002</v>
          </cell>
          <cell r="V4010">
            <v>0</v>
          </cell>
          <cell r="W4010">
            <v>0</v>
          </cell>
          <cell r="X4010">
            <v>0.289937</v>
          </cell>
          <cell r="Y4010">
            <v>0</v>
          </cell>
          <cell r="Z4010">
            <v>0</v>
          </cell>
          <cell r="AA4010">
            <v>0</v>
          </cell>
          <cell r="AB4010">
            <v>1.1931600000000001E-2</v>
          </cell>
        </row>
        <row r="4011">
          <cell r="A4011">
            <v>58160710</v>
          </cell>
          <cell r="B4011" t="str">
            <v>Rice, white, with other vegetables, fat not added in cooking</v>
          </cell>
          <cell r="I4011">
            <v>160</v>
          </cell>
          <cell r="J4011">
            <v>170.19033999999999</v>
          </cell>
          <cell r="K4011">
            <v>1.0636896249999999</v>
          </cell>
          <cell r="L4011">
            <v>0.72054410000000002</v>
          </cell>
          <cell r="M4011">
            <v>0.1076425</v>
          </cell>
          <cell r="N4011">
            <v>0</v>
          </cell>
          <cell r="O4011">
            <v>2.16826E-2</v>
          </cell>
          <cell r="P4011">
            <v>0.47859980000000002</v>
          </cell>
          <cell r="Q4011">
            <v>0.13117329999999999</v>
          </cell>
          <cell r="R4011">
            <v>0</v>
          </cell>
          <cell r="S4011">
            <v>0</v>
          </cell>
          <cell r="T4011">
            <v>0</v>
          </cell>
          <cell r="U4011">
            <v>39.591259000000001</v>
          </cell>
          <cell r="V4011">
            <v>0</v>
          </cell>
          <cell r="W4011">
            <v>0</v>
          </cell>
          <cell r="X4011">
            <v>0.29615269999999999</v>
          </cell>
          <cell r="Y4011">
            <v>0</v>
          </cell>
          <cell r="Z4011">
            <v>0</v>
          </cell>
          <cell r="AA4011">
            <v>0</v>
          </cell>
          <cell r="AB4011">
            <v>0</v>
          </cell>
        </row>
        <row r="4012">
          <cell r="A4012">
            <v>58160720</v>
          </cell>
          <cell r="B4012" t="str">
            <v>Rice, white, with other vegetables, fat added in cooking</v>
          </cell>
          <cell r="I4012">
            <v>160</v>
          </cell>
          <cell r="J4012">
            <v>196.42839000000001</v>
          </cell>
          <cell r="K4012">
            <v>1.2276774375000001</v>
          </cell>
          <cell r="L4012">
            <v>0.70538040000000002</v>
          </cell>
          <cell r="M4012">
            <v>0.56589020000000001</v>
          </cell>
          <cell r="N4012">
            <v>0</v>
          </cell>
          <cell r="O4012">
            <v>2.1234699999999999E-2</v>
          </cell>
          <cell r="P4012">
            <v>0.46852769999999999</v>
          </cell>
          <cell r="Q4012">
            <v>1.5153426999999999</v>
          </cell>
          <cell r="R4012">
            <v>0</v>
          </cell>
          <cell r="S4012">
            <v>0</v>
          </cell>
          <cell r="T4012">
            <v>0</v>
          </cell>
          <cell r="U4012">
            <v>38.758068000000002</v>
          </cell>
          <cell r="V4012">
            <v>0</v>
          </cell>
          <cell r="W4012">
            <v>0</v>
          </cell>
          <cell r="X4012">
            <v>0.289937</v>
          </cell>
          <cell r="Y4012">
            <v>0</v>
          </cell>
          <cell r="Z4012">
            <v>0</v>
          </cell>
          <cell r="AA4012">
            <v>0</v>
          </cell>
          <cell r="AB4012">
            <v>1.1931600000000001E-2</v>
          </cell>
        </row>
        <row r="4013">
          <cell r="A4013">
            <v>58160800</v>
          </cell>
          <cell r="B4013" t="str">
            <v>Rice, white, with lentils, NS as to fat added in cooking</v>
          </cell>
          <cell r="I4013">
            <v>160</v>
          </cell>
          <cell r="J4013">
            <v>238.15067999999999</v>
          </cell>
          <cell r="K4013">
            <v>1.48844175</v>
          </cell>
          <cell r="L4013">
            <v>6.2574322999999996</v>
          </cell>
          <cell r="M4013">
            <v>1.0589321</v>
          </cell>
          <cell r="N4013">
            <v>0</v>
          </cell>
          <cell r="O4013">
            <v>2.7454200000000002E-2</v>
          </cell>
          <cell r="P4013">
            <v>0.30300129999999997</v>
          </cell>
          <cell r="Q4013">
            <v>3.0937777999999998</v>
          </cell>
          <cell r="R4013">
            <v>0</v>
          </cell>
          <cell r="S4013">
            <v>76.422178000000002</v>
          </cell>
          <cell r="T4013">
            <v>0</v>
          </cell>
          <cell r="U4013">
            <v>14.273754</v>
          </cell>
          <cell r="V4013">
            <v>0</v>
          </cell>
          <cell r="W4013">
            <v>0</v>
          </cell>
          <cell r="X4013">
            <v>0.30272909999999997</v>
          </cell>
          <cell r="Y4013">
            <v>0</v>
          </cell>
          <cell r="Z4013">
            <v>0</v>
          </cell>
          <cell r="AA4013">
            <v>0</v>
          </cell>
          <cell r="AB4013">
            <v>2.4908599999999999E-2</v>
          </cell>
        </row>
        <row r="4014">
          <cell r="A4014">
            <v>58160805</v>
          </cell>
          <cell r="B4014" t="str">
            <v>Rice, white, with lentils, fat added in cooking</v>
          </cell>
          <cell r="I4014">
            <v>160</v>
          </cell>
          <cell r="J4014">
            <v>238.15067999999999</v>
          </cell>
          <cell r="K4014">
            <v>1.48844175</v>
          </cell>
          <cell r="L4014">
            <v>6.2574322999999996</v>
          </cell>
          <cell r="M4014">
            <v>1.0589321</v>
          </cell>
          <cell r="N4014">
            <v>0</v>
          </cell>
          <cell r="O4014">
            <v>2.7454200000000002E-2</v>
          </cell>
          <cell r="P4014">
            <v>0.30300129999999997</v>
          </cell>
          <cell r="Q4014">
            <v>3.0937777999999998</v>
          </cell>
          <cell r="R4014">
            <v>0</v>
          </cell>
          <cell r="S4014">
            <v>76.422178000000002</v>
          </cell>
          <cell r="T4014">
            <v>0</v>
          </cell>
          <cell r="U4014">
            <v>14.273754</v>
          </cell>
          <cell r="V4014">
            <v>0</v>
          </cell>
          <cell r="W4014">
            <v>0</v>
          </cell>
          <cell r="X4014">
            <v>0.30272909999999997</v>
          </cell>
          <cell r="Y4014">
            <v>0</v>
          </cell>
          <cell r="Z4014">
            <v>0</v>
          </cell>
          <cell r="AA4014">
            <v>0</v>
          </cell>
          <cell r="AB4014">
            <v>2.4908599999999999E-2</v>
          </cell>
        </row>
        <row r="4015">
          <cell r="A4015">
            <v>58160810</v>
          </cell>
          <cell r="B4015" t="str">
            <v>Rice, white, with lentils, fat not added in cooking</v>
          </cell>
          <cell r="I4015">
            <v>160</v>
          </cell>
          <cell r="J4015">
            <v>183.98151999999999</v>
          </cell>
          <cell r="K4015">
            <v>1.1498845</v>
          </cell>
          <cell r="L4015">
            <v>6.5449766</v>
          </cell>
          <cell r="M4015">
            <v>0.1020394</v>
          </cell>
          <cell r="N4015">
            <v>0</v>
          </cell>
          <cell r="O4015">
            <v>2.8697400000000001E-2</v>
          </cell>
          <cell r="P4015">
            <v>0.31692490000000001</v>
          </cell>
          <cell r="Q4015">
            <v>0.20751359999999999</v>
          </cell>
          <cell r="R4015">
            <v>0</v>
          </cell>
          <cell r="S4015">
            <v>79.933963000000006</v>
          </cell>
          <cell r="T4015">
            <v>0</v>
          </cell>
          <cell r="U4015">
            <v>14.929667</v>
          </cell>
          <cell r="V4015">
            <v>0</v>
          </cell>
          <cell r="W4015">
            <v>0</v>
          </cell>
          <cell r="X4015">
            <v>0.31660349999999998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</row>
        <row r="4016">
          <cell r="A4016">
            <v>58161200</v>
          </cell>
          <cell r="B4016" t="str">
            <v>Rice, cooked with coconut milk</v>
          </cell>
          <cell r="I4016">
            <v>200</v>
          </cell>
          <cell r="J4016">
            <v>534.06741999999997</v>
          </cell>
          <cell r="K4016">
            <v>2.6703370999999998</v>
          </cell>
          <cell r="L4016">
            <v>-8.8800000000000003E-16</v>
          </cell>
          <cell r="M4016">
            <v>30.339670000000002</v>
          </cell>
          <cell r="N4016">
            <v>0</v>
          </cell>
          <cell r="O4016">
            <v>3.8303400000000001E-2</v>
          </cell>
          <cell r="P4016">
            <v>3.8522536000000001</v>
          </cell>
          <cell r="Q4016">
            <v>0.46936749999999999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0.3650429</v>
          </cell>
          <cell r="Y4016">
            <v>0</v>
          </cell>
          <cell r="Z4016">
            <v>0</v>
          </cell>
          <cell r="AA4016">
            <v>0</v>
          </cell>
          <cell r="AB4016">
            <v>0.65837409999999996</v>
          </cell>
        </row>
        <row r="4017">
          <cell r="A4017">
            <v>58161320</v>
          </cell>
          <cell r="B4017" t="str">
            <v>Rice, brown, with beans</v>
          </cell>
          <cell r="I4017">
            <v>239</v>
          </cell>
          <cell r="J4017">
            <v>360.95314999999999</v>
          </cell>
          <cell r="K4017">
            <v>1.5102642259414225</v>
          </cell>
          <cell r="L4017">
            <v>10.381907999999999</v>
          </cell>
          <cell r="M4017">
            <v>1.7381313</v>
          </cell>
          <cell r="N4017">
            <v>0</v>
          </cell>
          <cell r="O4017">
            <v>6.8357699999999993E-2</v>
          </cell>
          <cell r="P4017">
            <v>8.2529400000000003E-2</v>
          </cell>
          <cell r="Q4017">
            <v>4.6533992</v>
          </cell>
          <cell r="R4017">
            <v>36.843795999999998</v>
          </cell>
          <cell r="S4017">
            <v>100.80951</v>
          </cell>
          <cell r="T4017">
            <v>0</v>
          </cell>
          <cell r="U4017">
            <v>20.151796000000001</v>
          </cell>
          <cell r="V4017">
            <v>0</v>
          </cell>
          <cell r="W4017">
            <v>0</v>
          </cell>
          <cell r="X4017">
            <v>0.43166169999999998</v>
          </cell>
          <cell r="Y4017">
            <v>0</v>
          </cell>
          <cell r="Z4017">
            <v>0</v>
          </cell>
          <cell r="AA4017">
            <v>0</v>
          </cell>
          <cell r="AB4017">
            <v>3.5166099999999999E-2</v>
          </cell>
        </row>
        <row r="4018">
          <cell r="A4018">
            <v>58161325</v>
          </cell>
          <cell r="B4018" t="str">
            <v>Rice, brown, with beans and tomatoes</v>
          </cell>
          <cell r="I4018">
            <v>239</v>
          </cell>
          <cell r="J4018">
            <v>291.49059999999997</v>
          </cell>
          <cell r="K4018">
            <v>1.2196259414225941</v>
          </cell>
          <cell r="L4018">
            <v>8.7825786000000008</v>
          </cell>
          <cell r="M4018">
            <v>1.3814972000000001</v>
          </cell>
          <cell r="N4018">
            <v>0</v>
          </cell>
          <cell r="O4018">
            <v>7.06204E-2</v>
          </cell>
          <cell r="P4018">
            <v>0.4068657</v>
          </cell>
          <cell r="Q4018">
            <v>3.7037341000000001</v>
          </cell>
          <cell r="R4018">
            <v>28.913336000000001</v>
          </cell>
          <cell r="S4018">
            <v>79.110718000000006</v>
          </cell>
          <cell r="T4018">
            <v>0</v>
          </cell>
          <cell r="U4018">
            <v>49.252597999999999</v>
          </cell>
          <cell r="V4018">
            <v>0</v>
          </cell>
          <cell r="W4018">
            <v>0</v>
          </cell>
          <cell r="X4018">
            <v>0.3979087</v>
          </cell>
          <cell r="Y4018">
            <v>0</v>
          </cell>
          <cell r="Z4018">
            <v>0</v>
          </cell>
          <cell r="AA4018">
            <v>0</v>
          </cell>
          <cell r="AB4018">
            <v>2.7596800000000001E-2</v>
          </cell>
        </row>
        <row r="4019">
          <cell r="A4019">
            <v>58161420</v>
          </cell>
          <cell r="B4019" t="str">
            <v>Rice, brown, with corn, NS as to fat added in cooking</v>
          </cell>
          <cell r="I4019">
            <v>161</v>
          </cell>
          <cell r="J4019">
            <v>209.79334</v>
          </cell>
          <cell r="K4019">
            <v>1.3030642236024845</v>
          </cell>
          <cell r="L4019">
            <v>1.9682999999999999</v>
          </cell>
          <cell r="M4019">
            <v>0.77966829999999998</v>
          </cell>
          <cell r="N4019">
            <v>0</v>
          </cell>
          <cell r="O4019">
            <v>4.8839E-3</v>
          </cell>
          <cell r="P4019">
            <v>0.82760959999999995</v>
          </cell>
          <cell r="Q4019">
            <v>1.8384327</v>
          </cell>
          <cell r="R4019">
            <v>42.548495000000003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0.25027969999999999</v>
          </cell>
          <cell r="Y4019">
            <v>0</v>
          </cell>
          <cell r="Z4019">
            <v>0</v>
          </cell>
          <cell r="AA4019">
            <v>0</v>
          </cell>
          <cell r="AB4019">
            <v>1.0153499999999999E-2</v>
          </cell>
        </row>
        <row r="4020">
          <cell r="A4020">
            <v>58161430</v>
          </cell>
          <cell r="B4020" t="str">
            <v>Rice, brown, with peas, NS as to fat added in cooking</v>
          </cell>
          <cell r="I4020">
            <v>160</v>
          </cell>
          <cell r="J4020">
            <v>204.74537000000001</v>
          </cell>
          <cell r="K4020">
            <v>1.2796585625000001</v>
          </cell>
          <cell r="L4020">
            <v>1.9663451999999999</v>
          </cell>
          <cell r="M4020">
            <v>0.72413609999999995</v>
          </cell>
          <cell r="N4020">
            <v>0</v>
          </cell>
          <cell r="O4020">
            <v>1.29201E-2</v>
          </cell>
          <cell r="P4020">
            <v>1.8485157999999999</v>
          </cell>
          <cell r="Q4020">
            <v>1.6631581</v>
          </cell>
          <cell r="R4020">
            <v>42.506239000000001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0.250695</v>
          </cell>
          <cell r="Y4020">
            <v>0</v>
          </cell>
          <cell r="Z4020">
            <v>0</v>
          </cell>
          <cell r="AA4020">
            <v>0</v>
          </cell>
          <cell r="AB4020">
            <v>1.03217E-2</v>
          </cell>
        </row>
        <row r="4021">
          <cell r="A4021">
            <v>58161434</v>
          </cell>
          <cell r="B4021" t="str">
            <v>Rice, brown, with peas, fat added in cooking</v>
          </cell>
          <cell r="I4021">
            <v>160</v>
          </cell>
          <cell r="J4021">
            <v>204.74537000000001</v>
          </cell>
          <cell r="K4021">
            <v>1.2796585625000001</v>
          </cell>
          <cell r="L4021">
            <v>1.9663451999999999</v>
          </cell>
          <cell r="M4021">
            <v>0.72413609999999995</v>
          </cell>
          <cell r="N4021">
            <v>0</v>
          </cell>
          <cell r="O4021">
            <v>1.29201E-2</v>
          </cell>
          <cell r="P4021">
            <v>1.8485157999999999</v>
          </cell>
          <cell r="Q4021">
            <v>1.6631581</v>
          </cell>
          <cell r="R4021">
            <v>42.506239000000001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0.250695</v>
          </cell>
          <cell r="Y4021">
            <v>0</v>
          </cell>
          <cell r="Z4021">
            <v>0</v>
          </cell>
          <cell r="AA4021">
            <v>0</v>
          </cell>
          <cell r="AB4021">
            <v>1.01434E-2</v>
          </cell>
        </row>
        <row r="4022">
          <cell r="A4022">
            <v>58161435</v>
          </cell>
          <cell r="B4022" t="str">
            <v>Rice, brown, with carrots, NS as to fat added in cooking</v>
          </cell>
          <cell r="I4022">
            <v>160</v>
          </cell>
          <cell r="J4022">
            <v>188.95866000000001</v>
          </cell>
          <cell r="K4022">
            <v>1.1809916250000001</v>
          </cell>
          <cell r="L4022">
            <v>2.9652167999999999</v>
          </cell>
          <cell r="M4022">
            <v>0.72458120000000004</v>
          </cell>
          <cell r="N4022">
            <v>0</v>
          </cell>
          <cell r="O4022">
            <v>1.3752800000000001E-2</v>
          </cell>
          <cell r="P4022">
            <v>0</v>
          </cell>
          <cell r="Q4022">
            <v>1.6666059</v>
          </cell>
          <cell r="R4022">
            <v>42.725358999999997</v>
          </cell>
          <cell r="S4022">
            <v>0</v>
          </cell>
          <cell r="T4022">
            <v>0</v>
          </cell>
          <cell r="U4022">
            <v>32.957833000000001</v>
          </cell>
          <cell r="V4022">
            <v>0</v>
          </cell>
          <cell r="W4022">
            <v>0</v>
          </cell>
          <cell r="X4022">
            <v>0.27008939999999998</v>
          </cell>
          <cell r="Y4022">
            <v>0</v>
          </cell>
          <cell r="Z4022">
            <v>0</v>
          </cell>
          <cell r="AA4022">
            <v>0</v>
          </cell>
          <cell r="AB4022">
            <v>1.01957E-2</v>
          </cell>
        </row>
        <row r="4023">
          <cell r="A4023">
            <v>58161440</v>
          </cell>
          <cell r="B4023" t="str">
            <v>Rice, brown, with peas and carrots, NS as to fat added in cooking</v>
          </cell>
          <cell r="I4023">
            <v>160</v>
          </cell>
          <cell r="J4023">
            <v>192.64233999999999</v>
          </cell>
          <cell r="K4023">
            <v>1.2040146249999999</v>
          </cell>
          <cell r="L4023">
            <v>2.4230565999999998</v>
          </cell>
          <cell r="M4023">
            <v>0.7368884</v>
          </cell>
          <cell r="N4023">
            <v>0</v>
          </cell>
          <cell r="O4023">
            <v>1.1576599999999999E-2</v>
          </cell>
          <cell r="P4023">
            <v>0.58524080000000001</v>
          </cell>
          <cell r="Q4023">
            <v>1.6963881000000001</v>
          </cell>
          <cell r="R4023">
            <v>42.504899999999999</v>
          </cell>
          <cell r="S4023">
            <v>0</v>
          </cell>
          <cell r="T4023">
            <v>0</v>
          </cell>
          <cell r="U4023">
            <v>14.734624</v>
          </cell>
          <cell r="V4023">
            <v>0</v>
          </cell>
          <cell r="W4023">
            <v>0</v>
          </cell>
          <cell r="X4023">
            <v>0.2725359</v>
          </cell>
          <cell r="Y4023">
            <v>0</v>
          </cell>
          <cell r="Z4023">
            <v>0</v>
          </cell>
          <cell r="AA4023">
            <v>0</v>
          </cell>
          <cell r="AB4023">
            <v>1.01431E-2</v>
          </cell>
        </row>
        <row r="4024">
          <cell r="A4024">
            <v>58161444</v>
          </cell>
          <cell r="B4024" t="str">
            <v>Rice, brown, with peas and carrots, fat added in cooking</v>
          </cell>
          <cell r="I4024">
            <v>160</v>
          </cell>
          <cell r="J4024">
            <v>192.64233999999999</v>
          </cell>
          <cell r="K4024">
            <v>1.2040146249999999</v>
          </cell>
          <cell r="L4024">
            <v>2.4230565999999998</v>
          </cell>
          <cell r="M4024">
            <v>0.7368884</v>
          </cell>
          <cell r="N4024">
            <v>0</v>
          </cell>
          <cell r="O4024">
            <v>1.1576599999999999E-2</v>
          </cell>
          <cell r="P4024">
            <v>0.58524080000000001</v>
          </cell>
          <cell r="Q4024">
            <v>1.6963881000000001</v>
          </cell>
          <cell r="R4024">
            <v>42.504899999999999</v>
          </cell>
          <cell r="S4024">
            <v>0</v>
          </cell>
          <cell r="T4024">
            <v>0</v>
          </cell>
          <cell r="U4024">
            <v>14.734624</v>
          </cell>
          <cell r="V4024">
            <v>0</v>
          </cell>
          <cell r="W4024">
            <v>0</v>
          </cell>
          <cell r="X4024">
            <v>0.2725359</v>
          </cell>
          <cell r="Y4024">
            <v>0</v>
          </cell>
          <cell r="Z4024">
            <v>0</v>
          </cell>
          <cell r="AA4024">
            <v>0</v>
          </cell>
          <cell r="AB4024">
            <v>1.01431E-2</v>
          </cell>
        </row>
        <row r="4025">
          <cell r="A4025">
            <v>58161460</v>
          </cell>
          <cell r="B4025" t="str">
            <v>Rice, brown, with tomatoes and/or tomato based sauce, NS as to fat added in cooking</v>
          </cell>
          <cell r="I4025">
            <v>178</v>
          </cell>
          <cell r="J4025">
            <v>185.86801</v>
          </cell>
          <cell r="K4025">
            <v>1.0442023033707866</v>
          </cell>
          <cell r="L4025">
            <v>2.6065667000000001</v>
          </cell>
          <cell r="M4025">
            <v>0.73326480000000005</v>
          </cell>
          <cell r="N4025">
            <v>0</v>
          </cell>
          <cell r="O4025">
            <v>2.0610900000000001E-2</v>
          </cell>
          <cell r="P4025">
            <v>0.33730280000000001</v>
          </cell>
          <cell r="Q4025">
            <v>1.6915392</v>
          </cell>
          <cell r="R4025">
            <v>42.804594000000002</v>
          </cell>
          <cell r="S4025">
            <v>0</v>
          </cell>
          <cell r="T4025">
            <v>0</v>
          </cell>
          <cell r="U4025">
            <v>32.969450999999999</v>
          </cell>
          <cell r="V4025">
            <v>0</v>
          </cell>
          <cell r="W4025">
            <v>0</v>
          </cell>
          <cell r="X4025">
            <v>0.30976979999999998</v>
          </cell>
          <cell r="Y4025">
            <v>0</v>
          </cell>
          <cell r="Z4025">
            <v>0</v>
          </cell>
          <cell r="AA4025">
            <v>0</v>
          </cell>
          <cell r="AB4025">
            <v>1.0214600000000001E-2</v>
          </cell>
        </row>
        <row r="4026">
          <cell r="A4026">
            <v>58161462</v>
          </cell>
          <cell r="B4026" t="str">
            <v>Rice, brown, with tomatoes and/or tomato based sauce, fat not added in cooking</v>
          </cell>
          <cell r="I4026">
            <v>178</v>
          </cell>
          <cell r="J4026">
            <v>162.97874999999999</v>
          </cell>
          <cell r="K4026">
            <v>0.91561095505617973</v>
          </cell>
          <cell r="L4026">
            <v>2.6494738999999998</v>
          </cell>
          <cell r="M4026">
            <v>0.34460010000000002</v>
          </cell>
          <cell r="N4026">
            <v>0</v>
          </cell>
          <cell r="O4026">
            <v>2.09429E-2</v>
          </cell>
          <cell r="P4026">
            <v>0.34285520000000003</v>
          </cell>
          <cell r="Q4026">
            <v>0.51248769999999999</v>
          </cell>
          <cell r="R4026">
            <v>43.509208000000001</v>
          </cell>
          <cell r="S4026">
            <v>0</v>
          </cell>
          <cell r="T4026">
            <v>0</v>
          </cell>
          <cell r="U4026">
            <v>33.512166000000001</v>
          </cell>
          <cell r="V4026">
            <v>0</v>
          </cell>
          <cell r="W4026">
            <v>0</v>
          </cell>
          <cell r="X4026">
            <v>0.31485439999999998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</row>
        <row r="4027">
          <cell r="A4027">
            <v>58161464</v>
          </cell>
          <cell r="B4027" t="str">
            <v>Rice, brown, with tomatoes and/or tomato based sauce, fat added in cooking</v>
          </cell>
          <cell r="I4027">
            <v>178</v>
          </cell>
          <cell r="J4027">
            <v>185.86801</v>
          </cell>
          <cell r="K4027">
            <v>1.0442023033707866</v>
          </cell>
          <cell r="L4027">
            <v>2.6065667000000001</v>
          </cell>
          <cell r="M4027">
            <v>0.73326480000000005</v>
          </cell>
          <cell r="N4027">
            <v>0</v>
          </cell>
          <cell r="O4027">
            <v>2.0610900000000001E-2</v>
          </cell>
          <cell r="P4027">
            <v>0.33730280000000001</v>
          </cell>
          <cell r="Q4027">
            <v>1.6915392</v>
          </cell>
          <cell r="R4027">
            <v>42.804594000000002</v>
          </cell>
          <cell r="S4027">
            <v>0</v>
          </cell>
          <cell r="T4027">
            <v>0</v>
          </cell>
          <cell r="U4027">
            <v>32.969450999999999</v>
          </cell>
          <cell r="V4027">
            <v>0</v>
          </cell>
          <cell r="W4027">
            <v>0</v>
          </cell>
          <cell r="X4027">
            <v>0.30976979999999998</v>
          </cell>
          <cell r="Y4027">
            <v>0</v>
          </cell>
          <cell r="Z4027">
            <v>0</v>
          </cell>
          <cell r="AA4027">
            <v>0</v>
          </cell>
          <cell r="AB4027">
            <v>1.0214600000000001E-2</v>
          </cell>
        </row>
        <row r="4028">
          <cell r="A4028">
            <v>58161470</v>
          </cell>
          <cell r="B4028" t="str">
            <v>Rice, brown, with dark green vegetables, NS as to fat added in cooking</v>
          </cell>
          <cell r="I4028">
            <v>160</v>
          </cell>
          <cell r="J4028">
            <v>188.95866000000001</v>
          </cell>
          <cell r="K4028">
            <v>1.1809916250000001</v>
          </cell>
          <cell r="L4028">
            <v>3.0640903000000002</v>
          </cell>
          <cell r="M4028">
            <v>0.74073049999999996</v>
          </cell>
          <cell r="N4028">
            <v>0</v>
          </cell>
          <cell r="O4028">
            <v>1.7048600000000001E-2</v>
          </cell>
          <cell r="P4028">
            <v>0</v>
          </cell>
          <cell r="Q4028">
            <v>1.6933018</v>
          </cell>
          <cell r="R4028">
            <v>42.725358999999997</v>
          </cell>
          <cell r="S4028">
            <v>0</v>
          </cell>
          <cell r="T4028">
            <v>0</v>
          </cell>
          <cell r="U4028">
            <v>32.957833000000001</v>
          </cell>
          <cell r="V4028">
            <v>0</v>
          </cell>
          <cell r="W4028">
            <v>0</v>
          </cell>
          <cell r="X4028">
            <v>0.26448650000000001</v>
          </cell>
          <cell r="Y4028">
            <v>0</v>
          </cell>
          <cell r="Z4028">
            <v>0</v>
          </cell>
          <cell r="AA4028">
            <v>0</v>
          </cell>
          <cell r="AB4028">
            <v>1.01957E-2</v>
          </cell>
        </row>
        <row r="4029">
          <cell r="A4029">
            <v>58161472</v>
          </cell>
          <cell r="B4029" t="str">
            <v>Rice, brown, with dark green vegetables, fat not added in cooking</v>
          </cell>
          <cell r="I4029">
            <v>160</v>
          </cell>
          <cell r="J4029">
            <v>166.47094999999999</v>
          </cell>
          <cell r="K4029">
            <v>1.0404434375</v>
          </cell>
          <cell r="L4029">
            <v>3.1202013000000002</v>
          </cell>
          <cell r="M4029">
            <v>0.35357329999999998</v>
          </cell>
          <cell r="N4029">
            <v>0</v>
          </cell>
          <cell r="O4029">
            <v>1.7353400000000001E-2</v>
          </cell>
          <cell r="P4029">
            <v>0</v>
          </cell>
          <cell r="Q4029">
            <v>0.51745399999999997</v>
          </cell>
          <cell r="R4029">
            <v>43.507764999999999</v>
          </cell>
          <cell r="S4029">
            <v>0</v>
          </cell>
          <cell r="T4029">
            <v>0</v>
          </cell>
          <cell r="U4029">
            <v>33.561371999999999</v>
          </cell>
          <cell r="V4029">
            <v>0</v>
          </cell>
          <cell r="W4029">
            <v>0</v>
          </cell>
          <cell r="X4029">
            <v>0.26931529999999998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</row>
        <row r="4030">
          <cell r="A4030">
            <v>58161474</v>
          </cell>
          <cell r="B4030" t="str">
            <v>Rice, brown, with dark green vegetables, fat added in cooking</v>
          </cell>
          <cell r="I4030">
            <v>160</v>
          </cell>
          <cell r="J4030">
            <v>188.95866000000001</v>
          </cell>
          <cell r="K4030">
            <v>1.1809916250000001</v>
          </cell>
          <cell r="L4030">
            <v>3.0640903000000002</v>
          </cell>
          <cell r="M4030">
            <v>0.74073049999999996</v>
          </cell>
          <cell r="N4030">
            <v>0</v>
          </cell>
          <cell r="O4030">
            <v>1.7048600000000001E-2</v>
          </cell>
          <cell r="P4030">
            <v>0</v>
          </cell>
          <cell r="Q4030">
            <v>1.6933018</v>
          </cell>
          <cell r="R4030">
            <v>42.725358999999997</v>
          </cell>
          <cell r="S4030">
            <v>0</v>
          </cell>
          <cell r="T4030">
            <v>0</v>
          </cell>
          <cell r="U4030">
            <v>32.957833000000001</v>
          </cell>
          <cell r="V4030">
            <v>0</v>
          </cell>
          <cell r="W4030">
            <v>0</v>
          </cell>
          <cell r="X4030">
            <v>0.26448650000000001</v>
          </cell>
          <cell r="Y4030">
            <v>0</v>
          </cell>
          <cell r="Z4030">
            <v>0</v>
          </cell>
          <cell r="AA4030">
            <v>0</v>
          </cell>
          <cell r="AB4030">
            <v>1.01957E-2</v>
          </cell>
        </row>
        <row r="4031">
          <cell r="A4031">
            <v>58161504</v>
          </cell>
          <cell r="B4031" t="str">
            <v>Rice, brown, with carrots and dark green vegetables, fat added in cooking</v>
          </cell>
          <cell r="I4031">
            <v>160</v>
          </cell>
          <cell r="J4031">
            <v>174.18074999999999</v>
          </cell>
          <cell r="K4031">
            <v>1.0886296874999999</v>
          </cell>
          <cell r="L4031">
            <v>3.2611644000000002</v>
          </cell>
          <cell r="M4031">
            <v>0.61693070000000005</v>
          </cell>
          <cell r="N4031">
            <v>0</v>
          </cell>
          <cell r="O4031">
            <v>2.4034199999999999E-2</v>
          </cell>
          <cell r="P4031">
            <v>0</v>
          </cell>
          <cell r="Q4031">
            <v>1.6873581</v>
          </cell>
          <cell r="R4031">
            <v>42.738557999999998</v>
          </cell>
          <cell r="S4031">
            <v>0</v>
          </cell>
          <cell r="T4031">
            <v>0</v>
          </cell>
          <cell r="U4031">
            <v>32.918588</v>
          </cell>
          <cell r="V4031">
            <v>0</v>
          </cell>
          <cell r="W4031">
            <v>0</v>
          </cell>
          <cell r="X4031">
            <v>0.26857429999999999</v>
          </cell>
          <cell r="Y4031">
            <v>0</v>
          </cell>
          <cell r="Z4031">
            <v>0</v>
          </cell>
          <cell r="AA4031">
            <v>0</v>
          </cell>
          <cell r="AB4031">
            <v>1.16524E-2</v>
          </cell>
        </row>
        <row r="4032">
          <cell r="A4032">
            <v>58161510</v>
          </cell>
          <cell r="B4032" t="str">
            <v>Grape leaves stuffed with rice</v>
          </cell>
          <cell r="I4032">
            <v>140</v>
          </cell>
          <cell r="J4032">
            <v>228.48855</v>
          </cell>
          <cell r="K4032">
            <v>1.6320610714285715</v>
          </cell>
          <cell r="L4032">
            <v>4.0402382000000001</v>
          </cell>
          <cell r="M4032">
            <v>2.2763276000000001</v>
          </cell>
          <cell r="N4032">
            <v>0</v>
          </cell>
          <cell r="O4032">
            <v>0.12511710000000001</v>
          </cell>
          <cell r="P4032">
            <v>0.25117279999999997</v>
          </cell>
          <cell r="Q4032">
            <v>1.955049</v>
          </cell>
          <cell r="R4032">
            <v>0</v>
          </cell>
          <cell r="S4032">
            <v>0</v>
          </cell>
          <cell r="T4032">
            <v>0.22007070000000001</v>
          </cell>
          <cell r="U4032">
            <v>88.816524999999999</v>
          </cell>
          <cell r="V4032">
            <v>0</v>
          </cell>
          <cell r="W4032">
            <v>0</v>
          </cell>
          <cell r="X4032">
            <v>0.23319100000000001</v>
          </cell>
          <cell r="Y4032">
            <v>0</v>
          </cell>
          <cell r="Z4032">
            <v>0</v>
          </cell>
          <cell r="AA4032">
            <v>0</v>
          </cell>
          <cell r="AB4032">
            <v>8.8105600000000006E-2</v>
          </cell>
        </row>
        <row r="4033">
          <cell r="A4033">
            <v>58161530</v>
          </cell>
          <cell r="B4033" t="str">
            <v>Rice, brown, with other vegetables, NS as to fat added in cooking</v>
          </cell>
          <cell r="I4033">
            <v>160</v>
          </cell>
          <cell r="J4033">
            <v>189.48347000000001</v>
          </cell>
          <cell r="K4033">
            <v>1.1842716875000001</v>
          </cell>
          <cell r="L4033">
            <v>2.5766388999999998</v>
          </cell>
          <cell r="M4033">
            <v>0.72693620000000003</v>
          </cell>
          <cell r="N4033">
            <v>0</v>
          </cell>
          <cell r="O4033">
            <v>1.18303E-2</v>
          </cell>
          <cell r="P4033">
            <v>0</v>
          </cell>
          <cell r="Q4033">
            <v>1.6692495999999999</v>
          </cell>
          <cell r="R4033">
            <v>42.682265999999998</v>
          </cell>
          <cell r="S4033">
            <v>0</v>
          </cell>
          <cell r="T4033">
            <v>0</v>
          </cell>
          <cell r="U4033">
            <v>33.085968999999999</v>
          </cell>
          <cell r="V4033">
            <v>0</v>
          </cell>
          <cell r="W4033">
            <v>0</v>
          </cell>
          <cell r="X4033">
            <v>0.2514421</v>
          </cell>
          <cell r="Y4033">
            <v>0</v>
          </cell>
          <cell r="Z4033">
            <v>0</v>
          </cell>
          <cell r="AA4033">
            <v>0</v>
          </cell>
          <cell r="AB4033">
            <v>1.0185400000000001E-2</v>
          </cell>
        </row>
        <row r="4034">
          <cell r="A4034">
            <v>58161534</v>
          </cell>
          <cell r="B4034" t="str">
            <v>Rice, brown, with other vegetables, fat added in cooking</v>
          </cell>
          <cell r="I4034">
            <v>160</v>
          </cell>
          <cell r="J4034">
            <v>189.48347000000001</v>
          </cell>
          <cell r="K4034">
            <v>1.1842716875000001</v>
          </cell>
          <cell r="L4034">
            <v>2.5766388999999998</v>
          </cell>
          <cell r="M4034">
            <v>0.72693620000000003</v>
          </cell>
          <cell r="N4034">
            <v>0</v>
          </cell>
          <cell r="O4034">
            <v>1.18303E-2</v>
          </cell>
          <cell r="P4034">
            <v>0</v>
          </cell>
          <cell r="Q4034">
            <v>1.6692495999999999</v>
          </cell>
          <cell r="R4034">
            <v>42.682265999999998</v>
          </cell>
          <cell r="S4034">
            <v>0</v>
          </cell>
          <cell r="T4034">
            <v>0</v>
          </cell>
          <cell r="U4034">
            <v>33.085968999999999</v>
          </cell>
          <cell r="V4034">
            <v>0</v>
          </cell>
          <cell r="W4034">
            <v>0</v>
          </cell>
          <cell r="X4034">
            <v>0.2514421</v>
          </cell>
          <cell r="Y4034">
            <v>0</v>
          </cell>
          <cell r="Z4034">
            <v>0</v>
          </cell>
          <cell r="AA4034">
            <v>0</v>
          </cell>
          <cell r="AB4034">
            <v>1.0185400000000001E-2</v>
          </cell>
        </row>
        <row r="4035">
          <cell r="A4035">
            <v>58162090</v>
          </cell>
          <cell r="B4035" t="str">
            <v>Stuffed pepper, with meat</v>
          </cell>
          <cell r="I4035">
            <v>198</v>
          </cell>
          <cell r="J4035">
            <v>355.73333000000002</v>
          </cell>
          <cell r="K4035">
            <v>1.7966329797979799</v>
          </cell>
          <cell r="L4035">
            <v>1.9519356000000001</v>
          </cell>
          <cell r="M4035">
            <v>8.6582462000000007</v>
          </cell>
          <cell r="N4035">
            <v>0</v>
          </cell>
          <cell r="O4035">
            <v>0.17307819999999999</v>
          </cell>
          <cell r="P4035">
            <v>0.10756540000000001</v>
          </cell>
          <cell r="Q4035">
            <v>6.5991482000000001</v>
          </cell>
          <cell r="R4035">
            <v>0</v>
          </cell>
          <cell r="S4035">
            <v>0</v>
          </cell>
          <cell r="T4035">
            <v>0</v>
          </cell>
          <cell r="U4035">
            <v>115.44467</v>
          </cell>
          <cell r="V4035">
            <v>0</v>
          </cell>
          <cell r="W4035">
            <v>0</v>
          </cell>
          <cell r="X4035">
            <v>0.54066060000000005</v>
          </cell>
          <cell r="Y4035">
            <v>0</v>
          </cell>
          <cell r="Z4035">
            <v>39.528937999999997</v>
          </cell>
          <cell r="AA4035">
            <v>0</v>
          </cell>
          <cell r="AB4035">
            <v>0.79460200000000003</v>
          </cell>
        </row>
        <row r="4036">
          <cell r="A4036">
            <v>58162110</v>
          </cell>
          <cell r="B4036" t="str">
            <v>Stuffed pepper, with rice and meat</v>
          </cell>
          <cell r="I4036">
            <v>198</v>
          </cell>
          <cell r="J4036">
            <v>321.14936</v>
          </cell>
          <cell r="K4036">
            <v>1.6219664646464647</v>
          </cell>
          <cell r="L4036">
            <v>1.6898413000000001</v>
          </cell>
          <cell r="M4036">
            <v>6.3797163000000001</v>
          </cell>
          <cell r="N4036">
            <v>0</v>
          </cell>
          <cell r="O4036">
            <v>0.12871279999999999</v>
          </cell>
          <cell r="P4036">
            <v>0.18703800000000001</v>
          </cell>
          <cell r="Q4036">
            <v>4.8002605000000003</v>
          </cell>
          <cell r="R4036">
            <v>0</v>
          </cell>
          <cell r="S4036">
            <v>0</v>
          </cell>
          <cell r="T4036">
            <v>0</v>
          </cell>
          <cell r="U4036">
            <v>91.988547999999994</v>
          </cell>
          <cell r="V4036">
            <v>0</v>
          </cell>
          <cell r="W4036">
            <v>0</v>
          </cell>
          <cell r="X4036">
            <v>0.59804659999999998</v>
          </cell>
          <cell r="Y4036">
            <v>0</v>
          </cell>
          <cell r="Z4036">
            <v>27.297743000000001</v>
          </cell>
          <cell r="AA4036">
            <v>0</v>
          </cell>
          <cell r="AB4036">
            <v>0.44881100000000002</v>
          </cell>
        </row>
        <row r="4037">
          <cell r="A4037">
            <v>58162130</v>
          </cell>
          <cell r="B4037" t="str">
            <v>Stuffed tomato, with rice and meat</v>
          </cell>
          <cell r="I4037">
            <v>198</v>
          </cell>
          <cell r="J4037">
            <v>174.90693999999999</v>
          </cell>
          <cell r="K4037">
            <v>0.88336838383838379</v>
          </cell>
          <cell r="L4037">
            <v>1.5600073999999999</v>
          </cell>
          <cell r="M4037">
            <v>2.1136016999999998</v>
          </cell>
          <cell r="N4037">
            <v>0</v>
          </cell>
          <cell r="O4037">
            <v>2.4935499999999999E-2</v>
          </cell>
          <cell r="P4037">
            <v>0.2171701</v>
          </cell>
          <cell r="Q4037">
            <v>1.7264314000000001</v>
          </cell>
          <cell r="R4037">
            <v>0</v>
          </cell>
          <cell r="S4037">
            <v>0</v>
          </cell>
          <cell r="T4037">
            <v>0</v>
          </cell>
          <cell r="U4037">
            <v>128.28557000000001</v>
          </cell>
          <cell r="V4037">
            <v>0</v>
          </cell>
          <cell r="W4037">
            <v>0</v>
          </cell>
          <cell r="X4037">
            <v>0.48724319999999999</v>
          </cell>
          <cell r="Y4037">
            <v>0</v>
          </cell>
          <cell r="Z4037">
            <v>21.878976999999999</v>
          </cell>
          <cell r="AA4037">
            <v>0</v>
          </cell>
          <cell r="AB4037">
            <v>0.19447349999999999</v>
          </cell>
        </row>
        <row r="4038">
          <cell r="A4038">
            <v>58162140</v>
          </cell>
          <cell r="B4038" t="str">
            <v>Stuffed tomato, with rice, meatless</v>
          </cell>
          <cell r="I4038">
            <v>198</v>
          </cell>
          <cell r="J4038">
            <v>136.09795</v>
          </cell>
          <cell r="K4038">
            <v>0.6873633838383838</v>
          </cell>
          <cell r="L4038">
            <v>1.6699059999999999</v>
          </cell>
          <cell r="M4038">
            <v>0.54196350000000004</v>
          </cell>
          <cell r="N4038">
            <v>0</v>
          </cell>
          <cell r="O4038">
            <v>2.25747E-2</v>
          </cell>
          <cell r="P4038">
            <v>0.28073140000000002</v>
          </cell>
          <cell r="Q4038">
            <v>1.5327071000000001</v>
          </cell>
          <cell r="R4038">
            <v>0</v>
          </cell>
          <cell r="S4038">
            <v>0</v>
          </cell>
          <cell r="T4038">
            <v>0</v>
          </cell>
          <cell r="U4038">
            <v>135.94818000000001</v>
          </cell>
          <cell r="V4038">
            <v>0</v>
          </cell>
          <cell r="W4038">
            <v>0</v>
          </cell>
          <cell r="X4038">
            <v>0.44088149999999998</v>
          </cell>
          <cell r="Y4038">
            <v>0</v>
          </cell>
          <cell r="Z4038">
            <v>0</v>
          </cell>
          <cell r="AA4038">
            <v>0</v>
          </cell>
          <cell r="AB4038">
            <v>4.80299E-2</v>
          </cell>
        </row>
        <row r="4039">
          <cell r="A4039">
            <v>58162310</v>
          </cell>
          <cell r="B4039" t="str">
            <v>Rice pilaf</v>
          </cell>
          <cell r="I4039">
            <v>206</v>
          </cell>
          <cell r="J4039">
            <v>251.72703000000001</v>
          </cell>
          <cell r="K4039">
            <v>1.2219758737864079</v>
          </cell>
          <cell r="L4039">
            <v>-1.14E-16</v>
          </cell>
          <cell r="M4039">
            <v>0.82115579999999999</v>
          </cell>
          <cell r="N4039">
            <v>0</v>
          </cell>
          <cell r="O4039">
            <v>5.2890899999999998E-2</v>
          </cell>
          <cell r="P4039">
            <v>0.70259780000000005</v>
          </cell>
          <cell r="Q4039">
            <v>2.1524648000000002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0.76863789999999999</v>
          </cell>
          <cell r="Y4039">
            <v>0</v>
          </cell>
          <cell r="Z4039">
            <v>0</v>
          </cell>
          <cell r="AA4039">
            <v>0</v>
          </cell>
          <cell r="AB4039">
            <v>0.1167899</v>
          </cell>
        </row>
        <row r="4040">
          <cell r="A4040">
            <v>58163130</v>
          </cell>
          <cell r="B4040" t="str">
            <v>Dirty rice</v>
          </cell>
          <cell r="I4040">
            <v>198</v>
          </cell>
          <cell r="J4040">
            <v>220.95410000000001</v>
          </cell>
          <cell r="K4040">
            <v>1.115929797979798</v>
          </cell>
          <cell r="L4040">
            <v>0.5774707</v>
          </cell>
          <cell r="M4040">
            <v>0.79680410000000002</v>
          </cell>
          <cell r="N4040">
            <v>0</v>
          </cell>
          <cell r="O4040">
            <v>2.9509400000000002E-2</v>
          </cell>
          <cell r="P4040">
            <v>0.58615050000000002</v>
          </cell>
          <cell r="Q4040">
            <v>1.4395241000000001</v>
          </cell>
          <cell r="R4040">
            <v>0</v>
          </cell>
          <cell r="S4040">
            <v>0</v>
          </cell>
          <cell r="T4040">
            <v>0</v>
          </cell>
          <cell r="U4040">
            <v>33.677627000000001</v>
          </cell>
          <cell r="V4040">
            <v>0</v>
          </cell>
          <cell r="W4040">
            <v>0</v>
          </cell>
          <cell r="X4040">
            <v>0.62635940000000001</v>
          </cell>
          <cell r="Y4040">
            <v>0</v>
          </cell>
          <cell r="Z4040">
            <v>0</v>
          </cell>
          <cell r="AA4040">
            <v>0</v>
          </cell>
          <cell r="AB4040">
            <v>0.1090516</v>
          </cell>
        </row>
        <row r="4041">
          <cell r="A4041">
            <v>58163310</v>
          </cell>
          <cell r="B4041" t="str">
            <v>Flavored rice mixture</v>
          </cell>
          <cell r="I4041">
            <v>218</v>
          </cell>
          <cell r="J4041">
            <v>249.67649</v>
          </cell>
          <cell r="K4041">
            <v>1.145305</v>
          </cell>
          <cell r="L4041">
            <v>1.2099999999999999E-16</v>
          </cell>
          <cell r="M4041">
            <v>1.7383795</v>
          </cell>
          <cell r="N4041">
            <v>0</v>
          </cell>
          <cell r="O4041">
            <v>2.33171E-2</v>
          </cell>
          <cell r="P4041">
            <v>0.83397299999999996</v>
          </cell>
          <cell r="Q4041">
            <v>2.0905231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0.57536719999999997</v>
          </cell>
          <cell r="Y4041">
            <v>0</v>
          </cell>
          <cell r="Z4041">
            <v>0</v>
          </cell>
          <cell r="AA4041">
            <v>0</v>
          </cell>
          <cell r="AB4041">
            <v>1.3811453</v>
          </cell>
        </row>
        <row r="4042">
          <cell r="A4042">
            <v>58163330</v>
          </cell>
          <cell r="B4042" t="str">
            <v>Flavored rice mixture with cheese</v>
          </cell>
          <cell r="I4042">
            <v>230</v>
          </cell>
          <cell r="J4042">
            <v>284.18083999999999</v>
          </cell>
          <cell r="K4042">
            <v>1.2355688695652174</v>
          </cell>
          <cell r="L4042">
            <v>2.5540000000000002E-16</v>
          </cell>
          <cell r="M4042">
            <v>1.3769425</v>
          </cell>
          <cell r="N4042">
            <v>0</v>
          </cell>
          <cell r="O4042">
            <v>0.1144491</v>
          </cell>
          <cell r="P4042">
            <v>1.4130539</v>
          </cell>
          <cell r="Q4042">
            <v>0.52361500000000005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0.94260060000000001</v>
          </cell>
          <cell r="Y4042">
            <v>0</v>
          </cell>
          <cell r="Z4042">
            <v>0</v>
          </cell>
          <cell r="AA4042">
            <v>0</v>
          </cell>
          <cell r="AB4042">
            <v>0</v>
          </cell>
        </row>
        <row r="4043">
          <cell r="A4043">
            <v>58163360</v>
          </cell>
          <cell r="B4043" t="str">
            <v>Flavored rice, brown and wild</v>
          </cell>
          <cell r="I4043">
            <v>217</v>
          </cell>
          <cell r="J4043">
            <v>227.208</v>
          </cell>
          <cell r="K4043">
            <v>1.0470414746543779</v>
          </cell>
          <cell r="L4043">
            <v>2.5606776999999998</v>
          </cell>
          <cell r="M4043">
            <v>0.84636719999999999</v>
          </cell>
          <cell r="N4043">
            <v>0</v>
          </cell>
          <cell r="O4043">
            <v>1.7687499999999998E-2</v>
          </cell>
          <cell r="P4043">
            <v>1.0228299999999999E-2</v>
          </cell>
          <cell r="Q4043">
            <v>1.4916978000000001</v>
          </cell>
          <cell r="R4043">
            <v>54.102809000000001</v>
          </cell>
          <cell r="S4043">
            <v>0</v>
          </cell>
          <cell r="T4043">
            <v>0</v>
          </cell>
          <cell r="U4043">
            <v>3.8308099999999998E-2</v>
          </cell>
          <cell r="V4043">
            <v>0</v>
          </cell>
          <cell r="W4043">
            <v>0</v>
          </cell>
          <cell r="X4043">
            <v>0.62412920000000005</v>
          </cell>
          <cell r="Y4043">
            <v>0</v>
          </cell>
          <cell r="Z4043">
            <v>0</v>
          </cell>
          <cell r="AA4043">
            <v>0</v>
          </cell>
          <cell r="AB4043">
            <v>0.62282919999999997</v>
          </cell>
        </row>
        <row r="4044">
          <cell r="A4044">
            <v>58163380</v>
          </cell>
          <cell r="B4044" t="str">
            <v>Flavored rice and pasta mixture</v>
          </cell>
          <cell r="I4044">
            <v>196</v>
          </cell>
          <cell r="J4044">
            <v>204.87199000000001</v>
          </cell>
          <cell r="K4044">
            <v>1.0452652551020409</v>
          </cell>
          <cell r="L4044">
            <v>0</v>
          </cell>
          <cell r="M4044">
            <v>1.2285903</v>
          </cell>
          <cell r="N4044">
            <v>0</v>
          </cell>
          <cell r="O4044">
            <v>1.2366800000000001E-2</v>
          </cell>
          <cell r="P4044">
            <v>0.51894010000000002</v>
          </cell>
          <cell r="Q4044">
            <v>1.896784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0.59363259999999995</v>
          </cell>
          <cell r="Y4044">
            <v>0</v>
          </cell>
          <cell r="Z4044">
            <v>0</v>
          </cell>
          <cell r="AA4044">
            <v>0</v>
          </cell>
          <cell r="AB4044">
            <v>1.0451154</v>
          </cell>
        </row>
        <row r="4045">
          <cell r="A4045">
            <v>58163405</v>
          </cell>
          <cell r="B4045" t="str">
            <v>Spanish rice, from restaurant</v>
          </cell>
          <cell r="I4045">
            <v>243</v>
          </cell>
          <cell r="J4045">
            <v>449.55</v>
          </cell>
          <cell r="K4045">
            <v>1.85</v>
          </cell>
          <cell r="L4045">
            <v>0.55844590000000005</v>
          </cell>
          <cell r="M4045">
            <v>2.4421499999999998</v>
          </cell>
          <cell r="N4045">
            <v>0</v>
          </cell>
          <cell r="O4045">
            <v>4.8599999999999997E-2</v>
          </cell>
          <cell r="P4045">
            <v>2.3575541000000002</v>
          </cell>
          <cell r="Q4045">
            <v>5.6303099999999997</v>
          </cell>
          <cell r="R4045">
            <v>0</v>
          </cell>
          <cell r="S4045">
            <v>0</v>
          </cell>
          <cell r="T4045">
            <v>0</v>
          </cell>
          <cell r="U4045">
            <v>75.33</v>
          </cell>
          <cell r="V4045">
            <v>0</v>
          </cell>
          <cell r="W4045">
            <v>0</v>
          </cell>
          <cell r="X4045">
            <v>1.28304</v>
          </cell>
          <cell r="Y4045">
            <v>0</v>
          </cell>
          <cell r="Z4045">
            <v>0</v>
          </cell>
          <cell r="AA4045">
            <v>0</v>
          </cell>
          <cell r="AB4045">
            <v>0.1701</v>
          </cell>
        </row>
        <row r="4046">
          <cell r="A4046">
            <v>58163410</v>
          </cell>
          <cell r="B4046" t="str">
            <v>Spanish rice, fat added in cooking</v>
          </cell>
          <cell r="I4046">
            <v>243</v>
          </cell>
          <cell r="J4046">
            <v>232.25190000000001</v>
          </cell>
          <cell r="K4046">
            <v>0.95576913580246914</v>
          </cell>
          <cell r="L4046">
            <v>1.3276321</v>
          </cell>
          <cell r="M4046">
            <v>1.0217518000000001</v>
          </cell>
          <cell r="N4046">
            <v>0</v>
          </cell>
          <cell r="O4046">
            <v>4.3178300000000003E-2</v>
          </cell>
          <cell r="P4046">
            <v>1.03382</v>
          </cell>
          <cell r="Q4046">
            <v>1.7270236999999999</v>
          </cell>
          <cell r="R4046">
            <v>0</v>
          </cell>
          <cell r="S4046">
            <v>0</v>
          </cell>
          <cell r="T4046">
            <v>0</v>
          </cell>
          <cell r="U4046">
            <v>73.620351999999997</v>
          </cell>
          <cell r="V4046">
            <v>0</v>
          </cell>
          <cell r="W4046">
            <v>0</v>
          </cell>
          <cell r="X4046">
            <v>0.63429869999999999</v>
          </cell>
          <cell r="Y4046">
            <v>0</v>
          </cell>
          <cell r="Z4046">
            <v>0</v>
          </cell>
          <cell r="AA4046">
            <v>2.6843178000000001</v>
          </cell>
          <cell r="AB4046">
            <v>1.67484E-2</v>
          </cell>
        </row>
        <row r="4047">
          <cell r="A4047">
            <v>58163420</v>
          </cell>
          <cell r="B4047" t="str">
            <v>Spanish rice, fat not added in cooking</v>
          </cell>
          <cell r="I4047">
            <v>243</v>
          </cell>
          <cell r="J4047">
            <v>206.59010000000001</v>
          </cell>
          <cell r="K4047">
            <v>0.85016502057613175</v>
          </cell>
          <cell r="L4047">
            <v>1.3454782000000001</v>
          </cell>
          <cell r="M4047">
            <v>0.59149870000000004</v>
          </cell>
          <cell r="N4047">
            <v>0</v>
          </cell>
          <cell r="O4047">
            <v>4.3696100000000002E-2</v>
          </cell>
          <cell r="P4047">
            <v>1.0394108</v>
          </cell>
          <cell r="Q4047">
            <v>0.41276400000000002</v>
          </cell>
          <cell r="R4047">
            <v>0</v>
          </cell>
          <cell r="S4047">
            <v>0</v>
          </cell>
          <cell r="T4047">
            <v>0</v>
          </cell>
          <cell r="U4047">
            <v>74.609960000000001</v>
          </cell>
          <cell r="V4047">
            <v>0</v>
          </cell>
          <cell r="W4047">
            <v>0</v>
          </cell>
          <cell r="X4047">
            <v>0.64279249999999999</v>
          </cell>
          <cell r="Y4047">
            <v>0</v>
          </cell>
          <cell r="Z4047">
            <v>0</v>
          </cell>
          <cell r="AA4047">
            <v>2.7204005000000002</v>
          </cell>
          <cell r="AB4047">
            <v>6.8595900000000001E-2</v>
          </cell>
        </row>
        <row r="4048">
          <cell r="A4048">
            <v>58163430</v>
          </cell>
          <cell r="B4048" t="str">
            <v>Spanish rice, NS as to fat added in cooking</v>
          </cell>
          <cell r="I4048">
            <v>243</v>
          </cell>
          <cell r="J4048">
            <v>232.16173000000001</v>
          </cell>
          <cell r="K4048">
            <v>0.95539806584362141</v>
          </cell>
          <cell r="L4048">
            <v>1.3277924999999999</v>
          </cell>
          <cell r="M4048">
            <v>1.0205697</v>
          </cell>
          <cell r="N4048">
            <v>0</v>
          </cell>
          <cell r="O4048">
            <v>4.31297E-2</v>
          </cell>
          <cell r="P4048">
            <v>1.0257482</v>
          </cell>
          <cell r="Q4048">
            <v>1.7229899</v>
          </cell>
          <cell r="R4048">
            <v>0</v>
          </cell>
          <cell r="S4048">
            <v>0</v>
          </cell>
          <cell r="T4048">
            <v>0</v>
          </cell>
          <cell r="U4048">
            <v>73.629247000000007</v>
          </cell>
          <cell r="V4048">
            <v>0</v>
          </cell>
          <cell r="W4048">
            <v>0</v>
          </cell>
          <cell r="X4048">
            <v>0.63435929999999996</v>
          </cell>
          <cell r="Y4048">
            <v>0</v>
          </cell>
          <cell r="Z4048">
            <v>0</v>
          </cell>
          <cell r="AA4048">
            <v>2.6846421</v>
          </cell>
          <cell r="AB4048">
            <v>8.2342200000000004E-2</v>
          </cell>
        </row>
        <row r="4049">
          <cell r="A4049">
            <v>58163450</v>
          </cell>
          <cell r="B4049" t="str">
            <v>Spanish rice with ground beef</v>
          </cell>
          <cell r="I4049">
            <v>230</v>
          </cell>
          <cell r="J4049">
            <v>313.56124999999997</v>
          </cell>
          <cell r="K4049">
            <v>1.3633097826086955</v>
          </cell>
          <cell r="L4049">
            <v>0.94591709999999996</v>
          </cell>
          <cell r="M4049">
            <v>4.3977832000000001</v>
          </cell>
          <cell r="N4049">
            <v>0</v>
          </cell>
          <cell r="O4049">
            <v>4.4293800000000001E-2</v>
          </cell>
          <cell r="P4049">
            <v>0.73074130000000004</v>
          </cell>
          <cell r="Q4049">
            <v>1.5088729999999999</v>
          </cell>
          <cell r="R4049">
            <v>0</v>
          </cell>
          <cell r="S4049">
            <v>0</v>
          </cell>
          <cell r="T4049">
            <v>0</v>
          </cell>
          <cell r="U4049">
            <v>52.453352000000002</v>
          </cell>
          <cell r="V4049">
            <v>0</v>
          </cell>
          <cell r="W4049">
            <v>0</v>
          </cell>
          <cell r="X4049">
            <v>0.67772060000000001</v>
          </cell>
          <cell r="Y4049">
            <v>0</v>
          </cell>
          <cell r="Z4049">
            <v>51.625987000000002</v>
          </cell>
          <cell r="AA4049">
            <v>1.9125345</v>
          </cell>
          <cell r="AB4049">
            <v>0.46103129999999998</v>
          </cell>
        </row>
        <row r="4050">
          <cell r="A4050">
            <v>58163510</v>
          </cell>
          <cell r="B4050" t="str">
            <v>Rice dressing</v>
          </cell>
          <cell r="I4050">
            <v>167</v>
          </cell>
          <cell r="J4050">
            <v>183.90688</v>
          </cell>
          <cell r="K4050">
            <v>1.1012388023952095</v>
          </cell>
          <cell r="L4050">
            <v>0.34986109999999998</v>
          </cell>
          <cell r="M4050">
            <v>1.1278387999999999</v>
          </cell>
          <cell r="N4050">
            <v>0</v>
          </cell>
          <cell r="O4050">
            <v>3.3542099999999998E-2</v>
          </cell>
          <cell r="P4050">
            <v>0.68014909999999995</v>
          </cell>
          <cell r="Q4050">
            <v>1.6649598999999999</v>
          </cell>
          <cell r="R4050">
            <v>0</v>
          </cell>
          <cell r="S4050">
            <v>0</v>
          </cell>
          <cell r="T4050">
            <v>0</v>
          </cell>
          <cell r="U4050">
            <v>21.332992999999998</v>
          </cell>
          <cell r="V4050">
            <v>0</v>
          </cell>
          <cell r="W4050">
            <v>0</v>
          </cell>
          <cell r="X4050">
            <v>0.99825149999999996</v>
          </cell>
          <cell r="Y4050">
            <v>0</v>
          </cell>
          <cell r="Z4050">
            <v>0</v>
          </cell>
          <cell r="AA4050">
            <v>0</v>
          </cell>
          <cell r="AB4050">
            <v>0.90132690000000004</v>
          </cell>
        </row>
        <row r="4051">
          <cell r="A4051">
            <v>58164110</v>
          </cell>
          <cell r="B4051" t="str">
            <v>Rice with raisins</v>
          </cell>
          <cell r="I4051">
            <v>185</v>
          </cell>
          <cell r="J4051">
            <v>300.26312999999999</v>
          </cell>
          <cell r="K4051">
            <v>1.6230439459459458</v>
          </cell>
          <cell r="L4051">
            <v>0.67630409999999996</v>
          </cell>
          <cell r="M4051">
            <v>0.9482661</v>
          </cell>
          <cell r="N4051">
            <v>0</v>
          </cell>
          <cell r="O4051">
            <v>2.5718299999999999E-2</v>
          </cell>
          <cell r="P4051">
            <v>0.63735200000000003</v>
          </cell>
          <cell r="Q4051">
            <v>1.4317974</v>
          </cell>
          <cell r="R4051">
            <v>0</v>
          </cell>
          <cell r="S4051">
            <v>0</v>
          </cell>
          <cell r="T4051">
            <v>18.278490000000001</v>
          </cell>
          <cell r="U4051">
            <v>0</v>
          </cell>
          <cell r="V4051">
            <v>0</v>
          </cell>
          <cell r="W4051">
            <v>0</v>
          </cell>
          <cell r="X4051">
            <v>0.82601460000000004</v>
          </cell>
          <cell r="Y4051">
            <v>0</v>
          </cell>
          <cell r="Z4051">
            <v>0</v>
          </cell>
          <cell r="AA4051">
            <v>0</v>
          </cell>
          <cell r="AB4051">
            <v>0.79893130000000001</v>
          </cell>
        </row>
        <row r="4052">
          <cell r="A4052">
            <v>58164500</v>
          </cell>
          <cell r="B4052" t="str">
            <v>Rice, white, with cheese and/or cream based sauce, NS as to fat added in cooking</v>
          </cell>
          <cell r="I4052">
            <v>196</v>
          </cell>
          <cell r="J4052">
            <v>324.76026000000002</v>
          </cell>
          <cell r="K4052">
            <v>1.6569401020408163</v>
          </cell>
          <cell r="L4052">
            <v>-1.09E-16</v>
          </cell>
          <cell r="M4052">
            <v>5.8108494000000004</v>
          </cell>
          <cell r="N4052">
            <v>0</v>
          </cell>
          <cell r="O4052">
            <v>0.2147577</v>
          </cell>
          <cell r="P4052">
            <v>0.57148060000000001</v>
          </cell>
          <cell r="Q4052">
            <v>2.5026614999999999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0.63198069999999995</v>
          </cell>
          <cell r="Y4052">
            <v>0</v>
          </cell>
          <cell r="Z4052">
            <v>0</v>
          </cell>
          <cell r="AA4052">
            <v>0</v>
          </cell>
          <cell r="AB4052">
            <v>0.32821899999999998</v>
          </cell>
        </row>
        <row r="4053">
          <cell r="A4053">
            <v>58164510</v>
          </cell>
          <cell r="B4053" t="str">
            <v>Rice, white, with cheese and/or cream based sauce, fat not added in cooking</v>
          </cell>
          <cell r="I4053">
            <v>196</v>
          </cell>
          <cell r="J4053">
            <v>298.05590000000001</v>
          </cell>
          <cell r="K4053">
            <v>1.5206933673469387</v>
          </cell>
          <cell r="L4053">
            <v>0</v>
          </cell>
          <cell r="M4053">
            <v>5.4135021999999999</v>
          </cell>
          <cell r="N4053">
            <v>0</v>
          </cell>
          <cell r="O4053">
            <v>0.2188128</v>
          </cell>
          <cell r="P4053">
            <v>0.58229620000000004</v>
          </cell>
          <cell r="Q4053">
            <v>1.0221236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0.64392280000000002</v>
          </cell>
          <cell r="Y4053">
            <v>0</v>
          </cell>
          <cell r="Z4053">
            <v>0</v>
          </cell>
          <cell r="AA4053">
            <v>0</v>
          </cell>
          <cell r="AB4053">
            <v>0.32015949999999999</v>
          </cell>
        </row>
        <row r="4054">
          <cell r="A4054">
            <v>58164520</v>
          </cell>
          <cell r="B4054" t="str">
            <v>Rice, white, with cheese and/or cream based sauce, fat added in cooking</v>
          </cell>
          <cell r="I4054">
            <v>196</v>
          </cell>
          <cell r="J4054">
            <v>324.76026000000002</v>
          </cell>
          <cell r="K4054">
            <v>1.6569401020408163</v>
          </cell>
          <cell r="L4054">
            <v>-1.09E-16</v>
          </cell>
          <cell r="M4054">
            <v>5.8108494000000004</v>
          </cell>
          <cell r="N4054">
            <v>0</v>
          </cell>
          <cell r="O4054">
            <v>0.2147577</v>
          </cell>
          <cell r="P4054">
            <v>0.57148060000000001</v>
          </cell>
          <cell r="Q4054">
            <v>2.5026614999999999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0.63198069999999995</v>
          </cell>
          <cell r="Y4054">
            <v>0</v>
          </cell>
          <cell r="Z4054">
            <v>0</v>
          </cell>
          <cell r="AA4054">
            <v>0</v>
          </cell>
          <cell r="AB4054">
            <v>0.32890770000000003</v>
          </cell>
        </row>
        <row r="4055">
          <cell r="A4055">
            <v>58164530</v>
          </cell>
          <cell r="B4055" t="str">
            <v>Rice, white, with gravy, NS as to fat added in cooking</v>
          </cell>
          <cell r="I4055">
            <v>196</v>
          </cell>
          <cell r="J4055">
            <v>228.99081000000001</v>
          </cell>
          <cell r="K4055">
            <v>1.1683204591836736</v>
          </cell>
          <cell r="L4055">
            <v>0</v>
          </cell>
          <cell r="M4055">
            <v>1.0084896000000001</v>
          </cell>
          <cell r="N4055">
            <v>0</v>
          </cell>
          <cell r="O4055">
            <v>1.9355799999999999E-2</v>
          </cell>
          <cell r="P4055">
            <v>0.5741636</v>
          </cell>
          <cell r="Q4055">
            <v>1.8675710999999999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0.56367089999999997</v>
          </cell>
          <cell r="Y4055">
            <v>0</v>
          </cell>
          <cell r="Z4055">
            <v>0</v>
          </cell>
          <cell r="AA4055">
            <v>0</v>
          </cell>
          <cell r="AB4055">
            <v>8.0851699999999999E-2</v>
          </cell>
        </row>
        <row r="4056">
          <cell r="A4056">
            <v>58164540</v>
          </cell>
          <cell r="B4056" t="str">
            <v>Rice, white, with gravy, fat not added in cooking</v>
          </cell>
          <cell r="I4056">
            <v>196</v>
          </cell>
          <cell r="J4056">
            <v>200.26616999999999</v>
          </cell>
          <cell r="K4056">
            <v>1.0217661734693877</v>
          </cell>
          <cell r="L4056">
            <v>0</v>
          </cell>
          <cell r="M4056">
            <v>0.51669730000000003</v>
          </cell>
          <cell r="N4056">
            <v>0</v>
          </cell>
          <cell r="O4056">
            <v>1.9715400000000001E-2</v>
          </cell>
          <cell r="P4056">
            <v>0.5851092</v>
          </cell>
          <cell r="Q4056">
            <v>0.36413849999999998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0.57439779999999996</v>
          </cell>
          <cell r="Y4056">
            <v>0</v>
          </cell>
          <cell r="Z4056">
            <v>0</v>
          </cell>
          <cell r="AA4056">
            <v>0</v>
          </cell>
          <cell r="AB4056">
            <v>6.1578899999999999E-2</v>
          </cell>
        </row>
        <row r="4057">
          <cell r="A4057">
            <v>58164550</v>
          </cell>
          <cell r="B4057" t="str">
            <v>Rice, white, with gravy, fat added in cooking</v>
          </cell>
          <cell r="I4057">
            <v>196</v>
          </cell>
          <cell r="J4057">
            <v>228.99081000000001</v>
          </cell>
          <cell r="K4057">
            <v>1.1683204591836736</v>
          </cell>
          <cell r="L4057">
            <v>0</v>
          </cell>
          <cell r="M4057">
            <v>1.0084896000000001</v>
          </cell>
          <cell r="N4057">
            <v>0</v>
          </cell>
          <cell r="O4057">
            <v>1.9355799999999999E-2</v>
          </cell>
          <cell r="P4057">
            <v>0.5741636</v>
          </cell>
          <cell r="Q4057">
            <v>1.8675710999999999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0.56367089999999997</v>
          </cell>
          <cell r="Y4057">
            <v>0</v>
          </cell>
          <cell r="Z4057">
            <v>0</v>
          </cell>
          <cell r="AA4057">
            <v>0</v>
          </cell>
          <cell r="AB4057">
            <v>7.3242399999999999E-2</v>
          </cell>
        </row>
        <row r="4058">
          <cell r="A4058">
            <v>58164560</v>
          </cell>
          <cell r="B4058" t="str">
            <v>Rice, white, with soy-based sauce, NS as to fat added in cooking</v>
          </cell>
          <cell r="I4058">
            <v>196</v>
          </cell>
          <cell r="J4058">
            <v>225.44479999999999</v>
          </cell>
          <cell r="K4058">
            <v>1.1502285714285714</v>
          </cell>
          <cell r="L4058">
            <v>1.088E-16</v>
          </cell>
          <cell r="M4058">
            <v>0.6761585</v>
          </cell>
          <cell r="N4058">
            <v>0</v>
          </cell>
          <cell r="O4058">
            <v>1.65113E-2</v>
          </cell>
          <cell r="P4058">
            <v>0.56540250000000003</v>
          </cell>
          <cell r="Q4058">
            <v>1.6308803000000001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0.87396229999999997</v>
          </cell>
          <cell r="Y4058">
            <v>0</v>
          </cell>
          <cell r="Z4058">
            <v>0</v>
          </cell>
          <cell r="AA4058">
            <v>0</v>
          </cell>
          <cell r="AB4058">
            <v>1.3082099999999999E-2</v>
          </cell>
        </row>
        <row r="4059">
          <cell r="A4059">
            <v>58164570</v>
          </cell>
          <cell r="B4059" t="str">
            <v>Rice, white, with soy-based sauce, fat not added in cooking</v>
          </cell>
          <cell r="I4059">
            <v>196</v>
          </cell>
          <cell r="J4059">
            <v>196.44994</v>
          </cell>
          <cell r="K4059">
            <v>1.002295612244898</v>
          </cell>
          <cell r="L4059">
            <v>0</v>
          </cell>
          <cell r="M4059">
            <v>0.17452519999999999</v>
          </cell>
          <cell r="N4059">
            <v>0</v>
          </cell>
          <cell r="O4059">
            <v>1.6818900000000001E-2</v>
          </cell>
          <cell r="P4059">
            <v>0.57625689999999996</v>
          </cell>
          <cell r="Q4059">
            <v>0.11232350000000001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0.8907216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</row>
        <row r="4060">
          <cell r="A4060">
            <v>58164580</v>
          </cell>
          <cell r="B4060" t="str">
            <v>Rice, white, with soy-based sauce, fat added in cooking</v>
          </cell>
          <cell r="I4060">
            <v>196</v>
          </cell>
          <cell r="J4060">
            <v>225.45661999999999</v>
          </cell>
          <cell r="K4060">
            <v>1.1502888775510203</v>
          </cell>
          <cell r="L4060">
            <v>1.088E-16</v>
          </cell>
          <cell r="M4060">
            <v>0.65426269999999997</v>
          </cell>
          <cell r="N4060">
            <v>0</v>
          </cell>
          <cell r="O4060">
            <v>1.65065E-2</v>
          </cell>
          <cell r="P4060">
            <v>0.56540250000000003</v>
          </cell>
          <cell r="Q4060">
            <v>1.7079500000000001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0.87395270000000003</v>
          </cell>
          <cell r="Y4060">
            <v>0</v>
          </cell>
          <cell r="Z4060">
            <v>0</v>
          </cell>
          <cell r="AA4060">
            <v>0</v>
          </cell>
          <cell r="AB4060">
            <v>1.3082099999999999E-2</v>
          </cell>
        </row>
        <row r="4061">
          <cell r="A4061">
            <v>58164850</v>
          </cell>
          <cell r="B4061" t="str">
            <v>Rice, brown, with gravy, fat added in cooking</v>
          </cell>
          <cell r="I4061">
            <v>196</v>
          </cell>
          <cell r="J4061">
            <v>222.84187</v>
          </cell>
          <cell r="K4061">
            <v>1.1369483163265306</v>
          </cell>
          <cell r="L4061">
            <v>2.1855766999999999</v>
          </cell>
          <cell r="M4061">
            <v>1.1450615</v>
          </cell>
          <cell r="N4061">
            <v>0</v>
          </cell>
          <cell r="O4061">
            <v>9.8262000000000002E-3</v>
          </cell>
          <cell r="P4061">
            <v>5.5517900000000002E-2</v>
          </cell>
          <cell r="Q4061">
            <v>2.0364407</v>
          </cell>
          <cell r="R4061">
            <v>47.245339000000001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0.49348920000000002</v>
          </cell>
          <cell r="Y4061">
            <v>0</v>
          </cell>
          <cell r="Z4061">
            <v>0</v>
          </cell>
          <cell r="AA4061">
            <v>0</v>
          </cell>
          <cell r="AB4061">
            <v>2.90721E-2</v>
          </cell>
        </row>
        <row r="4062">
          <cell r="A4062">
            <v>58164870</v>
          </cell>
          <cell r="B4062" t="str">
            <v>Rice, brown, with soy-based sauce, fat not added in cooking</v>
          </cell>
          <cell r="I4062">
            <v>196</v>
          </cell>
          <cell r="J4062">
            <v>194.56227000000001</v>
          </cell>
          <cell r="K4062">
            <v>0.99266464285714295</v>
          </cell>
          <cell r="L4062">
            <v>2.2351611999999998</v>
          </cell>
          <cell r="M4062">
            <v>0.42697940000000001</v>
          </cell>
          <cell r="N4062">
            <v>0</v>
          </cell>
          <cell r="O4062">
            <v>7.4162000000000004E-3</v>
          </cell>
          <cell r="P4062">
            <v>4.5561499999999998E-2</v>
          </cell>
          <cell r="Q4062">
            <v>0.52240109999999995</v>
          </cell>
          <cell r="R4062">
            <v>48.317200999999997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0.77471780000000001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</row>
        <row r="4063">
          <cell r="A4063">
            <v>58164880</v>
          </cell>
          <cell r="B4063" t="str">
            <v>Rice, brown, with soy-based sauce, fat added in cooking</v>
          </cell>
          <cell r="I4063">
            <v>196</v>
          </cell>
          <cell r="J4063">
            <v>203.25107</v>
          </cell>
          <cell r="K4063">
            <v>1.0369952551020407</v>
          </cell>
          <cell r="L4063">
            <v>2.4734929000000001</v>
          </cell>
          <cell r="M4063">
            <v>0.72884179999999998</v>
          </cell>
          <cell r="N4063">
            <v>0</v>
          </cell>
          <cell r="O4063">
            <v>1.6917999999999999E-2</v>
          </cell>
          <cell r="P4063">
            <v>4.48174E-2</v>
          </cell>
          <cell r="Q4063">
            <v>1.8399759</v>
          </cell>
          <cell r="R4063">
            <v>47.528165999999999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0.76344829999999997</v>
          </cell>
          <cell r="Y4063">
            <v>0</v>
          </cell>
          <cell r="Z4063">
            <v>0</v>
          </cell>
          <cell r="AA4063">
            <v>0</v>
          </cell>
          <cell r="AB4063">
            <v>1.9721900000000001E-2</v>
          </cell>
        </row>
        <row r="4064">
          <cell r="A4064">
            <v>58165000</v>
          </cell>
          <cell r="B4064" t="str">
            <v>Rice, white, with vegetables, cheese and/or cream based sauce, NS as to fat added in cooking</v>
          </cell>
          <cell r="I4064">
            <v>196</v>
          </cell>
          <cell r="J4064">
            <v>285.51400000000001</v>
          </cell>
          <cell r="K4064">
            <v>1.4567040816326531</v>
          </cell>
          <cell r="L4064">
            <v>0.85746679999999997</v>
          </cell>
          <cell r="M4064">
            <v>4.6674099</v>
          </cell>
          <cell r="N4064">
            <v>0</v>
          </cell>
          <cell r="O4064">
            <v>0.18179580000000001</v>
          </cell>
          <cell r="P4064">
            <v>1.3153051</v>
          </cell>
          <cell r="Q4064">
            <v>2.0330549000000002</v>
          </cell>
          <cell r="R4064">
            <v>0</v>
          </cell>
          <cell r="S4064">
            <v>0</v>
          </cell>
          <cell r="T4064">
            <v>0</v>
          </cell>
          <cell r="U4064">
            <v>19.487883</v>
          </cell>
          <cell r="V4064">
            <v>0</v>
          </cell>
          <cell r="W4064">
            <v>0</v>
          </cell>
          <cell r="X4064">
            <v>0.51994910000000005</v>
          </cell>
          <cell r="Y4064">
            <v>0</v>
          </cell>
          <cell r="Z4064">
            <v>0</v>
          </cell>
          <cell r="AA4064">
            <v>0</v>
          </cell>
          <cell r="AB4064">
            <v>0.2594707</v>
          </cell>
        </row>
        <row r="4065">
          <cell r="A4065">
            <v>58165010</v>
          </cell>
          <cell r="B4065" t="str">
            <v>Rice, white, with vegetables, cheese and/or cream based sauce, fat not added in cooking</v>
          </cell>
          <cell r="I4065">
            <v>196</v>
          </cell>
          <cell r="J4065">
            <v>263.60734000000002</v>
          </cell>
          <cell r="K4065">
            <v>1.3449354081632654</v>
          </cell>
          <cell r="L4065">
            <v>0.87041919999999995</v>
          </cell>
          <cell r="M4065">
            <v>4.3329991000000003</v>
          </cell>
          <cell r="N4065">
            <v>0</v>
          </cell>
          <cell r="O4065">
            <v>0.18453439999999999</v>
          </cell>
          <cell r="P4065">
            <v>1.3351732000000001</v>
          </cell>
          <cell r="Q4065">
            <v>0.84428449999999999</v>
          </cell>
          <cell r="R4065">
            <v>0</v>
          </cell>
          <cell r="S4065">
            <v>0</v>
          </cell>
          <cell r="T4065">
            <v>0</v>
          </cell>
          <cell r="U4065">
            <v>19.782253000000001</v>
          </cell>
          <cell r="V4065">
            <v>0</v>
          </cell>
          <cell r="W4065">
            <v>0</v>
          </cell>
          <cell r="X4065">
            <v>0.52778829999999999</v>
          </cell>
          <cell r="Y4065">
            <v>0</v>
          </cell>
          <cell r="Z4065">
            <v>0</v>
          </cell>
          <cell r="AA4065">
            <v>0</v>
          </cell>
          <cell r="AB4065">
            <v>0.2513822</v>
          </cell>
        </row>
        <row r="4066">
          <cell r="A4066">
            <v>58165020</v>
          </cell>
          <cell r="B4066" t="str">
            <v>Rice, white, with vegetables, cheese and/or cream based sauce, fat added in cooking</v>
          </cell>
          <cell r="I4066">
            <v>196</v>
          </cell>
          <cell r="J4066">
            <v>285.51400000000001</v>
          </cell>
          <cell r="K4066">
            <v>1.4567040816326531</v>
          </cell>
          <cell r="L4066">
            <v>0.85746679999999997</v>
          </cell>
          <cell r="M4066">
            <v>4.6674099</v>
          </cell>
          <cell r="N4066">
            <v>0</v>
          </cell>
          <cell r="O4066">
            <v>0.18179580000000001</v>
          </cell>
          <cell r="P4066">
            <v>1.3153051</v>
          </cell>
          <cell r="Q4066">
            <v>2.0330549000000002</v>
          </cell>
          <cell r="R4066">
            <v>0</v>
          </cell>
          <cell r="S4066">
            <v>0</v>
          </cell>
          <cell r="T4066">
            <v>0</v>
          </cell>
          <cell r="U4066">
            <v>19.487883</v>
          </cell>
          <cell r="V4066">
            <v>0</v>
          </cell>
          <cell r="W4066">
            <v>0</v>
          </cell>
          <cell r="X4066">
            <v>0.51994910000000005</v>
          </cell>
          <cell r="Y4066">
            <v>0</v>
          </cell>
          <cell r="Z4066">
            <v>0</v>
          </cell>
          <cell r="AA4066">
            <v>0</v>
          </cell>
          <cell r="AB4066">
            <v>0.25944660000000003</v>
          </cell>
        </row>
        <row r="4067">
          <cell r="A4067">
            <v>58165040</v>
          </cell>
          <cell r="B4067" t="str">
            <v>Rice, white, with vegetables and gravy, fat not added in cooking</v>
          </cell>
          <cell r="I4067">
            <v>196</v>
          </cell>
          <cell r="J4067">
            <v>185.47201000000001</v>
          </cell>
          <cell r="K4067">
            <v>0.94628576530612252</v>
          </cell>
          <cell r="L4067">
            <v>0.87547359999999996</v>
          </cell>
          <cell r="M4067">
            <v>0.42412749999999999</v>
          </cell>
          <cell r="N4067">
            <v>0</v>
          </cell>
          <cell r="O4067">
            <v>2.5661099999999999E-2</v>
          </cell>
          <cell r="P4067">
            <v>1.3417870000000001</v>
          </cell>
          <cell r="Q4067">
            <v>0.31885859999999999</v>
          </cell>
          <cell r="R4067">
            <v>0</v>
          </cell>
          <cell r="S4067">
            <v>0</v>
          </cell>
          <cell r="T4067">
            <v>0</v>
          </cell>
          <cell r="U4067">
            <v>19.897127999999999</v>
          </cell>
          <cell r="V4067">
            <v>0</v>
          </cell>
          <cell r="W4067">
            <v>0</v>
          </cell>
          <cell r="X4067">
            <v>0.47170469999999998</v>
          </cell>
          <cell r="Y4067">
            <v>0</v>
          </cell>
          <cell r="Z4067">
            <v>0</v>
          </cell>
          <cell r="AA4067">
            <v>0</v>
          </cell>
          <cell r="AB4067">
            <v>4.62237E-2</v>
          </cell>
        </row>
        <row r="4068">
          <cell r="A4068">
            <v>58165050</v>
          </cell>
          <cell r="B4068" t="str">
            <v>Rice, white, with vegetables and gravy, fat added in cooking</v>
          </cell>
          <cell r="I4068">
            <v>196</v>
          </cell>
          <cell r="J4068">
            <v>208.67331999999999</v>
          </cell>
          <cell r="K4068">
            <v>1.0646597959183672</v>
          </cell>
          <cell r="L4068">
            <v>0.86237160000000002</v>
          </cell>
          <cell r="M4068">
            <v>0.81894990000000001</v>
          </cell>
          <cell r="N4068">
            <v>0</v>
          </cell>
          <cell r="O4068">
            <v>2.5284399999999999E-2</v>
          </cell>
          <cell r="P4068">
            <v>1.3217063</v>
          </cell>
          <cell r="Q4068">
            <v>1.5222922000000001</v>
          </cell>
          <cell r="R4068">
            <v>0</v>
          </cell>
          <cell r="S4068">
            <v>0</v>
          </cell>
          <cell r="T4068">
            <v>0</v>
          </cell>
          <cell r="U4068">
            <v>19.599354000000002</v>
          </cell>
          <cell r="V4068">
            <v>0</v>
          </cell>
          <cell r="W4068">
            <v>0</v>
          </cell>
          <cell r="X4068">
            <v>0.46466000000000002</v>
          </cell>
          <cell r="Y4068">
            <v>0</v>
          </cell>
          <cell r="Z4068">
            <v>0</v>
          </cell>
          <cell r="AA4068">
            <v>0</v>
          </cell>
          <cell r="AB4068">
            <v>4.87637E-2</v>
          </cell>
        </row>
        <row r="4069">
          <cell r="A4069">
            <v>58165060</v>
          </cell>
          <cell r="B4069" t="str">
            <v>Rice, white, with vegetables, soy-based sauce, NS as to fat added in cooking</v>
          </cell>
          <cell r="I4069">
            <v>196</v>
          </cell>
          <cell r="J4069">
            <v>205.72832</v>
          </cell>
          <cell r="K4069">
            <v>1.0496342857142857</v>
          </cell>
          <cell r="L4069">
            <v>0.86712869999999997</v>
          </cell>
          <cell r="M4069">
            <v>0.55240389999999995</v>
          </cell>
          <cell r="N4069">
            <v>0</v>
          </cell>
          <cell r="O4069">
            <v>2.3044700000000001E-2</v>
          </cell>
          <cell r="P4069">
            <v>1.3188306999999999</v>
          </cell>
          <cell r="Q4069">
            <v>1.3312945</v>
          </cell>
          <cell r="R4069">
            <v>0</v>
          </cell>
          <cell r="S4069">
            <v>0</v>
          </cell>
          <cell r="T4069">
            <v>0</v>
          </cell>
          <cell r="U4069">
            <v>19.707471000000002</v>
          </cell>
          <cell r="V4069">
            <v>0</v>
          </cell>
          <cell r="W4069">
            <v>0</v>
          </cell>
          <cell r="X4069">
            <v>0.71200669999999999</v>
          </cell>
          <cell r="Y4069">
            <v>0</v>
          </cell>
          <cell r="Z4069">
            <v>0</v>
          </cell>
          <cell r="AA4069">
            <v>0</v>
          </cell>
          <cell r="AB4069">
            <v>1.04514E-2</v>
          </cell>
        </row>
        <row r="4070">
          <cell r="A4070">
            <v>58165070</v>
          </cell>
          <cell r="B4070" t="str">
            <v>Rice, white, with vegetables, soy-based sauce, fat not added in cooking</v>
          </cell>
          <cell r="I4070">
            <v>196</v>
          </cell>
          <cell r="J4070">
            <v>182.35208</v>
          </cell>
          <cell r="K4070">
            <v>0.93036775510204084</v>
          </cell>
          <cell r="L4070">
            <v>0.88037679999999996</v>
          </cell>
          <cell r="M4070">
            <v>0.15129790000000001</v>
          </cell>
          <cell r="N4070">
            <v>0</v>
          </cell>
          <cell r="O4070">
            <v>2.3389299999999998E-2</v>
          </cell>
          <cell r="P4070">
            <v>1.3389799</v>
          </cell>
          <cell r="Q4070">
            <v>0.1182028</v>
          </cell>
          <cell r="R4070">
            <v>0</v>
          </cell>
          <cell r="S4070">
            <v>0</v>
          </cell>
          <cell r="T4070">
            <v>0</v>
          </cell>
          <cell r="U4070">
            <v>20.008564</v>
          </cell>
          <cell r="V4070">
            <v>0</v>
          </cell>
          <cell r="W4070">
            <v>0</v>
          </cell>
          <cell r="X4070">
            <v>0.72286980000000001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</row>
        <row r="4071">
          <cell r="A4071">
            <v>58165080</v>
          </cell>
          <cell r="B4071" t="str">
            <v>Rice, white, with vegetables, soy-based sauce, fat added in cooking</v>
          </cell>
          <cell r="I4071">
            <v>196</v>
          </cell>
          <cell r="J4071">
            <v>205.72832</v>
          </cell>
          <cell r="K4071">
            <v>1.0496342857142857</v>
          </cell>
          <cell r="L4071">
            <v>0.86712869999999997</v>
          </cell>
          <cell r="M4071">
            <v>0.55240389999999995</v>
          </cell>
          <cell r="N4071">
            <v>0</v>
          </cell>
          <cell r="O4071">
            <v>2.3044700000000001E-2</v>
          </cell>
          <cell r="P4071">
            <v>1.3188306999999999</v>
          </cell>
          <cell r="Q4071">
            <v>1.3312945</v>
          </cell>
          <cell r="R4071">
            <v>0</v>
          </cell>
          <cell r="S4071">
            <v>0</v>
          </cell>
          <cell r="T4071">
            <v>0</v>
          </cell>
          <cell r="U4071">
            <v>19.707471000000002</v>
          </cell>
          <cell r="V4071">
            <v>0</v>
          </cell>
          <cell r="W4071">
            <v>0</v>
          </cell>
          <cell r="X4071">
            <v>0.71200669999999999</v>
          </cell>
          <cell r="Y4071">
            <v>0</v>
          </cell>
          <cell r="Z4071">
            <v>0</v>
          </cell>
          <cell r="AA4071">
            <v>0</v>
          </cell>
          <cell r="AB4071">
            <v>1.04514E-2</v>
          </cell>
        </row>
        <row r="4072">
          <cell r="A4072">
            <v>58165400</v>
          </cell>
          <cell r="B4072" t="str">
            <v>Rice, brown, with vegetables, cheese and/or cream based sauce, NS as to fat added in cooking</v>
          </cell>
          <cell r="I4072">
            <v>196</v>
          </cell>
          <cell r="J4072">
            <v>274.37585999999999</v>
          </cell>
          <cell r="K4072">
            <v>1.3998768367346939</v>
          </cell>
          <cell r="L4072">
            <v>2.5516258000000001</v>
          </cell>
          <cell r="M4072">
            <v>4.3834860999999998</v>
          </cell>
          <cell r="N4072">
            <v>0</v>
          </cell>
          <cell r="O4072">
            <v>0.15644259999999999</v>
          </cell>
          <cell r="P4072">
            <v>0.81114770000000003</v>
          </cell>
          <cell r="Q4072">
            <v>2.1532266999999998</v>
          </cell>
          <cell r="R4072">
            <v>38.626399999999997</v>
          </cell>
          <cell r="S4072">
            <v>0</v>
          </cell>
          <cell r="T4072">
            <v>0</v>
          </cell>
          <cell r="U4072">
            <v>17.380967999999999</v>
          </cell>
          <cell r="V4072">
            <v>0</v>
          </cell>
          <cell r="W4072">
            <v>0</v>
          </cell>
          <cell r="X4072">
            <v>0.46729749999999998</v>
          </cell>
          <cell r="Y4072">
            <v>0</v>
          </cell>
          <cell r="Z4072">
            <v>0</v>
          </cell>
          <cell r="AA4072">
            <v>0</v>
          </cell>
          <cell r="AB4072">
            <v>0.20593620000000001</v>
          </cell>
        </row>
        <row r="4073">
          <cell r="A4073">
            <v>58165440</v>
          </cell>
          <cell r="B4073" t="str">
            <v>Rice, brown, with vegetables and gravy, fat not added in cooking</v>
          </cell>
          <cell r="I4073">
            <v>196</v>
          </cell>
          <cell r="J4073">
            <v>185.1438</v>
          </cell>
          <cell r="K4073">
            <v>0.94461122448979595</v>
          </cell>
          <cell r="L4073">
            <v>2.5993084</v>
          </cell>
          <cell r="M4073">
            <v>0.60222960000000003</v>
          </cell>
          <cell r="N4073">
            <v>0</v>
          </cell>
          <cell r="O4073">
            <v>1.703E-2</v>
          </cell>
          <cell r="P4073">
            <v>0.82529180000000002</v>
          </cell>
          <cell r="Q4073">
            <v>0.63006810000000002</v>
          </cell>
          <cell r="R4073">
            <v>39.348216999999998</v>
          </cell>
          <cell r="S4073">
            <v>0</v>
          </cell>
          <cell r="T4073">
            <v>0</v>
          </cell>
          <cell r="U4073">
            <v>17.705767999999999</v>
          </cell>
          <cell r="V4073">
            <v>0</v>
          </cell>
          <cell r="W4073">
            <v>0</v>
          </cell>
          <cell r="X4073">
            <v>0.4233826</v>
          </cell>
          <cell r="Y4073">
            <v>0</v>
          </cell>
          <cell r="Z4073">
            <v>0</v>
          </cell>
          <cell r="AA4073">
            <v>0</v>
          </cell>
          <cell r="AB4073">
            <v>5.0861999999999999E-3</v>
          </cell>
        </row>
        <row r="4074">
          <cell r="A4074">
            <v>58165470</v>
          </cell>
          <cell r="B4074" t="str">
            <v>Rice, brown, with vegetables, soy-based sauce, fat not added in cooking</v>
          </cell>
          <cell r="I4074">
            <v>196</v>
          </cell>
          <cell r="J4074">
            <v>182.36754999999999</v>
          </cell>
          <cell r="K4074">
            <v>0.93044668367346939</v>
          </cell>
          <cell r="L4074">
            <v>2.6122548999999999</v>
          </cell>
          <cell r="M4074">
            <v>0.36048459999999999</v>
          </cell>
          <cell r="N4074">
            <v>0</v>
          </cell>
          <cell r="O4074">
            <v>1.49666E-2</v>
          </cell>
          <cell r="P4074">
            <v>0.82022289999999998</v>
          </cell>
          <cell r="Q4074">
            <v>0.4531715</v>
          </cell>
          <cell r="R4074">
            <v>39.544199999999996</v>
          </cell>
          <cell r="S4074">
            <v>0</v>
          </cell>
          <cell r="T4074">
            <v>0</v>
          </cell>
          <cell r="U4074">
            <v>17.793956000000001</v>
          </cell>
          <cell r="V4074">
            <v>0</v>
          </cell>
          <cell r="W4074">
            <v>0</v>
          </cell>
          <cell r="X4074">
            <v>0.64650730000000001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</row>
        <row r="4075">
          <cell r="A4075">
            <v>58165480</v>
          </cell>
          <cell r="B4075" t="str">
            <v>Rice, brown, with vegetables, soy-based sauce, fat added in cooking</v>
          </cell>
          <cell r="I4075">
            <v>196</v>
          </cell>
          <cell r="J4075">
            <v>203.19092000000001</v>
          </cell>
          <cell r="K4075">
            <v>1.0366883673469387</v>
          </cell>
          <cell r="L4075">
            <v>2.5772377</v>
          </cell>
          <cell r="M4075">
            <v>0.71498600000000001</v>
          </cell>
          <cell r="N4075">
            <v>0</v>
          </cell>
          <cell r="O4075">
            <v>1.4772499999999999E-2</v>
          </cell>
          <cell r="P4075">
            <v>0.80922780000000005</v>
          </cell>
          <cell r="Q4075">
            <v>1.5293041999999999</v>
          </cell>
          <cell r="R4075">
            <v>39.014111999999997</v>
          </cell>
          <cell r="S4075">
            <v>0</v>
          </cell>
          <cell r="T4075">
            <v>0</v>
          </cell>
          <cell r="U4075">
            <v>17.555429</v>
          </cell>
          <cell r="V4075">
            <v>0</v>
          </cell>
          <cell r="W4075">
            <v>0</v>
          </cell>
          <cell r="X4075">
            <v>0.63785409999999998</v>
          </cell>
          <cell r="Y4075">
            <v>0</v>
          </cell>
          <cell r="Z4075">
            <v>0</v>
          </cell>
          <cell r="AA4075">
            <v>0</v>
          </cell>
          <cell r="AB4075">
            <v>9.3101E-3</v>
          </cell>
        </row>
        <row r="4076">
          <cell r="A4076">
            <v>58174000</v>
          </cell>
          <cell r="B4076" t="str">
            <v>Upma, Indian breakfast dish</v>
          </cell>
          <cell r="I4076">
            <v>160</v>
          </cell>
          <cell r="J4076">
            <v>138.52368000000001</v>
          </cell>
          <cell r="K4076">
            <v>0.86577300000000013</v>
          </cell>
          <cell r="L4076">
            <v>1.0404049</v>
          </cell>
          <cell r="M4076">
            <v>0.56622139999999999</v>
          </cell>
          <cell r="N4076">
            <v>0</v>
          </cell>
          <cell r="O4076">
            <v>0.1535543</v>
          </cell>
          <cell r="P4076">
            <v>0.91008330000000004</v>
          </cell>
          <cell r="Q4076">
            <v>1.7087112</v>
          </cell>
          <cell r="R4076">
            <v>0</v>
          </cell>
          <cell r="S4076">
            <v>0</v>
          </cell>
          <cell r="T4076">
            <v>0</v>
          </cell>
          <cell r="U4076">
            <v>71.881112000000002</v>
          </cell>
          <cell r="V4076">
            <v>0</v>
          </cell>
          <cell r="W4076">
            <v>0</v>
          </cell>
          <cell r="X4076">
            <v>0.15811020000000001</v>
          </cell>
          <cell r="Y4076">
            <v>0</v>
          </cell>
          <cell r="Z4076">
            <v>0</v>
          </cell>
          <cell r="AA4076">
            <v>0</v>
          </cell>
          <cell r="AB4076">
            <v>1.6545500000000001E-2</v>
          </cell>
        </row>
        <row r="4077">
          <cell r="A4077">
            <v>58174100</v>
          </cell>
          <cell r="B4077" t="str">
            <v>Dosa (Indian), with filling</v>
          </cell>
          <cell r="I4077">
            <v>160</v>
          </cell>
          <cell r="J4077">
            <v>293.26591999999999</v>
          </cell>
          <cell r="K4077">
            <v>1.8329119999999999</v>
          </cell>
          <cell r="L4077">
            <v>2.9410919999999998</v>
          </cell>
          <cell r="M4077">
            <v>0.93036609999999997</v>
          </cell>
          <cell r="N4077">
            <v>0</v>
          </cell>
          <cell r="O4077">
            <v>2.7136500000000001E-2</v>
          </cell>
          <cell r="P4077">
            <v>0.61965099999999995</v>
          </cell>
          <cell r="Q4077">
            <v>2.7497286000000001</v>
          </cell>
          <cell r="R4077">
            <v>0</v>
          </cell>
          <cell r="S4077">
            <v>24.985045</v>
          </cell>
          <cell r="T4077">
            <v>0</v>
          </cell>
          <cell r="U4077">
            <v>4.9910337</v>
          </cell>
          <cell r="V4077">
            <v>0</v>
          </cell>
          <cell r="W4077">
            <v>0</v>
          </cell>
          <cell r="X4077">
            <v>0.52947359999999999</v>
          </cell>
          <cell r="Y4077">
            <v>0</v>
          </cell>
          <cell r="Z4077">
            <v>0</v>
          </cell>
          <cell r="AA4077">
            <v>0</v>
          </cell>
          <cell r="AB4077">
            <v>4.9175299999999998E-2</v>
          </cell>
        </row>
        <row r="4078">
          <cell r="A4078">
            <v>58175000</v>
          </cell>
          <cell r="B4078" t="str">
            <v>Vada, fried dumpling</v>
          </cell>
          <cell r="I4078">
            <v>160</v>
          </cell>
          <cell r="J4078">
            <v>424.62491</v>
          </cell>
          <cell r="K4078">
            <v>2.6539056875</v>
          </cell>
          <cell r="L4078">
            <v>8.9310746000000005</v>
          </cell>
          <cell r="M4078">
            <v>2.1325547</v>
          </cell>
          <cell r="N4078">
            <v>0</v>
          </cell>
          <cell r="O4078">
            <v>3.8436199999999997E-2</v>
          </cell>
          <cell r="P4078">
            <v>0.1598541</v>
          </cell>
          <cell r="Q4078">
            <v>6.4518354999999996</v>
          </cell>
          <cell r="R4078">
            <v>0</v>
          </cell>
          <cell r="S4078">
            <v>81.883644000000004</v>
          </cell>
          <cell r="T4078">
            <v>0</v>
          </cell>
          <cell r="U4078">
            <v>10.875171</v>
          </cell>
          <cell r="V4078">
            <v>0</v>
          </cell>
          <cell r="W4078">
            <v>0</v>
          </cell>
          <cell r="X4078">
            <v>0.50453490000000001</v>
          </cell>
          <cell r="Y4078">
            <v>0</v>
          </cell>
          <cell r="Z4078">
            <v>0</v>
          </cell>
          <cell r="AA4078">
            <v>0</v>
          </cell>
          <cell r="AB4078">
            <v>6.0687199999999997E-2</v>
          </cell>
        </row>
        <row r="4079">
          <cell r="A4079">
            <v>58175110</v>
          </cell>
          <cell r="B4079" t="str">
            <v>Tabbouleh</v>
          </cell>
          <cell r="I4079">
            <v>160</v>
          </cell>
          <cell r="J4079">
            <v>197.34933000000001</v>
          </cell>
          <cell r="K4079">
            <v>1.2334333125000001</v>
          </cell>
          <cell r="L4079">
            <v>2.9063873999999998</v>
          </cell>
          <cell r="M4079">
            <v>2.0793493999999999</v>
          </cell>
          <cell r="N4079">
            <v>0</v>
          </cell>
          <cell r="O4079">
            <v>3.1441200000000002E-2</v>
          </cell>
          <cell r="P4079">
            <v>2.3275199999999999E-2</v>
          </cell>
          <cell r="Q4079">
            <v>1.6615610000000001</v>
          </cell>
          <cell r="R4079">
            <v>14.161381</v>
          </cell>
          <cell r="S4079">
            <v>0</v>
          </cell>
          <cell r="T4079">
            <v>18.814406000000002</v>
          </cell>
          <cell r="U4079">
            <v>62.444946000000002</v>
          </cell>
          <cell r="V4079">
            <v>0</v>
          </cell>
          <cell r="W4079">
            <v>0</v>
          </cell>
          <cell r="X4079">
            <v>0.79647009999999996</v>
          </cell>
          <cell r="Y4079">
            <v>0</v>
          </cell>
          <cell r="Z4079">
            <v>0</v>
          </cell>
          <cell r="AA4079">
            <v>0</v>
          </cell>
          <cell r="AB4079">
            <v>9.0316400000000005E-2</v>
          </cell>
        </row>
        <row r="4080">
          <cell r="A4080">
            <v>58200100</v>
          </cell>
          <cell r="B4080" t="str">
            <v>Wrap sandwich, filled with meat, poultry, or fish, vegetables, and rice</v>
          </cell>
          <cell r="I4080">
            <v>140</v>
          </cell>
          <cell r="J4080">
            <v>219.05588</v>
          </cell>
          <cell r="K4080">
            <v>1.5646848571428571</v>
          </cell>
          <cell r="L4080">
            <v>1.595294</v>
          </cell>
          <cell r="M4080">
            <v>2.6456770999999999</v>
          </cell>
          <cell r="N4080">
            <v>0</v>
          </cell>
          <cell r="O4080">
            <v>4.9087600000000002E-2</v>
          </cell>
          <cell r="P4080">
            <v>0.76136839999999995</v>
          </cell>
          <cell r="Q4080">
            <v>0.98487740000000001</v>
          </cell>
          <cell r="R4080">
            <v>0</v>
          </cell>
          <cell r="S4080">
            <v>7.9249799000000003</v>
          </cell>
          <cell r="T4080">
            <v>7.7656419999999997</v>
          </cell>
          <cell r="U4080">
            <v>23.777626999999999</v>
          </cell>
          <cell r="V4080">
            <v>0</v>
          </cell>
          <cell r="W4080">
            <v>0</v>
          </cell>
          <cell r="X4080">
            <v>0.38237480000000001</v>
          </cell>
          <cell r="Y4080">
            <v>0</v>
          </cell>
          <cell r="Z4080">
            <v>0</v>
          </cell>
          <cell r="AA4080">
            <v>0</v>
          </cell>
          <cell r="AB4080">
            <v>0.2111828</v>
          </cell>
        </row>
        <row r="4081">
          <cell r="A4081">
            <v>58200250</v>
          </cell>
          <cell r="B4081" t="str">
            <v>Wrap sandwich, filled with vegetables</v>
          </cell>
          <cell r="I4081">
            <v>140</v>
          </cell>
          <cell r="J4081">
            <v>170.74742000000001</v>
          </cell>
          <cell r="K4081">
            <v>1.2196244285714286</v>
          </cell>
          <cell r="L4081">
            <v>1.3961473</v>
          </cell>
          <cell r="M4081">
            <v>4.5467491999999998</v>
          </cell>
          <cell r="N4081">
            <v>0</v>
          </cell>
          <cell r="O4081">
            <v>7.5062500000000004E-2</v>
          </cell>
          <cell r="P4081">
            <v>0.99100679999999997</v>
          </cell>
          <cell r="Q4081">
            <v>0.98998960000000003</v>
          </cell>
          <cell r="R4081">
            <v>0</v>
          </cell>
          <cell r="S4081">
            <v>0</v>
          </cell>
          <cell r="T4081">
            <v>0</v>
          </cell>
          <cell r="U4081">
            <v>93.438412</v>
          </cell>
          <cell r="V4081">
            <v>0</v>
          </cell>
          <cell r="W4081">
            <v>0</v>
          </cell>
          <cell r="X4081">
            <v>0.28013440000000001</v>
          </cell>
          <cell r="Y4081">
            <v>0</v>
          </cell>
          <cell r="Z4081">
            <v>0</v>
          </cell>
          <cell r="AA4081">
            <v>0</v>
          </cell>
          <cell r="AB4081">
            <v>0.3164187</v>
          </cell>
        </row>
        <row r="4082">
          <cell r="A4082">
            <v>58201025</v>
          </cell>
          <cell r="B4082" t="str">
            <v>Jelly sandwich, regular jelly, on whole wheat bread</v>
          </cell>
          <cell r="I4082">
            <v>140</v>
          </cell>
          <cell r="J4082">
            <v>369.75400000000002</v>
          </cell>
          <cell r="K4082">
            <v>2.6411000000000002</v>
          </cell>
          <cell r="L4082">
            <v>4.0063452000000002</v>
          </cell>
          <cell r="M4082">
            <v>0.60453400000000002</v>
          </cell>
          <cell r="N4082">
            <v>0</v>
          </cell>
          <cell r="O4082">
            <v>0.13894999999999999</v>
          </cell>
          <cell r="P4082">
            <v>1.0812548</v>
          </cell>
          <cell r="Q4082">
            <v>1.31243</v>
          </cell>
          <cell r="R4082">
            <v>29.037120000000002</v>
          </cell>
          <cell r="S4082">
            <v>0</v>
          </cell>
          <cell r="T4082">
            <v>25.259360000000001</v>
          </cell>
          <cell r="U4082">
            <v>0</v>
          </cell>
          <cell r="V4082">
            <v>0</v>
          </cell>
          <cell r="W4082">
            <v>0</v>
          </cell>
          <cell r="X4082">
            <v>0.40677000000000002</v>
          </cell>
          <cell r="Y4082">
            <v>8.3349000000000006E-2</v>
          </cell>
          <cell r="Z4082">
            <v>0</v>
          </cell>
          <cell r="AA4082">
            <v>0</v>
          </cell>
          <cell r="AB4082">
            <v>7.8733399999999995E-2</v>
          </cell>
        </row>
        <row r="4083">
          <cell r="A4083">
            <v>58301050</v>
          </cell>
          <cell r="B4083" t="str">
            <v>Lasagna with cheese and meat sauce, diet frozen meal</v>
          </cell>
          <cell r="I4083">
            <v>195</v>
          </cell>
          <cell r="J4083">
            <v>229.58663999999999</v>
          </cell>
          <cell r="K4083">
            <v>1.1773673846153845</v>
          </cell>
          <cell r="L4083">
            <v>1.2980480000000001</v>
          </cell>
          <cell r="M4083">
            <v>3.7522001999999999</v>
          </cell>
          <cell r="N4083">
            <v>0</v>
          </cell>
          <cell r="O4083">
            <v>0.1555686</v>
          </cell>
          <cell r="P4083">
            <v>0.8971171</v>
          </cell>
          <cell r="Q4083">
            <v>0.51307250000000004</v>
          </cell>
          <cell r="R4083">
            <v>0</v>
          </cell>
          <cell r="S4083">
            <v>0</v>
          </cell>
          <cell r="T4083">
            <v>0</v>
          </cell>
          <cell r="U4083">
            <v>68.318318000000005</v>
          </cell>
          <cell r="V4083">
            <v>0</v>
          </cell>
          <cell r="W4083">
            <v>0</v>
          </cell>
          <cell r="X4083">
            <v>0.47044380000000002</v>
          </cell>
          <cell r="Y4083">
            <v>0</v>
          </cell>
          <cell r="Z4083">
            <v>18.206149</v>
          </cell>
          <cell r="AA4083">
            <v>0</v>
          </cell>
          <cell r="AB4083">
            <v>0.1714812</v>
          </cell>
        </row>
        <row r="4084">
          <cell r="A4084">
            <v>58301110</v>
          </cell>
          <cell r="B4084" t="str">
            <v>Vegetable lasagna (frozen meal)</v>
          </cell>
          <cell r="I4084">
            <v>195</v>
          </cell>
          <cell r="J4084">
            <v>285.11477000000002</v>
          </cell>
          <cell r="K4084">
            <v>1.4621270256410257</v>
          </cell>
          <cell r="L4084">
            <v>2.2424168999999998</v>
          </cell>
          <cell r="M4084">
            <v>4.9390299999999998</v>
          </cell>
          <cell r="N4084">
            <v>0</v>
          </cell>
          <cell r="O4084">
            <v>0.15140680000000001</v>
          </cell>
          <cell r="P4084">
            <v>1.0720012999999999</v>
          </cell>
          <cell r="Q4084">
            <v>3.2574700000000001</v>
          </cell>
          <cell r="R4084">
            <v>0</v>
          </cell>
          <cell r="S4084">
            <v>0</v>
          </cell>
          <cell r="T4084">
            <v>0</v>
          </cell>
          <cell r="U4084">
            <v>87.442454999999995</v>
          </cell>
          <cell r="V4084">
            <v>0</v>
          </cell>
          <cell r="W4084">
            <v>0</v>
          </cell>
          <cell r="X4084">
            <v>0.60227149999999996</v>
          </cell>
          <cell r="Y4084">
            <v>0</v>
          </cell>
          <cell r="Z4084">
            <v>0</v>
          </cell>
          <cell r="AA4084">
            <v>0</v>
          </cell>
          <cell r="AB4084">
            <v>1.2661742</v>
          </cell>
        </row>
        <row r="4085">
          <cell r="A4085">
            <v>58301150</v>
          </cell>
          <cell r="B4085" t="str">
            <v>Zucchini lasagna (diet frozen meal)</v>
          </cell>
          <cell r="I4085">
            <v>195</v>
          </cell>
          <cell r="J4085">
            <v>192.89689999999999</v>
          </cell>
          <cell r="K4085">
            <v>0.98921487179487178</v>
          </cell>
          <cell r="L4085">
            <v>1.4687779000000001</v>
          </cell>
          <cell r="M4085">
            <v>3.2875930000000002</v>
          </cell>
          <cell r="N4085">
            <v>0</v>
          </cell>
          <cell r="O4085">
            <v>0.22015399999999999</v>
          </cell>
          <cell r="P4085">
            <v>1.1582129000000001</v>
          </cell>
          <cell r="Q4085">
            <v>0.54939970000000005</v>
          </cell>
          <cell r="R4085">
            <v>0</v>
          </cell>
          <cell r="S4085">
            <v>0</v>
          </cell>
          <cell r="T4085">
            <v>0</v>
          </cell>
          <cell r="U4085">
            <v>121.97109</v>
          </cell>
          <cell r="V4085">
            <v>0</v>
          </cell>
          <cell r="W4085">
            <v>0</v>
          </cell>
          <cell r="X4085">
            <v>0.59952700000000003</v>
          </cell>
          <cell r="Y4085">
            <v>0</v>
          </cell>
          <cell r="Z4085">
            <v>0</v>
          </cell>
          <cell r="AA4085">
            <v>0</v>
          </cell>
          <cell r="AB4085">
            <v>0.24850149999999999</v>
          </cell>
        </row>
        <row r="4086">
          <cell r="A4086">
            <v>58302000</v>
          </cell>
          <cell r="B4086" t="str">
            <v>Macaroni and cheese, diet frozen meal</v>
          </cell>
          <cell r="I4086">
            <v>195</v>
          </cell>
          <cell r="J4086">
            <v>230.61726999999999</v>
          </cell>
          <cell r="K4086">
            <v>1.1826526666666666</v>
          </cell>
          <cell r="L4086">
            <v>0</v>
          </cell>
          <cell r="M4086">
            <v>3.6998253999999999</v>
          </cell>
          <cell r="N4086">
            <v>0</v>
          </cell>
          <cell r="O4086">
            <v>0.19736380000000001</v>
          </cell>
          <cell r="P4086">
            <v>1.4791892</v>
          </cell>
          <cell r="Q4086">
            <v>0.53097970000000005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0.44698719999999997</v>
          </cell>
          <cell r="Y4086">
            <v>0</v>
          </cell>
          <cell r="Z4086">
            <v>0</v>
          </cell>
          <cell r="AA4086">
            <v>0</v>
          </cell>
          <cell r="AB4086">
            <v>0.23673659999999999</v>
          </cell>
        </row>
        <row r="4087">
          <cell r="A4087">
            <v>58302050</v>
          </cell>
          <cell r="B4087" t="str">
            <v>Beef and noodles with meat sauce and cheese, diet frozen meal</v>
          </cell>
          <cell r="I4087">
            <v>195</v>
          </cell>
          <cell r="J4087">
            <v>259.23865999999998</v>
          </cell>
          <cell r="K4087">
            <v>1.3294290256410255</v>
          </cell>
          <cell r="L4087">
            <v>1.1926729</v>
          </cell>
          <cell r="M4087">
            <v>4.0903866999999998</v>
          </cell>
          <cell r="N4087">
            <v>0</v>
          </cell>
          <cell r="O4087">
            <v>0.15227650000000001</v>
          </cell>
          <cell r="P4087">
            <v>1.1187905</v>
          </cell>
          <cell r="Q4087">
            <v>0.59871719999999995</v>
          </cell>
          <cell r="R4087">
            <v>0</v>
          </cell>
          <cell r="S4087">
            <v>0</v>
          </cell>
          <cell r="T4087">
            <v>0</v>
          </cell>
          <cell r="U4087">
            <v>62.806548999999997</v>
          </cell>
          <cell r="V4087">
            <v>0</v>
          </cell>
          <cell r="W4087">
            <v>0</v>
          </cell>
          <cell r="X4087">
            <v>0.65735589999999999</v>
          </cell>
          <cell r="Y4087">
            <v>0</v>
          </cell>
          <cell r="Z4087">
            <v>30.147138000000002</v>
          </cell>
          <cell r="AA4087">
            <v>0</v>
          </cell>
          <cell r="AB4087">
            <v>0.31269819999999998</v>
          </cell>
        </row>
        <row r="4088">
          <cell r="A4088">
            <v>58302080</v>
          </cell>
          <cell r="B4088" t="str">
            <v>Noodles with vegetables in tomato-based sauce, diet frozen meal</v>
          </cell>
          <cell r="I4088">
            <v>195</v>
          </cell>
          <cell r="J4088">
            <v>129.63889</v>
          </cell>
          <cell r="K4088">
            <v>0.66481482051282048</v>
          </cell>
          <cell r="L4088">
            <v>2.3597538</v>
          </cell>
          <cell r="M4088">
            <v>1.2765844</v>
          </cell>
          <cell r="N4088">
            <v>0</v>
          </cell>
          <cell r="O4088">
            <v>9.2541999999999999E-2</v>
          </cell>
          <cell r="P4088">
            <v>0.94314410000000004</v>
          </cell>
          <cell r="Q4088">
            <v>0.43718449999999998</v>
          </cell>
          <cell r="R4088">
            <v>0</v>
          </cell>
          <cell r="S4088">
            <v>0</v>
          </cell>
          <cell r="T4088">
            <v>0</v>
          </cell>
          <cell r="U4088">
            <v>136.20721</v>
          </cell>
          <cell r="V4088">
            <v>0</v>
          </cell>
          <cell r="W4088">
            <v>0</v>
          </cell>
          <cell r="X4088">
            <v>0.26191490000000001</v>
          </cell>
          <cell r="Y4088">
            <v>0</v>
          </cell>
          <cell r="Z4088">
            <v>0</v>
          </cell>
          <cell r="AA4088">
            <v>0</v>
          </cell>
          <cell r="AB4088">
            <v>8.5752099999999998E-2</v>
          </cell>
        </row>
        <row r="4089">
          <cell r="A4089">
            <v>58304010</v>
          </cell>
          <cell r="B4089" t="str">
            <v>Spaghetti and meatballs dinner, NFS, frozen meal</v>
          </cell>
          <cell r="I4089">
            <v>195</v>
          </cell>
          <cell r="J4089">
            <v>217.89454000000001</v>
          </cell>
          <cell r="K4089">
            <v>1.1174078974358974</v>
          </cell>
          <cell r="L4089">
            <v>0.53738059999999999</v>
          </cell>
          <cell r="M4089">
            <v>1.9384735</v>
          </cell>
          <cell r="N4089">
            <v>0</v>
          </cell>
          <cell r="O4089">
            <v>4.2921300000000003E-2</v>
          </cell>
          <cell r="P4089">
            <v>1.8701909999999999</v>
          </cell>
          <cell r="Q4089">
            <v>1.0173083000000001</v>
          </cell>
          <cell r="R4089">
            <v>0</v>
          </cell>
          <cell r="S4089">
            <v>0</v>
          </cell>
          <cell r="T4089">
            <v>0</v>
          </cell>
          <cell r="U4089">
            <v>74.488404000000003</v>
          </cell>
          <cell r="V4089">
            <v>0</v>
          </cell>
          <cell r="W4089">
            <v>0</v>
          </cell>
          <cell r="X4089">
            <v>0.57139629999999997</v>
          </cell>
          <cell r="Y4089">
            <v>0</v>
          </cell>
          <cell r="Z4089">
            <v>16.788383</v>
          </cell>
          <cell r="AA4089">
            <v>0</v>
          </cell>
          <cell r="AB4089">
            <v>0.57790759999999997</v>
          </cell>
        </row>
        <row r="4090">
          <cell r="A4090">
            <v>58304050</v>
          </cell>
          <cell r="B4090" t="str">
            <v>Spaghetti with meat and mushroom sauce (diet frozen meal)</v>
          </cell>
          <cell r="I4090">
            <v>195</v>
          </cell>
          <cell r="J4090">
            <v>224.37569999999999</v>
          </cell>
          <cell r="K4090">
            <v>1.1506446153846153</v>
          </cell>
          <cell r="L4090">
            <v>1.4556745</v>
          </cell>
          <cell r="M4090">
            <v>1.7158559</v>
          </cell>
          <cell r="N4090">
            <v>0</v>
          </cell>
          <cell r="O4090">
            <v>3.2920499999999998E-2</v>
          </cell>
          <cell r="P4090">
            <v>1.3603696000000001</v>
          </cell>
          <cell r="Q4090">
            <v>0.94276099999999996</v>
          </cell>
          <cell r="R4090">
            <v>0</v>
          </cell>
          <cell r="S4090">
            <v>0</v>
          </cell>
          <cell r="T4090">
            <v>0</v>
          </cell>
          <cell r="U4090">
            <v>93.977639999999994</v>
          </cell>
          <cell r="V4090">
            <v>0</v>
          </cell>
          <cell r="W4090">
            <v>0</v>
          </cell>
          <cell r="X4090">
            <v>0.80216430000000005</v>
          </cell>
          <cell r="Y4090">
            <v>0</v>
          </cell>
          <cell r="Z4090">
            <v>19.174389999999999</v>
          </cell>
          <cell r="AA4090">
            <v>0</v>
          </cell>
          <cell r="AB4090">
            <v>0.13941690000000001</v>
          </cell>
        </row>
        <row r="4091">
          <cell r="A4091">
            <v>58304060</v>
          </cell>
          <cell r="B4091" t="str">
            <v>Spaghetti with meat sauce, diet frozen meal</v>
          </cell>
          <cell r="I4091">
            <v>195</v>
          </cell>
          <cell r="J4091">
            <v>217.89454000000001</v>
          </cell>
          <cell r="K4091">
            <v>1.1174078974358974</v>
          </cell>
          <cell r="L4091">
            <v>0.53738059999999999</v>
          </cell>
          <cell r="M4091">
            <v>1.9384735</v>
          </cell>
          <cell r="N4091">
            <v>0</v>
          </cell>
          <cell r="O4091">
            <v>4.2921300000000003E-2</v>
          </cell>
          <cell r="P4091">
            <v>1.8701909999999999</v>
          </cell>
          <cell r="Q4091">
            <v>1.0173083000000001</v>
          </cell>
          <cell r="R4091">
            <v>0</v>
          </cell>
          <cell r="S4091">
            <v>0</v>
          </cell>
          <cell r="T4091">
            <v>0</v>
          </cell>
          <cell r="U4091">
            <v>74.488404000000003</v>
          </cell>
          <cell r="V4091">
            <v>0</v>
          </cell>
          <cell r="W4091">
            <v>0</v>
          </cell>
          <cell r="X4091">
            <v>0.57139629999999997</v>
          </cell>
          <cell r="Y4091">
            <v>0</v>
          </cell>
          <cell r="Z4091">
            <v>16.788383</v>
          </cell>
          <cell r="AA4091">
            <v>0</v>
          </cell>
          <cell r="AB4091">
            <v>0.57790759999999997</v>
          </cell>
        </row>
        <row r="4092">
          <cell r="A4092">
            <v>58304200</v>
          </cell>
          <cell r="B4092" t="str">
            <v>Ravioli, cheese-filled, with tomato sauce, diet frozen meal</v>
          </cell>
          <cell r="I4092">
            <v>195</v>
          </cell>
          <cell r="J4092">
            <v>219.21037000000001</v>
          </cell>
          <cell r="K4092">
            <v>1.1241557435897436</v>
          </cell>
          <cell r="L4092">
            <v>1.1828942</v>
          </cell>
          <cell r="M4092">
            <v>4.3214053000000003</v>
          </cell>
          <cell r="N4092">
            <v>0</v>
          </cell>
          <cell r="O4092">
            <v>0.2841188</v>
          </cell>
          <cell r="P4092">
            <v>0.86244390000000004</v>
          </cell>
          <cell r="Q4092">
            <v>0.93447239999999998</v>
          </cell>
          <cell r="R4092">
            <v>0</v>
          </cell>
          <cell r="S4092">
            <v>0</v>
          </cell>
          <cell r="T4092">
            <v>0</v>
          </cell>
          <cell r="U4092">
            <v>72.140563</v>
          </cell>
          <cell r="V4092">
            <v>0</v>
          </cell>
          <cell r="W4092">
            <v>0</v>
          </cell>
          <cell r="X4092">
            <v>0.71354030000000002</v>
          </cell>
          <cell r="Y4092">
            <v>0</v>
          </cell>
          <cell r="Z4092">
            <v>0</v>
          </cell>
          <cell r="AA4092">
            <v>0</v>
          </cell>
          <cell r="AB4092">
            <v>0.16470199999999999</v>
          </cell>
        </row>
        <row r="4093">
          <cell r="A4093">
            <v>58305250</v>
          </cell>
          <cell r="B4093" t="str">
            <v>Pasta with vegetable and cheese sauce, diet frozen meal</v>
          </cell>
          <cell r="I4093">
            <v>195</v>
          </cell>
          <cell r="J4093">
            <v>211.50810999999999</v>
          </cell>
          <cell r="K4093">
            <v>1.0846569743589742</v>
          </cell>
          <cell r="L4093">
            <v>1.6722973000000001</v>
          </cell>
          <cell r="M4093">
            <v>2.1417142</v>
          </cell>
          <cell r="N4093">
            <v>0</v>
          </cell>
          <cell r="O4093">
            <v>0.13583509999999999</v>
          </cell>
          <cell r="P4093">
            <v>1.2707432000000001</v>
          </cell>
          <cell r="Q4093">
            <v>0.8907872</v>
          </cell>
          <cell r="R4093">
            <v>0</v>
          </cell>
          <cell r="S4093">
            <v>0</v>
          </cell>
          <cell r="T4093">
            <v>0</v>
          </cell>
          <cell r="U4093">
            <v>50.675676000000003</v>
          </cell>
          <cell r="V4093">
            <v>0</v>
          </cell>
          <cell r="W4093">
            <v>0</v>
          </cell>
          <cell r="X4093">
            <v>0.45221149999999999</v>
          </cell>
          <cell r="Y4093">
            <v>0</v>
          </cell>
          <cell r="Z4093">
            <v>0</v>
          </cell>
          <cell r="AA4093">
            <v>0</v>
          </cell>
          <cell r="AB4093">
            <v>0.17109840000000001</v>
          </cell>
        </row>
        <row r="4094">
          <cell r="A4094">
            <v>58306100</v>
          </cell>
          <cell r="B4094" t="str">
            <v>Chicken enchilada, diet frozen meal</v>
          </cell>
          <cell r="I4094">
            <v>195</v>
          </cell>
          <cell r="J4094">
            <v>285.51076999999998</v>
          </cell>
          <cell r="K4094">
            <v>1.4641577948717948</v>
          </cell>
          <cell r="L4094">
            <v>0.52915679999999998</v>
          </cell>
          <cell r="M4094">
            <v>6.1820548999999998</v>
          </cell>
          <cell r="N4094">
            <v>0</v>
          </cell>
          <cell r="O4094">
            <v>0.27147949999999998</v>
          </cell>
          <cell r="P4094">
            <v>1.7148599</v>
          </cell>
          <cell r="Q4094">
            <v>1.1472549000000001</v>
          </cell>
          <cell r="R4094">
            <v>0</v>
          </cell>
          <cell r="S4094">
            <v>0</v>
          </cell>
          <cell r="T4094">
            <v>0</v>
          </cell>
          <cell r="U4094">
            <v>35.277116999999997</v>
          </cell>
          <cell r="V4094">
            <v>0</v>
          </cell>
          <cell r="W4094">
            <v>0</v>
          </cell>
          <cell r="X4094">
            <v>0.80280899999999999</v>
          </cell>
          <cell r="Y4094">
            <v>0</v>
          </cell>
          <cell r="Z4094">
            <v>0</v>
          </cell>
          <cell r="AA4094">
            <v>0</v>
          </cell>
          <cell r="AB4094">
            <v>0.29984470000000002</v>
          </cell>
        </row>
        <row r="4095">
          <cell r="A4095">
            <v>58310310</v>
          </cell>
          <cell r="B4095" t="str">
            <v>Pancakes and sausage, frozen meal</v>
          </cell>
          <cell r="I4095">
            <v>195</v>
          </cell>
          <cell r="J4095">
            <v>526.79947000000004</v>
          </cell>
          <cell r="K4095">
            <v>2.7015357435897438</v>
          </cell>
          <cell r="L4095">
            <v>0</v>
          </cell>
          <cell r="M4095">
            <v>6.9299637000000001</v>
          </cell>
          <cell r="N4095">
            <v>0</v>
          </cell>
          <cell r="O4095">
            <v>9.3413399999999994E-2</v>
          </cell>
          <cell r="P4095">
            <v>1.2439457</v>
          </cell>
          <cell r="Q4095">
            <v>6.3991559000000002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1.1197861</v>
          </cell>
          <cell r="Y4095">
            <v>0</v>
          </cell>
          <cell r="Z4095">
            <v>0</v>
          </cell>
          <cell r="AA4095">
            <v>36.441388000000003</v>
          </cell>
          <cell r="AB4095">
            <v>2.2848286999999998</v>
          </cell>
        </row>
        <row r="4096">
          <cell r="A4096">
            <v>58400000</v>
          </cell>
          <cell r="B4096" t="str">
            <v>Soup, NFS</v>
          </cell>
          <cell r="I4096">
            <v>245</v>
          </cell>
          <cell r="J4096">
            <v>59.487144999999998</v>
          </cell>
          <cell r="K4096">
            <v>0.24280467346938775</v>
          </cell>
          <cell r="L4096">
            <v>0</v>
          </cell>
          <cell r="M4096">
            <v>0.48209370000000001</v>
          </cell>
          <cell r="N4096">
            <v>0</v>
          </cell>
          <cell r="O4096">
            <v>1.10679E-2</v>
          </cell>
          <cell r="P4096">
            <v>1.1153839999999999</v>
          </cell>
          <cell r="Q4096">
            <v>0.420128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0.84881660000000003</v>
          </cell>
          <cell r="Y4096">
            <v>0</v>
          </cell>
          <cell r="Z4096">
            <v>0</v>
          </cell>
          <cell r="AA4096">
            <v>0</v>
          </cell>
          <cell r="AB4096">
            <v>8.6751999999999992E-3</v>
          </cell>
        </row>
        <row r="4097">
          <cell r="A4097">
            <v>58400100</v>
          </cell>
          <cell r="B4097" t="str">
            <v>Noodle soup, NFS</v>
          </cell>
          <cell r="I4097">
            <v>245</v>
          </cell>
          <cell r="J4097">
            <v>163.99946</v>
          </cell>
          <cell r="K4097">
            <v>0.6693855510204082</v>
          </cell>
          <cell r="L4097">
            <v>1.3599999999999999E-16</v>
          </cell>
          <cell r="M4097">
            <v>3.0254173999999998</v>
          </cell>
          <cell r="N4097">
            <v>0</v>
          </cell>
          <cell r="O4097">
            <v>1.40591E-2</v>
          </cell>
          <cell r="P4097">
            <v>1.0809055999999999</v>
          </cell>
          <cell r="Q4097">
            <v>0.81925190000000003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0.69971589999999995</v>
          </cell>
          <cell r="Y4097">
            <v>0</v>
          </cell>
          <cell r="Z4097">
            <v>0</v>
          </cell>
          <cell r="AA4097">
            <v>0</v>
          </cell>
          <cell r="AB4097">
            <v>2.4227200000000001E-2</v>
          </cell>
        </row>
        <row r="4098">
          <cell r="A4098">
            <v>58400200</v>
          </cell>
          <cell r="B4098" t="str">
            <v>Rice soup, NFS</v>
          </cell>
          <cell r="I4098">
            <v>245</v>
          </cell>
          <cell r="J4098">
            <v>83.580471000000003</v>
          </cell>
          <cell r="K4098">
            <v>0.34114477959183676</v>
          </cell>
          <cell r="L4098">
            <v>0.25954739999999998</v>
          </cell>
          <cell r="M4098">
            <v>0.45477610000000002</v>
          </cell>
          <cell r="N4098">
            <v>0</v>
          </cell>
          <cell r="O4098">
            <v>5.4056699999999999E-2</v>
          </cell>
          <cell r="P4098">
            <v>0.84666470000000005</v>
          </cell>
          <cell r="Q4098">
            <v>0.41790240000000001</v>
          </cell>
          <cell r="R4098">
            <v>0</v>
          </cell>
          <cell r="S4098">
            <v>0</v>
          </cell>
          <cell r="T4098">
            <v>0</v>
          </cell>
          <cell r="U4098">
            <v>9.0340656999999993</v>
          </cell>
          <cell r="V4098">
            <v>0</v>
          </cell>
          <cell r="W4098">
            <v>0</v>
          </cell>
          <cell r="X4098">
            <v>0.79766890000000001</v>
          </cell>
          <cell r="Y4098">
            <v>0</v>
          </cell>
          <cell r="Z4098">
            <v>0</v>
          </cell>
          <cell r="AA4098">
            <v>0</v>
          </cell>
          <cell r="AB4098">
            <v>3.6971799999999999E-2</v>
          </cell>
        </row>
        <row r="4099">
          <cell r="A4099">
            <v>58401010</v>
          </cell>
          <cell r="B4099" t="str">
            <v>Barley soup, home recipe, canned, or ready-to-serve</v>
          </cell>
          <cell r="I4099">
            <v>245</v>
          </cell>
          <cell r="J4099">
            <v>127.4</v>
          </cell>
          <cell r="K4099">
            <v>0.52</v>
          </cell>
          <cell r="L4099">
            <v>1.3873139999999999</v>
          </cell>
          <cell r="M4099">
            <v>0.80605000000000004</v>
          </cell>
          <cell r="N4099">
            <v>0</v>
          </cell>
          <cell r="O4099">
            <v>2.6950000000000002E-2</v>
          </cell>
          <cell r="P4099">
            <v>0.81768600000000002</v>
          </cell>
          <cell r="Q4099">
            <v>0.56840000000000002</v>
          </cell>
          <cell r="R4099">
            <v>0</v>
          </cell>
          <cell r="S4099">
            <v>0</v>
          </cell>
          <cell r="T4099">
            <v>0</v>
          </cell>
          <cell r="U4099">
            <v>90.037499999999994</v>
          </cell>
          <cell r="V4099">
            <v>0</v>
          </cell>
          <cell r="W4099">
            <v>0</v>
          </cell>
          <cell r="X4099">
            <v>0.72765000000000002</v>
          </cell>
          <cell r="Y4099">
            <v>0</v>
          </cell>
          <cell r="Z4099">
            <v>17.364374999999999</v>
          </cell>
          <cell r="AA4099">
            <v>0</v>
          </cell>
          <cell r="AB4099">
            <v>8.3299999999999999E-2</v>
          </cell>
        </row>
        <row r="4100">
          <cell r="A4100">
            <v>58401200</v>
          </cell>
          <cell r="B4100" t="str">
            <v>Barley soup, sweet, with or without nuts, Asian Style</v>
          </cell>
          <cell r="I4100">
            <v>245</v>
          </cell>
          <cell r="J4100">
            <v>134.14589000000001</v>
          </cell>
          <cell r="K4100">
            <v>0.54753424489795921</v>
          </cell>
          <cell r="L4100">
            <v>0.62648400000000004</v>
          </cell>
          <cell r="M4100">
            <v>0.34991369999999999</v>
          </cell>
          <cell r="N4100">
            <v>0</v>
          </cell>
          <cell r="O4100">
            <v>2.7666E-2</v>
          </cell>
          <cell r="P4100">
            <v>1.1947945</v>
          </cell>
          <cell r="Q4100">
            <v>2.3766007</v>
          </cell>
          <cell r="R4100">
            <v>0</v>
          </cell>
          <cell r="S4100">
            <v>0</v>
          </cell>
          <cell r="T4100">
            <v>7.8310502</v>
          </cell>
          <cell r="U4100">
            <v>0</v>
          </cell>
          <cell r="V4100">
            <v>0</v>
          </cell>
          <cell r="W4100">
            <v>0</v>
          </cell>
          <cell r="X4100">
            <v>7.8311000000000006E-3</v>
          </cell>
          <cell r="Y4100">
            <v>4.4719211999999997</v>
          </cell>
          <cell r="Z4100">
            <v>0</v>
          </cell>
          <cell r="AA4100">
            <v>0</v>
          </cell>
          <cell r="AB4100">
            <v>0</v>
          </cell>
        </row>
        <row r="4101">
          <cell r="A4101">
            <v>58402010</v>
          </cell>
          <cell r="B4101" t="str">
            <v>Beef noodle soup, canned or ready-to-serve</v>
          </cell>
          <cell r="I4101">
            <v>245</v>
          </cell>
          <cell r="J4101">
            <v>83.304077000000007</v>
          </cell>
          <cell r="K4101">
            <v>0.34001664081632654</v>
          </cell>
          <cell r="L4101">
            <v>0.3434162</v>
          </cell>
          <cell r="M4101">
            <v>1.1314434</v>
          </cell>
          <cell r="N4101">
            <v>0</v>
          </cell>
          <cell r="O4101">
            <v>1.85401E-2</v>
          </cell>
          <cell r="P4101">
            <v>0.40259040000000001</v>
          </cell>
          <cell r="Q4101">
            <v>0.48490430000000001</v>
          </cell>
          <cell r="R4101">
            <v>0</v>
          </cell>
          <cell r="S4101">
            <v>0</v>
          </cell>
          <cell r="T4101">
            <v>0</v>
          </cell>
          <cell r="U4101">
            <v>24.369551000000001</v>
          </cell>
          <cell r="V4101">
            <v>0</v>
          </cell>
          <cell r="W4101">
            <v>0</v>
          </cell>
          <cell r="X4101">
            <v>0.81673050000000003</v>
          </cell>
          <cell r="Y4101">
            <v>0</v>
          </cell>
          <cell r="Z4101">
            <v>5.6398102999999997</v>
          </cell>
          <cell r="AA4101">
            <v>0</v>
          </cell>
          <cell r="AB4101">
            <v>4.0200699999999999E-2</v>
          </cell>
        </row>
        <row r="4102">
          <cell r="A4102">
            <v>58402030</v>
          </cell>
          <cell r="B4102" t="str">
            <v>Beef rice soup, home recipe, canned or ready-to-serve</v>
          </cell>
          <cell r="I4102">
            <v>245</v>
          </cell>
          <cell r="J4102">
            <v>161.69999999999999</v>
          </cell>
          <cell r="K4102">
            <v>0.65999999999999992</v>
          </cell>
          <cell r="L4102">
            <v>1.127</v>
          </cell>
          <cell r="M4102">
            <v>1.3573</v>
          </cell>
          <cell r="N4102">
            <v>0</v>
          </cell>
          <cell r="O4102">
            <v>3.1850000000000003E-2</v>
          </cell>
          <cell r="P4102">
            <v>0.34300000000000003</v>
          </cell>
          <cell r="Q4102">
            <v>0.11515</v>
          </cell>
          <cell r="R4102">
            <v>0</v>
          </cell>
          <cell r="S4102">
            <v>12.862500000000001</v>
          </cell>
          <cell r="T4102">
            <v>0</v>
          </cell>
          <cell r="U4102">
            <v>66.027500000000003</v>
          </cell>
          <cell r="V4102">
            <v>0</v>
          </cell>
          <cell r="W4102">
            <v>0</v>
          </cell>
          <cell r="X4102">
            <v>0.82809999999999995</v>
          </cell>
          <cell r="Y4102">
            <v>0</v>
          </cell>
          <cell r="Z4102">
            <v>14.586074999999999</v>
          </cell>
          <cell r="AA4102">
            <v>0</v>
          </cell>
          <cell r="AB4102">
            <v>0</v>
          </cell>
        </row>
        <row r="4103">
          <cell r="A4103">
            <v>58402100</v>
          </cell>
          <cell r="B4103" t="str">
            <v>Beef noodle soup, home recipe</v>
          </cell>
          <cell r="I4103">
            <v>245</v>
          </cell>
          <cell r="J4103">
            <v>144.92446000000001</v>
          </cell>
          <cell r="K4103">
            <v>0.59152840816326535</v>
          </cell>
          <cell r="L4103">
            <v>0.56806179999999995</v>
          </cell>
          <cell r="M4103">
            <v>1.4497724999999999</v>
          </cell>
          <cell r="N4103">
            <v>0</v>
          </cell>
          <cell r="O4103">
            <v>2.9073399999999999E-2</v>
          </cell>
          <cell r="P4103">
            <v>0.33828780000000003</v>
          </cell>
          <cell r="Q4103">
            <v>0.93532269999999995</v>
          </cell>
          <cell r="R4103">
            <v>0</v>
          </cell>
          <cell r="S4103">
            <v>0</v>
          </cell>
          <cell r="T4103">
            <v>0</v>
          </cell>
          <cell r="U4103">
            <v>27.239967</v>
          </cell>
          <cell r="V4103">
            <v>0</v>
          </cell>
          <cell r="W4103">
            <v>0</v>
          </cell>
          <cell r="X4103">
            <v>0.6763827</v>
          </cell>
          <cell r="Y4103">
            <v>0</v>
          </cell>
          <cell r="Z4103">
            <v>32.302261999999999</v>
          </cell>
          <cell r="AA4103">
            <v>0</v>
          </cell>
          <cell r="AB4103">
            <v>4.4614500000000001E-2</v>
          </cell>
        </row>
        <row r="4104">
          <cell r="A4104">
            <v>58403010</v>
          </cell>
          <cell r="B4104" t="str">
            <v>Chicken or turkey noodle soup, canned or ready-to-serve</v>
          </cell>
          <cell r="I4104">
            <v>245</v>
          </cell>
          <cell r="J4104">
            <v>59.462327999999999</v>
          </cell>
          <cell r="K4104">
            <v>0.24270337959183674</v>
          </cell>
          <cell r="L4104">
            <v>0</v>
          </cell>
          <cell r="M4104">
            <v>0.4818926</v>
          </cell>
          <cell r="N4104">
            <v>0</v>
          </cell>
          <cell r="O4104">
            <v>1.1066400000000001E-2</v>
          </cell>
          <cell r="P4104">
            <v>1.1149186</v>
          </cell>
          <cell r="Q4104">
            <v>0.41995270000000001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0.84846659999999996</v>
          </cell>
          <cell r="Y4104">
            <v>0</v>
          </cell>
          <cell r="Z4104">
            <v>0</v>
          </cell>
          <cell r="AA4104">
            <v>0</v>
          </cell>
          <cell r="AB4104">
            <v>8.6715999999999998E-3</v>
          </cell>
        </row>
        <row r="4105">
          <cell r="A4105">
            <v>58403040</v>
          </cell>
          <cell r="B4105" t="str">
            <v>Chicken or turkey noodle soup, home recipe</v>
          </cell>
          <cell r="I4105">
            <v>245</v>
          </cell>
          <cell r="J4105">
            <v>127.4053</v>
          </cell>
          <cell r="K4105">
            <v>0.52002163265306123</v>
          </cell>
          <cell r="L4105">
            <v>0.56750339999999999</v>
          </cell>
          <cell r="M4105">
            <v>0.89387269999999996</v>
          </cell>
          <cell r="N4105">
            <v>0</v>
          </cell>
          <cell r="O4105">
            <v>2.5095300000000001E-2</v>
          </cell>
          <cell r="P4105">
            <v>0.33795530000000001</v>
          </cell>
          <cell r="Q4105">
            <v>1.1492346</v>
          </cell>
          <cell r="R4105">
            <v>0</v>
          </cell>
          <cell r="S4105">
            <v>0</v>
          </cell>
          <cell r="T4105">
            <v>0</v>
          </cell>
          <cell r="U4105">
            <v>27.213190999999998</v>
          </cell>
          <cell r="V4105">
            <v>0</v>
          </cell>
          <cell r="W4105">
            <v>0</v>
          </cell>
          <cell r="X4105">
            <v>0.76810900000000004</v>
          </cell>
          <cell r="Y4105">
            <v>0</v>
          </cell>
          <cell r="Z4105">
            <v>0</v>
          </cell>
          <cell r="AA4105">
            <v>0</v>
          </cell>
          <cell r="AB4105">
            <v>1.2060599999999999E-2</v>
          </cell>
        </row>
        <row r="4106">
          <cell r="A4106">
            <v>58403050</v>
          </cell>
          <cell r="B4106" t="str">
            <v>Chicken or turkey noodle soup, cream of, home recipe, canned, or ready-to-serve</v>
          </cell>
          <cell r="I4106">
            <v>245</v>
          </cell>
          <cell r="J4106">
            <v>120.95525000000001</v>
          </cell>
          <cell r="K4106">
            <v>0.4936948979591837</v>
          </cell>
          <cell r="L4106">
            <v>0</v>
          </cell>
          <cell r="M4106">
            <v>1.9886425999999999</v>
          </cell>
          <cell r="N4106">
            <v>0</v>
          </cell>
          <cell r="O4106">
            <v>0.15311330000000001</v>
          </cell>
          <cell r="P4106">
            <v>1.0988734</v>
          </cell>
          <cell r="Q4106">
            <v>0.53870459999999998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0.88622179999999995</v>
          </cell>
          <cell r="Y4106">
            <v>0</v>
          </cell>
          <cell r="Z4106">
            <v>0</v>
          </cell>
          <cell r="AA4106">
            <v>0</v>
          </cell>
          <cell r="AB4106">
            <v>4.71998E-2</v>
          </cell>
        </row>
        <row r="4107">
          <cell r="A4107">
            <v>58403060</v>
          </cell>
          <cell r="B4107" t="str">
            <v>Chicken or turkey noodle soup, reduced sodium, canned or ready-to-serve</v>
          </cell>
          <cell r="I4107">
            <v>245</v>
          </cell>
          <cell r="J4107">
            <v>100.45</v>
          </cell>
          <cell r="K4107">
            <v>0.41000000000000003</v>
          </cell>
          <cell r="L4107">
            <v>0.42129670000000002</v>
          </cell>
          <cell r="M4107">
            <v>0.96530000000000005</v>
          </cell>
          <cell r="N4107">
            <v>0</v>
          </cell>
          <cell r="O4107">
            <v>2.6950000000000002E-2</v>
          </cell>
          <cell r="P4107">
            <v>1.5387033000000001</v>
          </cell>
          <cell r="Q4107">
            <v>0.79625000000000001</v>
          </cell>
          <cell r="R4107">
            <v>0</v>
          </cell>
          <cell r="S4107">
            <v>0</v>
          </cell>
          <cell r="T4107">
            <v>0</v>
          </cell>
          <cell r="U4107">
            <v>11.3925</v>
          </cell>
          <cell r="V4107">
            <v>0</v>
          </cell>
          <cell r="W4107">
            <v>0</v>
          </cell>
          <cell r="X4107">
            <v>0.45569999999999999</v>
          </cell>
          <cell r="Y4107">
            <v>0</v>
          </cell>
          <cell r="Z4107">
            <v>0</v>
          </cell>
          <cell r="AA4107">
            <v>0</v>
          </cell>
          <cell r="AB4107">
            <v>0</v>
          </cell>
        </row>
        <row r="4108">
          <cell r="A4108">
            <v>58403100</v>
          </cell>
          <cell r="B4108" t="str">
            <v>Noodle and potato soup, Puerto Rican style</v>
          </cell>
          <cell r="I4108">
            <v>245</v>
          </cell>
          <cell r="J4108">
            <v>63.633921999999998</v>
          </cell>
          <cell r="K4108">
            <v>0.25973029387755103</v>
          </cell>
          <cell r="L4108">
            <v>1.0693626000000001</v>
          </cell>
          <cell r="M4108">
            <v>7.5969099999999998E-2</v>
          </cell>
          <cell r="N4108">
            <v>0</v>
          </cell>
          <cell r="O4108">
            <v>2.7098199999999999E-2</v>
          </cell>
          <cell r="P4108">
            <v>0.79499770000000003</v>
          </cell>
          <cell r="Q4108">
            <v>7.9976800000000001E-2</v>
          </cell>
          <cell r="R4108">
            <v>0</v>
          </cell>
          <cell r="S4108">
            <v>0</v>
          </cell>
          <cell r="T4108">
            <v>0</v>
          </cell>
          <cell r="U4108">
            <v>72.239857000000001</v>
          </cell>
          <cell r="V4108">
            <v>0</v>
          </cell>
          <cell r="W4108">
            <v>0</v>
          </cell>
          <cell r="X4108">
            <v>0.39707530000000002</v>
          </cell>
          <cell r="Y4108">
            <v>0</v>
          </cell>
          <cell r="Z4108">
            <v>0</v>
          </cell>
          <cell r="AA4108">
            <v>0</v>
          </cell>
          <cell r="AB4108">
            <v>1.9001000000000001E-3</v>
          </cell>
        </row>
        <row r="4109">
          <cell r="A4109">
            <v>58404010</v>
          </cell>
          <cell r="B4109" t="str">
            <v>Chicken or turkey rice soup, canned, or ready-to-serve</v>
          </cell>
          <cell r="I4109">
            <v>245</v>
          </cell>
          <cell r="J4109">
            <v>83.545309000000003</v>
          </cell>
          <cell r="K4109">
            <v>0.34100126122448982</v>
          </cell>
          <cell r="L4109">
            <v>0.25943820000000001</v>
          </cell>
          <cell r="M4109">
            <v>0.45458480000000001</v>
          </cell>
          <cell r="N4109">
            <v>0</v>
          </cell>
          <cell r="O4109">
            <v>5.4037099999999998E-2</v>
          </cell>
          <cell r="P4109">
            <v>0.84630850000000002</v>
          </cell>
          <cell r="Q4109">
            <v>0.4177265</v>
          </cell>
          <cell r="R4109">
            <v>0</v>
          </cell>
          <cell r="S4109">
            <v>0</v>
          </cell>
          <cell r="T4109">
            <v>0</v>
          </cell>
          <cell r="U4109">
            <v>9.030265</v>
          </cell>
          <cell r="V4109">
            <v>0</v>
          </cell>
          <cell r="W4109">
            <v>0</v>
          </cell>
          <cell r="X4109">
            <v>0.79733739999999997</v>
          </cell>
          <cell r="Y4109">
            <v>0</v>
          </cell>
          <cell r="Z4109">
            <v>0</v>
          </cell>
          <cell r="AA4109">
            <v>0</v>
          </cell>
          <cell r="AB4109">
            <v>3.8837999999999998E-2</v>
          </cell>
        </row>
        <row r="4110">
          <cell r="A4110">
            <v>58404030</v>
          </cell>
          <cell r="B4110" t="str">
            <v>Chicken or turkey rice soup, home recipe</v>
          </cell>
          <cell r="I4110">
            <v>245</v>
          </cell>
          <cell r="J4110">
            <v>128.07657</v>
          </cell>
          <cell r="K4110">
            <v>0.52276151020408168</v>
          </cell>
          <cell r="L4110">
            <v>0.5655715</v>
          </cell>
          <cell r="M4110">
            <v>0.79026890000000005</v>
          </cell>
          <cell r="N4110">
            <v>0</v>
          </cell>
          <cell r="O4110">
            <v>2.4528999999999999E-2</v>
          </cell>
          <cell r="P4110">
            <v>0.14352290000000001</v>
          </cell>
          <cell r="Q4110">
            <v>1.0290189999999999</v>
          </cell>
          <cell r="R4110">
            <v>0</v>
          </cell>
          <cell r="S4110">
            <v>0</v>
          </cell>
          <cell r="T4110">
            <v>0</v>
          </cell>
          <cell r="U4110">
            <v>27.120553000000001</v>
          </cell>
          <cell r="V4110">
            <v>0</v>
          </cell>
          <cell r="W4110">
            <v>0</v>
          </cell>
          <cell r="X4110">
            <v>0.763903</v>
          </cell>
          <cell r="Y4110">
            <v>0</v>
          </cell>
          <cell r="Z4110">
            <v>0</v>
          </cell>
          <cell r="AA4110">
            <v>0</v>
          </cell>
          <cell r="AB4110">
            <v>5.7936999999999997E-3</v>
          </cell>
        </row>
        <row r="4111">
          <cell r="A4111">
            <v>58404040</v>
          </cell>
          <cell r="B4111" t="str">
            <v>Chicken or turkey rice soup, reduced sodium, canned, prepared with water or ready-to-serve</v>
          </cell>
          <cell r="I4111">
            <v>245</v>
          </cell>
          <cell r="J4111">
            <v>56.515943999999998</v>
          </cell>
          <cell r="K4111">
            <v>0.23067732244897959</v>
          </cell>
          <cell r="L4111">
            <v>0.2104752</v>
          </cell>
          <cell r="M4111">
            <v>0.4877572</v>
          </cell>
          <cell r="N4111">
            <v>0</v>
          </cell>
          <cell r="O4111">
            <v>3.6641999999999998E-3</v>
          </cell>
          <cell r="P4111">
            <v>0.77241079999999995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9.030265</v>
          </cell>
          <cell r="V4111">
            <v>0</v>
          </cell>
          <cell r="W4111">
            <v>0</v>
          </cell>
          <cell r="X4111">
            <v>0.40418300000000001</v>
          </cell>
          <cell r="Y4111">
            <v>0</v>
          </cell>
          <cell r="Z4111">
            <v>0</v>
          </cell>
          <cell r="AA4111">
            <v>0</v>
          </cell>
          <cell r="AB4111">
            <v>0</v>
          </cell>
        </row>
        <row r="4112">
          <cell r="A4112">
            <v>58404100</v>
          </cell>
          <cell r="B4112" t="str">
            <v>Rice and potato soup, Puerto Rican style</v>
          </cell>
          <cell r="I4112">
            <v>245</v>
          </cell>
          <cell r="J4112">
            <v>153.79907</v>
          </cell>
          <cell r="K4112">
            <v>0.627751306122449</v>
          </cell>
          <cell r="L4112">
            <v>0.21037249999999999</v>
          </cell>
          <cell r="M4112">
            <v>0.7254815</v>
          </cell>
          <cell r="N4112">
            <v>0</v>
          </cell>
          <cell r="O4112">
            <v>1.93686E-2</v>
          </cell>
          <cell r="P4112">
            <v>0.8099594</v>
          </cell>
          <cell r="Q4112">
            <v>0.41206799999999999</v>
          </cell>
          <cell r="R4112">
            <v>0</v>
          </cell>
          <cell r="S4112">
            <v>0</v>
          </cell>
          <cell r="T4112">
            <v>0</v>
          </cell>
          <cell r="U4112">
            <v>13.24677</v>
          </cell>
          <cell r="V4112">
            <v>0</v>
          </cell>
          <cell r="W4112">
            <v>0</v>
          </cell>
          <cell r="X4112">
            <v>0.58762349999999997</v>
          </cell>
          <cell r="Y4112">
            <v>0</v>
          </cell>
          <cell r="Z4112">
            <v>0</v>
          </cell>
          <cell r="AA4112">
            <v>1.1338946999999999</v>
          </cell>
          <cell r="AB4112">
            <v>7.9637600000000003E-2</v>
          </cell>
        </row>
        <row r="4113">
          <cell r="A4113">
            <v>58404500</v>
          </cell>
          <cell r="B4113" t="str">
            <v>Matzo ball soup</v>
          </cell>
          <cell r="I4113">
            <v>245</v>
          </cell>
          <cell r="J4113">
            <v>124.86525</v>
          </cell>
          <cell r="K4113">
            <v>0.50965408163265302</v>
          </cell>
          <cell r="L4113">
            <v>0.5222888</v>
          </cell>
          <cell r="M4113">
            <v>0.89987830000000002</v>
          </cell>
          <cell r="N4113">
            <v>0</v>
          </cell>
          <cell r="O4113">
            <v>2.86568E-2</v>
          </cell>
          <cell r="P4113">
            <v>0.46548200000000001</v>
          </cell>
          <cell r="Q4113">
            <v>1.2464291999999999</v>
          </cell>
          <cell r="R4113">
            <v>0</v>
          </cell>
          <cell r="S4113">
            <v>0</v>
          </cell>
          <cell r="T4113">
            <v>0</v>
          </cell>
          <cell r="U4113">
            <v>23.851146</v>
          </cell>
          <cell r="V4113">
            <v>0</v>
          </cell>
          <cell r="W4113">
            <v>0</v>
          </cell>
          <cell r="X4113">
            <v>0.71942269999999997</v>
          </cell>
          <cell r="Y4113">
            <v>0</v>
          </cell>
          <cell r="Z4113">
            <v>0</v>
          </cell>
          <cell r="AA4113">
            <v>0</v>
          </cell>
          <cell r="AB4113">
            <v>5.2845499999999997E-2</v>
          </cell>
        </row>
        <row r="4114">
          <cell r="A4114">
            <v>58404510</v>
          </cell>
          <cell r="B4114" t="str">
            <v>Chicken or turkey soup with dumplings and potatoes, home recipe, canned, or ready-to-serve</v>
          </cell>
          <cell r="I4114">
            <v>245</v>
          </cell>
          <cell r="J4114">
            <v>98.224209999999999</v>
          </cell>
          <cell r="K4114">
            <v>0.40091514285714286</v>
          </cell>
          <cell r="L4114">
            <v>0.16467370000000001</v>
          </cell>
          <cell r="M4114">
            <v>1.3303784999999999</v>
          </cell>
          <cell r="N4114">
            <v>0</v>
          </cell>
          <cell r="O4114">
            <v>1.85401E-2</v>
          </cell>
          <cell r="P4114">
            <v>0.33266410000000002</v>
          </cell>
          <cell r="Q4114">
            <v>1.3179451</v>
          </cell>
          <cell r="R4114">
            <v>0</v>
          </cell>
          <cell r="S4114">
            <v>0</v>
          </cell>
          <cell r="T4114">
            <v>0</v>
          </cell>
          <cell r="U4114">
            <v>24.369551000000001</v>
          </cell>
          <cell r="V4114">
            <v>0</v>
          </cell>
          <cell r="W4114">
            <v>0</v>
          </cell>
          <cell r="X4114">
            <v>0.7732135</v>
          </cell>
          <cell r="Y4114">
            <v>0</v>
          </cell>
          <cell r="Z4114">
            <v>0</v>
          </cell>
          <cell r="AA4114">
            <v>0</v>
          </cell>
          <cell r="AB4114">
            <v>2.4499999999999999E-3</v>
          </cell>
        </row>
        <row r="4115">
          <cell r="A4115">
            <v>58404520</v>
          </cell>
          <cell r="B4115" t="str">
            <v>Chicken or turkey soup with dumplings, home recipe, canned or ready-to-serve</v>
          </cell>
          <cell r="I4115">
            <v>245</v>
          </cell>
          <cell r="J4115">
            <v>100.45</v>
          </cell>
          <cell r="K4115">
            <v>0.41000000000000003</v>
          </cell>
          <cell r="L4115">
            <v>0.90937749999999995</v>
          </cell>
          <cell r="M4115">
            <v>1.5361499999999999</v>
          </cell>
          <cell r="N4115">
            <v>0</v>
          </cell>
          <cell r="O4115">
            <v>2.6950000000000002E-2</v>
          </cell>
          <cell r="P4115">
            <v>1.0506225</v>
          </cell>
          <cell r="Q4115">
            <v>0.4214</v>
          </cell>
          <cell r="R4115">
            <v>0</v>
          </cell>
          <cell r="S4115">
            <v>0</v>
          </cell>
          <cell r="T4115">
            <v>0</v>
          </cell>
          <cell r="U4115">
            <v>36.015000000000001</v>
          </cell>
          <cell r="V4115">
            <v>0</v>
          </cell>
          <cell r="W4115">
            <v>0</v>
          </cell>
          <cell r="X4115">
            <v>0.74970000000000003</v>
          </cell>
          <cell r="Y4115">
            <v>0</v>
          </cell>
          <cell r="Z4115">
            <v>0</v>
          </cell>
          <cell r="AA4115">
            <v>0</v>
          </cell>
          <cell r="AB4115">
            <v>2.4499999999999999E-3</v>
          </cell>
        </row>
        <row r="4116">
          <cell r="A4116">
            <v>58407010</v>
          </cell>
          <cell r="B4116" t="str">
            <v>Instant soup, noodle</v>
          </cell>
          <cell r="I4116">
            <v>245</v>
          </cell>
          <cell r="J4116">
            <v>61.855285000000002</v>
          </cell>
          <cell r="K4116">
            <v>0.25247055102040816</v>
          </cell>
          <cell r="L4116">
            <v>-6.7999999999999996E-17</v>
          </cell>
          <cell r="M4116">
            <v>0.32305850000000003</v>
          </cell>
          <cell r="N4116">
            <v>0</v>
          </cell>
          <cell r="O4116">
            <v>1.5881800000000001E-2</v>
          </cell>
          <cell r="P4116">
            <v>0.52503160000000004</v>
          </cell>
          <cell r="Q4116">
            <v>0.2293732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0.60685940000000005</v>
          </cell>
          <cell r="Y4116">
            <v>0</v>
          </cell>
          <cell r="Z4116">
            <v>0</v>
          </cell>
          <cell r="AA4116">
            <v>0</v>
          </cell>
          <cell r="AB4116">
            <v>1.5470899999999999E-2</v>
          </cell>
        </row>
        <row r="4117">
          <cell r="A4117">
            <v>58407030</v>
          </cell>
          <cell r="B4117" t="str">
            <v>Soup, mostly noodles</v>
          </cell>
          <cell r="I4117">
            <v>245</v>
          </cell>
          <cell r="J4117">
            <v>163.99946</v>
          </cell>
          <cell r="K4117">
            <v>0.6693855510204082</v>
          </cell>
          <cell r="L4117">
            <v>1.3599999999999999E-16</v>
          </cell>
          <cell r="M4117">
            <v>3.0254173999999998</v>
          </cell>
          <cell r="N4117">
            <v>0</v>
          </cell>
          <cell r="O4117">
            <v>1.40591E-2</v>
          </cell>
          <cell r="P4117">
            <v>1.0809055999999999</v>
          </cell>
          <cell r="Q4117">
            <v>0.81925190000000003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0.69971589999999995</v>
          </cell>
          <cell r="Y4117">
            <v>0</v>
          </cell>
          <cell r="Z4117">
            <v>0</v>
          </cell>
          <cell r="AA4117">
            <v>0</v>
          </cell>
          <cell r="AB4117">
            <v>2.4227200000000001E-2</v>
          </cell>
        </row>
        <row r="4118">
          <cell r="A4118">
            <v>58407035</v>
          </cell>
          <cell r="B4118" t="str">
            <v>Soup, mostly noodles, reduced sodium</v>
          </cell>
          <cell r="I4118">
            <v>245</v>
          </cell>
          <cell r="J4118">
            <v>130.45411999999999</v>
          </cell>
          <cell r="K4118">
            <v>0.53246579591836729</v>
          </cell>
          <cell r="L4118">
            <v>0</v>
          </cell>
          <cell r="M4118">
            <v>0</v>
          </cell>
          <cell r="N4118">
            <v>0</v>
          </cell>
          <cell r="O4118">
            <v>1.44318E-2</v>
          </cell>
          <cell r="P4118">
            <v>1.0063603000000001</v>
          </cell>
          <cell r="Q4118">
            <v>0.53598009999999996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0.4555804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</row>
        <row r="4119">
          <cell r="A4119">
            <v>58408010</v>
          </cell>
          <cell r="B4119" t="str">
            <v>Wonton soup</v>
          </cell>
          <cell r="I4119">
            <v>245</v>
          </cell>
          <cell r="J4119">
            <v>78.400000000000006</v>
          </cell>
          <cell r="K4119">
            <v>0.32</v>
          </cell>
          <cell r="L4119">
            <v>1.94679E-2</v>
          </cell>
          <cell r="M4119">
            <v>0.15190000000000001</v>
          </cell>
          <cell r="N4119">
            <v>0</v>
          </cell>
          <cell r="O4119">
            <v>1.225E-2</v>
          </cell>
          <cell r="P4119">
            <v>0.47053210000000001</v>
          </cell>
          <cell r="Q4119">
            <v>0.17394999999999999</v>
          </cell>
          <cell r="R4119">
            <v>0</v>
          </cell>
          <cell r="S4119">
            <v>0</v>
          </cell>
          <cell r="T4119">
            <v>0</v>
          </cell>
          <cell r="U4119">
            <v>7.5949999999999998</v>
          </cell>
          <cell r="V4119">
            <v>0</v>
          </cell>
          <cell r="W4119">
            <v>0</v>
          </cell>
          <cell r="X4119">
            <v>0.99470000000000003</v>
          </cell>
          <cell r="Y4119">
            <v>0</v>
          </cell>
          <cell r="Z4119">
            <v>0</v>
          </cell>
          <cell r="AA4119">
            <v>19.4481</v>
          </cell>
          <cell r="AB4119">
            <v>2.4499999999999999E-3</v>
          </cell>
        </row>
        <row r="4120">
          <cell r="A4120">
            <v>58408500</v>
          </cell>
          <cell r="B4120" t="str">
            <v>Noodle soup with vegetables, Asian style</v>
          </cell>
          <cell r="I4120">
            <v>245</v>
          </cell>
          <cell r="J4120">
            <v>147.86981</v>
          </cell>
          <cell r="K4120">
            <v>0.60355024489795916</v>
          </cell>
          <cell r="L4120">
            <v>1.0293736</v>
          </cell>
          <cell r="M4120">
            <v>0.42879590000000001</v>
          </cell>
          <cell r="N4120">
            <v>0</v>
          </cell>
          <cell r="O4120">
            <v>4.75567E-2</v>
          </cell>
          <cell r="P4120">
            <v>1.4534893</v>
          </cell>
          <cell r="Q4120">
            <v>0.97801950000000004</v>
          </cell>
          <cell r="R4120">
            <v>0</v>
          </cell>
          <cell r="S4120">
            <v>0</v>
          </cell>
          <cell r="T4120">
            <v>0</v>
          </cell>
          <cell r="U4120">
            <v>56.47316</v>
          </cell>
          <cell r="V4120">
            <v>0</v>
          </cell>
          <cell r="W4120">
            <v>0</v>
          </cell>
          <cell r="X4120">
            <v>0.40355940000000001</v>
          </cell>
          <cell r="Y4120">
            <v>0</v>
          </cell>
          <cell r="Z4120">
            <v>0</v>
          </cell>
          <cell r="AA4120">
            <v>0</v>
          </cell>
          <cell r="AB4120">
            <v>5.18507E-2</v>
          </cell>
        </row>
        <row r="4121">
          <cell r="A4121">
            <v>58409000</v>
          </cell>
          <cell r="B4121" t="str">
            <v>Noodle soup, with fish ball, shrimp, and dark green leafy vegetable</v>
          </cell>
          <cell r="I4121">
            <v>245</v>
          </cell>
          <cell r="J4121">
            <v>151.72563</v>
          </cell>
          <cell r="K4121">
            <v>0.61928828571428574</v>
          </cell>
          <cell r="L4121">
            <v>0.622556</v>
          </cell>
          <cell r="M4121">
            <v>0.55978099999999997</v>
          </cell>
          <cell r="N4121">
            <v>5.2266300000000002E-2</v>
          </cell>
          <cell r="O4121">
            <v>8.03508E-2</v>
          </cell>
          <cell r="P4121">
            <v>0.83259859999999997</v>
          </cell>
          <cell r="Q4121">
            <v>1.2164952</v>
          </cell>
          <cell r="R4121">
            <v>0</v>
          </cell>
          <cell r="S4121">
            <v>0</v>
          </cell>
          <cell r="T4121">
            <v>0</v>
          </cell>
          <cell r="U4121">
            <v>26.114566</v>
          </cell>
          <cell r="V4121">
            <v>0</v>
          </cell>
          <cell r="W4121">
            <v>0</v>
          </cell>
          <cell r="X4121">
            <v>0.65513310000000002</v>
          </cell>
          <cell r="Y4121">
            <v>0</v>
          </cell>
          <cell r="Z4121">
            <v>0</v>
          </cell>
          <cell r="AA4121">
            <v>0</v>
          </cell>
          <cell r="AB4121">
            <v>2.0986100000000001E-2</v>
          </cell>
        </row>
        <row r="4122">
          <cell r="A4122">
            <v>58421010</v>
          </cell>
          <cell r="B4122" t="str">
            <v>Sopa Seca de Fideo, Mexican style, made with dry noodles, home recipe</v>
          </cell>
          <cell r="I4122">
            <v>245</v>
          </cell>
          <cell r="J4122">
            <v>339.21206999999998</v>
          </cell>
          <cell r="K4122">
            <v>1.3845390612244897</v>
          </cell>
          <cell r="L4122">
            <v>1.7371977999999999</v>
          </cell>
          <cell r="M4122">
            <v>5.8711884999999997</v>
          </cell>
          <cell r="N4122">
            <v>0</v>
          </cell>
          <cell r="O4122">
            <v>3.7300300000000002E-2</v>
          </cell>
          <cell r="P4122">
            <v>1.4107073999999999</v>
          </cell>
          <cell r="Q4122">
            <v>4.1110644000000001</v>
          </cell>
          <cell r="R4122">
            <v>0</v>
          </cell>
          <cell r="S4122">
            <v>0</v>
          </cell>
          <cell r="T4122">
            <v>0</v>
          </cell>
          <cell r="U4122">
            <v>108.04227</v>
          </cell>
          <cell r="V4122">
            <v>0</v>
          </cell>
          <cell r="W4122">
            <v>0</v>
          </cell>
          <cell r="X4122">
            <v>1.0351501999999999</v>
          </cell>
          <cell r="Y4122">
            <v>0</v>
          </cell>
          <cell r="Z4122">
            <v>0</v>
          </cell>
          <cell r="AA4122">
            <v>0</v>
          </cell>
          <cell r="AB4122">
            <v>0.31930409999999998</v>
          </cell>
        </row>
        <row r="4123">
          <cell r="A4123">
            <v>58421020</v>
          </cell>
          <cell r="B4123" t="str">
            <v>Sopa de Fideo Aguada, Mexican style noodle soup, home recipe</v>
          </cell>
          <cell r="I4123">
            <v>245</v>
          </cell>
          <cell r="J4123">
            <v>162.68498</v>
          </cell>
          <cell r="K4123">
            <v>0.66402032653061227</v>
          </cell>
          <cell r="L4123">
            <v>0.51323700000000005</v>
          </cell>
          <cell r="M4123">
            <v>1.2673380999999999</v>
          </cell>
          <cell r="N4123">
            <v>0</v>
          </cell>
          <cell r="O4123">
            <v>1.3373100000000001E-2</v>
          </cell>
          <cell r="P4123">
            <v>0.40316800000000003</v>
          </cell>
          <cell r="Q4123">
            <v>2.3719279000000002</v>
          </cell>
          <cell r="R4123">
            <v>0</v>
          </cell>
          <cell r="S4123">
            <v>0</v>
          </cell>
          <cell r="T4123">
            <v>0</v>
          </cell>
          <cell r="U4123">
            <v>41.207841000000002</v>
          </cell>
          <cell r="V4123">
            <v>0</v>
          </cell>
          <cell r="W4123">
            <v>0</v>
          </cell>
          <cell r="X4123">
            <v>0.26977200000000001</v>
          </cell>
          <cell r="Y4123">
            <v>0</v>
          </cell>
          <cell r="Z4123">
            <v>0</v>
          </cell>
          <cell r="AA4123">
            <v>0</v>
          </cell>
          <cell r="AB4123">
            <v>1.6092100000000002E-2</v>
          </cell>
        </row>
        <row r="4124">
          <cell r="A4124">
            <v>58421060</v>
          </cell>
          <cell r="B4124" t="str">
            <v>Sopa seca de arroz, home recipe, Mexican style</v>
          </cell>
          <cell r="I4124">
            <v>245</v>
          </cell>
          <cell r="J4124">
            <v>365.62452000000002</v>
          </cell>
          <cell r="K4124">
            <v>1.4923449795918369</v>
          </cell>
          <cell r="L4124">
            <v>1.646012</v>
          </cell>
          <cell r="M4124">
            <v>5.5486711</v>
          </cell>
          <cell r="N4124">
            <v>0</v>
          </cell>
          <cell r="O4124">
            <v>4.1818899999999999E-2</v>
          </cell>
          <cell r="P4124">
            <v>0.70911939999999996</v>
          </cell>
          <cell r="Q4124">
            <v>3.7583639</v>
          </cell>
          <cell r="R4124">
            <v>0</v>
          </cell>
          <cell r="S4124">
            <v>0</v>
          </cell>
          <cell r="T4124">
            <v>0</v>
          </cell>
          <cell r="U4124">
            <v>102.40214</v>
          </cell>
          <cell r="V4124">
            <v>0</v>
          </cell>
          <cell r="W4124">
            <v>0</v>
          </cell>
          <cell r="X4124">
            <v>0.98159799999999997</v>
          </cell>
          <cell r="Y4124">
            <v>0</v>
          </cell>
          <cell r="Z4124">
            <v>0</v>
          </cell>
          <cell r="AA4124">
            <v>0</v>
          </cell>
          <cell r="AB4124">
            <v>0.30272260000000001</v>
          </cell>
        </row>
        <row r="4125">
          <cell r="A4125">
            <v>58421080</v>
          </cell>
          <cell r="B4125" t="str">
            <v>Sopa de tortilla, Mexican style tortilla soup, home recipe</v>
          </cell>
          <cell r="I4125">
            <v>245</v>
          </cell>
          <cell r="J4125">
            <v>241.42977999999999</v>
          </cell>
          <cell r="K4125">
            <v>0.98542767346938775</v>
          </cell>
          <cell r="L4125">
            <v>0.3744458</v>
          </cell>
          <cell r="M4125">
            <v>5.6748636000000001</v>
          </cell>
          <cell r="N4125">
            <v>0</v>
          </cell>
          <cell r="O4125">
            <v>0.16982120000000001</v>
          </cell>
          <cell r="P4125">
            <v>0.90025569999999999</v>
          </cell>
          <cell r="Q4125">
            <v>2.8966278000000001</v>
          </cell>
          <cell r="R4125">
            <v>0</v>
          </cell>
          <cell r="S4125">
            <v>0</v>
          </cell>
          <cell r="T4125">
            <v>5.3157958000000001</v>
          </cell>
          <cell r="U4125">
            <v>27.414645</v>
          </cell>
          <cell r="V4125">
            <v>0</v>
          </cell>
          <cell r="W4125">
            <v>0</v>
          </cell>
          <cell r="X4125">
            <v>0.57184900000000005</v>
          </cell>
          <cell r="Y4125">
            <v>0</v>
          </cell>
          <cell r="Z4125">
            <v>0</v>
          </cell>
          <cell r="AA4125">
            <v>0</v>
          </cell>
          <cell r="AB4125">
            <v>0.23098179999999999</v>
          </cell>
        </row>
        <row r="4126">
          <cell r="A4126">
            <v>59003000</v>
          </cell>
          <cell r="B4126" t="str">
            <v>Meat substitute, cereal- and vegetable protein-based, fried</v>
          </cell>
          <cell r="I4126">
            <v>146</v>
          </cell>
          <cell r="J4126">
            <v>487.97579999999999</v>
          </cell>
          <cell r="K4126">
            <v>3.3422999999999998</v>
          </cell>
          <cell r="L4126">
            <v>13.059699999999999</v>
          </cell>
          <cell r="M4126">
            <v>1.5104101999999999</v>
          </cell>
          <cell r="N4126">
            <v>0</v>
          </cell>
          <cell r="O4126">
            <v>8.79833E-2</v>
          </cell>
          <cell r="P4126">
            <v>5.8400000000000001E-2</v>
          </cell>
          <cell r="Q4126">
            <v>4.3965528000000003</v>
          </cell>
          <cell r="R4126">
            <v>116.8</v>
          </cell>
          <cell r="S4126">
            <v>0</v>
          </cell>
          <cell r="T4126">
            <v>0</v>
          </cell>
          <cell r="U4126">
            <v>7.3</v>
          </cell>
          <cell r="V4126">
            <v>0</v>
          </cell>
          <cell r="W4126">
            <v>0</v>
          </cell>
          <cell r="X4126">
            <v>0.41102650000000002</v>
          </cell>
          <cell r="Y4126">
            <v>0</v>
          </cell>
          <cell r="Z4126">
            <v>0</v>
          </cell>
          <cell r="AA4126">
            <v>0</v>
          </cell>
          <cell r="AB4126">
            <v>2.5867600000000001E-2</v>
          </cell>
        </row>
        <row r="4127">
          <cell r="A4127">
            <v>61101010</v>
          </cell>
          <cell r="B4127" t="str">
            <v>Grapefruit, raw</v>
          </cell>
          <cell r="I4127">
            <v>140</v>
          </cell>
          <cell r="J4127">
            <v>44.8</v>
          </cell>
          <cell r="K4127">
            <v>0.32</v>
          </cell>
          <cell r="L4127">
            <v>1.54</v>
          </cell>
          <cell r="M4127">
            <v>1.9599999999999999E-2</v>
          </cell>
          <cell r="N4127">
            <v>0</v>
          </cell>
          <cell r="O4127">
            <v>1.6799999999999999E-2</v>
          </cell>
          <cell r="P4127">
            <v>0</v>
          </cell>
          <cell r="Q4127">
            <v>3.3599999999999998E-2</v>
          </cell>
          <cell r="R4127">
            <v>0</v>
          </cell>
          <cell r="S4127">
            <v>0</v>
          </cell>
          <cell r="T4127">
            <v>140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</row>
        <row r="4128">
          <cell r="A4128">
            <v>61101200</v>
          </cell>
          <cell r="B4128" t="str">
            <v>Grapefruit, canned or frozen, NS as to sweetened or unsweetened; sweetened, NS as to type of sweetener</v>
          </cell>
          <cell r="I4128">
            <v>140</v>
          </cell>
          <cell r="J4128">
            <v>51.8</v>
          </cell>
          <cell r="K4128">
            <v>0.37</v>
          </cell>
          <cell r="L4128">
            <v>0.56000000000000005</v>
          </cell>
          <cell r="M4128">
            <v>1.6799999999999999E-2</v>
          </cell>
          <cell r="N4128">
            <v>0</v>
          </cell>
          <cell r="O4128">
            <v>2.1000000000000001E-2</v>
          </cell>
          <cell r="P4128">
            <v>0</v>
          </cell>
          <cell r="Q4128">
            <v>2.9399999999999999E-2</v>
          </cell>
          <cell r="R4128">
            <v>0</v>
          </cell>
          <cell r="S4128">
            <v>0</v>
          </cell>
          <cell r="T4128">
            <v>140</v>
          </cell>
          <cell r="U4128">
            <v>0</v>
          </cell>
          <cell r="V4128">
            <v>0</v>
          </cell>
          <cell r="W4128">
            <v>0</v>
          </cell>
          <cell r="X4128">
            <v>9.7999999999999997E-3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</row>
        <row r="4129">
          <cell r="A4129">
            <v>61101220</v>
          </cell>
          <cell r="B4129" t="str">
            <v>Grapefruit, canned or frozen, unsweetened, water pack</v>
          </cell>
          <cell r="I4129">
            <v>140</v>
          </cell>
          <cell r="J4129">
            <v>50.4</v>
          </cell>
          <cell r="K4129">
            <v>0.36</v>
          </cell>
          <cell r="L4129">
            <v>0.56000000000000005</v>
          </cell>
          <cell r="M4129">
            <v>1.9599999999999999E-2</v>
          </cell>
          <cell r="N4129">
            <v>0</v>
          </cell>
          <cell r="O4129">
            <v>2.1000000000000001E-2</v>
          </cell>
          <cell r="P4129">
            <v>0</v>
          </cell>
          <cell r="Q4129">
            <v>3.3599999999999998E-2</v>
          </cell>
          <cell r="R4129">
            <v>0</v>
          </cell>
          <cell r="S4129">
            <v>0</v>
          </cell>
          <cell r="T4129">
            <v>91</v>
          </cell>
          <cell r="U4129">
            <v>0</v>
          </cell>
          <cell r="V4129">
            <v>0</v>
          </cell>
          <cell r="W4129">
            <v>0</v>
          </cell>
          <cell r="X4129">
            <v>2.8E-3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</row>
        <row r="4130">
          <cell r="A4130">
            <v>61110010</v>
          </cell>
          <cell r="B4130" t="str">
            <v>Kumquat, raw</v>
          </cell>
          <cell r="I4130">
            <v>140</v>
          </cell>
          <cell r="J4130">
            <v>99.4</v>
          </cell>
          <cell r="K4130">
            <v>0.71000000000000008</v>
          </cell>
          <cell r="L4130">
            <v>9.1</v>
          </cell>
          <cell r="M4130">
            <v>0.14419999999999999</v>
          </cell>
          <cell r="N4130">
            <v>0</v>
          </cell>
          <cell r="O4130">
            <v>8.6800000000000002E-2</v>
          </cell>
          <cell r="P4130">
            <v>0</v>
          </cell>
          <cell r="Q4130">
            <v>0.2394</v>
          </cell>
          <cell r="R4130">
            <v>0</v>
          </cell>
          <cell r="S4130">
            <v>0</v>
          </cell>
          <cell r="T4130">
            <v>140</v>
          </cell>
          <cell r="U4130">
            <v>0</v>
          </cell>
          <cell r="V4130">
            <v>0</v>
          </cell>
          <cell r="W4130">
            <v>0</v>
          </cell>
          <cell r="X4130">
            <v>1.4E-2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</row>
        <row r="4131">
          <cell r="A4131">
            <v>61113010</v>
          </cell>
          <cell r="B4131" t="str">
            <v>Lemon, raw</v>
          </cell>
          <cell r="I4131">
            <v>50</v>
          </cell>
          <cell r="J4131">
            <v>14.5</v>
          </cell>
          <cell r="K4131">
            <v>0.28999999999999998</v>
          </cell>
          <cell r="L4131">
            <v>1.4</v>
          </cell>
          <cell r="M4131">
            <v>1.95E-2</v>
          </cell>
          <cell r="N4131">
            <v>0</v>
          </cell>
          <cell r="O4131">
            <v>1.2999999999999999E-2</v>
          </cell>
          <cell r="P4131">
            <v>0</v>
          </cell>
          <cell r="Q4131">
            <v>4.4499999999999998E-2</v>
          </cell>
          <cell r="R4131">
            <v>0</v>
          </cell>
          <cell r="S4131">
            <v>0</v>
          </cell>
          <cell r="T4131">
            <v>50</v>
          </cell>
          <cell r="U4131">
            <v>0</v>
          </cell>
          <cell r="V4131">
            <v>0</v>
          </cell>
          <cell r="W4131">
            <v>0</v>
          </cell>
          <cell r="X4131">
            <v>1E-3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</row>
        <row r="4132">
          <cell r="A4132">
            <v>61113500</v>
          </cell>
          <cell r="B4132" t="str">
            <v>Lemon pie filling</v>
          </cell>
          <cell r="I4132">
            <v>85</v>
          </cell>
          <cell r="J4132">
            <v>234.72291999999999</v>
          </cell>
          <cell r="K4132">
            <v>2.7614461176470586</v>
          </cell>
          <cell r="L4132">
            <v>3.8985199999999998E-2</v>
          </cell>
          <cell r="M4132">
            <v>1.1173922999999999</v>
          </cell>
          <cell r="N4132">
            <v>0</v>
          </cell>
          <cell r="O4132">
            <v>1.54471E-2</v>
          </cell>
          <cell r="P4132">
            <v>0.2659435</v>
          </cell>
          <cell r="Q4132">
            <v>1.1428841999999999</v>
          </cell>
          <cell r="R4132">
            <v>0</v>
          </cell>
          <cell r="S4132">
            <v>0</v>
          </cell>
          <cell r="T4132">
            <v>12.995082999999999</v>
          </cell>
          <cell r="U4132">
            <v>0</v>
          </cell>
          <cell r="V4132">
            <v>0</v>
          </cell>
          <cell r="W4132">
            <v>0</v>
          </cell>
          <cell r="X4132">
            <v>5.2680299999999999E-2</v>
          </cell>
          <cell r="Y4132">
            <v>0</v>
          </cell>
          <cell r="Z4132">
            <v>0</v>
          </cell>
          <cell r="AA4132">
            <v>0</v>
          </cell>
          <cell r="AB4132">
            <v>0.44801390000000002</v>
          </cell>
        </row>
        <row r="4133">
          <cell r="A4133">
            <v>61116010</v>
          </cell>
          <cell r="B4133" t="str">
            <v>Lime, raw</v>
          </cell>
          <cell r="I4133">
            <v>50</v>
          </cell>
          <cell r="J4133">
            <v>15</v>
          </cell>
          <cell r="K4133">
            <v>0.3</v>
          </cell>
          <cell r="L4133">
            <v>1.4</v>
          </cell>
          <cell r="M4133">
            <v>1.0999999999999999E-2</v>
          </cell>
          <cell r="N4133">
            <v>0</v>
          </cell>
          <cell r="O4133">
            <v>1.6500000000000001E-2</v>
          </cell>
          <cell r="P4133">
            <v>0</v>
          </cell>
          <cell r="Q4133">
            <v>2.75E-2</v>
          </cell>
          <cell r="R4133">
            <v>0</v>
          </cell>
          <cell r="S4133">
            <v>0</v>
          </cell>
          <cell r="T4133">
            <v>50</v>
          </cell>
          <cell r="U4133">
            <v>0</v>
          </cell>
          <cell r="V4133">
            <v>0</v>
          </cell>
          <cell r="W4133">
            <v>0</v>
          </cell>
          <cell r="X4133">
            <v>1E-3</v>
          </cell>
          <cell r="Y4133">
            <v>0</v>
          </cell>
          <cell r="Z4133">
            <v>0</v>
          </cell>
          <cell r="AA4133">
            <v>0</v>
          </cell>
          <cell r="AB4133">
            <v>0</v>
          </cell>
        </row>
        <row r="4134">
          <cell r="A4134">
            <v>61119010</v>
          </cell>
          <cell r="B4134" t="str">
            <v>Orange, raw</v>
          </cell>
          <cell r="I4134">
            <v>140</v>
          </cell>
          <cell r="J4134">
            <v>65.8</v>
          </cell>
          <cell r="K4134">
            <v>0.47</v>
          </cell>
          <cell r="L4134">
            <v>3.36</v>
          </cell>
          <cell r="M4134">
            <v>2.1000000000000001E-2</v>
          </cell>
          <cell r="N4134">
            <v>0</v>
          </cell>
          <cell r="O4134">
            <v>5.6000000000000001E-2</v>
          </cell>
          <cell r="P4134">
            <v>0</v>
          </cell>
          <cell r="Q4134">
            <v>3.5000000000000003E-2</v>
          </cell>
          <cell r="R4134">
            <v>0</v>
          </cell>
          <cell r="S4134">
            <v>0</v>
          </cell>
          <cell r="T4134">
            <v>140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</row>
        <row r="4135">
          <cell r="A4135">
            <v>61119020</v>
          </cell>
          <cell r="B4135" t="str">
            <v>Orange, sections, canned, juice pack</v>
          </cell>
          <cell r="I4135">
            <v>140</v>
          </cell>
          <cell r="J4135">
            <v>65.8</v>
          </cell>
          <cell r="K4135">
            <v>0.47</v>
          </cell>
          <cell r="L4135">
            <v>2.3809800000000001</v>
          </cell>
          <cell r="M4135">
            <v>2.2398600000000001E-2</v>
          </cell>
          <cell r="N4135">
            <v>0</v>
          </cell>
          <cell r="O4135">
            <v>4.2014000000000003E-2</v>
          </cell>
          <cell r="P4135">
            <v>0</v>
          </cell>
          <cell r="Q4135">
            <v>3.9195800000000003E-2</v>
          </cell>
          <cell r="R4135">
            <v>0</v>
          </cell>
          <cell r="S4135">
            <v>0</v>
          </cell>
          <cell r="T4135">
            <v>140</v>
          </cell>
          <cell r="U4135">
            <v>0</v>
          </cell>
          <cell r="V4135">
            <v>0</v>
          </cell>
          <cell r="W4135">
            <v>0</v>
          </cell>
          <cell r="X4135">
            <v>1.8648E-3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</row>
        <row r="4136">
          <cell r="A4136">
            <v>61122300</v>
          </cell>
          <cell r="B4136" t="str">
            <v>Orange, mandarin, canned or frozen, NS as to sweetened or unsweetened; sweetened, NS as to type of sweetener</v>
          </cell>
          <cell r="I4136">
            <v>140</v>
          </cell>
          <cell r="J4136">
            <v>53.2</v>
          </cell>
          <cell r="K4136">
            <v>0.38</v>
          </cell>
          <cell r="L4136">
            <v>1.68</v>
          </cell>
          <cell r="M4136">
            <v>5.5999999999999999E-3</v>
          </cell>
          <cell r="N4136">
            <v>0</v>
          </cell>
          <cell r="O4136">
            <v>1.6799999999999999E-2</v>
          </cell>
          <cell r="P4136">
            <v>0</v>
          </cell>
          <cell r="Q4136">
            <v>9.7999999999999997E-3</v>
          </cell>
          <cell r="R4136">
            <v>0</v>
          </cell>
          <cell r="S4136">
            <v>0</v>
          </cell>
          <cell r="T4136">
            <v>140</v>
          </cell>
          <cell r="U4136">
            <v>0</v>
          </cell>
          <cell r="V4136">
            <v>0</v>
          </cell>
          <cell r="W4136">
            <v>0</v>
          </cell>
          <cell r="X4136">
            <v>7.0000000000000001E-3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</row>
        <row r="4137">
          <cell r="A4137">
            <v>61122320</v>
          </cell>
          <cell r="B4137" t="str">
            <v>Orange, mandarin, canned or frozen, juice pack</v>
          </cell>
          <cell r="I4137">
            <v>140</v>
          </cell>
          <cell r="J4137">
            <v>51.8</v>
          </cell>
          <cell r="K4137">
            <v>0.37</v>
          </cell>
          <cell r="L4137">
            <v>0.98</v>
          </cell>
          <cell r="M4137">
            <v>4.1999999999999997E-3</v>
          </cell>
          <cell r="N4137">
            <v>0</v>
          </cell>
          <cell r="O4137">
            <v>1.54E-2</v>
          </cell>
          <cell r="P4137">
            <v>0</v>
          </cell>
          <cell r="Q4137">
            <v>7.0000000000000001E-3</v>
          </cell>
          <cell r="R4137">
            <v>0</v>
          </cell>
          <cell r="S4137">
            <v>0</v>
          </cell>
          <cell r="T4137">
            <v>140</v>
          </cell>
          <cell r="U4137">
            <v>0</v>
          </cell>
          <cell r="V4137">
            <v>0</v>
          </cell>
          <cell r="W4137">
            <v>0</v>
          </cell>
          <cell r="X4137">
            <v>7.0000000000000001E-3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</row>
        <row r="4138">
          <cell r="A4138">
            <v>61122330</v>
          </cell>
          <cell r="B4138" t="str">
            <v>Orange, mandarin, canned or frozen, in light syrup</v>
          </cell>
          <cell r="I4138">
            <v>140</v>
          </cell>
          <cell r="J4138">
            <v>85.4</v>
          </cell>
          <cell r="K4138">
            <v>0.61</v>
          </cell>
          <cell r="L4138">
            <v>0.98</v>
          </cell>
          <cell r="M4138">
            <v>1.6799999999999999E-2</v>
          </cell>
          <cell r="N4138">
            <v>0</v>
          </cell>
          <cell r="O4138">
            <v>9.7999999999999997E-3</v>
          </cell>
          <cell r="P4138">
            <v>0</v>
          </cell>
          <cell r="Q4138">
            <v>2.8000000000000001E-2</v>
          </cell>
          <cell r="R4138">
            <v>0</v>
          </cell>
          <cell r="S4138">
            <v>0</v>
          </cell>
          <cell r="T4138">
            <v>91</v>
          </cell>
          <cell r="U4138">
            <v>0</v>
          </cell>
          <cell r="V4138">
            <v>0</v>
          </cell>
          <cell r="W4138">
            <v>0</v>
          </cell>
          <cell r="X4138">
            <v>8.3999999999999995E-3</v>
          </cell>
          <cell r="Y4138">
            <v>0</v>
          </cell>
          <cell r="Z4138">
            <v>0</v>
          </cell>
          <cell r="AA4138">
            <v>0</v>
          </cell>
          <cell r="AB4138">
            <v>0</v>
          </cell>
        </row>
        <row r="4139">
          <cell r="A4139">
            <v>61122350</v>
          </cell>
          <cell r="B4139" t="str">
            <v>Orange, mandarin, canned or frozen, drained</v>
          </cell>
          <cell r="I4139">
            <v>140</v>
          </cell>
          <cell r="J4139">
            <v>53.2</v>
          </cell>
          <cell r="K4139">
            <v>0.38</v>
          </cell>
          <cell r="L4139">
            <v>1.68</v>
          </cell>
          <cell r="M4139">
            <v>5.5999999999999999E-3</v>
          </cell>
          <cell r="N4139">
            <v>0</v>
          </cell>
          <cell r="O4139">
            <v>1.6799999999999999E-2</v>
          </cell>
          <cell r="P4139">
            <v>0</v>
          </cell>
          <cell r="Q4139">
            <v>9.7999999999999997E-3</v>
          </cell>
          <cell r="R4139">
            <v>0</v>
          </cell>
          <cell r="S4139">
            <v>0</v>
          </cell>
          <cell r="T4139">
            <v>140</v>
          </cell>
          <cell r="U4139">
            <v>0</v>
          </cell>
          <cell r="V4139">
            <v>0</v>
          </cell>
          <cell r="W4139">
            <v>0</v>
          </cell>
          <cell r="X4139">
            <v>7.0000000000000001E-3</v>
          </cell>
          <cell r="Y4139">
            <v>0</v>
          </cell>
          <cell r="Z4139">
            <v>0</v>
          </cell>
          <cell r="AA4139">
            <v>0</v>
          </cell>
          <cell r="AB4139">
            <v>0</v>
          </cell>
        </row>
        <row r="4140">
          <cell r="A4140">
            <v>61125000</v>
          </cell>
          <cell r="B4140" t="str">
            <v>Tangelo, raw</v>
          </cell>
          <cell r="I4140">
            <v>140</v>
          </cell>
          <cell r="J4140">
            <v>65.8</v>
          </cell>
          <cell r="K4140">
            <v>0.47</v>
          </cell>
          <cell r="L4140">
            <v>3.36</v>
          </cell>
          <cell r="M4140">
            <v>2.1000000000000001E-2</v>
          </cell>
          <cell r="N4140">
            <v>0</v>
          </cell>
          <cell r="O4140">
            <v>5.6000000000000001E-2</v>
          </cell>
          <cell r="P4140">
            <v>0</v>
          </cell>
          <cell r="Q4140">
            <v>3.5000000000000003E-2</v>
          </cell>
          <cell r="R4140">
            <v>0</v>
          </cell>
          <cell r="S4140">
            <v>0</v>
          </cell>
          <cell r="T4140">
            <v>140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</row>
        <row r="4141">
          <cell r="A4141">
            <v>61125010</v>
          </cell>
          <cell r="B4141" t="str">
            <v>Tangerine, raw</v>
          </cell>
          <cell r="I4141">
            <v>140</v>
          </cell>
          <cell r="J4141">
            <v>74.2</v>
          </cell>
          <cell r="K4141">
            <v>0.53</v>
          </cell>
          <cell r="L4141">
            <v>2.52</v>
          </cell>
          <cell r="M4141">
            <v>5.4600000000000003E-2</v>
          </cell>
          <cell r="N4141">
            <v>0</v>
          </cell>
          <cell r="O4141">
            <v>5.1799999999999999E-2</v>
          </cell>
          <cell r="P4141">
            <v>0</v>
          </cell>
          <cell r="Q4141">
            <v>9.0999999999999998E-2</v>
          </cell>
          <cell r="R4141">
            <v>0</v>
          </cell>
          <cell r="S4141">
            <v>0</v>
          </cell>
          <cell r="T4141">
            <v>140</v>
          </cell>
          <cell r="U4141">
            <v>0</v>
          </cell>
          <cell r="V4141">
            <v>0</v>
          </cell>
          <cell r="W4141">
            <v>0</v>
          </cell>
          <cell r="X4141">
            <v>2.8E-3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</row>
        <row r="4142">
          <cell r="A4142">
            <v>61201010</v>
          </cell>
          <cell r="B4142" t="str">
            <v>Grapefruit juice, 100%, freshly squeezed</v>
          </cell>
          <cell r="I4142">
            <v>240</v>
          </cell>
          <cell r="J4142">
            <v>93.6</v>
          </cell>
          <cell r="K4142">
            <v>0.38999999999999996</v>
          </cell>
          <cell r="L4142">
            <v>0.24</v>
          </cell>
          <cell r="M4142">
            <v>3.3599999999999998E-2</v>
          </cell>
          <cell r="N4142">
            <v>0</v>
          </cell>
          <cell r="O4142">
            <v>2.1600000000000001E-2</v>
          </cell>
          <cell r="P4142">
            <v>0</v>
          </cell>
          <cell r="Q4142">
            <v>5.7599999999999998E-2</v>
          </cell>
          <cell r="R4142">
            <v>0</v>
          </cell>
          <cell r="S4142">
            <v>0</v>
          </cell>
          <cell r="T4142">
            <v>240</v>
          </cell>
          <cell r="U4142">
            <v>0</v>
          </cell>
          <cell r="V4142">
            <v>0</v>
          </cell>
          <cell r="W4142">
            <v>0</v>
          </cell>
          <cell r="X4142">
            <v>2.3999999999999998E-3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</row>
        <row r="4143">
          <cell r="A4143">
            <v>61201020</v>
          </cell>
          <cell r="B4143" t="str">
            <v>Grapefruit juice, 100%, NS as to form</v>
          </cell>
          <cell r="I4143">
            <v>240</v>
          </cell>
          <cell r="J4143">
            <v>81.599999999999994</v>
          </cell>
          <cell r="K4143">
            <v>0.33999999999999997</v>
          </cell>
          <cell r="L4143">
            <v>1.92</v>
          </cell>
          <cell r="M4143">
            <v>2.1600000000000001E-2</v>
          </cell>
          <cell r="N4143">
            <v>0</v>
          </cell>
          <cell r="O4143">
            <v>3.3599999999999998E-2</v>
          </cell>
          <cell r="P4143">
            <v>0</v>
          </cell>
          <cell r="Q4143">
            <v>4.3200000000000002E-2</v>
          </cell>
          <cell r="R4143">
            <v>0</v>
          </cell>
          <cell r="S4143">
            <v>0</v>
          </cell>
          <cell r="T4143">
            <v>240</v>
          </cell>
          <cell r="U4143">
            <v>0</v>
          </cell>
          <cell r="V4143">
            <v>0</v>
          </cell>
          <cell r="W4143">
            <v>0</v>
          </cell>
          <cell r="X4143">
            <v>7.1999999999999998E-3</v>
          </cell>
          <cell r="Y4143">
            <v>0</v>
          </cell>
          <cell r="Z4143">
            <v>0</v>
          </cell>
          <cell r="AA4143">
            <v>0</v>
          </cell>
          <cell r="AB4143">
            <v>4.7999999999999996E-3</v>
          </cell>
        </row>
        <row r="4144">
          <cell r="A4144">
            <v>61201220</v>
          </cell>
          <cell r="B4144" t="str">
            <v>Grapefruit juice, 100%, canned, bottled or in a carton</v>
          </cell>
          <cell r="I4144">
            <v>240</v>
          </cell>
          <cell r="J4144">
            <v>81.599999999999994</v>
          </cell>
          <cell r="K4144">
            <v>0.33999999999999997</v>
          </cell>
          <cell r="L4144">
            <v>1.92</v>
          </cell>
          <cell r="M4144">
            <v>2.1600000000000001E-2</v>
          </cell>
          <cell r="N4144">
            <v>0</v>
          </cell>
          <cell r="O4144">
            <v>3.3599999999999998E-2</v>
          </cell>
          <cell r="P4144">
            <v>0</v>
          </cell>
          <cell r="Q4144">
            <v>4.3200000000000002E-2</v>
          </cell>
          <cell r="R4144">
            <v>0</v>
          </cell>
          <cell r="S4144">
            <v>0</v>
          </cell>
          <cell r="T4144">
            <v>240</v>
          </cell>
          <cell r="U4144">
            <v>0</v>
          </cell>
          <cell r="V4144">
            <v>0</v>
          </cell>
          <cell r="W4144">
            <v>0</v>
          </cell>
          <cell r="X4144">
            <v>7.1999999999999998E-3</v>
          </cell>
          <cell r="Y4144">
            <v>0</v>
          </cell>
          <cell r="Z4144">
            <v>0</v>
          </cell>
          <cell r="AA4144">
            <v>0</v>
          </cell>
          <cell r="AB4144">
            <v>4.7999999999999996E-3</v>
          </cell>
        </row>
        <row r="4145">
          <cell r="A4145">
            <v>61201225</v>
          </cell>
          <cell r="B4145" t="str">
            <v>Grapefruit juice, 100%, with calcium added</v>
          </cell>
          <cell r="I4145">
            <v>240</v>
          </cell>
          <cell r="J4145">
            <v>91.2</v>
          </cell>
          <cell r="K4145">
            <v>0.38</v>
          </cell>
          <cell r="L4145">
            <v>0</v>
          </cell>
          <cell r="M4145">
            <v>3.3599999999999998E-2</v>
          </cell>
          <cell r="N4145">
            <v>0</v>
          </cell>
          <cell r="O4145">
            <v>0.35039999999999999</v>
          </cell>
          <cell r="P4145">
            <v>0</v>
          </cell>
          <cell r="Q4145">
            <v>5.7599999999999998E-2</v>
          </cell>
          <cell r="R4145">
            <v>0</v>
          </cell>
          <cell r="S4145">
            <v>0</v>
          </cell>
          <cell r="T4145">
            <v>240</v>
          </cell>
          <cell r="U4145">
            <v>0</v>
          </cell>
          <cell r="V4145">
            <v>0</v>
          </cell>
          <cell r="W4145">
            <v>0</v>
          </cell>
          <cell r="X4145">
            <v>2.3999999999999998E-3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</row>
        <row r="4146">
          <cell r="A4146">
            <v>61204000</v>
          </cell>
          <cell r="B4146" t="str">
            <v>Lemon juice, 100%, NS as to form</v>
          </cell>
          <cell r="I4146">
            <v>5</v>
          </cell>
          <cell r="J4146">
            <v>1.1000000000000001</v>
          </cell>
          <cell r="K4146">
            <v>0.22000000000000003</v>
          </cell>
          <cell r="L4146">
            <v>1.4999999999999999E-2</v>
          </cell>
          <cell r="M4146">
            <v>2E-3</v>
          </cell>
          <cell r="N4146">
            <v>0</v>
          </cell>
          <cell r="O4146">
            <v>2.9999999999999997E-4</v>
          </cell>
          <cell r="P4146">
            <v>0</v>
          </cell>
          <cell r="Q4146">
            <v>1.0499999999999999E-3</v>
          </cell>
          <cell r="R4146">
            <v>0</v>
          </cell>
          <cell r="S4146">
            <v>0</v>
          </cell>
          <cell r="T4146">
            <v>5</v>
          </cell>
          <cell r="U4146">
            <v>0</v>
          </cell>
          <cell r="V4146">
            <v>0</v>
          </cell>
          <cell r="W4146">
            <v>0</v>
          </cell>
          <cell r="X4146">
            <v>5.0000000000000002E-5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</row>
        <row r="4147">
          <cell r="A4147">
            <v>61204010</v>
          </cell>
          <cell r="B4147" t="str">
            <v>Lemon juice, 100%, freshly squeezed</v>
          </cell>
          <cell r="I4147">
            <v>5</v>
          </cell>
          <cell r="J4147">
            <v>1.1000000000000001</v>
          </cell>
          <cell r="K4147">
            <v>0.22000000000000003</v>
          </cell>
          <cell r="L4147">
            <v>1.4999999999999999E-2</v>
          </cell>
          <cell r="M4147">
            <v>2E-3</v>
          </cell>
          <cell r="N4147">
            <v>0</v>
          </cell>
          <cell r="O4147">
            <v>2.9999999999999997E-4</v>
          </cell>
          <cell r="P4147">
            <v>0</v>
          </cell>
          <cell r="Q4147">
            <v>1.0499999999999999E-3</v>
          </cell>
          <cell r="R4147">
            <v>0</v>
          </cell>
          <cell r="S4147">
            <v>0</v>
          </cell>
          <cell r="T4147">
            <v>5</v>
          </cell>
          <cell r="U4147">
            <v>0</v>
          </cell>
          <cell r="V4147">
            <v>0</v>
          </cell>
          <cell r="W4147">
            <v>0</v>
          </cell>
          <cell r="X4147">
            <v>5.0000000000000002E-5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</row>
        <row r="4148">
          <cell r="A4148">
            <v>61204200</v>
          </cell>
          <cell r="B4148" t="str">
            <v>Lemon juice, 100%, canned or bottled</v>
          </cell>
          <cell r="I4148">
            <v>5</v>
          </cell>
          <cell r="J4148">
            <v>0.85</v>
          </cell>
          <cell r="K4148">
            <v>0.16999999999999998</v>
          </cell>
          <cell r="L4148">
            <v>3.5000000000000003E-2</v>
          </cell>
          <cell r="M4148">
            <v>1.3500000000000001E-3</v>
          </cell>
          <cell r="N4148">
            <v>0</v>
          </cell>
          <cell r="O4148">
            <v>5.0000000000000001E-4</v>
          </cell>
          <cell r="P4148">
            <v>0</v>
          </cell>
          <cell r="Q4148">
            <v>8.4999999999999995E-4</v>
          </cell>
          <cell r="R4148">
            <v>0</v>
          </cell>
          <cell r="S4148">
            <v>0</v>
          </cell>
          <cell r="T4148">
            <v>5</v>
          </cell>
          <cell r="U4148">
            <v>0</v>
          </cell>
          <cell r="V4148">
            <v>0</v>
          </cell>
          <cell r="W4148">
            <v>0</v>
          </cell>
          <cell r="X4148">
            <v>1.1999999999999999E-3</v>
          </cell>
          <cell r="Y4148">
            <v>0</v>
          </cell>
          <cell r="Z4148">
            <v>0</v>
          </cell>
          <cell r="AA4148">
            <v>0</v>
          </cell>
          <cell r="AB4148">
            <v>0</v>
          </cell>
        </row>
        <row r="4149">
          <cell r="A4149">
            <v>61207000</v>
          </cell>
          <cell r="B4149" t="str">
            <v>Lime juice, 100%, NS as to form</v>
          </cell>
          <cell r="I4149">
            <v>5</v>
          </cell>
          <cell r="J4149">
            <v>1.25</v>
          </cell>
          <cell r="K4149">
            <v>0.25</v>
          </cell>
          <cell r="L4149">
            <v>0.02</v>
          </cell>
          <cell r="M4149">
            <v>4.0000000000000002E-4</v>
          </cell>
          <cell r="N4149">
            <v>0</v>
          </cell>
          <cell r="O4149">
            <v>6.9999999999999999E-4</v>
          </cell>
          <cell r="P4149">
            <v>0</v>
          </cell>
          <cell r="Q4149">
            <v>1.15E-3</v>
          </cell>
          <cell r="R4149">
            <v>0</v>
          </cell>
          <cell r="S4149">
            <v>0</v>
          </cell>
          <cell r="T4149">
            <v>5</v>
          </cell>
          <cell r="U4149">
            <v>0</v>
          </cell>
          <cell r="V4149">
            <v>0</v>
          </cell>
          <cell r="W4149">
            <v>0</v>
          </cell>
          <cell r="X4149">
            <v>1E-4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</row>
        <row r="4150">
          <cell r="A4150">
            <v>61207010</v>
          </cell>
          <cell r="B4150" t="str">
            <v>Lime juice, 100%, freshly squeezed</v>
          </cell>
          <cell r="I4150">
            <v>5</v>
          </cell>
          <cell r="J4150">
            <v>1.25</v>
          </cell>
          <cell r="K4150">
            <v>0.25</v>
          </cell>
          <cell r="L4150">
            <v>0.02</v>
          </cell>
          <cell r="M4150">
            <v>4.0000000000000002E-4</v>
          </cell>
          <cell r="N4150">
            <v>0</v>
          </cell>
          <cell r="O4150">
            <v>6.9999999999999999E-4</v>
          </cell>
          <cell r="P4150">
            <v>0</v>
          </cell>
          <cell r="Q4150">
            <v>1.15E-3</v>
          </cell>
          <cell r="R4150">
            <v>0</v>
          </cell>
          <cell r="S4150">
            <v>0</v>
          </cell>
          <cell r="T4150">
            <v>5</v>
          </cell>
          <cell r="U4150">
            <v>0</v>
          </cell>
          <cell r="V4150">
            <v>0</v>
          </cell>
          <cell r="W4150">
            <v>0</v>
          </cell>
          <cell r="X4150">
            <v>1E-4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</row>
        <row r="4151">
          <cell r="A4151">
            <v>61207200</v>
          </cell>
          <cell r="B4151" t="str">
            <v>Lime juice, 100%, canned or bottled</v>
          </cell>
          <cell r="I4151">
            <v>5</v>
          </cell>
          <cell r="J4151">
            <v>1.05</v>
          </cell>
          <cell r="K4151">
            <v>0.21000000000000002</v>
          </cell>
          <cell r="L4151">
            <v>0.02</v>
          </cell>
          <cell r="M4151">
            <v>1.2999999999999999E-3</v>
          </cell>
          <cell r="N4151">
            <v>0</v>
          </cell>
          <cell r="O4151">
            <v>5.9999999999999995E-4</v>
          </cell>
          <cell r="P4151">
            <v>0</v>
          </cell>
          <cell r="Q4151">
            <v>3.2000000000000002E-3</v>
          </cell>
          <cell r="R4151">
            <v>0</v>
          </cell>
          <cell r="S4151">
            <v>0</v>
          </cell>
          <cell r="T4151">
            <v>5</v>
          </cell>
          <cell r="U4151">
            <v>0</v>
          </cell>
          <cell r="V4151">
            <v>0</v>
          </cell>
          <cell r="W4151">
            <v>0</v>
          </cell>
          <cell r="X4151">
            <v>8.0000000000000004E-4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</row>
        <row r="4152">
          <cell r="A4152">
            <v>61210000</v>
          </cell>
          <cell r="B4152" t="str">
            <v>Orange juice, 100%, NFS</v>
          </cell>
          <cell r="I4152">
            <v>240</v>
          </cell>
          <cell r="J4152">
            <v>115.92</v>
          </cell>
          <cell r="K4152">
            <v>0.48299999999999998</v>
          </cell>
          <cell r="L4152">
            <v>0.72</v>
          </cell>
          <cell r="M4152">
            <v>3.3599999999999998E-2</v>
          </cell>
          <cell r="N4152">
            <v>0</v>
          </cell>
          <cell r="O4152">
            <v>0.13475999999999999</v>
          </cell>
          <cell r="P4152">
            <v>0</v>
          </cell>
          <cell r="Q4152">
            <v>7.1999999999999995E-2</v>
          </cell>
          <cell r="R4152">
            <v>0</v>
          </cell>
          <cell r="S4152">
            <v>0</v>
          </cell>
          <cell r="T4152">
            <v>240</v>
          </cell>
          <cell r="U4152">
            <v>0</v>
          </cell>
          <cell r="V4152">
            <v>0</v>
          </cell>
          <cell r="W4152">
            <v>0</v>
          </cell>
          <cell r="X4152">
            <v>4.7999999999999996E-3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</row>
        <row r="4153">
          <cell r="A4153">
            <v>61210010</v>
          </cell>
          <cell r="B4153" t="str">
            <v>Orange juice, 100%,  freshly squeezed</v>
          </cell>
          <cell r="I4153">
            <v>240</v>
          </cell>
          <cell r="J4153">
            <v>108</v>
          </cell>
          <cell r="K4153">
            <v>0.45</v>
          </cell>
          <cell r="L4153">
            <v>0.48</v>
          </cell>
          <cell r="M4153">
            <v>5.7599999999999998E-2</v>
          </cell>
          <cell r="N4153">
            <v>0</v>
          </cell>
          <cell r="O4153">
            <v>2.64E-2</v>
          </cell>
          <cell r="P4153">
            <v>0</v>
          </cell>
          <cell r="Q4153">
            <v>9.6000000000000002E-2</v>
          </cell>
          <cell r="R4153">
            <v>0</v>
          </cell>
          <cell r="S4153">
            <v>0</v>
          </cell>
          <cell r="T4153">
            <v>240</v>
          </cell>
          <cell r="U4153">
            <v>0</v>
          </cell>
          <cell r="V4153">
            <v>0</v>
          </cell>
          <cell r="W4153">
            <v>0</v>
          </cell>
          <cell r="X4153">
            <v>2.3999999999999998E-3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</row>
        <row r="4154">
          <cell r="A4154">
            <v>61210220</v>
          </cell>
          <cell r="B4154" t="str">
            <v>Orange juice, 100%, canned, bottled or in a carton</v>
          </cell>
          <cell r="I4154">
            <v>240</v>
          </cell>
          <cell r="J4154">
            <v>117.6</v>
          </cell>
          <cell r="K4154">
            <v>0.49</v>
          </cell>
          <cell r="L4154">
            <v>0.72</v>
          </cell>
          <cell r="M4154">
            <v>3.3599999999999998E-2</v>
          </cell>
          <cell r="N4154">
            <v>0</v>
          </cell>
          <cell r="O4154">
            <v>2.64E-2</v>
          </cell>
          <cell r="P4154">
            <v>0</v>
          </cell>
          <cell r="Q4154">
            <v>7.1999999999999995E-2</v>
          </cell>
          <cell r="R4154">
            <v>0</v>
          </cell>
          <cell r="S4154">
            <v>0</v>
          </cell>
          <cell r="T4154">
            <v>240</v>
          </cell>
          <cell r="U4154">
            <v>0</v>
          </cell>
          <cell r="V4154">
            <v>0</v>
          </cell>
          <cell r="W4154">
            <v>0</v>
          </cell>
          <cell r="X4154">
            <v>4.7999999999999996E-3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</row>
        <row r="4155">
          <cell r="A4155">
            <v>61210250</v>
          </cell>
          <cell r="B4155" t="str">
            <v>Orange juice, 100%, with calcium added, canned, bottled or in a carton</v>
          </cell>
          <cell r="I4155">
            <v>240</v>
          </cell>
          <cell r="J4155">
            <v>112.8</v>
          </cell>
          <cell r="K4155">
            <v>0.47</v>
          </cell>
          <cell r="L4155">
            <v>0.72</v>
          </cell>
          <cell r="M4155">
            <v>3.3599999999999998E-2</v>
          </cell>
          <cell r="N4155">
            <v>0</v>
          </cell>
          <cell r="O4155">
            <v>0.33600000000000002</v>
          </cell>
          <cell r="P4155">
            <v>0</v>
          </cell>
          <cell r="Q4155">
            <v>7.1999999999999995E-2</v>
          </cell>
          <cell r="R4155">
            <v>0</v>
          </cell>
          <cell r="S4155">
            <v>0</v>
          </cell>
          <cell r="T4155">
            <v>240</v>
          </cell>
          <cell r="U4155">
            <v>0</v>
          </cell>
          <cell r="V4155">
            <v>0</v>
          </cell>
          <cell r="W4155">
            <v>0</v>
          </cell>
          <cell r="X4155">
            <v>4.7999999999999996E-3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</row>
        <row r="4156">
          <cell r="A4156">
            <v>61210620</v>
          </cell>
          <cell r="B4156" t="str">
            <v>Orange juice, 100%, frozen, reconstituted</v>
          </cell>
          <cell r="I4156">
            <v>240</v>
          </cell>
          <cell r="J4156">
            <v>101.38372</v>
          </cell>
          <cell r="K4156">
            <v>0.42243216666666666</v>
          </cell>
          <cell r="L4156">
            <v>0.68502510000000005</v>
          </cell>
          <cell r="M4156">
            <v>4.0416500000000001E-2</v>
          </cell>
          <cell r="N4156">
            <v>0</v>
          </cell>
          <cell r="O4156">
            <v>3.1175899999999999E-2</v>
          </cell>
          <cell r="P4156">
            <v>0</v>
          </cell>
          <cell r="Q4156">
            <v>4.3156600000000003E-2</v>
          </cell>
          <cell r="R4156">
            <v>0</v>
          </cell>
          <cell r="S4156">
            <v>0</v>
          </cell>
          <cell r="T4156">
            <v>68.502512999999993</v>
          </cell>
          <cell r="U4156">
            <v>0</v>
          </cell>
          <cell r="V4156">
            <v>0</v>
          </cell>
          <cell r="W4156">
            <v>0</v>
          </cell>
          <cell r="X4156">
            <v>1.16551E-2</v>
          </cell>
          <cell r="Y4156">
            <v>0</v>
          </cell>
          <cell r="Z4156">
            <v>0</v>
          </cell>
          <cell r="AA4156">
            <v>0</v>
          </cell>
          <cell r="AB4156">
            <v>0</v>
          </cell>
        </row>
        <row r="4157">
          <cell r="A4157">
            <v>61210820</v>
          </cell>
          <cell r="B4157" t="str">
            <v>Orange juice, 100%, with calcium added, frozen, reconstituted</v>
          </cell>
          <cell r="I4157">
            <v>240</v>
          </cell>
          <cell r="J4157">
            <v>100.75945</v>
          </cell>
          <cell r="K4157">
            <v>0.41983104166666668</v>
          </cell>
          <cell r="L4157">
            <v>0.68543849999999995</v>
          </cell>
          <cell r="M4157">
            <v>4.0440900000000002E-2</v>
          </cell>
          <cell r="N4157">
            <v>0</v>
          </cell>
          <cell r="O4157">
            <v>0.40132709999999999</v>
          </cell>
          <cell r="P4157">
            <v>0</v>
          </cell>
          <cell r="Q4157">
            <v>4.3182600000000002E-2</v>
          </cell>
          <cell r="R4157">
            <v>0</v>
          </cell>
          <cell r="S4157">
            <v>0</v>
          </cell>
          <cell r="T4157">
            <v>68.543846000000002</v>
          </cell>
          <cell r="U4157">
            <v>0</v>
          </cell>
          <cell r="V4157">
            <v>0</v>
          </cell>
          <cell r="W4157">
            <v>0</v>
          </cell>
          <cell r="X4157">
            <v>1.16563E-2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</row>
        <row r="4158">
          <cell r="A4158">
            <v>61213220</v>
          </cell>
          <cell r="B4158" t="str">
            <v>Tangerine juice, 100%</v>
          </cell>
          <cell r="I4158">
            <v>240</v>
          </cell>
          <cell r="J4158">
            <v>103.2</v>
          </cell>
          <cell r="K4158">
            <v>0.43</v>
          </cell>
          <cell r="L4158">
            <v>0.48</v>
          </cell>
          <cell r="M4158">
            <v>5.7599999999999998E-2</v>
          </cell>
          <cell r="N4158">
            <v>0</v>
          </cell>
          <cell r="O4158">
            <v>4.3200000000000002E-2</v>
          </cell>
          <cell r="P4158">
            <v>0</v>
          </cell>
          <cell r="Q4158">
            <v>9.6000000000000002E-2</v>
          </cell>
          <cell r="R4158">
            <v>0</v>
          </cell>
          <cell r="S4158">
            <v>0</v>
          </cell>
          <cell r="T4158">
            <v>240</v>
          </cell>
          <cell r="U4158">
            <v>0</v>
          </cell>
          <cell r="V4158">
            <v>0</v>
          </cell>
          <cell r="W4158">
            <v>0</v>
          </cell>
          <cell r="X4158">
            <v>2.3999999999999998E-3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</row>
        <row r="4159">
          <cell r="A4159">
            <v>61213800</v>
          </cell>
          <cell r="B4159" t="str">
            <v>Fruit juice blend, citrus, 100% juice</v>
          </cell>
          <cell r="I4159">
            <v>240</v>
          </cell>
          <cell r="J4159">
            <v>122.4</v>
          </cell>
          <cell r="K4159">
            <v>0.51</v>
          </cell>
          <cell r="L4159">
            <v>0.48</v>
          </cell>
          <cell r="M4159">
            <v>2.64E-2</v>
          </cell>
          <cell r="N4159">
            <v>0</v>
          </cell>
          <cell r="O4159">
            <v>1.9199999999999998E-2</v>
          </cell>
          <cell r="P4159">
            <v>0</v>
          </cell>
          <cell r="Q4159">
            <v>5.7599999999999998E-2</v>
          </cell>
          <cell r="R4159">
            <v>0</v>
          </cell>
          <cell r="S4159">
            <v>0</v>
          </cell>
          <cell r="T4159">
            <v>240</v>
          </cell>
          <cell r="U4159">
            <v>0</v>
          </cell>
          <cell r="V4159">
            <v>0</v>
          </cell>
          <cell r="W4159">
            <v>0</v>
          </cell>
          <cell r="X4159">
            <v>9.5999999999999992E-3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</row>
        <row r="4160">
          <cell r="A4160">
            <v>61213900</v>
          </cell>
          <cell r="B4160" t="str">
            <v>Fruit juice blend, citrus, 100% juice, with calcium added</v>
          </cell>
          <cell r="I4160">
            <v>240</v>
          </cell>
          <cell r="J4160">
            <v>112.8</v>
          </cell>
          <cell r="K4160">
            <v>0.47</v>
          </cell>
          <cell r="L4160">
            <v>0.72</v>
          </cell>
          <cell r="M4160">
            <v>3.3599999999999998E-2</v>
          </cell>
          <cell r="N4160">
            <v>0</v>
          </cell>
          <cell r="O4160">
            <v>0.33600000000000002</v>
          </cell>
          <cell r="P4160">
            <v>0</v>
          </cell>
          <cell r="Q4160">
            <v>7.1999999999999995E-2</v>
          </cell>
          <cell r="R4160">
            <v>0</v>
          </cell>
          <cell r="S4160">
            <v>0</v>
          </cell>
          <cell r="T4160">
            <v>240</v>
          </cell>
          <cell r="U4160">
            <v>0</v>
          </cell>
          <cell r="V4160">
            <v>0</v>
          </cell>
          <cell r="W4160">
            <v>0</v>
          </cell>
          <cell r="X4160">
            <v>4.7999999999999996E-3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</row>
        <row r="4161">
          <cell r="A4161">
            <v>62101000</v>
          </cell>
          <cell r="B4161" t="str">
            <v>Fruit, dried, NFS, uncooked</v>
          </cell>
          <cell r="I4161">
            <v>40</v>
          </cell>
          <cell r="J4161">
            <v>123.2</v>
          </cell>
          <cell r="K4161">
            <v>3.08</v>
          </cell>
          <cell r="L4161">
            <v>2.12</v>
          </cell>
          <cell r="M4161">
            <v>3.5200000000000002E-2</v>
          </cell>
          <cell r="N4161">
            <v>0</v>
          </cell>
          <cell r="O4161">
            <v>3.5999999999999999E-3</v>
          </cell>
          <cell r="P4161">
            <v>0</v>
          </cell>
          <cell r="Q4161">
            <v>7.2800000000000004E-2</v>
          </cell>
          <cell r="R4161">
            <v>0</v>
          </cell>
          <cell r="S4161">
            <v>0</v>
          </cell>
          <cell r="T4161">
            <v>18.647200000000002</v>
          </cell>
          <cell r="U4161">
            <v>0</v>
          </cell>
          <cell r="V4161">
            <v>0</v>
          </cell>
          <cell r="W4161">
            <v>0</v>
          </cell>
          <cell r="X4161">
            <v>2E-3</v>
          </cell>
          <cell r="Y4161">
            <v>0</v>
          </cell>
          <cell r="Z4161">
            <v>0</v>
          </cell>
          <cell r="AA4161">
            <v>0</v>
          </cell>
          <cell r="AB4161">
            <v>1.1999999999999999E-3</v>
          </cell>
        </row>
        <row r="4162">
          <cell r="A4162">
            <v>62101050</v>
          </cell>
          <cell r="B4162" t="str">
            <v>Fruit mixture, dried</v>
          </cell>
          <cell r="I4162">
            <v>40</v>
          </cell>
          <cell r="J4162">
            <v>97.58</v>
          </cell>
          <cell r="K4162">
            <v>2.4394999999999998</v>
          </cell>
          <cell r="L4162">
            <v>2.976</v>
          </cell>
          <cell r="M4162">
            <v>2.418E-2</v>
          </cell>
          <cell r="N4162">
            <v>0</v>
          </cell>
          <cell r="O4162">
            <v>1.5879999999999998E-2</v>
          </cell>
          <cell r="P4162">
            <v>0</v>
          </cell>
          <cell r="Q4162">
            <v>3.2779999999999997E-2</v>
          </cell>
          <cell r="R4162">
            <v>0</v>
          </cell>
          <cell r="S4162">
            <v>0</v>
          </cell>
          <cell r="T4162">
            <v>40</v>
          </cell>
          <cell r="U4162">
            <v>0</v>
          </cell>
          <cell r="V4162">
            <v>0</v>
          </cell>
          <cell r="W4162">
            <v>0</v>
          </cell>
          <cell r="X4162">
            <v>6.7799999999999996E-3</v>
          </cell>
          <cell r="Y4162">
            <v>0</v>
          </cell>
          <cell r="Z4162">
            <v>0</v>
          </cell>
          <cell r="AA4162">
            <v>0</v>
          </cell>
          <cell r="AB4162">
            <v>0</v>
          </cell>
        </row>
        <row r="4163">
          <cell r="A4163">
            <v>62101100</v>
          </cell>
          <cell r="B4163" t="str">
            <v>Apple, dried, uncooked</v>
          </cell>
          <cell r="I4163">
            <v>40</v>
          </cell>
          <cell r="J4163">
            <v>97.2</v>
          </cell>
          <cell r="K4163">
            <v>2.4300000000000002</v>
          </cell>
          <cell r="L4163">
            <v>3.48</v>
          </cell>
          <cell r="M4163">
            <v>2.0799999999999999E-2</v>
          </cell>
          <cell r="N4163">
            <v>0</v>
          </cell>
          <cell r="O4163">
            <v>5.5999999999999999E-3</v>
          </cell>
          <cell r="P4163">
            <v>0</v>
          </cell>
          <cell r="Q4163">
            <v>3.7199999999999997E-2</v>
          </cell>
          <cell r="R4163">
            <v>0</v>
          </cell>
          <cell r="S4163">
            <v>0</v>
          </cell>
          <cell r="T4163">
            <v>40</v>
          </cell>
          <cell r="U4163">
            <v>0</v>
          </cell>
          <cell r="V4163">
            <v>0</v>
          </cell>
          <cell r="W4163">
            <v>0</v>
          </cell>
          <cell r="X4163">
            <v>3.4799999999999998E-2</v>
          </cell>
          <cell r="Y4163">
            <v>0</v>
          </cell>
          <cell r="Z4163">
            <v>0</v>
          </cell>
          <cell r="AA4163">
            <v>0</v>
          </cell>
          <cell r="AB4163">
            <v>3.5062000000000001E-3</v>
          </cell>
        </row>
        <row r="4164">
          <cell r="A4164">
            <v>62101200</v>
          </cell>
          <cell r="B4164" t="str">
            <v>Apple, dried, cooked, NS as to sweetened or unsweetened; sweetened, NS as to type of sweetener</v>
          </cell>
          <cell r="I4164">
            <v>40</v>
          </cell>
          <cell r="J4164">
            <v>22.8</v>
          </cell>
          <cell r="K4164">
            <v>0.57000000000000006</v>
          </cell>
          <cell r="L4164">
            <v>0.8</v>
          </cell>
          <cell r="M4164">
            <v>4.7999999999999996E-3</v>
          </cell>
          <cell r="N4164">
            <v>0</v>
          </cell>
          <cell r="O4164">
            <v>1.1999999999999999E-3</v>
          </cell>
          <cell r="P4164">
            <v>0</v>
          </cell>
          <cell r="Q4164">
            <v>8.8000000000000005E-3</v>
          </cell>
          <cell r="R4164">
            <v>0</v>
          </cell>
          <cell r="S4164">
            <v>0</v>
          </cell>
          <cell r="T4164">
            <v>40</v>
          </cell>
          <cell r="U4164">
            <v>0</v>
          </cell>
          <cell r="V4164">
            <v>0</v>
          </cell>
          <cell r="W4164">
            <v>0</v>
          </cell>
          <cell r="X4164">
            <v>8.0000000000000002E-3</v>
          </cell>
          <cell r="Y4164">
            <v>0</v>
          </cell>
          <cell r="Z4164">
            <v>0</v>
          </cell>
          <cell r="AA4164">
            <v>0</v>
          </cell>
          <cell r="AB4164">
            <v>5.5349999999999996E-4</v>
          </cell>
        </row>
        <row r="4165">
          <cell r="A4165">
            <v>62101230</v>
          </cell>
          <cell r="B4165" t="str">
            <v>Apple, dried, cooked, with sugar</v>
          </cell>
          <cell r="I4165">
            <v>40</v>
          </cell>
          <cell r="J4165">
            <v>36.942856999999997</v>
          </cell>
          <cell r="K4165">
            <v>0.92357142499999989</v>
          </cell>
          <cell r="L4165">
            <v>0.71428570000000002</v>
          </cell>
          <cell r="M4165">
            <v>4.2856999999999999E-3</v>
          </cell>
          <cell r="N4165">
            <v>0</v>
          </cell>
          <cell r="O4165">
            <v>1.1142999999999999E-3</v>
          </cell>
          <cell r="P4165">
            <v>0</v>
          </cell>
          <cell r="Q4165">
            <v>7.8571000000000005E-3</v>
          </cell>
          <cell r="R4165">
            <v>0</v>
          </cell>
          <cell r="S4165">
            <v>0</v>
          </cell>
          <cell r="T4165">
            <v>35.714286000000001</v>
          </cell>
          <cell r="U4165">
            <v>0</v>
          </cell>
          <cell r="V4165">
            <v>0</v>
          </cell>
          <cell r="W4165">
            <v>0</v>
          </cell>
          <cell r="X4165">
            <v>7.1856999999999997E-3</v>
          </cell>
          <cell r="Y4165">
            <v>0</v>
          </cell>
          <cell r="Z4165">
            <v>0</v>
          </cell>
          <cell r="AA4165">
            <v>0</v>
          </cell>
          <cell r="AB4165">
            <v>4.2509999999999998E-4</v>
          </cell>
        </row>
        <row r="4166">
          <cell r="A4166">
            <v>62101300</v>
          </cell>
          <cell r="B4166" t="str">
            <v>Apple chips</v>
          </cell>
          <cell r="I4166">
            <v>40</v>
          </cell>
          <cell r="J4166">
            <v>184.0224</v>
          </cell>
          <cell r="K4166">
            <v>4.6005599999999998</v>
          </cell>
          <cell r="L4166">
            <v>3.90848</v>
          </cell>
          <cell r="M4166">
            <v>0.65449599999999997</v>
          </cell>
          <cell r="N4166">
            <v>0</v>
          </cell>
          <cell r="O4166">
            <v>5.9887999999999999E-3</v>
          </cell>
          <cell r="P4166">
            <v>0</v>
          </cell>
          <cell r="Q4166">
            <v>2.4403408</v>
          </cell>
          <cell r="R4166">
            <v>0</v>
          </cell>
          <cell r="S4166">
            <v>0</v>
          </cell>
          <cell r="T4166">
            <v>31.52</v>
          </cell>
          <cell r="U4166">
            <v>0</v>
          </cell>
          <cell r="V4166">
            <v>0</v>
          </cell>
          <cell r="W4166">
            <v>0</v>
          </cell>
          <cell r="X4166">
            <v>3.9084800000000003E-2</v>
          </cell>
          <cell r="Y4166">
            <v>0</v>
          </cell>
          <cell r="Z4166">
            <v>0</v>
          </cell>
          <cell r="AA4166">
            <v>0</v>
          </cell>
          <cell r="AB4166">
            <v>6.8544400000000005E-2</v>
          </cell>
        </row>
        <row r="4167">
          <cell r="A4167">
            <v>62104100</v>
          </cell>
          <cell r="B4167" t="str">
            <v>Apricot, dried, uncooked</v>
          </cell>
          <cell r="I4167">
            <v>40</v>
          </cell>
          <cell r="J4167">
            <v>96.4</v>
          </cell>
          <cell r="K4167">
            <v>2.41</v>
          </cell>
          <cell r="L4167">
            <v>2.92</v>
          </cell>
          <cell r="M4167">
            <v>6.7999999999999996E-3</v>
          </cell>
          <cell r="N4167">
            <v>0</v>
          </cell>
          <cell r="O4167">
            <v>2.1999999999999999E-2</v>
          </cell>
          <cell r="P4167">
            <v>0</v>
          </cell>
          <cell r="Q4167">
            <v>2.9600000000000001E-2</v>
          </cell>
          <cell r="R4167">
            <v>0</v>
          </cell>
          <cell r="S4167">
            <v>0</v>
          </cell>
          <cell r="T4167">
            <v>40</v>
          </cell>
          <cell r="U4167">
            <v>0</v>
          </cell>
          <cell r="V4167">
            <v>0</v>
          </cell>
          <cell r="W4167">
            <v>0</v>
          </cell>
          <cell r="X4167">
            <v>4.0000000000000001E-3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</row>
        <row r="4168">
          <cell r="A4168">
            <v>62104230</v>
          </cell>
          <cell r="B4168" t="str">
            <v>Apricot, dried, cooked, with sugar</v>
          </cell>
          <cell r="I4168">
            <v>40</v>
          </cell>
          <cell r="J4168">
            <v>46.942856999999997</v>
          </cell>
          <cell r="K4168">
            <v>1.173571425</v>
          </cell>
          <cell r="L4168">
            <v>0.92857140000000005</v>
          </cell>
          <cell r="M4168">
            <v>2.1429000000000001E-3</v>
          </cell>
          <cell r="N4168">
            <v>0</v>
          </cell>
          <cell r="O4168">
            <v>6.8285999999999998E-3</v>
          </cell>
          <cell r="P4168">
            <v>0</v>
          </cell>
          <cell r="Q4168">
            <v>9.2856999999999992E-3</v>
          </cell>
          <cell r="R4168">
            <v>0</v>
          </cell>
          <cell r="S4168">
            <v>0</v>
          </cell>
          <cell r="T4168">
            <v>35.714286000000001</v>
          </cell>
          <cell r="U4168">
            <v>0</v>
          </cell>
          <cell r="V4168">
            <v>0</v>
          </cell>
          <cell r="W4168">
            <v>0</v>
          </cell>
          <cell r="X4168">
            <v>1.4714000000000001E-3</v>
          </cell>
          <cell r="Y4168">
            <v>0</v>
          </cell>
          <cell r="Z4168">
            <v>0</v>
          </cell>
          <cell r="AA4168">
            <v>0</v>
          </cell>
          <cell r="AB4168">
            <v>0</v>
          </cell>
        </row>
        <row r="4169">
          <cell r="A4169">
            <v>62105000</v>
          </cell>
          <cell r="B4169" t="str">
            <v>Blueberries, dried</v>
          </cell>
          <cell r="I4169">
            <v>40</v>
          </cell>
          <cell r="J4169">
            <v>126.8</v>
          </cell>
          <cell r="K4169">
            <v>3.17</v>
          </cell>
          <cell r="L4169">
            <v>3</v>
          </cell>
          <cell r="M4169">
            <v>0.08</v>
          </cell>
          <cell r="N4169">
            <v>0</v>
          </cell>
          <cell r="O4169">
            <v>7.6E-3</v>
          </cell>
          <cell r="P4169">
            <v>0</v>
          </cell>
          <cell r="Q4169">
            <v>0.52</v>
          </cell>
          <cell r="R4169">
            <v>0</v>
          </cell>
          <cell r="S4169">
            <v>0</v>
          </cell>
          <cell r="T4169">
            <v>25.232800000000001</v>
          </cell>
          <cell r="U4169">
            <v>0</v>
          </cell>
          <cell r="V4169">
            <v>0</v>
          </cell>
          <cell r="W4169">
            <v>0</v>
          </cell>
          <cell r="X4169">
            <v>1.1999999999999999E-3</v>
          </cell>
          <cell r="Y4169">
            <v>0</v>
          </cell>
          <cell r="Z4169">
            <v>0</v>
          </cell>
          <cell r="AA4169">
            <v>0</v>
          </cell>
          <cell r="AB4169">
            <v>0</v>
          </cell>
        </row>
        <row r="4170">
          <cell r="A4170">
            <v>62106000</v>
          </cell>
          <cell r="B4170" t="str">
            <v>Cherries, dried</v>
          </cell>
          <cell r="I4170">
            <v>40</v>
          </cell>
          <cell r="J4170">
            <v>133.19999999999999</v>
          </cell>
          <cell r="K4170">
            <v>3.3299999999999996</v>
          </cell>
          <cell r="L4170">
            <v>1</v>
          </cell>
          <cell r="M4170">
            <v>5.8400000000000001E-2</v>
          </cell>
          <cell r="N4170">
            <v>0</v>
          </cell>
          <cell r="O4170">
            <v>1.52E-2</v>
          </cell>
          <cell r="P4170">
            <v>0</v>
          </cell>
          <cell r="Q4170">
            <v>7.7600000000000002E-2</v>
          </cell>
          <cell r="R4170">
            <v>0</v>
          </cell>
          <cell r="S4170">
            <v>0</v>
          </cell>
          <cell r="T4170">
            <v>18.244</v>
          </cell>
          <cell r="U4170">
            <v>0</v>
          </cell>
          <cell r="V4170">
            <v>0</v>
          </cell>
          <cell r="W4170">
            <v>0</v>
          </cell>
          <cell r="X4170">
            <v>5.1999999999999998E-3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</row>
        <row r="4171">
          <cell r="A4171">
            <v>62107200</v>
          </cell>
          <cell r="B4171" t="str">
            <v>Banana chips</v>
          </cell>
          <cell r="I4171">
            <v>40</v>
          </cell>
          <cell r="J4171">
            <v>207.6</v>
          </cell>
          <cell r="K4171">
            <v>5.1899999999999995</v>
          </cell>
          <cell r="L4171">
            <v>3.08</v>
          </cell>
          <cell r="M4171">
            <v>11.587999999999999</v>
          </cell>
          <cell r="N4171">
            <v>0</v>
          </cell>
          <cell r="O4171">
            <v>7.1999999999999998E-3</v>
          </cell>
          <cell r="P4171">
            <v>0</v>
          </cell>
          <cell r="Q4171">
            <v>0.252</v>
          </cell>
          <cell r="R4171">
            <v>0</v>
          </cell>
          <cell r="S4171">
            <v>0</v>
          </cell>
          <cell r="T4171">
            <v>38.404000000000003</v>
          </cell>
          <cell r="U4171">
            <v>0</v>
          </cell>
          <cell r="V4171">
            <v>0</v>
          </cell>
          <cell r="W4171">
            <v>0</v>
          </cell>
          <cell r="X4171">
            <v>2.3999999999999998E-3</v>
          </cell>
          <cell r="Y4171">
            <v>0</v>
          </cell>
          <cell r="Z4171">
            <v>0</v>
          </cell>
          <cell r="AA4171">
            <v>0</v>
          </cell>
          <cell r="AB4171">
            <v>0.13787540000000001</v>
          </cell>
        </row>
        <row r="4172">
          <cell r="A4172">
            <v>62108100</v>
          </cell>
          <cell r="B4172" t="str">
            <v>Currants, dried</v>
          </cell>
          <cell r="I4172">
            <v>40</v>
          </cell>
          <cell r="J4172">
            <v>113.2</v>
          </cell>
          <cell r="K4172">
            <v>2.83</v>
          </cell>
          <cell r="L4172">
            <v>2.72</v>
          </cell>
          <cell r="M4172">
            <v>1.12E-2</v>
          </cell>
          <cell r="N4172">
            <v>0</v>
          </cell>
          <cell r="O4172">
            <v>3.44E-2</v>
          </cell>
          <cell r="P4172">
            <v>0</v>
          </cell>
          <cell r="Q4172">
            <v>7.1999999999999995E-2</v>
          </cell>
          <cell r="R4172">
            <v>0</v>
          </cell>
          <cell r="S4172">
            <v>0</v>
          </cell>
          <cell r="T4172">
            <v>40</v>
          </cell>
          <cell r="U4172">
            <v>0</v>
          </cell>
          <cell r="V4172">
            <v>0</v>
          </cell>
          <cell r="W4172">
            <v>0</v>
          </cell>
          <cell r="X4172">
            <v>3.2000000000000002E-3</v>
          </cell>
          <cell r="Y4172">
            <v>0</v>
          </cell>
          <cell r="Z4172">
            <v>0</v>
          </cell>
          <cell r="AA4172">
            <v>0</v>
          </cell>
          <cell r="AB4172">
            <v>0</v>
          </cell>
        </row>
        <row r="4173">
          <cell r="A4173">
            <v>62109100</v>
          </cell>
          <cell r="B4173" t="str">
            <v>Cranberries, dried</v>
          </cell>
          <cell r="I4173">
            <v>50</v>
          </cell>
          <cell r="J4173">
            <v>154</v>
          </cell>
          <cell r="K4173">
            <v>3.08</v>
          </cell>
          <cell r="L4173">
            <v>2.65</v>
          </cell>
          <cell r="M4173">
            <v>4.3999999999999997E-2</v>
          </cell>
          <cell r="N4173">
            <v>0</v>
          </cell>
          <cell r="O4173">
            <v>4.4999999999999997E-3</v>
          </cell>
          <cell r="P4173">
            <v>0</v>
          </cell>
          <cell r="Q4173">
            <v>9.0999999999999998E-2</v>
          </cell>
          <cell r="R4173">
            <v>0</v>
          </cell>
          <cell r="S4173">
            <v>0</v>
          </cell>
          <cell r="T4173">
            <v>23.309000000000001</v>
          </cell>
          <cell r="U4173">
            <v>0</v>
          </cell>
          <cell r="V4173">
            <v>0</v>
          </cell>
          <cell r="W4173">
            <v>0</v>
          </cell>
          <cell r="X4173">
            <v>2.5000000000000001E-3</v>
          </cell>
          <cell r="Y4173">
            <v>0</v>
          </cell>
          <cell r="Z4173">
            <v>0</v>
          </cell>
          <cell r="AA4173">
            <v>0</v>
          </cell>
          <cell r="AB4173">
            <v>1.5E-3</v>
          </cell>
        </row>
        <row r="4174">
          <cell r="A4174">
            <v>62110100</v>
          </cell>
          <cell r="B4174" t="str">
            <v>Date</v>
          </cell>
          <cell r="I4174">
            <v>40</v>
          </cell>
          <cell r="J4174">
            <v>112.8</v>
          </cell>
          <cell r="K4174">
            <v>2.82</v>
          </cell>
          <cell r="L4174">
            <v>3.2</v>
          </cell>
          <cell r="M4174">
            <v>1.2800000000000001E-2</v>
          </cell>
          <cell r="N4174">
            <v>0</v>
          </cell>
          <cell r="O4174">
            <v>1.5599999999999999E-2</v>
          </cell>
          <cell r="P4174">
            <v>0</v>
          </cell>
          <cell r="Q4174">
            <v>7.6E-3</v>
          </cell>
          <cell r="R4174">
            <v>0</v>
          </cell>
          <cell r="S4174">
            <v>0</v>
          </cell>
          <cell r="T4174">
            <v>40</v>
          </cell>
          <cell r="U4174">
            <v>0</v>
          </cell>
          <cell r="V4174">
            <v>0</v>
          </cell>
          <cell r="W4174">
            <v>0</v>
          </cell>
          <cell r="X4174">
            <v>8.0000000000000004E-4</v>
          </cell>
          <cell r="Y4174">
            <v>0</v>
          </cell>
          <cell r="Z4174">
            <v>0</v>
          </cell>
          <cell r="AA4174">
            <v>0</v>
          </cell>
          <cell r="AB4174">
            <v>0</v>
          </cell>
        </row>
        <row r="4175">
          <cell r="A4175">
            <v>62113100</v>
          </cell>
          <cell r="B4175" t="str">
            <v>Fig, dried, uncooked</v>
          </cell>
          <cell r="I4175">
            <v>40</v>
          </cell>
          <cell r="J4175">
            <v>99.6</v>
          </cell>
          <cell r="K4175">
            <v>2.4899999999999998</v>
          </cell>
          <cell r="L4175">
            <v>3.92</v>
          </cell>
          <cell r="M4175">
            <v>5.7599999999999998E-2</v>
          </cell>
          <cell r="N4175">
            <v>0</v>
          </cell>
          <cell r="O4175">
            <v>6.4799999999999996E-2</v>
          </cell>
          <cell r="P4175">
            <v>0</v>
          </cell>
          <cell r="Q4175">
            <v>0.13800000000000001</v>
          </cell>
          <cell r="R4175">
            <v>0</v>
          </cell>
          <cell r="S4175">
            <v>0</v>
          </cell>
          <cell r="T4175">
            <v>40</v>
          </cell>
          <cell r="U4175">
            <v>0</v>
          </cell>
          <cell r="V4175">
            <v>0</v>
          </cell>
          <cell r="W4175">
            <v>0</v>
          </cell>
          <cell r="X4175">
            <v>4.0000000000000001E-3</v>
          </cell>
          <cell r="Y4175">
            <v>0</v>
          </cell>
          <cell r="Z4175">
            <v>0</v>
          </cell>
          <cell r="AA4175">
            <v>0</v>
          </cell>
          <cell r="AB4175">
            <v>6.8081000000000001E-3</v>
          </cell>
        </row>
        <row r="4176">
          <cell r="A4176">
            <v>62114050</v>
          </cell>
          <cell r="B4176" t="str">
            <v>Mango, dried</v>
          </cell>
          <cell r="I4176">
            <v>40</v>
          </cell>
          <cell r="J4176">
            <v>127.6</v>
          </cell>
          <cell r="K4176">
            <v>3.19</v>
          </cell>
          <cell r="L4176">
            <v>0.96</v>
          </cell>
          <cell r="M4176">
            <v>0.1148</v>
          </cell>
          <cell r="N4176">
            <v>0</v>
          </cell>
          <cell r="O4176">
            <v>0</v>
          </cell>
          <cell r="P4176">
            <v>0</v>
          </cell>
          <cell r="Q4176">
            <v>8.8800000000000004E-2</v>
          </cell>
          <cell r="R4176">
            <v>0</v>
          </cell>
          <cell r="S4176">
            <v>0</v>
          </cell>
          <cell r="T4176">
            <v>29.214400000000001</v>
          </cell>
          <cell r="U4176">
            <v>0</v>
          </cell>
          <cell r="V4176">
            <v>0</v>
          </cell>
          <cell r="W4176">
            <v>0</v>
          </cell>
          <cell r="X4176">
            <v>6.4799999999999996E-2</v>
          </cell>
          <cell r="Y4176">
            <v>0</v>
          </cell>
          <cell r="Z4176">
            <v>0</v>
          </cell>
          <cell r="AA4176">
            <v>0</v>
          </cell>
          <cell r="AB4176">
            <v>0</v>
          </cell>
        </row>
        <row r="4177">
          <cell r="A4177">
            <v>62120100</v>
          </cell>
          <cell r="B4177" t="str">
            <v>Pineapple, dried</v>
          </cell>
          <cell r="I4177">
            <v>40</v>
          </cell>
          <cell r="J4177">
            <v>34.442856999999997</v>
          </cell>
          <cell r="K4177">
            <v>0.86107142499999989</v>
          </cell>
          <cell r="L4177">
            <v>0.5</v>
          </cell>
          <cell r="M4177">
            <v>3.2142999999999998E-3</v>
          </cell>
          <cell r="N4177">
            <v>0</v>
          </cell>
          <cell r="O4177">
            <v>4.6857000000000001E-3</v>
          </cell>
          <cell r="P4177">
            <v>0</v>
          </cell>
          <cell r="Q4177">
            <v>1.42857E-2</v>
          </cell>
          <cell r="R4177">
            <v>0</v>
          </cell>
          <cell r="S4177">
            <v>0</v>
          </cell>
          <cell r="T4177">
            <v>35.714286000000001</v>
          </cell>
          <cell r="U4177">
            <v>0</v>
          </cell>
          <cell r="V4177">
            <v>0</v>
          </cell>
          <cell r="W4177">
            <v>0</v>
          </cell>
          <cell r="X4177">
            <v>4.0000000000000002E-4</v>
          </cell>
          <cell r="Y4177">
            <v>0</v>
          </cell>
          <cell r="Z4177">
            <v>0</v>
          </cell>
          <cell r="AA4177">
            <v>0</v>
          </cell>
          <cell r="AB4177">
            <v>5.8786000000000003E-3</v>
          </cell>
        </row>
        <row r="4178">
          <cell r="A4178">
            <v>62121100</v>
          </cell>
          <cell r="B4178" t="str">
            <v>Plum, rock salt, dried</v>
          </cell>
          <cell r="I4178">
            <v>40</v>
          </cell>
          <cell r="J4178">
            <v>90.24</v>
          </cell>
          <cell r="K4178">
            <v>2.2559999999999998</v>
          </cell>
          <cell r="L4178">
            <v>0</v>
          </cell>
          <cell r="M4178">
            <v>3.3087999999999999E-2</v>
          </cell>
          <cell r="N4178">
            <v>0</v>
          </cell>
          <cell r="O4178">
            <v>1.6743999999999998E-2</v>
          </cell>
          <cell r="P4178">
            <v>2.6696</v>
          </cell>
          <cell r="Q4178">
            <v>2.3311999999999999E-2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0.93094399999999999</v>
          </cell>
          <cell r="Y4178">
            <v>0</v>
          </cell>
          <cell r="Z4178">
            <v>0</v>
          </cell>
          <cell r="AA4178">
            <v>0</v>
          </cell>
          <cell r="AB4178">
            <v>0</v>
          </cell>
        </row>
        <row r="4179">
          <cell r="A4179">
            <v>62122100</v>
          </cell>
          <cell r="B4179" t="str">
            <v>Prune, dried, uncooked</v>
          </cell>
          <cell r="I4179">
            <v>40</v>
          </cell>
          <cell r="J4179">
            <v>96</v>
          </cell>
          <cell r="K4179">
            <v>2.4</v>
          </cell>
          <cell r="L4179">
            <v>2.84</v>
          </cell>
          <cell r="M4179">
            <v>3.5200000000000002E-2</v>
          </cell>
          <cell r="N4179">
            <v>0</v>
          </cell>
          <cell r="O4179">
            <v>1.72E-2</v>
          </cell>
          <cell r="P4179">
            <v>0</v>
          </cell>
          <cell r="Q4179">
            <v>2.4799999999999999E-2</v>
          </cell>
          <cell r="R4179">
            <v>0</v>
          </cell>
          <cell r="S4179">
            <v>0</v>
          </cell>
          <cell r="T4179">
            <v>40</v>
          </cell>
          <cell r="U4179">
            <v>0</v>
          </cell>
          <cell r="V4179">
            <v>0</v>
          </cell>
          <cell r="W4179">
            <v>0</v>
          </cell>
          <cell r="X4179">
            <v>8.0000000000000004E-4</v>
          </cell>
          <cell r="Y4179">
            <v>0</v>
          </cell>
          <cell r="Z4179">
            <v>0</v>
          </cell>
          <cell r="AA4179">
            <v>0</v>
          </cell>
          <cell r="AB4179">
            <v>0</v>
          </cell>
        </row>
        <row r="4180">
          <cell r="A4180">
            <v>62122200</v>
          </cell>
          <cell r="B4180" t="str">
            <v>Prune, dried, cooked, NS as to sweetened or unsweetened; sweetened, NS as to type of sweetener</v>
          </cell>
          <cell r="I4180">
            <v>40</v>
          </cell>
          <cell r="J4180">
            <v>54.8</v>
          </cell>
          <cell r="K4180">
            <v>1.3699999999999999</v>
          </cell>
          <cell r="L4180">
            <v>1.1071428999999999</v>
          </cell>
          <cell r="M4180">
            <v>3.5714000000000002E-3</v>
          </cell>
          <cell r="N4180">
            <v>0</v>
          </cell>
          <cell r="O4180">
            <v>6.8285999999999998E-3</v>
          </cell>
          <cell r="P4180">
            <v>0</v>
          </cell>
          <cell r="Q4180">
            <v>9.2856999999999992E-3</v>
          </cell>
          <cell r="R4180">
            <v>0</v>
          </cell>
          <cell r="S4180">
            <v>0</v>
          </cell>
          <cell r="T4180">
            <v>35.714286000000001</v>
          </cell>
          <cell r="U4180">
            <v>0</v>
          </cell>
          <cell r="V4180">
            <v>0</v>
          </cell>
          <cell r="W4180">
            <v>0</v>
          </cell>
          <cell r="X4180">
            <v>4.0000000000000002E-4</v>
          </cell>
          <cell r="Y4180">
            <v>0</v>
          </cell>
          <cell r="Z4180">
            <v>0</v>
          </cell>
          <cell r="AA4180">
            <v>0</v>
          </cell>
          <cell r="AB4180">
            <v>0</v>
          </cell>
        </row>
        <row r="4181">
          <cell r="A4181">
            <v>62122220</v>
          </cell>
          <cell r="B4181" t="str">
            <v>Prune, dried, cooked, unsweetened</v>
          </cell>
          <cell r="I4181">
            <v>40</v>
          </cell>
          <cell r="J4181">
            <v>42.8</v>
          </cell>
          <cell r="K4181">
            <v>1.0699999999999998</v>
          </cell>
          <cell r="L4181">
            <v>1.24</v>
          </cell>
          <cell r="M4181">
            <v>4.0000000000000001E-3</v>
          </cell>
          <cell r="N4181">
            <v>0</v>
          </cell>
          <cell r="O4181">
            <v>7.6E-3</v>
          </cell>
          <cell r="P4181">
            <v>0</v>
          </cell>
          <cell r="Q4181">
            <v>1.04E-2</v>
          </cell>
          <cell r="R4181">
            <v>0</v>
          </cell>
          <cell r="S4181">
            <v>0</v>
          </cell>
          <cell r="T4181">
            <v>40</v>
          </cell>
          <cell r="U4181">
            <v>0</v>
          </cell>
          <cell r="V4181">
            <v>0</v>
          </cell>
          <cell r="W4181">
            <v>0</v>
          </cell>
          <cell r="X4181">
            <v>4.0000000000000002E-4</v>
          </cell>
          <cell r="Y4181">
            <v>0</v>
          </cell>
          <cell r="Z4181">
            <v>0</v>
          </cell>
          <cell r="AA4181">
            <v>0</v>
          </cell>
          <cell r="AB4181">
            <v>0</v>
          </cell>
        </row>
        <row r="4182">
          <cell r="A4182">
            <v>62122230</v>
          </cell>
          <cell r="B4182" t="str">
            <v>Prune, dried, cooked, with sugar</v>
          </cell>
          <cell r="I4182">
            <v>40</v>
          </cell>
          <cell r="J4182">
            <v>54.8</v>
          </cell>
          <cell r="K4182">
            <v>1.3699999999999999</v>
          </cell>
          <cell r="L4182">
            <v>1.1071428999999999</v>
          </cell>
          <cell r="M4182">
            <v>3.5714000000000002E-3</v>
          </cell>
          <cell r="N4182">
            <v>0</v>
          </cell>
          <cell r="O4182">
            <v>6.8285999999999998E-3</v>
          </cell>
          <cell r="P4182">
            <v>0</v>
          </cell>
          <cell r="Q4182">
            <v>9.2856999999999992E-3</v>
          </cell>
          <cell r="R4182">
            <v>0</v>
          </cell>
          <cell r="S4182">
            <v>0</v>
          </cell>
          <cell r="T4182">
            <v>35.714286000000001</v>
          </cell>
          <cell r="U4182">
            <v>0</v>
          </cell>
          <cell r="V4182">
            <v>0</v>
          </cell>
          <cell r="W4182">
            <v>0</v>
          </cell>
          <cell r="X4182">
            <v>4.0000000000000002E-4</v>
          </cell>
          <cell r="Y4182">
            <v>0</v>
          </cell>
          <cell r="Z4182">
            <v>0</v>
          </cell>
          <cell r="AA4182">
            <v>0</v>
          </cell>
          <cell r="AB4182">
            <v>0</v>
          </cell>
        </row>
        <row r="4183">
          <cell r="A4183">
            <v>62125100</v>
          </cell>
          <cell r="B4183" t="str">
            <v>Raisins</v>
          </cell>
          <cell r="I4183">
            <v>40</v>
          </cell>
          <cell r="J4183">
            <v>119.6</v>
          </cell>
          <cell r="K4183">
            <v>2.9899999999999998</v>
          </cell>
          <cell r="L4183">
            <v>1.48</v>
          </cell>
          <cell r="M4183">
            <v>2.3199999999999998E-2</v>
          </cell>
          <cell r="N4183">
            <v>0</v>
          </cell>
          <cell r="O4183">
            <v>0.02</v>
          </cell>
          <cell r="P4183">
            <v>0</v>
          </cell>
          <cell r="Q4183">
            <v>1.4800000000000001E-2</v>
          </cell>
          <cell r="R4183">
            <v>0</v>
          </cell>
          <cell r="S4183">
            <v>0</v>
          </cell>
          <cell r="T4183">
            <v>40</v>
          </cell>
          <cell r="U4183">
            <v>0</v>
          </cell>
          <cell r="V4183">
            <v>0</v>
          </cell>
          <cell r="W4183">
            <v>0</v>
          </cell>
          <cell r="X4183">
            <v>4.4000000000000003E-3</v>
          </cell>
          <cell r="Y4183">
            <v>0</v>
          </cell>
          <cell r="Z4183">
            <v>0</v>
          </cell>
          <cell r="AA4183">
            <v>0</v>
          </cell>
          <cell r="AB4183">
            <v>0</v>
          </cell>
        </row>
        <row r="4184">
          <cell r="A4184">
            <v>62125110</v>
          </cell>
          <cell r="B4184" t="str">
            <v>Raisins, cooked</v>
          </cell>
          <cell r="I4184">
            <v>40</v>
          </cell>
          <cell r="J4184">
            <v>62.443617000000003</v>
          </cell>
          <cell r="K4184">
            <v>1.5610904250000002</v>
          </cell>
          <cell r="L4184">
            <v>0.49195949999999999</v>
          </cell>
          <cell r="M4184">
            <v>7.7118000000000004E-3</v>
          </cell>
          <cell r="N4184">
            <v>0</v>
          </cell>
          <cell r="O4184">
            <v>7.332E-3</v>
          </cell>
          <cell r="P4184">
            <v>0</v>
          </cell>
          <cell r="Q4184">
            <v>4.9195999999999997E-3</v>
          </cell>
          <cell r="R4184">
            <v>0</v>
          </cell>
          <cell r="S4184">
            <v>0</v>
          </cell>
          <cell r="T4184">
            <v>13.296203999999999</v>
          </cell>
          <cell r="U4184">
            <v>0</v>
          </cell>
          <cell r="V4184">
            <v>0</v>
          </cell>
          <cell r="W4184">
            <v>0</v>
          </cell>
          <cell r="X4184">
            <v>2.3549E-3</v>
          </cell>
          <cell r="Y4184">
            <v>0</v>
          </cell>
          <cell r="Z4184">
            <v>0</v>
          </cell>
          <cell r="AA4184">
            <v>0</v>
          </cell>
          <cell r="AB4184">
            <v>0</v>
          </cell>
        </row>
        <row r="4185">
          <cell r="A4185">
            <v>62126000</v>
          </cell>
          <cell r="B4185" t="str">
            <v>Tamarind pulp, dried, sweetened</v>
          </cell>
          <cell r="I4185">
            <v>40</v>
          </cell>
          <cell r="J4185">
            <v>101.52</v>
          </cell>
          <cell r="K4185">
            <v>2.5379999999999998</v>
          </cell>
          <cell r="L4185">
            <v>1.8360000000000001</v>
          </cell>
          <cell r="M4185">
            <v>9.7919999999999993E-2</v>
          </cell>
          <cell r="N4185">
            <v>0</v>
          </cell>
          <cell r="O4185">
            <v>2.6679999999999999E-2</v>
          </cell>
          <cell r="P4185">
            <v>0</v>
          </cell>
          <cell r="Q4185">
            <v>2.1239999999999998E-2</v>
          </cell>
          <cell r="R4185">
            <v>0</v>
          </cell>
          <cell r="S4185">
            <v>0</v>
          </cell>
          <cell r="T4185">
            <v>36</v>
          </cell>
          <cell r="U4185">
            <v>0</v>
          </cell>
          <cell r="V4185">
            <v>0</v>
          </cell>
          <cell r="W4185">
            <v>0</v>
          </cell>
          <cell r="X4185">
            <v>1.0120000000000001E-2</v>
          </cell>
          <cell r="Y4185">
            <v>0</v>
          </cell>
          <cell r="Z4185">
            <v>0</v>
          </cell>
          <cell r="AA4185">
            <v>0</v>
          </cell>
          <cell r="AB4185">
            <v>0</v>
          </cell>
        </row>
        <row r="4186">
          <cell r="A4186">
            <v>63100100</v>
          </cell>
          <cell r="B4186" t="str">
            <v>Fruit, NS as to type</v>
          </cell>
          <cell r="I4186">
            <v>140</v>
          </cell>
          <cell r="J4186">
            <v>96.04</v>
          </cell>
          <cell r="K4186">
            <v>0.68600000000000005</v>
          </cell>
          <cell r="L4186">
            <v>3.157</v>
          </cell>
          <cell r="M4186">
            <v>8.8969999999999994E-2</v>
          </cell>
          <cell r="N4186">
            <v>0</v>
          </cell>
          <cell r="O4186">
            <v>1.5820000000000001E-2</v>
          </cell>
          <cell r="P4186">
            <v>0</v>
          </cell>
          <cell r="Q4186">
            <v>7.7630000000000005E-2</v>
          </cell>
          <cell r="R4186">
            <v>0</v>
          </cell>
          <cell r="S4186">
            <v>0</v>
          </cell>
          <cell r="T4186">
            <v>140</v>
          </cell>
          <cell r="U4186">
            <v>0</v>
          </cell>
          <cell r="V4186">
            <v>0</v>
          </cell>
          <cell r="W4186">
            <v>0</v>
          </cell>
          <cell r="X4186">
            <v>1.4E-3</v>
          </cell>
          <cell r="Y4186">
            <v>0</v>
          </cell>
          <cell r="Z4186">
            <v>0</v>
          </cell>
          <cell r="AA4186">
            <v>0</v>
          </cell>
          <cell r="AB4186">
            <v>0</v>
          </cell>
        </row>
        <row r="4187">
          <cell r="A4187">
            <v>63101000</v>
          </cell>
          <cell r="B4187" t="str">
            <v>Apple, raw</v>
          </cell>
          <cell r="I4187">
            <v>140</v>
          </cell>
          <cell r="J4187">
            <v>72.8</v>
          </cell>
          <cell r="K4187">
            <v>0.52</v>
          </cell>
          <cell r="L4187">
            <v>3.36</v>
          </cell>
          <cell r="M4187">
            <v>3.9199999999999999E-2</v>
          </cell>
          <cell r="N4187">
            <v>0</v>
          </cell>
          <cell r="O4187">
            <v>8.3999999999999995E-3</v>
          </cell>
          <cell r="P4187">
            <v>0</v>
          </cell>
          <cell r="Q4187">
            <v>7.1400000000000005E-2</v>
          </cell>
          <cell r="R4187">
            <v>0</v>
          </cell>
          <cell r="S4187">
            <v>0</v>
          </cell>
          <cell r="T4187">
            <v>140</v>
          </cell>
          <cell r="U4187">
            <v>0</v>
          </cell>
          <cell r="V4187">
            <v>0</v>
          </cell>
          <cell r="W4187">
            <v>0</v>
          </cell>
          <cell r="X4187">
            <v>1.4E-3</v>
          </cell>
          <cell r="Y4187">
            <v>0</v>
          </cell>
          <cell r="Z4187">
            <v>0</v>
          </cell>
          <cell r="AA4187">
            <v>0</v>
          </cell>
          <cell r="AB4187">
            <v>0</v>
          </cell>
        </row>
        <row r="4188">
          <cell r="A4188">
            <v>63101110</v>
          </cell>
          <cell r="B4188" t="str">
            <v>Applesauce, stewed apples, NS as to sweetened or unsweetened; sweetened, NS as to type of sweetener</v>
          </cell>
          <cell r="I4188">
            <v>140</v>
          </cell>
          <cell r="J4188">
            <v>95.2</v>
          </cell>
          <cell r="K4188">
            <v>0.68</v>
          </cell>
          <cell r="L4188">
            <v>1.68</v>
          </cell>
          <cell r="M4188">
            <v>4.2000000000000003E-2</v>
          </cell>
          <cell r="N4188">
            <v>0</v>
          </cell>
          <cell r="O4188">
            <v>4.1999999999999997E-3</v>
          </cell>
          <cell r="P4188">
            <v>0</v>
          </cell>
          <cell r="Q4188">
            <v>7.5600000000000001E-2</v>
          </cell>
          <cell r="R4188">
            <v>0</v>
          </cell>
          <cell r="S4188">
            <v>0</v>
          </cell>
          <cell r="T4188">
            <v>132.59119999999999</v>
          </cell>
          <cell r="U4188">
            <v>0</v>
          </cell>
          <cell r="V4188">
            <v>0</v>
          </cell>
          <cell r="W4188">
            <v>0</v>
          </cell>
          <cell r="X4188">
            <v>2.8E-3</v>
          </cell>
          <cell r="Y4188">
            <v>0</v>
          </cell>
          <cell r="Z4188">
            <v>0</v>
          </cell>
          <cell r="AA4188">
            <v>0</v>
          </cell>
          <cell r="AB4188">
            <v>0</v>
          </cell>
        </row>
        <row r="4189">
          <cell r="A4189">
            <v>63101120</v>
          </cell>
          <cell r="B4189" t="str">
            <v>Applesauce, stewed apples, unsweetened</v>
          </cell>
          <cell r="I4189">
            <v>140</v>
          </cell>
          <cell r="J4189">
            <v>58.8</v>
          </cell>
          <cell r="K4189">
            <v>0.42</v>
          </cell>
          <cell r="L4189">
            <v>1.54</v>
          </cell>
          <cell r="M4189">
            <v>1.12E-2</v>
          </cell>
          <cell r="N4189">
            <v>0</v>
          </cell>
          <cell r="O4189">
            <v>5.5999999999999999E-3</v>
          </cell>
          <cell r="P4189">
            <v>0</v>
          </cell>
          <cell r="Q4189">
            <v>1.9599999999999999E-2</v>
          </cell>
          <cell r="R4189">
            <v>0</v>
          </cell>
          <cell r="S4189">
            <v>0</v>
          </cell>
          <cell r="T4189">
            <v>140</v>
          </cell>
          <cell r="U4189">
            <v>0</v>
          </cell>
          <cell r="V4189">
            <v>0</v>
          </cell>
          <cell r="W4189">
            <v>0</v>
          </cell>
          <cell r="X4189">
            <v>2.8E-3</v>
          </cell>
          <cell r="Y4189">
            <v>0</v>
          </cell>
          <cell r="Z4189">
            <v>0</v>
          </cell>
          <cell r="AA4189">
            <v>0</v>
          </cell>
          <cell r="AB4189">
            <v>0</v>
          </cell>
        </row>
        <row r="4190">
          <cell r="A4190">
            <v>63101130</v>
          </cell>
          <cell r="B4190" t="str">
            <v>Applesauce, stewed apples, with sugar</v>
          </cell>
          <cell r="I4190">
            <v>140</v>
          </cell>
          <cell r="J4190">
            <v>95.2</v>
          </cell>
          <cell r="K4190">
            <v>0.68</v>
          </cell>
          <cell r="L4190">
            <v>1.68</v>
          </cell>
          <cell r="M4190">
            <v>4.2000000000000003E-2</v>
          </cell>
          <cell r="N4190">
            <v>0</v>
          </cell>
          <cell r="O4190">
            <v>4.1999999999999997E-3</v>
          </cell>
          <cell r="P4190">
            <v>0</v>
          </cell>
          <cell r="Q4190">
            <v>7.5600000000000001E-2</v>
          </cell>
          <cell r="R4190">
            <v>0</v>
          </cell>
          <cell r="S4190">
            <v>0</v>
          </cell>
          <cell r="T4190">
            <v>132.59119999999999</v>
          </cell>
          <cell r="U4190">
            <v>0</v>
          </cell>
          <cell r="V4190">
            <v>0</v>
          </cell>
          <cell r="W4190">
            <v>0</v>
          </cell>
          <cell r="X4190">
            <v>2.8E-3</v>
          </cell>
          <cell r="Y4190">
            <v>0</v>
          </cell>
          <cell r="Z4190">
            <v>0</v>
          </cell>
          <cell r="AA4190">
            <v>0</v>
          </cell>
          <cell r="AB4190">
            <v>0</v>
          </cell>
        </row>
        <row r="4191">
          <cell r="A4191">
            <v>63101150</v>
          </cell>
          <cell r="B4191" t="str">
            <v>Applesauce with other fruits</v>
          </cell>
          <cell r="I4191">
            <v>140</v>
          </cell>
          <cell r="J4191">
            <v>95.2</v>
          </cell>
          <cell r="K4191">
            <v>0.68</v>
          </cell>
          <cell r="L4191">
            <v>1.68</v>
          </cell>
          <cell r="M4191">
            <v>4.2000000000000003E-2</v>
          </cell>
          <cell r="N4191">
            <v>0</v>
          </cell>
          <cell r="O4191">
            <v>4.1999999999999997E-3</v>
          </cell>
          <cell r="P4191">
            <v>0</v>
          </cell>
          <cell r="Q4191">
            <v>7.5600000000000001E-2</v>
          </cell>
          <cell r="R4191">
            <v>0</v>
          </cell>
          <cell r="S4191">
            <v>0</v>
          </cell>
          <cell r="T4191">
            <v>132.59119999999999</v>
          </cell>
          <cell r="U4191">
            <v>0</v>
          </cell>
          <cell r="V4191">
            <v>0</v>
          </cell>
          <cell r="W4191">
            <v>0</v>
          </cell>
          <cell r="X4191">
            <v>2.8E-3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</row>
        <row r="4192">
          <cell r="A4192">
            <v>63101210</v>
          </cell>
          <cell r="B4192" t="str">
            <v>Apple, cooked or canned, with syrup</v>
          </cell>
          <cell r="I4192">
            <v>140</v>
          </cell>
          <cell r="J4192">
            <v>93.8</v>
          </cell>
          <cell r="K4192">
            <v>0.66999999999999993</v>
          </cell>
          <cell r="L4192">
            <v>2.8</v>
          </cell>
          <cell r="M4192">
            <v>9.8000000000000004E-2</v>
          </cell>
          <cell r="N4192">
            <v>0</v>
          </cell>
          <cell r="O4192">
            <v>5.5999999999999999E-3</v>
          </cell>
          <cell r="P4192">
            <v>0</v>
          </cell>
          <cell r="Q4192">
            <v>0.1764</v>
          </cell>
          <cell r="R4192">
            <v>0</v>
          </cell>
          <cell r="S4192">
            <v>0</v>
          </cell>
          <cell r="T4192">
            <v>134.64920000000001</v>
          </cell>
          <cell r="U4192">
            <v>0</v>
          </cell>
          <cell r="V4192">
            <v>0</v>
          </cell>
          <cell r="W4192">
            <v>0</v>
          </cell>
          <cell r="X4192">
            <v>4.1999999999999997E-3</v>
          </cell>
          <cell r="Y4192">
            <v>0</v>
          </cell>
          <cell r="Z4192">
            <v>0</v>
          </cell>
          <cell r="AA4192">
            <v>0</v>
          </cell>
          <cell r="AB4192">
            <v>0</v>
          </cell>
        </row>
        <row r="4193">
          <cell r="A4193">
            <v>63101320</v>
          </cell>
          <cell r="B4193" t="str">
            <v>Apple, baked, unsweetened</v>
          </cell>
          <cell r="I4193">
            <v>140</v>
          </cell>
          <cell r="J4193">
            <v>72.8</v>
          </cell>
          <cell r="K4193">
            <v>0.52</v>
          </cell>
          <cell r="L4193">
            <v>3.36</v>
          </cell>
          <cell r="M4193">
            <v>3.9199999999999999E-2</v>
          </cell>
          <cell r="N4193">
            <v>0</v>
          </cell>
          <cell r="O4193">
            <v>8.3999999999999995E-3</v>
          </cell>
          <cell r="P4193">
            <v>0</v>
          </cell>
          <cell r="Q4193">
            <v>7.1400000000000005E-2</v>
          </cell>
          <cell r="R4193">
            <v>0</v>
          </cell>
          <cell r="S4193">
            <v>0</v>
          </cell>
          <cell r="T4193">
            <v>140</v>
          </cell>
          <cell r="U4193">
            <v>0</v>
          </cell>
          <cell r="V4193">
            <v>0</v>
          </cell>
          <cell r="W4193">
            <v>0</v>
          </cell>
          <cell r="X4193">
            <v>1.4E-3</v>
          </cell>
          <cell r="Y4193">
            <v>0</v>
          </cell>
          <cell r="Z4193">
            <v>0</v>
          </cell>
          <cell r="AA4193">
            <v>0</v>
          </cell>
          <cell r="AB4193">
            <v>0</v>
          </cell>
        </row>
        <row r="4194">
          <cell r="A4194">
            <v>63101330</v>
          </cell>
          <cell r="B4194" t="str">
            <v>Apple, baked, with sugar</v>
          </cell>
          <cell r="I4194">
            <v>140</v>
          </cell>
          <cell r="J4194">
            <v>123.12188999999999</v>
          </cell>
          <cell r="K4194">
            <v>0.87944207142857134</v>
          </cell>
          <cell r="L4194">
            <v>2.999485</v>
          </cell>
          <cell r="M4194">
            <v>3.4993999999999997E-2</v>
          </cell>
          <cell r="N4194">
            <v>0</v>
          </cell>
          <cell r="O4194">
            <v>7.6489000000000001E-3</v>
          </cell>
          <cell r="P4194">
            <v>0</v>
          </cell>
          <cell r="Q4194">
            <v>6.3739100000000007E-2</v>
          </cell>
          <cell r="R4194">
            <v>0</v>
          </cell>
          <cell r="S4194">
            <v>0</v>
          </cell>
          <cell r="T4194">
            <v>124.97854</v>
          </cell>
          <cell r="U4194">
            <v>0</v>
          </cell>
          <cell r="V4194">
            <v>0</v>
          </cell>
          <cell r="W4194">
            <v>0</v>
          </cell>
          <cell r="X4194">
            <v>1.4E-3</v>
          </cell>
          <cell r="Y4194">
            <v>0</v>
          </cell>
          <cell r="Z4194">
            <v>0</v>
          </cell>
          <cell r="AA4194">
            <v>0</v>
          </cell>
          <cell r="AB4194">
            <v>1.04058E-2</v>
          </cell>
        </row>
        <row r="4195">
          <cell r="A4195">
            <v>63101420</v>
          </cell>
          <cell r="B4195" t="str">
            <v>Apple, pickled</v>
          </cell>
          <cell r="I4195">
            <v>30</v>
          </cell>
          <cell r="J4195">
            <v>34.891044999999998</v>
          </cell>
          <cell r="K4195">
            <v>1.1630348333333334</v>
          </cell>
          <cell r="L4195">
            <v>0</v>
          </cell>
          <cell r="M4195">
            <v>5.2656999999999999E-3</v>
          </cell>
          <cell r="N4195">
            <v>0</v>
          </cell>
          <cell r="O4195">
            <v>1.5388000000000001E-3</v>
          </cell>
          <cell r="P4195">
            <v>0.4513433</v>
          </cell>
          <cell r="Q4195">
            <v>9.5910000000000006E-3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4.9899999999999999E-4</v>
          </cell>
          <cell r="Y4195">
            <v>0</v>
          </cell>
          <cell r="Z4195">
            <v>0</v>
          </cell>
          <cell r="AA4195">
            <v>0</v>
          </cell>
          <cell r="AB4195">
            <v>1.1539E-3</v>
          </cell>
        </row>
        <row r="4196">
          <cell r="A4196">
            <v>63101500</v>
          </cell>
          <cell r="B4196" t="str">
            <v>Apple, fried</v>
          </cell>
          <cell r="I4196">
            <v>140</v>
          </cell>
          <cell r="J4196">
            <v>173.6489</v>
          </cell>
          <cell r="K4196">
            <v>1.2403492857142857</v>
          </cell>
          <cell r="L4196">
            <v>2.8035554</v>
          </cell>
          <cell r="M4196">
            <v>3.2559309000000001</v>
          </cell>
          <cell r="N4196">
            <v>0</v>
          </cell>
          <cell r="O4196">
            <v>9.2114999999999992E-3</v>
          </cell>
          <cell r="P4196">
            <v>0</v>
          </cell>
          <cell r="Q4196">
            <v>1.1820336</v>
          </cell>
          <cell r="R4196">
            <v>0</v>
          </cell>
          <cell r="S4196">
            <v>0</v>
          </cell>
          <cell r="T4196">
            <v>116.81480999999999</v>
          </cell>
          <cell r="U4196">
            <v>0</v>
          </cell>
          <cell r="V4196">
            <v>0</v>
          </cell>
          <cell r="W4196">
            <v>0</v>
          </cell>
          <cell r="X4196">
            <v>6.0729400000000003E-2</v>
          </cell>
          <cell r="Y4196">
            <v>0</v>
          </cell>
          <cell r="Z4196">
            <v>0</v>
          </cell>
          <cell r="AA4196">
            <v>0</v>
          </cell>
          <cell r="AB4196">
            <v>0.36816460000000001</v>
          </cell>
        </row>
        <row r="4197">
          <cell r="A4197">
            <v>63103010</v>
          </cell>
          <cell r="B4197" t="str">
            <v>Apricot, raw</v>
          </cell>
          <cell r="I4197">
            <v>140</v>
          </cell>
          <cell r="J4197">
            <v>67.2</v>
          </cell>
          <cell r="K4197">
            <v>0.48000000000000004</v>
          </cell>
          <cell r="L4197">
            <v>2.8</v>
          </cell>
          <cell r="M4197">
            <v>3.78E-2</v>
          </cell>
          <cell r="N4197">
            <v>0</v>
          </cell>
          <cell r="O4197">
            <v>1.8200000000000001E-2</v>
          </cell>
          <cell r="P4197">
            <v>0</v>
          </cell>
          <cell r="Q4197">
            <v>0.10780000000000001</v>
          </cell>
          <cell r="R4197">
            <v>0</v>
          </cell>
          <cell r="S4197">
            <v>0</v>
          </cell>
          <cell r="T4197">
            <v>140</v>
          </cell>
          <cell r="U4197">
            <v>0</v>
          </cell>
          <cell r="V4197">
            <v>0</v>
          </cell>
          <cell r="W4197">
            <v>0</v>
          </cell>
          <cell r="X4197">
            <v>1.4E-3</v>
          </cell>
          <cell r="Y4197">
            <v>0</v>
          </cell>
          <cell r="Z4197">
            <v>0</v>
          </cell>
          <cell r="AA4197">
            <v>0</v>
          </cell>
          <cell r="AB4197">
            <v>0</v>
          </cell>
        </row>
        <row r="4198">
          <cell r="A4198">
            <v>63103110</v>
          </cell>
          <cell r="B4198" t="str">
            <v>Apricot, cooked or canned, NS as to sweetened or unsweetened; sweetened, NS as to type of sweetener</v>
          </cell>
          <cell r="I4198">
            <v>140</v>
          </cell>
          <cell r="J4198">
            <v>116.2</v>
          </cell>
          <cell r="K4198">
            <v>0.83000000000000007</v>
          </cell>
          <cell r="L4198">
            <v>2.2400000000000002</v>
          </cell>
          <cell r="M4198">
            <v>7.0000000000000001E-3</v>
          </cell>
          <cell r="N4198">
            <v>0</v>
          </cell>
          <cell r="O4198">
            <v>1.26E-2</v>
          </cell>
          <cell r="P4198">
            <v>0</v>
          </cell>
          <cell r="Q4198">
            <v>2.1000000000000001E-2</v>
          </cell>
          <cell r="R4198">
            <v>0</v>
          </cell>
          <cell r="S4198">
            <v>0</v>
          </cell>
          <cell r="T4198">
            <v>91</v>
          </cell>
          <cell r="U4198">
            <v>0</v>
          </cell>
          <cell r="V4198">
            <v>0</v>
          </cell>
          <cell r="W4198">
            <v>0</v>
          </cell>
          <cell r="X4198">
            <v>5.5999999999999999E-3</v>
          </cell>
          <cell r="Y4198">
            <v>0</v>
          </cell>
          <cell r="Z4198">
            <v>0</v>
          </cell>
          <cell r="AA4198">
            <v>0</v>
          </cell>
          <cell r="AB4198">
            <v>0</v>
          </cell>
        </row>
        <row r="4199">
          <cell r="A4199">
            <v>63103140</v>
          </cell>
          <cell r="B4199" t="str">
            <v>Apricot, cooked or canned, in light syrup</v>
          </cell>
          <cell r="I4199">
            <v>140</v>
          </cell>
          <cell r="J4199">
            <v>88.2</v>
          </cell>
          <cell r="K4199">
            <v>0.63</v>
          </cell>
          <cell r="L4199">
            <v>2.2400000000000002</v>
          </cell>
          <cell r="M4199">
            <v>4.1999999999999997E-3</v>
          </cell>
          <cell r="N4199">
            <v>0</v>
          </cell>
          <cell r="O4199">
            <v>1.54E-2</v>
          </cell>
          <cell r="P4199">
            <v>0</v>
          </cell>
          <cell r="Q4199">
            <v>1.4E-2</v>
          </cell>
          <cell r="R4199">
            <v>0</v>
          </cell>
          <cell r="S4199">
            <v>0</v>
          </cell>
          <cell r="T4199">
            <v>91</v>
          </cell>
          <cell r="U4199">
            <v>0</v>
          </cell>
          <cell r="V4199">
            <v>0</v>
          </cell>
          <cell r="W4199">
            <v>0</v>
          </cell>
          <cell r="X4199">
            <v>5.5999999999999999E-3</v>
          </cell>
          <cell r="Y4199">
            <v>0</v>
          </cell>
          <cell r="Z4199">
            <v>0</v>
          </cell>
          <cell r="AA4199">
            <v>0</v>
          </cell>
          <cell r="AB4199">
            <v>0</v>
          </cell>
        </row>
        <row r="4200">
          <cell r="A4200">
            <v>63105010</v>
          </cell>
          <cell r="B4200" t="str">
            <v>Avocado, raw</v>
          </cell>
          <cell r="I4200">
            <v>50</v>
          </cell>
          <cell r="J4200">
            <v>80</v>
          </cell>
          <cell r="K4200">
            <v>1.6</v>
          </cell>
          <cell r="L4200">
            <v>3.35</v>
          </cell>
          <cell r="M4200">
            <v>1.0629999999999999</v>
          </cell>
          <cell r="N4200">
            <v>0</v>
          </cell>
          <cell r="O4200">
            <v>6.0000000000000001E-3</v>
          </cell>
          <cell r="P4200">
            <v>0</v>
          </cell>
          <cell r="Q4200">
            <v>0.90800000000000003</v>
          </cell>
          <cell r="R4200">
            <v>0</v>
          </cell>
          <cell r="S4200">
            <v>0</v>
          </cell>
          <cell r="T4200">
            <v>0</v>
          </cell>
          <cell r="U4200">
            <v>50</v>
          </cell>
          <cell r="V4200">
            <v>0</v>
          </cell>
          <cell r="W4200">
            <v>0</v>
          </cell>
          <cell r="X4200">
            <v>3.5000000000000001E-3</v>
          </cell>
          <cell r="Y4200">
            <v>0</v>
          </cell>
          <cell r="Z4200">
            <v>0</v>
          </cell>
          <cell r="AA4200">
            <v>0</v>
          </cell>
          <cell r="AB4200">
            <v>0</v>
          </cell>
        </row>
        <row r="4201">
          <cell r="A4201">
            <v>63107010</v>
          </cell>
          <cell r="B4201" t="str">
            <v>Banana, raw</v>
          </cell>
          <cell r="I4201">
            <v>140</v>
          </cell>
          <cell r="J4201">
            <v>124.6</v>
          </cell>
          <cell r="K4201">
            <v>0.89</v>
          </cell>
          <cell r="L4201">
            <v>3.64</v>
          </cell>
          <cell r="M4201">
            <v>0.15679999999999999</v>
          </cell>
          <cell r="N4201">
            <v>0</v>
          </cell>
          <cell r="O4201">
            <v>7.0000000000000001E-3</v>
          </cell>
          <cell r="P4201">
            <v>0</v>
          </cell>
          <cell r="Q4201">
            <v>0.1022</v>
          </cell>
          <cell r="R4201">
            <v>0</v>
          </cell>
          <cell r="S4201">
            <v>0</v>
          </cell>
          <cell r="T4201">
            <v>140</v>
          </cell>
          <cell r="U4201">
            <v>0</v>
          </cell>
          <cell r="V4201">
            <v>0</v>
          </cell>
          <cell r="W4201">
            <v>0</v>
          </cell>
          <cell r="X4201">
            <v>1.4E-3</v>
          </cell>
          <cell r="Y4201">
            <v>0</v>
          </cell>
          <cell r="Z4201">
            <v>0</v>
          </cell>
          <cell r="AA4201">
            <v>0</v>
          </cell>
          <cell r="AB4201">
            <v>0</v>
          </cell>
        </row>
        <row r="4202">
          <cell r="A4202">
            <v>63107070</v>
          </cell>
          <cell r="B4202" t="str">
            <v>Banana, Chinese, raw</v>
          </cell>
          <cell r="I4202">
            <v>140</v>
          </cell>
          <cell r="J4202">
            <v>124.6</v>
          </cell>
          <cell r="K4202">
            <v>0.89</v>
          </cell>
          <cell r="L4202">
            <v>3.64</v>
          </cell>
          <cell r="M4202">
            <v>0.15679999999999999</v>
          </cell>
          <cell r="N4202">
            <v>0</v>
          </cell>
          <cell r="O4202">
            <v>7.0000000000000001E-3</v>
          </cell>
          <cell r="P4202">
            <v>0</v>
          </cell>
          <cell r="Q4202">
            <v>0.1022</v>
          </cell>
          <cell r="R4202">
            <v>0</v>
          </cell>
          <cell r="S4202">
            <v>0</v>
          </cell>
          <cell r="T4202">
            <v>140</v>
          </cell>
          <cell r="U4202">
            <v>0</v>
          </cell>
          <cell r="V4202">
            <v>0</v>
          </cell>
          <cell r="W4202">
            <v>0</v>
          </cell>
          <cell r="X4202">
            <v>1.4E-3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</row>
        <row r="4203">
          <cell r="A4203">
            <v>63107110</v>
          </cell>
          <cell r="B4203" t="str">
            <v>Banana, baked</v>
          </cell>
          <cell r="I4203">
            <v>140</v>
          </cell>
          <cell r="J4203">
            <v>144.99791999999999</v>
          </cell>
          <cell r="K4203">
            <v>1.0356994285714285</v>
          </cell>
          <cell r="L4203">
            <v>3.3037426000000001</v>
          </cell>
          <cell r="M4203">
            <v>0.1438141</v>
          </cell>
          <cell r="N4203">
            <v>0</v>
          </cell>
          <cell r="O4203">
            <v>6.7339000000000001E-3</v>
          </cell>
          <cell r="P4203">
            <v>0</v>
          </cell>
          <cell r="Q4203">
            <v>9.3455200000000002E-2</v>
          </cell>
          <cell r="R4203">
            <v>0</v>
          </cell>
          <cell r="S4203">
            <v>0</v>
          </cell>
          <cell r="T4203">
            <v>131.96431000000001</v>
          </cell>
          <cell r="U4203">
            <v>0</v>
          </cell>
          <cell r="V4203">
            <v>0</v>
          </cell>
          <cell r="W4203">
            <v>0</v>
          </cell>
          <cell r="X4203">
            <v>1.4804E-3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</row>
        <row r="4204">
          <cell r="A4204">
            <v>63107210</v>
          </cell>
          <cell r="B4204" t="str">
            <v>Banana, ripe, fried</v>
          </cell>
          <cell r="I4204">
            <v>140</v>
          </cell>
          <cell r="J4204">
            <v>185.47189</v>
          </cell>
          <cell r="K4204">
            <v>1.3247992142857143</v>
          </cell>
          <cell r="L4204">
            <v>3.441322</v>
          </cell>
          <cell r="M4204">
            <v>1.19333</v>
          </cell>
          <cell r="N4204">
            <v>0</v>
          </cell>
          <cell r="O4204">
            <v>6.6369999999999997E-3</v>
          </cell>
          <cell r="P4204">
            <v>0</v>
          </cell>
          <cell r="Q4204">
            <v>3.2441209</v>
          </cell>
          <cell r="R4204">
            <v>0</v>
          </cell>
          <cell r="S4204">
            <v>0</v>
          </cell>
          <cell r="T4204">
            <v>132.35854</v>
          </cell>
          <cell r="U4204">
            <v>0</v>
          </cell>
          <cell r="V4204">
            <v>0</v>
          </cell>
          <cell r="W4204">
            <v>0</v>
          </cell>
          <cell r="X4204">
            <v>1.3618E-3</v>
          </cell>
          <cell r="Y4204">
            <v>0</v>
          </cell>
          <cell r="Z4204">
            <v>0</v>
          </cell>
          <cell r="AA4204">
            <v>0</v>
          </cell>
          <cell r="AB4204">
            <v>0.18616160000000001</v>
          </cell>
        </row>
        <row r="4205">
          <cell r="A4205">
            <v>63107310</v>
          </cell>
          <cell r="B4205" t="str">
            <v>Banana, ripe, boiled</v>
          </cell>
          <cell r="I4205">
            <v>140</v>
          </cell>
          <cell r="J4205">
            <v>124.6</v>
          </cell>
          <cell r="K4205">
            <v>0.89</v>
          </cell>
          <cell r="L4205">
            <v>3.64</v>
          </cell>
          <cell r="M4205">
            <v>0.15679999999999999</v>
          </cell>
          <cell r="N4205">
            <v>0</v>
          </cell>
          <cell r="O4205">
            <v>7.0000000000000001E-3</v>
          </cell>
          <cell r="P4205">
            <v>0</v>
          </cell>
          <cell r="Q4205">
            <v>0.1022</v>
          </cell>
          <cell r="R4205">
            <v>0</v>
          </cell>
          <cell r="S4205">
            <v>0</v>
          </cell>
          <cell r="T4205">
            <v>140</v>
          </cell>
          <cell r="U4205">
            <v>0</v>
          </cell>
          <cell r="V4205">
            <v>0</v>
          </cell>
          <cell r="W4205">
            <v>0</v>
          </cell>
          <cell r="X4205">
            <v>1.4E-3</v>
          </cell>
          <cell r="Y4205">
            <v>0</v>
          </cell>
          <cell r="Z4205">
            <v>0</v>
          </cell>
          <cell r="AA4205">
            <v>0</v>
          </cell>
          <cell r="AB4205">
            <v>0</v>
          </cell>
        </row>
        <row r="4206">
          <cell r="A4206">
            <v>63107410</v>
          </cell>
          <cell r="B4206" t="str">
            <v>Banana, batter-dipped, fried</v>
          </cell>
          <cell r="I4206">
            <v>140</v>
          </cell>
          <cell r="J4206">
            <v>252.54095000000001</v>
          </cell>
          <cell r="K4206">
            <v>1.8038639285714286</v>
          </cell>
          <cell r="L4206">
            <v>2.0875819999999998</v>
          </cell>
          <cell r="M4206">
            <v>0.67442239999999998</v>
          </cell>
          <cell r="N4206">
            <v>0</v>
          </cell>
          <cell r="O4206">
            <v>1.8761699999999999E-2</v>
          </cell>
          <cell r="P4206">
            <v>0.91859049999999998</v>
          </cell>
          <cell r="Q4206">
            <v>0.52420219999999995</v>
          </cell>
          <cell r="R4206">
            <v>0</v>
          </cell>
          <cell r="S4206">
            <v>0</v>
          </cell>
          <cell r="T4206">
            <v>80.291616000000005</v>
          </cell>
          <cell r="U4206">
            <v>0</v>
          </cell>
          <cell r="V4206">
            <v>0</v>
          </cell>
          <cell r="W4206">
            <v>0</v>
          </cell>
          <cell r="X4206">
            <v>8.7777099999999997E-2</v>
          </cell>
          <cell r="Y4206">
            <v>0</v>
          </cell>
          <cell r="Z4206">
            <v>0</v>
          </cell>
          <cell r="AA4206">
            <v>0</v>
          </cell>
          <cell r="AB4206">
            <v>9.2733599999999999E-2</v>
          </cell>
        </row>
        <row r="4207">
          <cell r="A4207">
            <v>63109010</v>
          </cell>
          <cell r="B4207" t="str">
            <v>Cantaloupe, raw</v>
          </cell>
          <cell r="I4207">
            <v>140</v>
          </cell>
          <cell r="J4207">
            <v>47.6</v>
          </cell>
          <cell r="K4207">
            <v>0.34</v>
          </cell>
          <cell r="L4207">
            <v>1.26</v>
          </cell>
          <cell r="M4207">
            <v>7.1400000000000005E-2</v>
          </cell>
          <cell r="N4207">
            <v>0</v>
          </cell>
          <cell r="O4207">
            <v>1.26E-2</v>
          </cell>
          <cell r="P4207">
            <v>0</v>
          </cell>
          <cell r="Q4207">
            <v>0.1134</v>
          </cell>
          <cell r="R4207">
            <v>0</v>
          </cell>
          <cell r="S4207">
            <v>0</v>
          </cell>
          <cell r="T4207">
            <v>140</v>
          </cell>
          <cell r="U4207">
            <v>0</v>
          </cell>
          <cell r="V4207">
            <v>0</v>
          </cell>
          <cell r="W4207">
            <v>0</v>
          </cell>
          <cell r="X4207">
            <v>2.24E-2</v>
          </cell>
          <cell r="Y4207">
            <v>0</v>
          </cell>
          <cell r="Z4207">
            <v>0</v>
          </cell>
          <cell r="AA4207">
            <v>0</v>
          </cell>
          <cell r="AB4207">
            <v>0</v>
          </cell>
        </row>
        <row r="4208">
          <cell r="A4208">
            <v>63110010</v>
          </cell>
          <cell r="B4208" t="str">
            <v>Cassaba melon, raw</v>
          </cell>
          <cell r="I4208">
            <v>140</v>
          </cell>
          <cell r="J4208">
            <v>39.200000000000003</v>
          </cell>
          <cell r="K4208">
            <v>0.28000000000000003</v>
          </cell>
          <cell r="L4208">
            <v>1.26</v>
          </cell>
          <cell r="M4208">
            <v>3.5000000000000003E-2</v>
          </cell>
          <cell r="N4208">
            <v>0</v>
          </cell>
          <cell r="O4208">
            <v>1.54E-2</v>
          </cell>
          <cell r="P4208">
            <v>0</v>
          </cell>
          <cell r="Q4208">
            <v>5.4600000000000003E-2</v>
          </cell>
          <cell r="R4208">
            <v>0</v>
          </cell>
          <cell r="S4208">
            <v>0</v>
          </cell>
          <cell r="T4208">
            <v>140</v>
          </cell>
          <cell r="U4208">
            <v>0</v>
          </cell>
          <cell r="V4208">
            <v>0</v>
          </cell>
          <cell r="W4208">
            <v>0</v>
          </cell>
          <cell r="X4208">
            <v>1.26E-2</v>
          </cell>
          <cell r="Y4208">
            <v>0</v>
          </cell>
          <cell r="Z4208">
            <v>0</v>
          </cell>
          <cell r="AA4208">
            <v>0</v>
          </cell>
          <cell r="AB4208">
            <v>0</v>
          </cell>
        </row>
        <row r="4209">
          <cell r="A4209">
            <v>63111010</v>
          </cell>
          <cell r="B4209" t="str">
            <v>Cherries, maraschino</v>
          </cell>
          <cell r="I4209">
            <v>4</v>
          </cell>
          <cell r="J4209">
            <v>6.6</v>
          </cell>
          <cell r="K4209">
            <v>1.65</v>
          </cell>
          <cell r="L4209">
            <v>0.128</v>
          </cell>
          <cell r="M4209">
            <v>1.56E-3</v>
          </cell>
          <cell r="N4209">
            <v>0</v>
          </cell>
          <cell r="O4209">
            <v>2.16E-3</v>
          </cell>
          <cell r="P4209">
            <v>0</v>
          </cell>
          <cell r="Q4209">
            <v>2.2000000000000001E-3</v>
          </cell>
          <cell r="R4209">
            <v>0</v>
          </cell>
          <cell r="S4209">
            <v>0</v>
          </cell>
          <cell r="T4209">
            <v>2.7887200000000001</v>
          </cell>
          <cell r="U4209">
            <v>0</v>
          </cell>
          <cell r="V4209">
            <v>0</v>
          </cell>
          <cell r="W4209">
            <v>0</v>
          </cell>
          <cell r="X4209">
            <v>1.6000000000000001E-4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</row>
        <row r="4210">
          <cell r="A4210">
            <v>63113110</v>
          </cell>
          <cell r="B4210" t="str">
            <v>Cherries, sour, red, cooked, unsweetened</v>
          </cell>
          <cell r="I4210">
            <v>85</v>
          </cell>
          <cell r="J4210">
            <v>30.6</v>
          </cell>
          <cell r="K4210">
            <v>0.36000000000000004</v>
          </cell>
          <cell r="L4210">
            <v>0.93500000000000005</v>
          </cell>
          <cell r="M4210">
            <v>1.9550000000000001E-2</v>
          </cell>
          <cell r="N4210">
            <v>0</v>
          </cell>
          <cell r="O4210">
            <v>9.3500000000000007E-3</v>
          </cell>
          <cell r="P4210">
            <v>0</v>
          </cell>
          <cell r="Q4210">
            <v>2.5499999999999998E-2</v>
          </cell>
          <cell r="R4210">
            <v>0</v>
          </cell>
          <cell r="S4210">
            <v>0</v>
          </cell>
          <cell r="T4210">
            <v>55.25</v>
          </cell>
          <cell r="U4210">
            <v>0</v>
          </cell>
          <cell r="V4210">
            <v>0</v>
          </cell>
          <cell r="W4210">
            <v>0</v>
          </cell>
          <cell r="X4210">
            <v>5.9500000000000004E-3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</row>
        <row r="4211">
          <cell r="A4211">
            <v>63115010</v>
          </cell>
          <cell r="B4211" t="str">
            <v>Cherries, sweet, raw</v>
          </cell>
          <cell r="I4211">
            <v>140</v>
          </cell>
          <cell r="J4211">
            <v>88.2</v>
          </cell>
          <cell r="K4211">
            <v>0.63</v>
          </cell>
          <cell r="L4211">
            <v>2.94</v>
          </cell>
          <cell r="M4211">
            <v>5.3199999999999997E-2</v>
          </cell>
          <cell r="N4211">
            <v>0</v>
          </cell>
          <cell r="O4211">
            <v>1.8200000000000001E-2</v>
          </cell>
          <cell r="P4211">
            <v>0</v>
          </cell>
          <cell r="Q4211">
            <v>7.2800000000000004E-2</v>
          </cell>
          <cell r="R4211">
            <v>0</v>
          </cell>
          <cell r="S4211">
            <v>0</v>
          </cell>
          <cell r="T4211">
            <v>140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</row>
        <row r="4212">
          <cell r="A4212">
            <v>63115110</v>
          </cell>
          <cell r="B4212" t="str">
            <v>Cherries, sweet, cooked or canned, NS as to sweetened or unsweetened; sweetened, NS as to type of sweetener</v>
          </cell>
          <cell r="I4212">
            <v>140</v>
          </cell>
          <cell r="J4212">
            <v>116.2</v>
          </cell>
          <cell r="K4212">
            <v>0.83000000000000007</v>
          </cell>
          <cell r="L4212">
            <v>1.96</v>
          </cell>
          <cell r="M4212">
            <v>4.7600000000000003E-2</v>
          </cell>
          <cell r="N4212">
            <v>0</v>
          </cell>
          <cell r="O4212">
            <v>1.26E-2</v>
          </cell>
          <cell r="P4212">
            <v>0</v>
          </cell>
          <cell r="Q4212">
            <v>6.3E-2</v>
          </cell>
          <cell r="R4212">
            <v>0</v>
          </cell>
          <cell r="S4212">
            <v>0</v>
          </cell>
          <cell r="T4212">
            <v>91</v>
          </cell>
          <cell r="U4212">
            <v>0</v>
          </cell>
          <cell r="V4212">
            <v>0</v>
          </cell>
          <cell r="W4212">
            <v>0</v>
          </cell>
          <cell r="X4212">
            <v>4.1999999999999997E-3</v>
          </cell>
          <cell r="Y4212">
            <v>0</v>
          </cell>
          <cell r="Z4212">
            <v>0</v>
          </cell>
          <cell r="AA4212">
            <v>0</v>
          </cell>
          <cell r="AB4212">
            <v>0</v>
          </cell>
        </row>
        <row r="4213">
          <cell r="A4213">
            <v>63115150</v>
          </cell>
          <cell r="B4213" t="str">
            <v>Cherries, sweet, cooked or canned, drained solids</v>
          </cell>
          <cell r="I4213">
            <v>140</v>
          </cell>
          <cell r="J4213">
            <v>116.2</v>
          </cell>
          <cell r="K4213">
            <v>0.83000000000000007</v>
          </cell>
          <cell r="L4213">
            <v>3.22</v>
          </cell>
          <cell r="M4213">
            <v>5.74E-2</v>
          </cell>
          <cell r="N4213">
            <v>0</v>
          </cell>
          <cell r="O4213">
            <v>1.4E-2</v>
          </cell>
          <cell r="P4213">
            <v>0</v>
          </cell>
          <cell r="Q4213">
            <v>7.6999999999999999E-2</v>
          </cell>
          <cell r="R4213">
            <v>0</v>
          </cell>
          <cell r="S4213">
            <v>0</v>
          </cell>
          <cell r="T4213">
            <v>135.29599999999999</v>
          </cell>
          <cell r="U4213">
            <v>0</v>
          </cell>
          <cell r="V4213">
            <v>0</v>
          </cell>
          <cell r="W4213">
            <v>0</v>
          </cell>
          <cell r="X4213">
            <v>4.1999999999999997E-3</v>
          </cell>
          <cell r="Y4213">
            <v>0</v>
          </cell>
          <cell r="Z4213">
            <v>0</v>
          </cell>
          <cell r="AA4213">
            <v>0</v>
          </cell>
          <cell r="AB4213">
            <v>0</v>
          </cell>
        </row>
        <row r="4214">
          <cell r="A4214">
            <v>63115170</v>
          </cell>
          <cell r="B4214" t="str">
            <v>Cherries, sweet, cooked or canned, juice pack</v>
          </cell>
          <cell r="I4214">
            <v>140</v>
          </cell>
          <cell r="J4214">
            <v>75.599999999999994</v>
          </cell>
          <cell r="K4214">
            <v>0.53999999999999992</v>
          </cell>
          <cell r="L4214">
            <v>2.1</v>
          </cell>
          <cell r="M4214">
            <v>5.5999999999999999E-3</v>
          </cell>
          <cell r="N4214">
            <v>0</v>
          </cell>
          <cell r="O4214">
            <v>1.9599999999999999E-2</v>
          </cell>
          <cell r="P4214">
            <v>0</v>
          </cell>
          <cell r="Q4214">
            <v>8.3999999999999995E-3</v>
          </cell>
          <cell r="R4214">
            <v>0</v>
          </cell>
          <cell r="S4214">
            <v>0</v>
          </cell>
          <cell r="T4214">
            <v>140</v>
          </cell>
          <cell r="U4214">
            <v>0</v>
          </cell>
          <cell r="V4214">
            <v>0</v>
          </cell>
          <cell r="W4214">
            <v>0</v>
          </cell>
          <cell r="X4214">
            <v>4.1999999999999997E-3</v>
          </cell>
          <cell r="Y4214">
            <v>0</v>
          </cell>
          <cell r="Z4214">
            <v>0</v>
          </cell>
          <cell r="AA4214">
            <v>0</v>
          </cell>
          <cell r="AB4214">
            <v>0</v>
          </cell>
        </row>
        <row r="4215">
          <cell r="A4215">
            <v>63115200</v>
          </cell>
          <cell r="B4215" t="str">
            <v>Cherries, frozen</v>
          </cell>
          <cell r="I4215">
            <v>140</v>
          </cell>
          <cell r="J4215">
            <v>64.400000000000006</v>
          </cell>
          <cell r="K4215">
            <v>0.46</v>
          </cell>
          <cell r="L4215">
            <v>2.2400000000000002</v>
          </cell>
          <cell r="M4215">
            <v>0.14000000000000001</v>
          </cell>
          <cell r="N4215">
            <v>0</v>
          </cell>
          <cell r="O4215">
            <v>1.8200000000000001E-2</v>
          </cell>
          <cell r="P4215">
            <v>0</v>
          </cell>
          <cell r="Q4215">
            <v>0.18479999999999999</v>
          </cell>
          <cell r="R4215">
            <v>0</v>
          </cell>
          <cell r="S4215">
            <v>0</v>
          </cell>
          <cell r="T4215">
            <v>140</v>
          </cell>
          <cell r="U4215">
            <v>0</v>
          </cell>
          <cell r="V4215">
            <v>0</v>
          </cell>
          <cell r="W4215">
            <v>0</v>
          </cell>
          <cell r="X4215">
            <v>1.4E-3</v>
          </cell>
          <cell r="Y4215">
            <v>0</v>
          </cell>
          <cell r="Z4215">
            <v>0</v>
          </cell>
          <cell r="AA4215">
            <v>0</v>
          </cell>
          <cell r="AB4215">
            <v>0</v>
          </cell>
        </row>
        <row r="4216">
          <cell r="A4216">
            <v>63119010</v>
          </cell>
          <cell r="B4216" t="str">
            <v>Fig, raw</v>
          </cell>
          <cell r="I4216">
            <v>140</v>
          </cell>
          <cell r="J4216">
            <v>103.6</v>
          </cell>
          <cell r="K4216">
            <v>0.74</v>
          </cell>
          <cell r="L4216">
            <v>4.0599999999999996</v>
          </cell>
          <cell r="M4216">
            <v>8.4000000000000005E-2</v>
          </cell>
          <cell r="N4216">
            <v>0</v>
          </cell>
          <cell r="O4216">
            <v>4.9000000000000002E-2</v>
          </cell>
          <cell r="P4216">
            <v>0</v>
          </cell>
          <cell r="Q4216">
            <v>0.2016</v>
          </cell>
          <cell r="R4216">
            <v>0</v>
          </cell>
          <cell r="S4216">
            <v>0</v>
          </cell>
          <cell r="T4216">
            <v>140</v>
          </cell>
          <cell r="U4216">
            <v>0</v>
          </cell>
          <cell r="V4216">
            <v>0</v>
          </cell>
          <cell r="W4216">
            <v>0</v>
          </cell>
          <cell r="X4216">
            <v>1.4E-3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</row>
        <row r="4217">
          <cell r="A4217">
            <v>63123000</v>
          </cell>
          <cell r="B4217" t="str">
            <v>Grapes, raw, NS as to type</v>
          </cell>
          <cell r="I4217">
            <v>140</v>
          </cell>
          <cell r="J4217">
            <v>96.6</v>
          </cell>
          <cell r="K4217">
            <v>0.69</v>
          </cell>
          <cell r="L4217">
            <v>1.26</v>
          </cell>
          <cell r="M4217">
            <v>7.5600000000000001E-2</v>
          </cell>
          <cell r="N4217">
            <v>0</v>
          </cell>
          <cell r="O4217">
            <v>1.4E-2</v>
          </cell>
          <cell r="P4217">
            <v>0</v>
          </cell>
          <cell r="Q4217">
            <v>6.7199999999999996E-2</v>
          </cell>
          <cell r="R4217">
            <v>0</v>
          </cell>
          <cell r="S4217">
            <v>0</v>
          </cell>
          <cell r="T4217">
            <v>140</v>
          </cell>
          <cell r="U4217">
            <v>0</v>
          </cell>
          <cell r="V4217">
            <v>0</v>
          </cell>
          <cell r="W4217">
            <v>0</v>
          </cell>
          <cell r="X4217">
            <v>2.8E-3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</row>
        <row r="4218">
          <cell r="A4218">
            <v>63125010</v>
          </cell>
          <cell r="B4218" t="str">
            <v>Guava, raw</v>
          </cell>
          <cell r="I4218">
            <v>140</v>
          </cell>
          <cell r="J4218">
            <v>95.2</v>
          </cell>
          <cell r="K4218">
            <v>0.68</v>
          </cell>
          <cell r="L4218">
            <v>7.56</v>
          </cell>
          <cell r="M4218">
            <v>0.38080000000000003</v>
          </cell>
          <cell r="N4218">
            <v>0</v>
          </cell>
          <cell r="O4218">
            <v>2.52E-2</v>
          </cell>
          <cell r="P4218">
            <v>0</v>
          </cell>
          <cell r="Q4218">
            <v>0.56140000000000001</v>
          </cell>
          <cell r="R4218">
            <v>0</v>
          </cell>
          <cell r="S4218">
            <v>0</v>
          </cell>
          <cell r="T4218">
            <v>140</v>
          </cell>
          <cell r="U4218">
            <v>0</v>
          </cell>
          <cell r="V4218">
            <v>0</v>
          </cell>
          <cell r="W4218">
            <v>0</v>
          </cell>
          <cell r="X4218">
            <v>2.8E-3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</row>
        <row r="4219">
          <cell r="A4219">
            <v>63126500</v>
          </cell>
          <cell r="B4219" t="str">
            <v>Kiwi fruit, raw</v>
          </cell>
          <cell r="I4219">
            <v>140</v>
          </cell>
          <cell r="J4219">
            <v>85.4</v>
          </cell>
          <cell r="K4219">
            <v>0.61</v>
          </cell>
          <cell r="L4219">
            <v>4.2</v>
          </cell>
          <cell r="M4219">
            <v>4.0599999999999997E-2</v>
          </cell>
          <cell r="N4219">
            <v>0</v>
          </cell>
          <cell r="O4219">
            <v>4.7600000000000003E-2</v>
          </cell>
          <cell r="P4219">
            <v>0</v>
          </cell>
          <cell r="Q4219">
            <v>0.40179999999999999</v>
          </cell>
          <cell r="R4219">
            <v>0</v>
          </cell>
          <cell r="S4219">
            <v>0</v>
          </cell>
          <cell r="T4219">
            <v>140</v>
          </cell>
          <cell r="U4219">
            <v>0</v>
          </cell>
          <cell r="V4219">
            <v>0</v>
          </cell>
          <cell r="W4219">
            <v>0</v>
          </cell>
          <cell r="X4219">
            <v>4.1999999999999997E-3</v>
          </cell>
          <cell r="Y4219">
            <v>0</v>
          </cell>
          <cell r="Z4219">
            <v>0</v>
          </cell>
          <cell r="AA4219">
            <v>0</v>
          </cell>
          <cell r="AB4219">
            <v>0</v>
          </cell>
        </row>
        <row r="4220">
          <cell r="A4220">
            <v>63126510</v>
          </cell>
          <cell r="B4220" t="str">
            <v>Lychee, raw</v>
          </cell>
          <cell r="I4220">
            <v>140</v>
          </cell>
          <cell r="J4220">
            <v>92.4</v>
          </cell>
          <cell r="K4220">
            <v>0.66</v>
          </cell>
          <cell r="L4220">
            <v>1.82</v>
          </cell>
          <cell r="M4220">
            <v>0.1386</v>
          </cell>
          <cell r="N4220">
            <v>0</v>
          </cell>
          <cell r="O4220">
            <v>7.0000000000000001E-3</v>
          </cell>
          <cell r="P4220">
            <v>0</v>
          </cell>
          <cell r="Q4220">
            <v>0.18479999999999999</v>
          </cell>
          <cell r="R4220">
            <v>0</v>
          </cell>
          <cell r="S4220">
            <v>0</v>
          </cell>
          <cell r="T4220">
            <v>140</v>
          </cell>
          <cell r="U4220">
            <v>0</v>
          </cell>
          <cell r="V4220">
            <v>0</v>
          </cell>
          <cell r="W4220">
            <v>0</v>
          </cell>
          <cell r="X4220">
            <v>1.4E-3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</row>
        <row r="4221">
          <cell r="A4221">
            <v>63126700</v>
          </cell>
          <cell r="B4221" t="str">
            <v>Longans, raw</v>
          </cell>
          <cell r="I4221">
            <v>140</v>
          </cell>
          <cell r="J4221">
            <v>92.4</v>
          </cell>
          <cell r="K4221">
            <v>0.66</v>
          </cell>
          <cell r="L4221">
            <v>1.82</v>
          </cell>
          <cell r="M4221">
            <v>0.1386</v>
          </cell>
          <cell r="N4221">
            <v>0</v>
          </cell>
          <cell r="O4221">
            <v>7.0000000000000001E-3</v>
          </cell>
          <cell r="P4221">
            <v>0</v>
          </cell>
          <cell r="Q4221">
            <v>0.18479999999999999</v>
          </cell>
          <cell r="R4221">
            <v>0</v>
          </cell>
          <cell r="S4221">
            <v>0</v>
          </cell>
          <cell r="T4221">
            <v>140</v>
          </cell>
          <cell r="U4221">
            <v>0</v>
          </cell>
          <cell r="V4221">
            <v>0</v>
          </cell>
          <cell r="W4221">
            <v>0</v>
          </cell>
          <cell r="X4221">
            <v>1.4E-3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</row>
        <row r="4222">
          <cell r="A4222">
            <v>63127010</v>
          </cell>
          <cell r="B4222" t="str">
            <v>Honeydew melon, raw</v>
          </cell>
          <cell r="I4222">
            <v>140</v>
          </cell>
          <cell r="J4222">
            <v>50.4</v>
          </cell>
          <cell r="K4222">
            <v>0.36</v>
          </cell>
          <cell r="L4222">
            <v>1.1200000000000001</v>
          </cell>
          <cell r="M4222">
            <v>5.3199999999999997E-2</v>
          </cell>
          <cell r="N4222">
            <v>0</v>
          </cell>
          <cell r="O4222">
            <v>8.3999999999999995E-3</v>
          </cell>
          <cell r="P4222">
            <v>0</v>
          </cell>
          <cell r="Q4222">
            <v>8.2600000000000007E-2</v>
          </cell>
          <cell r="R4222">
            <v>0</v>
          </cell>
          <cell r="S4222">
            <v>0</v>
          </cell>
          <cell r="T4222">
            <v>140</v>
          </cell>
          <cell r="U4222">
            <v>0</v>
          </cell>
          <cell r="V4222">
            <v>0</v>
          </cell>
          <cell r="W4222">
            <v>0</v>
          </cell>
          <cell r="X4222">
            <v>2.52E-2</v>
          </cell>
          <cell r="Y4222">
            <v>0</v>
          </cell>
          <cell r="Z4222">
            <v>0</v>
          </cell>
          <cell r="AA4222">
            <v>0</v>
          </cell>
          <cell r="AB4222">
            <v>0</v>
          </cell>
        </row>
        <row r="4223">
          <cell r="A4223">
            <v>63129010</v>
          </cell>
          <cell r="B4223" t="str">
            <v>Mango, raw</v>
          </cell>
          <cell r="I4223">
            <v>140</v>
          </cell>
          <cell r="J4223">
            <v>84</v>
          </cell>
          <cell r="K4223">
            <v>0.6</v>
          </cell>
          <cell r="L4223">
            <v>2.2400000000000002</v>
          </cell>
          <cell r="M4223">
            <v>0.1288</v>
          </cell>
          <cell r="N4223">
            <v>0</v>
          </cell>
          <cell r="O4223">
            <v>1.54E-2</v>
          </cell>
          <cell r="P4223">
            <v>0</v>
          </cell>
          <cell r="Q4223">
            <v>9.9400000000000002E-2</v>
          </cell>
          <cell r="R4223">
            <v>0</v>
          </cell>
          <cell r="S4223">
            <v>0</v>
          </cell>
          <cell r="T4223">
            <v>140</v>
          </cell>
          <cell r="U4223">
            <v>0</v>
          </cell>
          <cell r="V4223">
            <v>0</v>
          </cell>
          <cell r="W4223">
            <v>0</v>
          </cell>
          <cell r="X4223">
            <v>1.4E-3</v>
          </cell>
          <cell r="Y4223">
            <v>0</v>
          </cell>
          <cell r="Z4223">
            <v>0</v>
          </cell>
          <cell r="AA4223">
            <v>0</v>
          </cell>
          <cell r="AB4223">
            <v>0</v>
          </cell>
        </row>
        <row r="4224">
          <cell r="A4224">
            <v>63129030</v>
          </cell>
          <cell r="B4224" t="str">
            <v>Mango, cooked</v>
          </cell>
          <cell r="I4224">
            <v>140</v>
          </cell>
          <cell r="J4224">
            <v>84</v>
          </cell>
          <cell r="K4224">
            <v>0.6</v>
          </cell>
          <cell r="L4224">
            <v>2.2400000000000002</v>
          </cell>
          <cell r="M4224">
            <v>0.1288</v>
          </cell>
          <cell r="N4224">
            <v>0</v>
          </cell>
          <cell r="O4224">
            <v>1.54E-2</v>
          </cell>
          <cell r="P4224">
            <v>0</v>
          </cell>
          <cell r="Q4224">
            <v>9.9400000000000002E-2</v>
          </cell>
          <cell r="R4224">
            <v>0</v>
          </cell>
          <cell r="S4224">
            <v>0</v>
          </cell>
          <cell r="T4224">
            <v>140</v>
          </cell>
          <cell r="U4224">
            <v>0</v>
          </cell>
          <cell r="V4224">
            <v>0</v>
          </cell>
          <cell r="W4224">
            <v>0</v>
          </cell>
          <cell r="X4224">
            <v>1.4E-3</v>
          </cell>
          <cell r="Y4224">
            <v>0</v>
          </cell>
          <cell r="Z4224">
            <v>0</v>
          </cell>
          <cell r="AA4224">
            <v>0</v>
          </cell>
          <cell r="AB4224">
            <v>0</v>
          </cell>
        </row>
        <row r="4225">
          <cell r="A4225">
            <v>63131010</v>
          </cell>
          <cell r="B4225" t="str">
            <v>Nectarine, raw</v>
          </cell>
          <cell r="I4225">
            <v>140</v>
          </cell>
          <cell r="J4225">
            <v>61.6</v>
          </cell>
          <cell r="K4225">
            <v>0.44</v>
          </cell>
          <cell r="L4225">
            <v>2.38</v>
          </cell>
          <cell r="M4225">
            <v>3.5000000000000003E-2</v>
          </cell>
          <cell r="N4225">
            <v>0</v>
          </cell>
          <cell r="O4225">
            <v>8.3999999999999995E-3</v>
          </cell>
          <cell r="P4225">
            <v>0</v>
          </cell>
          <cell r="Q4225">
            <v>0.15820000000000001</v>
          </cell>
          <cell r="R4225">
            <v>0</v>
          </cell>
          <cell r="S4225">
            <v>0</v>
          </cell>
          <cell r="T4225">
            <v>140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B4225">
            <v>0</v>
          </cell>
        </row>
        <row r="4226">
          <cell r="A4226">
            <v>63133010</v>
          </cell>
          <cell r="B4226" t="str">
            <v>Papaya, raw</v>
          </cell>
          <cell r="I4226">
            <v>140</v>
          </cell>
          <cell r="J4226">
            <v>60.2</v>
          </cell>
          <cell r="K4226">
            <v>0.43</v>
          </cell>
          <cell r="L4226">
            <v>2.38</v>
          </cell>
          <cell r="M4226">
            <v>0.1134</v>
          </cell>
          <cell r="N4226">
            <v>0</v>
          </cell>
          <cell r="O4226">
            <v>2.8000000000000001E-2</v>
          </cell>
          <cell r="P4226">
            <v>0</v>
          </cell>
          <cell r="Q4226">
            <v>8.1199999999999994E-2</v>
          </cell>
          <cell r="R4226">
            <v>0</v>
          </cell>
          <cell r="S4226">
            <v>0</v>
          </cell>
          <cell r="T4226">
            <v>140</v>
          </cell>
          <cell r="U4226">
            <v>0</v>
          </cell>
          <cell r="V4226">
            <v>0</v>
          </cell>
          <cell r="W4226">
            <v>0</v>
          </cell>
          <cell r="X4226">
            <v>1.12E-2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</row>
        <row r="4227">
          <cell r="A4227">
            <v>63133050</v>
          </cell>
          <cell r="B4227" t="str">
            <v>Papaya, green, cooked</v>
          </cell>
          <cell r="I4227">
            <v>140</v>
          </cell>
          <cell r="J4227">
            <v>60.2</v>
          </cell>
          <cell r="K4227">
            <v>0.43</v>
          </cell>
          <cell r="L4227">
            <v>2.38</v>
          </cell>
          <cell r="M4227">
            <v>0.1134</v>
          </cell>
          <cell r="N4227">
            <v>0</v>
          </cell>
          <cell r="O4227">
            <v>2.8000000000000001E-2</v>
          </cell>
          <cell r="P4227">
            <v>0</v>
          </cell>
          <cell r="Q4227">
            <v>8.1199999999999994E-2</v>
          </cell>
          <cell r="R4227">
            <v>0</v>
          </cell>
          <cell r="S4227">
            <v>0</v>
          </cell>
          <cell r="T4227">
            <v>140</v>
          </cell>
          <cell r="U4227">
            <v>0</v>
          </cell>
          <cell r="V4227">
            <v>0</v>
          </cell>
          <cell r="W4227">
            <v>0</v>
          </cell>
          <cell r="X4227">
            <v>1.12E-2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</row>
        <row r="4228">
          <cell r="A4228">
            <v>63134010</v>
          </cell>
          <cell r="B4228" t="str">
            <v>Passion fruit, raw</v>
          </cell>
          <cell r="I4228">
            <v>140</v>
          </cell>
          <cell r="J4228">
            <v>135.80000000000001</v>
          </cell>
          <cell r="K4228">
            <v>0.97000000000000008</v>
          </cell>
          <cell r="L4228">
            <v>14.56</v>
          </cell>
          <cell r="M4228">
            <v>8.2600000000000007E-2</v>
          </cell>
          <cell r="N4228">
            <v>0</v>
          </cell>
          <cell r="O4228">
            <v>1.6799999999999999E-2</v>
          </cell>
          <cell r="P4228">
            <v>0</v>
          </cell>
          <cell r="Q4228">
            <v>0.57540000000000002</v>
          </cell>
          <cell r="R4228">
            <v>0</v>
          </cell>
          <cell r="S4228">
            <v>0</v>
          </cell>
          <cell r="T4228">
            <v>140</v>
          </cell>
          <cell r="U4228">
            <v>0</v>
          </cell>
          <cell r="V4228">
            <v>0</v>
          </cell>
          <cell r="W4228">
            <v>0</v>
          </cell>
          <cell r="X4228">
            <v>3.9199999999999999E-2</v>
          </cell>
          <cell r="Y4228">
            <v>0</v>
          </cell>
          <cell r="Z4228">
            <v>0</v>
          </cell>
          <cell r="AA4228">
            <v>0</v>
          </cell>
          <cell r="AB4228">
            <v>0</v>
          </cell>
        </row>
        <row r="4229">
          <cell r="A4229">
            <v>63135010</v>
          </cell>
          <cell r="B4229" t="str">
            <v>Peach, raw</v>
          </cell>
          <cell r="I4229">
            <v>140</v>
          </cell>
          <cell r="J4229">
            <v>54.6</v>
          </cell>
          <cell r="K4229">
            <v>0.39</v>
          </cell>
          <cell r="L4229">
            <v>2.1</v>
          </cell>
          <cell r="M4229">
            <v>2.6599999999999999E-2</v>
          </cell>
          <cell r="N4229">
            <v>0</v>
          </cell>
          <cell r="O4229">
            <v>8.3999999999999995E-3</v>
          </cell>
          <cell r="P4229">
            <v>0</v>
          </cell>
          <cell r="Q4229">
            <v>0.12039999999999999</v>
          </cell>
          <cell r="R4229">
            <v>0</v>
          </cell>
          <cell r="S4229">
            <v>0</v>
          </cell>
          <cell r="T4229">
            <v>140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0</v>
          </cell>
        </row>
        <row r="4230">
          <cell r="A4230">
            <v>63135110</v>
          </cell>
          <cell r="B4230" t="str">
            <v>Peach, cooked or canned, NS as to sweetened or unsweetened; sweetened, NS as to type of sweetener</v>
          </cell>
          <cell r="I4230">
            <v>140</v>
          </cell>
          <cell r="J4230">
            <v>75.599999999999994</v>
          </cell>
          <cell r="K4230">
            <v>0.53999999999999992</v>
          </cell>
          <cell r="L4230">
            <v>1.82</v>
          </cell>
          <cell r="M4230">
            <v>4.1999999999999997E-3</v>
          </cell>
          <cell r="N4230">
            <v>0</v>
          </cell>
          <cell r="O4230">
            <v>4.1999999999999997E-3</v>
          </cell>
          <cell r="P4230">
            <v>0</v>
          </cell>
          <cell r="Q4230">
            <v>2.1000000000000001E-2</v>
          </cell>
          <cell r="R4230">
            <v>0</v>
          </cell>
          <cell r="S4230">
            <v>0</v>
          </cell>
          <cell r="T4230">
            <v>91</v>
          </cell>
          <cell r="U4230">
            <v>0</v>
          </cell>
          <cell r="V4230">
            <v>0</v>
          </cell>
          <cell r="W4230">
            <v>0</v>
          </cell>
          <cell r="X4230">
            <v>7.0000000000000001E-3</v>
          </cell>
          <cell r="Y4230">
            <v>0</v>
          </cell>
          <cell r="Z4230">
            <v>0</v>
          </cell>
          <cell r="AA4230">
            <v>0</v>
          </cell>
          <cell r="AB4230">
            <v>0</v>
          </cell>
        </row>
        <row r="4231">
          <cell r="A4231">
            <v>63135130</v>
          </cell>
          <cell r="B4231" t="str">
            <v>Peach, cooked or canned, in heavy syrup</v>
          </cell>
          <cell r="I4231">
            <v>140</v>
          </cell>
          <cell r="J4231">
            <v>103.6</v>
          </cell>
          <cell r="K4231">
            <v>0.74</v>
          </cell>
          <cell r="L4231">
            <v>1.82</v>
          </cell>
          <cell r="M4231">
            <v>1.4E-2</v>
          </cell>
          <cell r="N4231">
            <v>0</v>
          </cell>
          <cell r="O4231">
            <v>4.1999999999999997E-3</v>
          </cell>
          <cell r="P4231">
            <v>0</v>
          </cell>
          <cell r="Q4231">
            <v>6.5799999999999997E-2</v>
          </cell>
          <cell r="R4231">
            <v>0</v>
          </cell>
          <cell r="S4231">
            <v>0</v>
          </cell>
          <cell r="T4231">
            <v>91</v>
          </cell>
          <cell r="U4231">
            <v>0</v>
          </cell>
          <cell r="V4231">
            <v>0</v>
          </cell>
          <cell r="W4231">
            <v>0</v>
          </cell>
          <cell r="X4231">
            <v>8.3999999999999995E-3</v>
          </cell>
          <cell r="Y4231">
            <v>0</v>
          </cell>
          <cell r="Z4231">
            <v>0</v>
          </cell>
          <cell r="AA4231">
            <v>0</v>
          </cell>
          <cell r="AB4231">
            <v>0</v>
          </cell>
        </row>
        <row r="4232">
          <cell r="A4232">
            <v>63135140</v>
          </cell>
          <cell r="B4232" t="str">
            <v>Peach, cooked or canned, in light or medium syrup</v>
          </cell>
          <cell r="I4232">
            <v>140</v>
          </cell>
          <cell r="J4232">
            <v>75.599999999999994</v>
          </cell>
          <cell r="K4232">
            <v>0.53999999999999992</v>
          </cell>
          <cell r="L4232">
            <v>1.82</v>
          </cell>
          <cell r="M4232">
            <v>4.1999999999999997E-3</v>
          </cell>
          <cell r="N4232">
            <v>0</v>
          </cell>
          <cell r="O4232">
            <v>4.1999999999999997E-3</v>
          </cell>
          <cell r="P4232">
            <v>0</v>
          </cell>
          <cell r="Q4232">
            <v>2.1000000000000001E-2</v>
          </cell>
          <cell r="R4232">
            <v>0</v>
          </cell>
          <cell r="S4232">
            <v>0</v>
          </cell>
          <cell r="T4232">
            <v>91</v>
          </cell>
          <cell r="U4232">
            <v>0</v>
          </cell>
          <cell r="V4232">
            <v>0</v>
          </cell>
          <cell r="W4232">
            <v>0</v>
          </cell>
          <cell r="X4232">
            <v>7.0000000000000001E-3</v>
          </cell>
          <cell r="Y4232">
            <v>0</v>
          </cell>
          <cell r="Z4232">
            <v>0</v>
          </cell>
          <cell r="AA4232">
            <v>0</v>
          </cell>
          <cell r="AB4232">
            <v>0</v>
          </cell>
        </row>
        <row r="4233">
          <cell r="A4233">
            <v>63135150</v>
          </cell>
          <cell r="B4233" t="str">
            <v>Peach, cooked or canned, drained solids</v>
          </cell>
          <cell r="I4233">
            <v>140</v>
          </cell>
          <cell r="J4233">
            <v>100.8</v>
          </cell>
          <cell r="K4233">
            <v>0.72</v>
          </cell>
          <cell r="L4233">
            <v>1.68</v>
          </cell>
          <cell r="M4233">
            <v>1.8200000000000001E-2</v>
          </cell>
          <cell r="N4233">
            <v>0</v>
          </cell>
          <cell r="O4233">
            <v>4.1999999999999997E-3</v>
          </cell>
          <cell r="P4233">
            <v>0</v>
          </cell>
          <cell r="Q4233">
            <v>9.2399999999999996E-2</v>
          </cell>
          <cell r="R4233">
            <v>0</v>
          </cell>
          <cell r="S4233">
            <v>0</v>
          </cell>
          <cell r="T4233">
            <v>126.182</v>
          </cell>
          <cell r="U4233">
            <v>0</v>
          </cell>
          <cell r="V4233">
            <v>0</v>
          </cell>
          <cell r="W4233">
            <v>0</v>
          </cell>
          <cell r="X4233">
            <v>8.3999999999999995E-3</v>
          </cell>
          <cell r="Y4233">
            <v>0</v>
          </cell>
          <cell r="Z4233">
            <v>0</v>
          </cell>
          <cell r="AA4233">
            <v>0</v>
          </cell>
          <cell r="AB4233">
            <v>0</v>
          </cell>
        </row>
        <row r="4234">
          <cell r="A4234">
            <v>63135170</v>
          </cell>
          <cell r="B4234" t="str">
            <v>Peach, cooked or canned, juice pack</v>
          </cell>
          <cell r="I4234">
            <v>140</v>
          </cell>
          <cell r="J4234">
            <v>61.6</v>
          </cell>
          <cell r="K4234">
            <v>0.44</v>
          </cell>
          <cell r="L4234">
            <v>1.82</v>
          </cell>
          <cell r="M4234">
            <v>5.5999999999999999E-3</v>
          </cell>
          <cell r="N4234">
            <v>0</v>
          </cell>
          <cell r="O4234">
            <v>8.3999999999999995E-3</v>
          </cell>
          <cell r="P4234">
            <v>0</v>
          </cell>
          <cell r="Q4234">
            <v>2.24E-2</v>
          </cell>
          <cell r="R4234">
            <v>0</v>
          </cell>
          <cell r="S4234">
            <v>0</v>
          </cell>
          <cell r="T4234">
            <v>140</v>
          </cell>
          <cell r="U4234">
            <v>0</v>
          </cell>
          <cell r="V4234">
            <v>0</v>
          </cell>
          <cell r="W4234">
            <v>0</v>
          </cell>
          <cell r="X4234">
            <v>5.5999999999999999E-3</v>
          </cell>
          <cell r="Y4234">
            <v>0</v>
          </cell>
          <cell r="Z4234">
            <v>0</v>
          </cell>
          <cell r="AA4234">
            <v>0</v>
          </cell>
          <cell r="AB4234">
            <v>0</v>
          </cell>
        </row>
        <row r="4235">
          <cell r="A4235">
            <v>63135620</v>
          </cell>
          <cell r="B4235" t="str">
            <v>Peach, frozen, unsweetened</v>
          </cell>
          <cell r="I4235">
            <v>140</v>
          </cell>
          <cell r="J4235">
            <v>54.6</v>
          </cell>
          <cell r="K4235">
            <v>0.39</v>
          </cell>
          <cell r="L4235">
            <v>2.1</v>
          </cell>
          <cell r="M4235">
            <v>2.6599999999999999E-2</v>
          </cell>
          <cell r="N4235">
            <v>0</v>
          </cell>
          <cell r="O4235">
            <v>8.3999999999999995E-3</v>
          </cell>
          <cell r="P4235">
            <v>0</v>
          </cell>
          <cell r="Q4235">
            <v>0.12039999999999999</v>
          </cell>
          <cell r="R4235">
            <v>0</v>
          </cell>
          <cell r="S4235">
            <v>0</v>
          </cell>
          <cell r="T4235">
            <v>140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B4235">
            <v>0</v>
          </cell>
        </row>
        <row r="4236">
          <cell r="A4236">
            <v>63135630</v>
          </cell>
          <cell r="B4236" t="str">
            <v>Peach, frozen, with sugar</v>
          </cell>
          <cell r="I4236">
            <v>140</v>
          </cell>
          <cell r="J4236">
            <v>131.6</v>
          </cell>
          <cell r="K4236">
            <v>0.94</v>
          </cell>
          <cell r="L4236">
            <v>2.52</v>
          </cell>
          <cell r="M4236">
            <v>1.9599999999999999E-2</v>
          </cell>
          <cell r="N4236">
            <v>0</v>
          </cell>
          <cell r="O4236">
            <v>4.1999999999999997E-3</v>
          </cell>
          <cell r="P4236">
            <v>0</v>
          </cell>
          <cell r="Q4236">
            <v>8.9599999999999999E-2</v>
          </cell>
          <cell r="R4236">
            <v>0</v>
          </cell>
          <cell r="S4236">
            <v>0</v>
          </cell>
          <cell r="T4236">
            <v>120.7136</v>
          </cell>
          <cell r="U4236">
            <v>0</v>
          </cell>
          <cell r="V4236">
            <v>0</v>
          </cell>
          <cell r="W4236">
            <v>0</v>
          </cell>
          <cell r="X4236">
            <v>8.3999999999999995E-3</v>
          </cell>
          <cell r="Y4236">
            <v>0</v>
          </cell>
          <cell r="Z4236">
            <v>0</v>
          </cell>
          <cell r="AA4236">
            <v>0</v>
          </cell>
          <cell r="AB4236">
            <v>0</v>
          </cell>
        </row>
        <row r="4237">
          <cell r="A4237">
            <v>63137010</v>
          </cell>
          <cell r="B4237" t="str">
            <v>Pear, raw</v>
          </cell>
          <cell r="I4237">
            <v>140</v>
          </cell>
          <cell r="J4237">
            <v>79.8</v>
          </cell>
          <cell r="K4237">
            <v>0.56999999999999995</v>
          </cell>
          <cell r="L4237">
            <v>4.34</v>
          </cell>
          <cell r="M4237">
            <v>3.0800000000000001E-2</v>
          </cell>
          <cell r="N4237">
            <v>0</v>
          </cell>
          <cell r="O4237">
            <v>1.26E-2</v>
          </cell>
          <cell r="P4237">
            <v>0</v>
          </cell>
          <cell r="Q4237">
            <v>0.13159999999999999</v>
          </cell>
          <cell r="R4237">
            <v>0</v>
          </cell>
          <cell r="S4237">
            <v>0</v>
          </cell>
          <cell r="T4237">
            <v>140</v>
          </cell>
          <cell r="U4237">
            <v>0</v>
          </cell>
          <cell r="V4237">
            <v>0</v>
          </cell>
          <cell r="W4237">
            <v>0</v>
          </cell>
          <cell r="X4237">
            <v>1.4E-3</v>
          </cell>
          <cell r="Y4237">
            <v>0</v>
          </cell>
          <cell r="Z4237">
            <v>0</v>
          </cell>
          <cell r="AA4237">
            <v>0</v>
          </cell>
          <cell r="AB4237">
            <v>0</v>
          </cell>
        </row>
        <row r="4238">
          <cell r="A4238">
            <v>63137050</v>
          </cell>
          <cell r="B4238" t="str">
            <v>Pear, Japanese, raw</v>
          </cell>
          <cell r="I4238">
            <v>140</v>
          </cell>
          <cell r="J4238">
            <v>58.8</v>
          </cell>
          <cell r="K4238">
            <v>0.42</v>
          </cell>
          <cell r="L4238">
            <v>5.04</v>
          </cell>
          <cell r="M4238">
            <v>1.6799999999999999E-2</v>
          </cell>
          <cell r="N4238">
            <v>0</v>
          </cell>
          <cell r="O4238">
            <v>5.5999999999999999E-3</v>
          </cell>
          <cell r="P4238">
            <v>0</v>
          </cell>
          <cell r="Q4238">
            <v>7.6999999999999999E-2</v>
          </cell>
          <cell r="R4238">
            <v>0</v>
          </cell>
          <cell r="S4238">
            <v>0</v>
          </cell>
          <cell r="T4238">
            <v>140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B4238">
            <v>0</v>
          </cell>
        </row>
        <row r="4239">
          <cell r="A4239">
            <v>63137110</v>
          </cell>
          <cell r="B4239" t="str">
            <v>Pear, cooked or canned, NS as to sweetened or unsweetened; sweetened, NS as to type of sweetener</v>
          </cell>
          <cell r="I4239">
            <v>140</v>
          </cell>
          <cell r="J4239">
            <v>79.8</v>
          </cell>
          <cell r="K4239">
            <v>0.56999999999999995</v>
          </cell>
          <cell r="L4239">
            <v>2.2400000000000002</v>
          </cell>
          <cell r="M4239">
            <v>2.8E-3</v>
          </cell>
          <cell r="N4239">
            <v>0</v>
          </cell>
          <cell r="O4239">
            <v>7.0000000000000001E-3</v>
          </cell>
          <cell r="P4239">
            <v>0</v>
          </cell>
          <cell r="Q4239">
            <v>9.7999999999999997E-3</v>
          </cell>
          <cell r="R4239">
            <v>0</v>
          </cell>
          <cell r="S4239">
            <v>0</v>
          </cell>
          <cell r="T4239">
            <v>91</v>
          </cell>
          <cell r="U4239">
            <v>0</v>
          </cell>
          <cell r="V4239">
            <v>0</v>
          </cell>
          <cell r="W4239">
            <v>0</v>
          </cell>
          <cell r="X4239">
            <v>7.0000000000000001E-3</v>
          </cell>
          <cell r="Y4239">
            <v>0</v>
          </cell>
          <cell r="Z4239">
            <v>0</v>
          </cell>
          <cell r="AA4239">
            <v>0</v>
          </cell>
          <cell r="AB4239">
            <v>0</v>
          </cell>
        </row>
        <row r="4240">
          <cell r="A4240">
            <v>63137120</v>
          </cell>
          <cell r="B4240" t="str">
            <v>Pear, cooked or canned, unsweetened, water pack</v>
          </cell>
          <cell r="I4240">
            <v>140</v>
          </cell>
          <cell r="J4240">
            <v>40.6</v>
          </cell>
          <cell r="K4240">
            <v>0.29000000000000004</v>
          </cell>
          <cell r="L4240">
            <v>2.2400000000000002</v>
          </cell>
          <cell r="M4240">
            <v>2.8E-3</v>
          </cell>
          <cell r="N4240">
            <v>0</v>
          </cell>
          <cell r="O4240">
            <v>5.5999999999999999E-3</v>
          </cell>
          <cell r="P4240">
            <v>0</v>
          </cell>
          <cell r="Q4240">
            <v>9.7999999999999997E-3</v>
          </cell>
          <cell r="R4240">
            <v>0</v>
          </cell>
          <cell r="S4240">
            <v>0</v>
          </cell>
          <cell r="T4240">
            <v>91</v>
          </cell>
          <cell r="U4240">
            <v>0</v>
          </cell>
          <cell r="V4240">
            <v>0</v>
          </cell>
          <cell r="W4240">
            <v>0</v>
          </cell>
          <cell r="X4240">
            <v>2.8E-3</v>
          </cell>
          <cell r="Y4240">
            <v>0</v>
          </cell>
          <cell r="Z4240">
            <v>0</v>
          </cell>
          <cell r="AA4240">
            <v>0</v>
          </cell>
          <cell r="AB4240">
            <v>0</v>
          </cell>
        </row>
        <row r="4241">
          <cell r="A4241">
            <v>63137140</v>
          </cell>
          <cell r="B4241" t="str">
            <v>Pear, cooked or canned, in light syrup</v>
          </cell>
          <cell r="I4241">
            <v>140</v>
          </cell>
          <cell r="J4241">
            <v>79.8</v>
          </cell>
          <cell r="K4241">
            <v>0.56999999999999995</v>
          </cell>
          <cell r="L4241">
            <v>2.2400000000000002</v>
          </cell>
          <cell r="M4241">
            <v>2.8E-3</v>
          </cell>
          <cell r="N4241">
            <v>0</v>
          </cell>
          <cell r="O4241">
            <v>7.0000000000000001E-3</v>
          </cell>
          <cell r="P4241">
            <v>0</v>
          </cell>
          <cell r="Q4241">
            <v>9.7999999999999997E-3</v>
          </cell>
          <cell r="R4241">
            <v>0</v>
          </cell>
          <cell r="S4241">
            <v>0</v>
          </cell>
          <cell r="T4241">
            <v>91</v>
          </cell>
          <cell r="U4241">
            <v>0</v>
          </cell>
          <cell r="V4241">
            <v>0</v>
          </cell>
          <cell r="W4241">
            <v>0</v>
          </cell>
          <cell r="X4241">
            <v>7.0000000000000001E-3</v>
          </cell>
          <cell r="Y4241">
            <v>0</v>
          </cell>
          <cell r="Z4241">
            <v>0</v>
          </cell>
          <cell r="AA4241">
            <v>0</v>
          </cell>
          <cell r="AB4241">
            <v>0</v>
          </cell>
        </row>
        <row r="4242">
          <cell r="A4242">
            <v>63137150</v>
          </cell>
          <cell r="B4242" t="str">
            <v>Pear, cooked or canned, drained solids</v>
          </cell>
          <cell r="I4242">
            <v>140</v>
          </cell>
          <cell r="J4242">
            <v>103.6</v>
          </cell>
          <cell r="K4242">
            <v>0.74</v>
          </cell>
          <cell r="L4242">
            <v>3.78</v>
          </cell>
          <cell r="M4242">
            <v>1.4E-2</v>
          </cell>
          <cell r="N4242">
            <v>0</v>
          </cell>
          <cell r="O4242">
            <v>8.3999999999999995E-3</v>
          </cell>
          <cell r="P4242">
            <v>0</v>
          </cell>
          <cell r="Q4242">
            <v>5.74E-2</v>
          </cell>
          <cell r="R4242">
            <v>0</v>
          </cell>
          <cell r="S4242">
            <v>0</v>
          </cell>
          <cell r="T4242">
            <v>130.6508</v>
          </cell>
          <cell r="U4242">
            <v>0</v>
          </cell>
          <cell r="V4242">
            <v>0</v>
          </cell>
          <cell r="W4242">
            <v>0</v>
          </cell>
          <cell r="X4242">
            <v>7.0000000000000001E-3</v>
          </cell>
          <cell r="Y4242">
            <v>0</v>
          </cell>
          <cell r="Z4242">
            <v>0</v>
          </cell>
          <cell r="AA4242">
            <v>0</v>
          </cell>
          <cell r="AB4242">
            <v>0</v>
          </cell>
        </row>
        <row r="4243">
          <cell r="A4243">
            <v>63137170</v>
          </cell>
          <cell r="B4243" t="str">
            <v>Pear, cooked or canned, juice pack</v>
          </cell>
          <cell r="I4243">
            <v>140</v>
          </cell>
          <cell r="J4243">
            <v>70</v>
          </cell>
          <cell r="K4243">
            <v>0.5</v>
          </cell>
          <cell r="L4243">
            <v>2.2400000000000002</v>
          </cell>
          <cell r="M4243">
            <v>5.5999999999999999E-3</v>
          </cell>
          <cell r="N4243">
            <v>0</v>
          </cell>
          <cell r="O4243">
            <v>1.26E-2</v>
          </cell>
          <cell r="P4243">
            <v>0</v>
          </cell>
          <cell r="Q4243">
            <v>2.1000000000000001E-2</v>
          </cell>
          <cell r="R4243">
            <v>0</v>
          </cell>
          <cell r="S4243">
            <v>0</v>
          </cell>
          <cell r="T4243">
            <v>140</v>
          </cell>
          <cell r="U4243">
            <v>0</v>
          </cell>
          <cell r="V4243">
            <v>0</v>
          </cell>
          <cell r="W4243">
            <v>0</v>
          </cell>
          <cell r="X4243">
            <v>5.5999999999999999E-3</v>
          </cell>
          <cell r="Y4243">
            <v>0</v>
          </cell>
          <cell r="Z4243">
            <v>0</v>
          </cell>
          <cell r="AA4243">
            <v>0</v>
          </cell>
          <cell r="AB4243">
            <v>0</v>
          </cell>
        </row>
        <row r="4244">
          <cell r="A4244">
            <v>63139010</v>
          </cell>
          <cell r="B4244" t="str">
            <v>Persimmon, raw</v>
          </cell>
          <cell r="I4244">
            <v>140</v>
          </cell>
          <cell r="J4244">
            <v>98</v>
          </cell>
          <cell r="K4244">
            <v>0.7</v>
          </cell>
          <cell r="L4244">
            <v>5.04</v>
          </cell>
          <cell r="M4244">
            <v>2.8000000000000001E-2</v>
          </cell>
          <cell r="N4244">
            <v>0</v>
          </cell>
          <cell r="O4244">
            <v>1.12E-2</v>
          </cell>
          <cell r="P4244">
            <v>0</v>
          </cell>
          <cell r="Q4244">
            <v>6.0199999999999997E-2</v>
          </cell>
          <cell r="R4244">
            <v>0</v>
          </cell>
          <cell r="S4244">
            <v>0</v>
          </cell>
          <cell r="T4244">
            <v>140</v>
          </cell>
          <cell r="U4244">
            <v>0</v>
          </cell>
          <cell r="V4244">
            <v>0</v>
          </cell>
          <cell r="W4244">
            <v>0</v>
          </cell>
          <cell r="X4244">
            <v>1.4E-3</v>
          </cell>
          <cell r="Y4244">
            <v>0</v>
          </cell>
          <cell r="Z4244">
            <v>0</v>
          </cell>
          <cell r="AA4244">
            <v>0</v>
          </cell>
          <cell r="AB4244">
            <v>0</v>
          </cell>
        </row>
        <row r="4245">
          <cell r="A4245">
            <v>63141010</v>
          </cell>
          <cell r="B4245" t="str">
            <v>Pineapple, raw</v>
          </cell>
          <cell r="I4245">
            <v>140</v>
          </cell>
          <cell r="J4245">
            <v>70</v>
          </cell>
          <cell r="K4245">
            <v>0.5</v>
          </cell>
          <cell r="L4245">
            <v>1.96</v>
          </cell>
          <cell r="M4245">
            <v>1.26E-2</v>
          </cell>
          <cell r="N4245">
            <v>0</v>
          </cell>
          <cell r="O4245">
            <v>1.8200000000000001E-2</v>
          </cell>
          <cell r="P4245">
            <v>0</v>
          </cell>
          <cell r="Q4245">
            <v>5.6000000000000001E-2</v>
          </cell>
          <cell r="R4245">
            <v>0</v>
          </cell>
          <cell r="S4245">
            <v>0</v>
          </cell>
          <cell r="T4245">
            <v>140</v>
          </cell>
          <cell r="U4245">
            <v>0</v>
          </cell>
          <cell r="V4245">
            <v>0</v>
          </cell>
          <cell r="W4245">
            <v>0</v>
          </cell>
          <cell r="X4245">
            <v>1.4E-3</v>
          </cell>
          <cell r="Y4245">
            <v>0</v>
          </cell>
          <cell r="Z4245">
            <v>0</v>
          </cell>
          <cell r="AA4245">
            <v>0</v>
          </cell>
          <cell r="AB4245">
            <v>0</v>
          </cell>
        </row>
        <row r="4246">
          <cell r="A4246">
            <v>63141110</v>
          </cell>
          <cell r="B4246" t="str">
            <v>Pineapple, cooked or canned, NS as to sweetened or unsweetened; sweetened, NS as to type of sweetener</v>
          </cell>
          <cell r="I4246">
            <v>140</v>
          </cell>
          <cell r="J4246">
            <v>84</v>
          </cell>
          <cell r="K4246">
            <v>0.6</v>
          </cell>
          <cell r="L4246">
            <v>1.1200000000000001</v>
          </cell>
          <cell r="M4246">
            <v>8.3999999999999995E-3</v>
          </cell>
          <cell r="N4246">
            <v>0</v>
          </cell>
          <cell r="O4246">
            <v>1.9599999999999999E-2</v>
          </cell>
          <cell r="P4246">
            <v>0</v>
          </cell>
          <cell r="Q4246">
            <v>4.0599999999999997E-2</v>
          </cell>
          <cell r="R4246">
            <v>0</v>
          </cell>
          <cell r="S4246">
            <v>0</v>
          </cell>
          <cell r="T4246">
            <v>140</v>
          </cell>
          <cell r="U4246">
            <v>0</v>
          </cell>
          <cell r="V4246">
            <v>0</v>
          </cell>
          <cell r="W4246">
            <v>0</v>
          </cell>
          <cell r="X4246">
            <v>1.4E-3</v>
          </cell>
          <cell r="Y4246">
            <v>0</v>
          </cell>
          <cell r="Z4246">
            <v>0</v>
          </cell>
          <cell r="AA4246">
            <v>0</v>
          </cell>
          <cell r="AB4246">
            <v>0</v>
          </cell>
        </row>
        <row r="4247">
          <cell r="A4247">
            <v>63141120</v>
          </cell>
          <cell r="B4247" t="str">
            <v>Pineapple, cooked or canned, unsweetened, waterpack</v>
          </cell>
          <cell r="I4247">
            <v>140</v>
          </cell>
          <cell r="J4247">
            <v>44.8</v>
          </cell>
          <cell r="K4247">
            <v>0.32</v>
          </cell>
          <cell r="L4247">
            <v>1.1200000000000001</v>
          </cell>
          <cell r="M4247">
            <v>8.3999999999999995E-3</v>
          </cell>
          <cell r="N4247">
            <v>0</v>
          </cell>
          <cell r="O4247">
            <v>2.1000000000000001E-2</v>
          </cell>
          <cell r="P4247">
            <v>0</v>
          </cell>
          <cell r="Q4247">
            <v>4.3400000000000001E-2</v>
          </cell>
          <cell r="R4247">
            <v>0</v>
          </cell>
          <cell r="S4247">
            <v>0</v>
          </cell>
          <cell r="T4247">
            <v>91</v>
          </cell>
          <cell r="U4247">
            <v>0</v>
          </cell>
          <cell r="V4247">
            <v>0</v>
          </cell>
          <cell r="W4247">
            <v>0</v>
          </cell>
          <cell r="X4247">
            <v>1.4E-3</v>
          </cell>
          <cell r="Y4247">
            <v>0</v>
          </cell>
          <cell r="Z4247">
            <v>0</v>
          </cell>
          <cell r="AA4247">
            <v>0</v>
          </cell>
          <cell r="AB4247">
            <v>0</v>
          </cell>
        </row>
        <row r="4248">
          <cell r="A4248">
            <v>63141130</v>
          </cell>
          <cell r="B4248" t="str">
            <v>Pineapple, cooked or canned, in heavy syrup</v>
          </cell>
          <cell r="I4248">
            <v>140</v>
          </cell>
          <cell r="J4248">
            <v>109.2</v>
          </cell>
          <cell r="K4248">
            <v>0.78</v>
          </cell>
          <cell r="L4248">
            <v>1.1200000000000001</v>
          </cell>
          <cell r="M4248">
            <v>1.26E-2</v>
          </cell>
          <cell r="N4248">
            <v>0</v>
          </cell>
          <cell r="O4248">
            <v>1.9599999999999999E-2</v>
          </cell>
          <cell r="P4248">
            <v>0</v>
          </cell>
          <cell r="Q4248">
            <v>5.6000000000000001E-2</v>
          </cell>
          <cell r="R4248">
            <v>0</v>
          </cell>
          <cell r="S4248">
            <v>0</v>
          </cell>
          <cell r="T4248">
            <v>91</v>
          </cell>
          <cell r="U4248">
            <v>0</v>
          </cell>
          <cell r="V4248">
            <v>0</v>
          </cell>
          <cell r="W4248">
            <v>0</v>
          </cell>
          <cell r="X4248">
            <v>1.4E-3</v>
          </cell>
          <cell r="Y4248">
            <v>0</v>
          </cell>
          <cell r="Z4248">
            <v>0</v>
          </cell>
          <cell r="AA4248">
            <v>0</v>
          </cell>
          <cell r="AB4248">
            <v>0</v>
          </cell>
        </row>
        <row r="4249">
          <cell r="A4249">
            <v>63141140</v>
          </cell>
          <cell r="B4249" t="str">
            <v>Pineapple, cooked or canned, in light syrup</v>
          </cell>
          <cell r="I4249">
            <v>140</v>
          </cell>
          <cell r="J4249">
            <v>72.8</v>
          </cell>
          <cell r="K4249">
            <v>0.52</v>
          </cell>
          <cell r="L4249">
            <v>1.1200000000000001</v>
          </cell>
          <cell r="M4249">
            <v>1.26E-2</v>
          </cell>
          <cell r="N4249">
            <v>0</v>
          </cell>
          <cell r="O4249">
            <v>1.9599999999999999E-2</v>
          </cell>
          <cell r="P4249">
            <v>0</v>
          </cell>
          <cell r="Q4249">
            <v>5.6000000000000001E-2</v>
          </cell>
          <cell r="R4249">
            <v>0</v>
          </cell>
          <cell r="S4249">
            <v>0</v>
          </cell>
          <cell r="T4249">
            <v>91</v>
          </cell>
          <cell r="U4249">
            <v>0</v>
          </cell>
          <cell r="V4249">
            <v>0</v>
          </cell>
          <cell r="W4249">
            <v>0</v>
          </cell>
          <cell r="X4249">
            <v>1.4E-3</v>
          </cell>
          <cell r="Y4249">
            <v>0</v>
          </cell>
          <cell r="Z4249">
            <v>0</v>
          </cell>
          <cell r="AA4249">
            <v>0</v>
          </cell>
          <cell r="AB4249">
            <v>0</v>
          </cell>
        </row>
        <row r="4250">
          <cell r="A4250">
            <v>63141150</v>
          </cell>
          <cell r="B4250" t="str">
            <v>Pineapple, cooked or canned, drained solids</v>
          </cell>
          <cell r="I4250">
            <v>140</v>
          </cell>
          <cell r="J4250">
            <v>84</v>
          </cell>
          <cell r="K4250">
            <v>0.6</v>
          </cell>
          <cell r="L4250">
            <v>1.82</v>
          </cell>
          <cell r="M4250">
            <v>1.12E-2</v>
          </cell>
          <cell r="N4250">
            <v>0</v>
          </cell>
          <cell r="O4250">
            <v>2.24E-2</v>
          </cell>
          <cell r="P4250">
            <v>0</v>
          </cell>
          <cell r="Q4250">
            <v>5.6000000000000001E-2</v>
          </cell>
          <cell r="R4250">
            <v>0</v>
          </cell>
          <cell r="S4250">
            <v>0</v>
          </cell>
          <cell r="T4250">
            <v>140</v>
          </cell>
          <cell r="U4250">
            <v>0</v>
          </cell>
          <cell r="V4250">
            <v>0</v>
          </cell>
          <cell r="W4250">
            <v>0</v>
          </cell>
          <cell r="X4250">
            <v>1.4E-3</v>
          </cell>
          <cell r="Y4250">
            <v>0</v>
          </cell>
          <cell r="Z4250">
            <v>0</v>
          </cell>
          <cell r="AA4250">
            <v>0</v>
          </cell>
          <cell r="AB4250">
            <v>0</v>
          </cell>
        </row>
        <row r="4251">
          <cell r="A4251">
            <v>63141170</v>
          </cell>
          <cell r="B4251" t="str">
            <v>Pineapple, cooked or canned, juice pack</v>
          </cell>
          <cell r="I4251">
            <v>140</v>
          </cell>
          <cell r="J4251">
            <v>84</v>
          </cell>
          <cell r="K4251">
            <v>0.6</v>
          </cell>
          <cell r="L4251">
            <v>1.1200000000000001</v>
          </cell>
          <cell r="M4251">
            <v>8.3999999999999995E-3</v>
          </cell>
          <cell r="N4251">
            <v>0</v>
          </cell>
          <cell r="O4251">
            <v>1.9599999999999999E-2</v>
          </cell>
          <cell r="P4251">
            <v>0</v>
          </cell>
          <cell r="Q4251">
            <v>4.0599999999999997E-2</v>
          </cell>
          <cell r="R4251">
            <v>0</v>
          </cell>
          <cell r="S4251">
            <v>0</v>
          </cell>
          <cell r="T4251">
            <v>140</v>
          </cell>
          <cell r="U4251">
            <v>0</v>
          </cell>
          <cell r="V4251">
            <v>0</v>
          </cell>
          <cell r="W4251">
            <v>0</v>
          </cell>
          <cell r="X4251">
            <v>1.4E-3</v>
          </cell>
          <cell r="Y4251">
            <v>0</v>
          </cell>
          <cell r="Z4251">
            <v>0</v>
          </cell>
          <cell r="AA4251">
            <v>0</v>
          </cell>
          <cell r="AB4251">
            <v>0</v>
          </cell>
        </row>
        <row r="4252">
          <cell r="A4252">
            <v>63143010</v>
          </cell>
          <cell r="B4252" t="str">
            <v>Plum, raw</v>
          </cell>
          <cell r="I4252">
            <v>140</v>
          </cell>
          <cell r="J4252">
            <v>64.400000000000006</v>
          </cell>
          <cell r="K4252">
            <v>0.46</v>
          </cell>
          <cell r="L4252">
            <v>1.96</v>
          </cell>
          <cell r="M4252">
            <v>2.3800000000000002E-2</v>
          </cell>
          <cell r="N4252">
            <v>0</v>
          </cell>
          <cell r="O4252">
            <v>8.3999999999999995E-3</v>
          </cell>
          <cell r="P4252">
            <v>0</v>
          </cell>
          <cell r="Q4252">
            <v>6.1600000000000002E-2</v>
          </cell>
          <cell r="R4252">
            <v>0</v>
          </cell>
          <cell r="S4252">
            <v>0</v>
          </cell>
          <cell r="T4252">
            <v>140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0</v>
          </cell>
          <cell r="AA4252">
            <v>0</v>
          </cell>
          <cell r="AB4252">
            <v>0</v>
          </cell>
        </row>
        <row r="4253">
          <cell r="A4253">
            <v>63143650</v>
          </cell>
          <cell r="B4253" t="str">
            <v>Plum, pickled</v>
          </cell>
          <cell r="I4253">
            <v>30</v>
          </cell>
          <cell r="J4253">
            <v>34.082999999999998</v>
          </cell>
          <cell r="K4253">
            <v>1.1360999999999999</v>
          </cell>
          <cell r="L4253">
            <v>0</v>
          </cell>
          <cell r="M4253">
            <v>3.2130000000000001E-3</v>
          </cell>
          <cell r="N4253">
            <v>0</v>
          </cell>
          <cell r="O4253">
            <v>1.5330000000000001E-3</v>
          </cell>
          <cell r="P4253">
            <v>0.2646</v>
          </cell>
          <cell r="Q4253">
            <v>8.3160000000000005E-3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3.0299999999999999E-4</v>
          </cell>
          <cell r="Y4253">
            <v>0</v>
          </cell>
          <cell r="Z4253">
            <v>0</v>
          </cell>
          <cell r="AA4253">
            <v>0</v>
          </cell>
          <cell r="AB4253">
            <v>2.6132E-3</v>
          </cell>
        </row>
        <row r="4254">
          <cell r="A4254">
            <v>63145010</v>
          </cell>
          <cell r="B4254" t="str">
            <v>Pomegranate, raw</v>
          </cell>
          <cell r="I4254">
            <v>140</v>
          </cell>
          <cell r="J4254">
            <v>116.2</v>
          </cell>
          <cell r="K4254">
            <v>0.83000000000000007</v>
          </cell>
          <cell r="L4254">
            <v>5.6</v>
          </cell>
          <cell r="M4254">
            <v>0.16800000000000001</v>
          </cell>
          <cell r="N4254">
            <v>0</v>
          </cell>
          <cell r="O4254">
            <v>1.4E-2</v>
          </cell>
          <cell r="P4254">
            <v>0</v>
          </cell>
          <cell r="Q4254">
            <v>0.1106</v>
          </cell>
          <cell r="R4254">
            <v>0</v>
          </cell>
          <cell r="S4254">
            <v>0</v>
          </cell>
          <cell r="T4254">
            <v>140</v>
          </cell>
          <cell r="U4254">
            <v>0</v>
          </cell>
          <cell r="V4254">
            <v>0</v>
          </cell>
          <cell r="W4254">
            <v>0</v>
          </cell>
          <cell r="X4254">
            <v>4.1999999999999997E-3</v>
          </cell>
          <cell r="Y4254">
            <v>0</v>
          </cell>
          <cell r="Z4254">
            <v>0</v>
          </cell>
          <cell r="AA4254">
            <v>0</v>
          </cell>
          <cell r="AB4254">
            <v>0</v>
          </cell>
        </row>
        <row r="4255">
          <cell r="A4255">
            <v>63147010</v>
          </cell>
          <cell r="B4255" t="str">
            <v>Rhubarb, raw</v>
          </cell>
          <cell r="I4255">
            <v>140</v>
          </cell>
          <cell r="J4255">
            <v>29.4</v>
          </cell>
          <cell r="K4255">
            <v>0.21</v>
          </cell>
          <cell r="L4255">
            <v>2.52</v>
          </cell>
          <cell r="M4255">
            <v>7.4200000000000002E-2</v>
          </cell>
          <cell r="N4255">
            <v>0</v>
          </cell>
          <cell r="O4255">
            <v>0.12039999999999999</v>
          </cell>
          <cell r="P4255">
            <v>0</v>
          </cell>
          <cell r="Q4255">
            <v>0.1386</v>
          </cell>
          <cell r="R4255">
            <v>0</v>
          </cell>
          <cell r="S4255">
            <v>0</v>
          </cell>
          <cell r="T4255">
            <v>140</v>
          </cell>
          <cell r="U4255">
            <v>0</v>
          </cell>
          <cell r="V4255">
            <v>0</v>
          </cell>
          <cell r="W4255">
            <v>0</v>
          </cell>
          <cell r="X4255">
            <v>5.5999999999999999E-3</v>
          </cell>
          <cell r="Y4255">
            <v>0</v>
          </cell>
          <cell r="Z4255">
            <v>0</v>
          </cell>
          <cell r="AA4255">
            <v>0</v>
          </cell>
          <cell r="AB4255">
            <v>0</v>
          </cell>
        </row>
        <row r="4256">
          <cell r="A4256">
            <v>63147110</v>
          </cell>
          <cell r="B4256" t="str">
            <v>Rhubarb, cooked or canned, NS as to sweetened or unsweetened; sweetened, NS as to type of sweetener</v>
          </cell>
          <cell r="I4256">
            <v>140</v>
          </cell>
          <cell r="J4256">
            <v>162.4</v>
          </cell>
          <cell r="K4256">
            <v>1.1600000000000001</v>
          </cell>
          <cell r="L4256">
            <v>2.8</v>
          </cell>
          <cell r="M4256">
            <v>1.9599999999999999E-2</v>
          </cell>
          <cell r="N4256">
            <v>0</v>
          </cell>
          <cell r="O4256">
            <v>0.20300000000000001</v>
          </cell>
          <cell r="P4256">
            <v>0</v>
          </cell>
          <cell r="Q4256">
            <v>3.5000000000000003E-2</v>
          </cell>
          <cell r="R4256">
            <v>0</v>
          </cell>
          <cell r="S4256">
            <v>0</v>
          </cell>
          <cell r="T4256">
            <v>101.36839999999999</v>
          </cell>
          <cell r="U4256">
            <v>0</v>
          </cell>
          <cell r="V4256">
            <v>0</v>
          </cell>
          <cell r="W4256">
            <v>0</v>
          </cell>
          <cell r="X4256">
            <v>1.4E-3</v>
          </cell>
          <cell r="Y4256">
            <v>0</v>
          </cell>
          <cell r="Z4256">
            <v>0</v>
          </cell>
          <cell r="AA4256">
            <v>0</v>
          </cell>
          <cell r="AB4256">
            <v>0</v>
          </cell>
        </row>
        <row r="4257">
          <cell r="A4257">
            <v>63147120</v>
          </cell>
          <cell r="B4257" t="str">
            <v>Rhubarb, cooked or canned, unsweetened</v>
          </cell>
          <cell r="I4257">
            <v>140</v>
          </cell>
          <cell r="J4257">
            <v>29.4</v>
          </cell>
          <cell r="K4257">
            <v>0.21</v>
          </cell>
          <cell r="L4257">
            <v>2.52</v>
          </cell>
          <cell r="M4257">
            <v>7.4200000000000002E-2</v>
          </cell>
          <cell r="N4257">
            <v>0</v>
          </cell>
          <cell r="O4257">
            <v>0.12039999999999999</v>
          </cell>
          <cell r="P4257">
            <v>0</v>
          </cell>
          <cell r="Q4257">
            <v>0.1386</v>
          </cell>
          <cell r="R4257">
            <v>0</v>
          </cell>
          <cell r="S4257">
            <v>0</v>
          </cell>
          <cell r="T4257">
            <v>140</v>
          </cell>
          <cell r="U4257">
            <v>0</v>
          </cell>
          <cell r="V4257">
            <v>0</v>
          </cell>
          <cell r="W4257">
            <v>0</v>
          </cell>
          <cell r="X4257">
            <v>5.5999999999999999E-3</v>
          </cell>
          <cell r="Y4257">
            <v>0</v>
          </cell>
          <cell r="Z4257">
            <v>0</v>
          </cell>
          <cell r="AA4257">
            <v>0</v>
          </cell>
          <cell r="AB4257">
            <v>0</v>
          </cell>
        </row>
        <row r="4258">
          <cell r="A4258">
            <v>63147130</v>
          </cell>
          <cell r="B4258" t="str">
            <v>Rhubarb, cooked or canned, in heavy syrup</v>
          </cell>
          <cell r="I4258">
            <v>140</v>
          </cell>
          <cell r="J4258">
            <v>162.4</v>
          </cell>
          <cell r="K4258">
            <v>1.1600000000000001</v>
          </cell>
          <cell r="L4258">
            <v>2.8</v>
          </cell>
          <cell r="M4258">
            <v>1.9599999999999999E-2</v>
          </cell>
          <cell r="N4258">
            <v>0</v>
          </cell>
          <cell r="O4258">
            <v>0.20300000000000001</v>
          </cell>
          <cell r="P4258">
            <v>0</v>
          </cell>
          <cell r="Q4258">
            <v>3.5000000000000003E-2</v>
          </cell>
          <cell r="R4258">
            <v>0</v>
          </cell>
          <cell r="S4258">
            <v>0</v>
          </cell>
          <cell r="T4258">
            <v>101.36839999999999</v>
          </cell>
          <cell r="U4258">
            <v>0</v>
          </cell>
          <cell r="V4258">
            <v>0</v>
          </cell>
          <cell r="W4258">
            <v>0</v>
          </cell>
          <cell r="X4258">
            <v>1.4E-3</v>
          </cell>
          <cell r="Y4258">
            <v>0</v>
          </cell>
          <cell r="Z4258">
            <v>0</v>
          </cell>
          <cell r="AA4258">
            <v>0</v>
          </cell>
          <cell r="AB4258">
            <v>0</v>
          </cell>
        </row>
        <row r="4259">
          <cell r="A4259">
            <v>63149010</v>
          </cell>
          <cell r="B4259" t="str">
            <v>Watermelon, raw</v>
          </cell>
          <cell r="I4259">
            <v>280</v>
          </cell>
          <cell r="J4259">
            <v>84</v>
          </cell>
          <cell r="K4259">
            <v>0.3</v>
          </cell>
          <cell r="L4259">
            <v>1.1200000000000001</v>
          </cell>
          <cell r="M4259">
            <v>4.48E-2</v>
          </cell>
          <cell r="N4259">
            <v>0</v>
          </cell>
          <cell r="O4259">
            <v>1.9599999999999999E-2</v>
          </cell>
          <cell r="P4259">
            <v>0</v>
          </cell>
          <cell r="Q4259">
            <v>0.14000000000000001</v>
          </cell>
          <cell r="R4259">
            <v>0</v>
          </cell>
          <cell r="S4259">
            <v>0</v>
          </cell>
          <cell r="T4259">
            <v>280</v>
          </cell>
          <cell r="U4259">
            <v>0</v>
          </cell>
          <cell r="V4259">
            <v>0</v>
          </cell>
          <cell r="W4259">
            <v>0</v>
          </cell>
          <cell r="X4259">
            <v>2.8E-3</v>
          </cell>
          <cell r="Y4259">
            <v>0</v>
          </cell>
          <cell r="Z4259">
            <v>0</v>
          </cell>
          <cell r="AA4259">
            <v>0</v>
          </cell>
          <cell r="AB4259">
            <v>0</v>
          </cell>
        </row>
        <row r="4260">
          <cell r="A4260">
            <v>63200100</v>
          </cell>
          <cell r="B4260" t="str">
            <v>Berries, raw, NFS</v>
          </cell>
          <cell r="I4260">
            <v>140</v>
          </cell>
          <cell r="J4260">
            <v>44.8</v>
          </cell>
          <cell r="K4260">
            <v>0.32</v>
          </cell>
          <cell r="L4260">
            <v>2.8</v>
          </cell>
          <cell r="M4260">
            <v>2.1000000000000001E-2</v>
          </cell>
          <cell r="N4260">
            <v>0</v>
          </cell>
          <cell r="O4260">
            <v>2.24E-2</v>
          </cell>
          <cell r="P4260">
            <v>0</v>
          </cell>
          <cell r="Q4260">
            <v>0.217</v>
          </cell>
          <cell r="R4260">
            <v>0</v>
          </cell>
          <cell r="S4260">
            <v>0</v>
          </cell>
          <cell r="T4260">
            <v>140</v>
          </cell>
          <cell r="U4260">
            <v>0</v>
          </cell>
          <cell r="V4260">
            <v>0</v>
          </cell>
          <cell r="W4260">
            <v>0</v>
          </cell>
          <cell r="X4260">
            <v>1.4E-3</v>
          </cell>
          <cell r="Y4260">
            <v>0</v>
          </cell>
          <cell r="Z4260">
            <v>0</v>
          </cell>
          <cell r="AA4260">
            <v>0</v>
          </cell>
          <cell r="AB4260">
            <v>0</v>
          </cell>
        </row>
        <row r="4261">
          <cell r="A4261">
            <v>63200200</v>
          </cell>
          <cell r="B4261" t="str">
            <v>Berries, frozen, NFS</v>
          </cell>
          <cell r="I4261">
            <v>140</v>
          </cell>
          <cell r="J4261">
            <v>71.400000000000006</v>
          </cell>
          <cell r="K4261">
            <v>0.51</v>
          </cell>
          <cell r="L4261">
            <v>3.78</v>
          </cell>
          <cell r="M4261">
            <v>7.4200000000000002E-2</v>
          </cell>
          <cell r="N4261">
            <v>0</v>
          </cell>
          <cell r="O4261">
            <v>1.12E-2</v>
          </cell>
          <cell r="P4261">
            <v>0</v>
          </cell>
          <cell r="Q4261">
            <v>0.3906</v>
          </cell>
          <cell r="R4261">
            <v>0</v>
          </cell>
          <cell r="S4261">
            <v>0</v>
          </cell>
          <cell r="T4261">
            <v>140</v>
          </cell>
          <cell r="U4261">
            <v>0</v>
          </cell>
          <cell r="V4261">
            <v>0</v>
          </cell>
          <cell r="W4261">
            <v>0</v>
          </cell>
          <cell r="X4261">
            <v>1.4E-3</v>
          </cell>
          <cell r="Y4261">
            <v>0</v>
          </cell>
          <cell r="Z4261">
            <v>0</v>
          </cell>
          <cell r="AA4261">
            <v>0</v>
          </cell>
          <cell r="AB4261">
            <v>0</v>
          </cell>
        </row>
        <row r="4262">
          <cell r="A4262">
            <v>63201010</v>
          </cell>
          <cell r="B4262" t="str">
            <v>Blackberries, raw</v>
          </cell>
          <cell r="I4262">
            <v>140</v>
          </cell>
          <cell r="J4262">
            <v>60.2</v>
          </cell>
          <cell r="K4262">
            <v>0.43</v>
          </cell>
          <cell r="L4262">
            <v>7.42</v>
          </cell>
          <cell r="M4262">
            <v>1.9599999999999999E-2</v>
          </cell>
          <cell r="N4262">
            <v>0</v>
          </cell>
          <cell r="O4262">
            <v>4.0599999999999997E-2</v>
          </cell>
          <cell r="P4262">
            <v>0</v>
          </cell>
          <cell r="Q4262">
            <v>0.39200000000000002</v>
          </cell>
          <cell r="R4262">
            <v>0</v>
          </cell>
          <cell r="S4262">
            <v>0</v>
          </cell>
          <cell r="T4262">
            <v>140</v>
          </cell>
          <cell r="U4262">
            <v>0</v>
          </cell>
          <cell r="V4262">
            <v>0</v>
          </cell>
          <cell r="W4262">
            <v>0</v>
          </cell>
          <cell r="X4262">
            <v>1.4E-3</v>
          </cell>
          <cell r="Y4262">
            <v>0</v>
          </cell>
          <cell r="Z4262">
            <v>0</v>
          </cell>
          <cell r="AA4262">
            <v>0</v>
          </cell>
          <cell r="AB4262">
            <v>0</v>
          </cell>
        </row>
        <row r="4263">
          <cell r="A4263">
            <v>63201110</v>
          </cell>
          <cell r="B4263" t="str">
            <v>Blackberries, cooked or canned, NS as to sweetened or unsweetened; sweetened, NS as to type of sweetener</v>
          </cell>
          <cell r="I4263">
            <v>140</v>
          </cell>
          <cell r="J4263">
            <v>128.80000000000001</v>
          </cell>
          <cell r="K4263">
            <v>0.92</v>
          </cell>
          <cell r="L4263">
            <v>4.76</v>
          </cell>
          <cell r="M4263">
            <v>7.0000000000000001E-3</v>
          </cell>
          <cell r="N4263">
            <v>0</v>
          </cell>
          <cell r="O4263">
            <v>2.9399999999999999E-2</v>
          </cell>
          <cell r="P4263">
            <v>0</v>
          </cell>
          <cell r="Q4263">
            <v>0.112</v>
          </cell>
          <cell r="R4263">
            <v>0</v>
          </cell>
          <cell r="S4263">
            <v>0</v>
          </cell>
          <cell r="T4263">
            <v>140</v>
          </cell>
          <cell r="U4263">
            <v>0</v>
          </cell>
          <cell r="V4263">
            <v>0</v>
          </cell>
          <cell r="W4263">
            <v>0</v>
          </cell>
          <cell r="X4263">
            <v>4.1999999999999997E-3</v>
          </cell>
          <cell r="Y4263">
            <v>0</v>
          </cell>
          <cell r="Z4263">
            <v>0</v>
          </cell>
          <cell r="AA4263">
            <v>0</v>
          </cell>
          <cell r="AB4263">
            <v>0</v>
          </cell>
        </row>
        <row r="4264">
          <cell r="A4264">
            <v>63201600</v>
          </cell>
          <cell r="B4264" t="str">
            <v>Blackberries, frozen</v>
          </cell>
          <cell r="I4264">
            <v>140</v>
          </cell>
          <cell r="J4264">
            <v>89.6</v>
          </cell>
          <cell r="K4264">
            <v>0.64</v>
          </cell>
          <cell r="L4264">
            <v>7</v>
          </cell>
          <cell r="M4264">
            <v>2.1000000000000001E-2</v>
          </cell>
          <cell r="N4264">
            <v>0</v>
          </cell>
          <cell r="O4264">
            <v>4.0599999999999997E-2</v>
          </cell>
          <cell r="P4264">
            <v>0</v>
          </cell>
          <cell r="Q4264">
            <v>0.34300000000000003</v>
          </cell>
          <cell r="R4264">
            <v>0</v>
          </cell>
          <cell r="S4264">
            <v>0</v>
          </cell>
          <cell r="T4264">
            <v>140</v>
          </cell>
          <cell r="U4264">
            <v>0</v>
          </cell>
          <cell r="V4264">
            <v>0</v>
          </cell>
          <cell r="W4264">
            <v>0</v>
          </cell>
          <cell r="X4264">
            <v>1.4E-3</v>
          </cell>
          <cell r="Y4264">
            <v>0</v>
          </cell>
          <cell r="Z4264">
            <v>0</v>
          </cell>
          <cell r="AA4264">
            <v>0</v>
          </cell>
          <cell r="AB4264">
            <v>0</v>
          </cell>
        </row>
        <row r="4265">
          <cell r="A4265">
            <v>63201800</v>
          </cell>
          <cell r="B4265" t="str">
            <v>Blackberries, frozen, sweetened, NS as to type of sweetener</v>
          </cell>
          <cell r="I4265">
            <v>140</v>
          </cell>
          <cell r="J4265">
            <v>138.05000000000001</v>
          </cell>
          <cell r="K4265">
            <v>0.9860714285714286</v>
          </cell>
          <cell r="L4265">
            <v>6.25</v>
          </cell>
          <cell r="M4265">
            <v>1.8749999999999999E-2</v>
          </cell>
          <cell r="N4265">
            <v>0</v>
          </cell>
          <cell r="O4265">
            <v>3.6400000000000002E-2</v>
          </cell>
          <cell r="P4265">
            <v>0</v>
          </cell>
          <cell r="Q4265">
            <v>0.30625000000000002</v>
          </cell>
          <cell r="R4265">
            <v>0</v>
          </cell>
          <cell r="S4265">
            <v>0</v>
          </cell>
          <cell r="T4265">
            <v>125</v>
          </cell>
          <cell r="U4265">
            <v>0</v>
          </cell>
          <cell r="V4265">
            <v>0</v>
          </cell>
          <cell r="W4265">
            <v>0</v>
          </cell>
          <cell r="X4265">
            <v>1.4E-3</v>
          </cell>
          <cell r="Y4265">
            <v>0</v>
          </cell>
          <cell r="Z4265">
            <v>0</v>
          </cell>
          <cell r="AA4265">
            <v>0</v>
          </cell>
          <cell r="AB4265">
            <v>0</v>
          </cell>
        </row>
        <row r="4266">
          <cell r="A4266">
            <v>63203010</v>
          </cell>
          <cell r="B4266" t="str">
            <v>Blueberries, raw</v>
          </cell>
          <cell r="I4266">
            <v>140</v>
          </cell>
          <cell r="J4266">
            <v>79.8</v>
          </cell>
          <cell r="K4266">
            <v>0.56999999999999995</v>
          </cell>
          <cell r="L4266">
            <v>3.36</v>
          </cell>
          <cell r="M4266">
            <v>3.9199999999999999E-2</v>
          </cell>
          <cell r="N4266">
            <v>0</v>
          </cell>
          <cell r="O4266">
            <v>8.3999999999999995E-3</v>
          </cell>
          <cell r="P4266">
            <v>0</v>
          </cell>
          <cell r="Q4266">
            <v>0.2044</v>
          </cell>
          <cell r="R4266">
            <v>0</v>
          </cell>
          <cell r="S4266">
            <v>0</v>
          </cell>
          <cell r="T4266">
            <v>140</v>
          </cell>
          <cell r="U4266">
            <v>0</v>
          </cell>
          <cell r="V4266">
            <v>0</v>
          </cell>
          <cell r="W4266">
            <v>0</v>
          </cell>
          <cell r="X4266">
            <v>1.4E-3</v>
          </cell>
          <cell r="Y4266">
            <v>0</v>
          </cell>
          <cell r="Z4266">
            <v>0</v>
          </cell>
          <cell r="AA4266">
            <v>0</v>
          </cell>
          <cell r="AB4266">
            <v>0</v>
          </cell>
        </row>
        <row r="4267">
          <cell r="A4267">
            <v>63203110</v>
          </cell>
          <cell r="B4267" t="str">
            <v>Blueberries, cooked or canned, NS as to sweetened or unsweetened; sweetened, NS as to type of sweetener</v>
          </cell>
          <cell r="I4267">
            <v>140</v>
          </cell>
          <cell r="J4267">
            <v>123.2</v>
          </cell>
          <cell r="K4267">
            <v>0.88</v>
          </cell>
          <cell r="L4267">
            <v>3.64</v>
          </cell>
          <cell r="M4267">
            <v>3.9199999999999999E-2</v>
          </cell>
          <cell r="N4267">
            <v>0</v>
          </cell>
          <cell r="O4267">
            <v>8.3999999999999995E-3</v>
          </cell>
          <cell r="P4267">
            <v>0</v>
          </cell>
          <cell r="Q4267">
            <v>0.26600000000000001</v>
          </cell>
          <cell r="R4267">
            <v>0</v>
          </cell>
          <cell r="S4267">
            <v>0</v>
          </cell>
          <cell r="T4267">
            <v>140</v>
          </cell>
          <cell r="U4267">
            <v>0</v>
          </cell>
          <cell r="V4267">
            <v>0</v>
          </cell>
          <cell r="W4267">
            <v>0</v>
          </cell>
          <cell r="X4267">
            <v>4.1999999999999997E-3</v>
          </cell>
          <cell r="Y4267">
            <v>0</v>
          </cell>
          <cell r="Z4267">
            <v>0</v>
          </cell>
          <cell r="AA4267">
            <v>0</v>
          </cell>
          <cell r="AB4267">
            <v>0</v>
          </cell>
        </row>
        <row r="4268">
          <cell r="A4268">
            <v>63203130</v>
          </cell>
          <cell r="B4268" t="str">
            <v>Blueberries, cooked or canned, in heavy syrup</v>
          </cell>
          <cell r="I4268">
            <v>140</v>
          </cell>
          <cell r="J4268">
            <v>123.2</v>
          </cell>
          <cell r="K4268">
            <v>0.88</v>
          </cell>
          <cell r="L4268">
            <v>2.2400000000000002</v>
          </cell>
          <cell r="M4268">
            <v>3.78E-2</v>
          </cell>
          <cell r="N4268">
            <v>0</v>
          </cell>
          <cell r="O4268">
            <v>7.0000000000000001E-3</v>
          </cell>
          <cell r="P4268">
            <v>0</v>
          </cell>
          <cell r="Q4268">
            <v>0.2016</v>
          </cell>
          <cell r="R4268">
            <v>0</v>
          </cell>
          <cell r="S4268">
            <v>0</v>
          </cell>
          <cell r="T4268">
            <v>91</v>
          </cell>
          <cell r="U4268">
            <v>0</v>
          </cell>
          <cell r="V4268">
            <v>0</v>
          </cell>
          <cell r="W4268">
            <v>0</v>
          </cell>
          <cell r="X4268">
            <v>4.1999999999999997E-3</v>
          </cell>
          <cell r="Y4268">
            <v>0</v>
          </cell>
          <cell r="Z4268">
            <v>0</v>
          </cell>
          <cell r="AA4268">
            <v>0</v>
          </cell>
          <cell r="AB4268">
            <v>0</v>
          </cell>
        </row>
        <row r="4269">
          <cell r="A4269">
            <v>63203550</v>
          </cell>
          <cell r="B4269" t="str">
            <v>Blueberries, frozen, sweetened</v>
          </cell>
          <cell r="I4269">
            <v>140</v>
          </cell>
          <cell r="J4269">
            <v>119</v>
          </cell>
          <cell r="K4269">
            <v>0.85</v>
          </cell>
          <cell r="L4269">
            <v>3.08</v>
          </cell>
          <cell r="M4269">
            <v>1.54E-2</v>
          </cell>
          <cell r="N4269">
            <v>0</v>
          </cell>
          <cell r="O4269">
            <v>8.3999999999999995E-3</v>
          </cell>
          <cell r="P4269">
            <v>0</v>
          </cell>
          <cell r="Q4269">
            <v>7.9799999999999996E-2</v>
          </cell>
          <cell r="R4269">
            <v>0</v>
          </cell>
          <cell r="S4269">
            <v>0</v>
          </cell>
          <cell r="T4269">
            <v>124.24160000000001</v>
          </cell>
          <cell r="U4269">
            <v>0</v>
          </cell>
          <cell r="V4269">
            <v>0</v>
          </cell>
          <cell r="W4269">
            <v>0</v>
          </cell>
          <cell r="X4269">
            <v>1.4E-3</v>
          </cell>
          <cell r="Y4269">
            <v>0</v>
          </cell>
          <cell r="Z4269">
            <v>0</v>
          </cell>
          <cell r="AA4269">
            <v>0</v>
          </cell>
          <cell r="AB4269">
            <v>0</v>
          </cell>
        </row>
        <row r="4270">
          <cell r="A4270">
            <v>63203570</v>
          </cell>
          <cell r="B4270" t="str">
            <v>Blueberries, frozen, NS as to sweetened or unsweetened</v>
          </cell>
          <cell r="I4270">
            <v>140</v>
          </cell>
          <cell r="J4270">
            <v>71.400000000000006</v>
          </cell>
          <cell r="K4270">
            <v>0.51</v>
          </cell>
          <cell r="L4270">
            <v>3.78</v>
          </cell>
          <cell r="M4270">
            <v>7.4200000000000002E-2</v>
          </cell>
          <cell r="N4270">
            <v>0</v>
          </cell>
          <cell r="O4270">
            <v>1.12E-2</v>
          </cell>
          <cell r="P4270">
            <v>0</v>
          </cell>
          <cell r="Q4270">
            <v>0.3906</v>
          </cell>
          <cell r="R4270">
            <v>0</v>
          </cell>
          <cell r="S4270">
            <v>0</v>
          </cell>
          <cell r="T4270">
            <v>140</v>
          </cell>
          <cell r="U4270">
            <v>0</v>
          </cell>
          <cell r="V4270">
            <v>0</v>
          </cell>
          <cell r="W4270">
            <v>0</v>
          </cell>
          <cell r="X4270">
            <v>1.4E-3</v>
          </cell>
          <cell r="Y4270">
            <v>0</v>
          </cell>
          <cell r="Z4270">
            <v>0</v>
          </cell>
          <cell r="AA4270">
            <v>0</v>
          </cell>
          <cell r="AB4270">
            <v>0</v>
          </cell>
        </row>
        <row r="4271">
          <cell r="A4271">
            <v>63203600</v>
          </cell>
          <cell r="B4271" t="str">
            <v>Blueberries, frozen, unsweetened</v>
          </cell>
          <cell r="I4271">
            <v>140</v>
          </cell>
          <cell r="J4271">
            <v>71.400000000000006</v>
          </cell>
          <cell r="K4271">
            <v>0.51</v>
          </cell>
          <cell r="L4271">
            <v>3.78</v>
          </cell>
          <cell r="M4271">
            <v>7.4200000000000002E-2</v>
          </cell>
          <cell r="N4271">
            <v>0</v>
          </cell>
          <cell r="O4271">
            <v>1.12E-2</v>
          </cell>
          <cell r="P4271">
            <v>0</v>
          </cell>
          <cell r="Q4271">
            <v>0.3906</v>
          </cell>
          <cell r="R4271">
            <v>0</v>
          </cell>
          <cell r="S4271">
            <v>0</v>
          </cell>
          <cell r="T4271">
            <v>140</v>
          </cell>
          <cell r="U4271">
            <v>0</v>
          </cell>
          <cell r="V4271">
            <v>0</v>
          </cell>
          <cell r="W4271">
            <v>0</v>
          </cell>
          <cell r="X4271">
            <v>1.4E-3</v>
          </cell>
          <cell r="Y4271">
            <v>0</v>
          </cell>
          <cell r="Z4271">
            <v>0</v>
          </cell>
          <cell r="AA4271">
            <v>0</v>
          </cell>
          <cell r="AB4271">
            <v>0</v>
          </cell>
        </row>
        <row r="4272">
          <cell r="A4272">
            <v>63207000</v>
          </cell>
          <cell r="B4272" t="str">
            <v>Cranberries, NS as to raw, cooked, or canned</v>
          </cell>
          <cell r="I4272">
            <v>50</v>
          </cell>
          <cell r="J4272">
            <v>79.5</v>
          </cell>
          <cell r="K4272">
            <v>1.59</v>
          </cell>
          <cell r="L4272">
            <v>0.55000000000000004</v>
          </cell>
          <cell r="M4272">
            <v>3.5000000000000001E-3</v>
          </cell>
          <cell r="N4272">
            <v>0</v>
          </cell>
          <cell r="O4272">
            <v>1.5E-3</v>
          </cell>
          <cell r="P4272">
            <v>0</v>
          </cell>
          <cell r="Q4272">
            <v>1.55E-2</v>
          </cell>
          <cell r="R4272">
            <v>0</v>
          </cell>
          <cell r="S4272">
            <v>0</v>
          </cell>
          <cell r="T4272">
            <v>36.770000000000003</v>
          </cell>
          <cell r="U4272">
            <v>0</v>
          </cell>
          <cell r="V4272">
            <v>0</v>
          </cell>
          <cell r="W4272">
            <v>0</v>
          </cell>
          <cell r="X4272">
            <v>2.5000000000000001E-3</v>
          </cell>
          <cell r="Y4272">
            <v>0</v>
          </cell>
          <cell r="Z4272">
            <v>0</v>
          </cell>
          <cell r="AA4272">
            <v>0</v>
          </cell>
          <cell r="AB4272">
            <v>0</v>
          </cell>
        </row>
        <row r="4273">
          <cell r="A4273">
            <v>63207010</v>
          </cell>
          <cell r="B4273" t="str">
            <v>Cranberries, raw</v>
          </cell>
          <cell r="I4273">
            <v>50</v>
          </cell>
          <cell r="J4273">
            <v>23</v>
          </cell>
          <cell r="K4273">
            <v>0.46</v>
          </cell>
          <cell r="L4273">
            <v>1.8</v>
          </cell>
          <cell r="M4273">
            <v>4.0000000000000001E-3</v>
          </cell>
          <cell r="N4273">
            <v>0</v>
          </cell>
          <cell r="O4273">
            <v>4.0000000000000001E-3</v>
          </cell>
          <cell r="P4273">
            <v>0</v>
          </cell>
          <cell r="Q4273">
            <v>2.75E-2</v>
          </cell>
          <cell r="R4273">
            <v>0</v>
          </cell>
          <cell r="S4273">
            <v>0</v>
          </cell>
          <cell r="T4273">
            <v>50</v>
          </cell>
          <cell r="U4273">
            <v>0</v>
          </cell>
          <cell r="V4273">
            <v>0</v>
          </cell>
          <cell r="W4273">
            <v>0</v>
          </cell>
          <cell r="X4273">
            <v>1E-3</v>
          </cell>
          <cell r="Y4273">
            <v>0</v>
          </cell>
          <cell r="Z4273">
            <v>0</v>
          </cell>
          <cell r="AA4273">
            <v>0</v>
          </cell>
          <cell r="AB4273">
            <v>0</v>
          </cell>
        </row>
        <row r="4274">
          <cell r="A4274">
            <v>63207110</v>
          </cell>
          <cell r="B4274" t="str">
            <v>Cranberries, cooked or canned</v>
          </cell>
          <cell r="I4274">
            <v>50</v>
          </cell>
          <cell r="J4274">
            <v>79.5</v>
          </cell>
          <cell r="K4274">
            <v>1.59</v>
          </cell>
          <cell r="L4274">
            <v>0.55000000000000004</v>
          </cell>
          <cell r="M4274">
            <v>3.5000000000000001E-3</v>
          </cell>
          <cell r="N4274">
            <v>0</v>
          </cell>
          <cell r="O4274">
            <v>1.5E-3</v>
          </cell>
          <cell r="P4274">
            <v>0</v>
          </cell>
          <cell r="Q4274">
            <v>1.55E-2</v>
          </cell>
          <cell r="R4274">
            <v>0</v>
          </cell>
          <cell r="S4274">
            <v>0</v>
          </cell>
          <cell r="T4274">
            <v>36.770000000000003</v>
          </cell>
          <cell r="U4274">
            <v>0</v>
          </cell>
          <cell r="V4274">
            <v>0</v>
          </cell>
          <cell r="W4274">
            <v>0</v>
          </cell>
          <cell r="X4274">
            <v>2.5000000000000001E-3</v>
          </cell>
          <cell r="Y4274">
            <v>0</v>
          </cell>
          <cell r="Z4274">
            <v>0</v>
          </cell>
          <cell r="AA4274">
            <v>0</v>
          </cell>
          <cell r="AB4274">
            <v>0</v>
          </cell>
        </row>
        <row r="4275">
          <cell r="A4275">
            <v>63214000</v>
          </cell>
          <cell r="B4275" t="str">
            <v>Huckleberries, raw</v>
          </cell>
          <cell r="I4275">
            <v>55</v>
          </cell>
          <cell r="J4275">
            <v>31.35</v>
          </cell>
          <cell r="K4275">
            <v>0.57000000000000006</v>
          </cell>
          <cell r="L4275">
            <v>1.32</v>
          </cell>
          <cell r="M4275">
            <v>1.54E-2</v>
          </cell>
          <cell r="N4275">
            <v>0</v>
          </cell>
          <cell r="O4275">
            <v>3.3E-3</v>
          </cell>
          <cell r="P4275">
            <v>0</v>
          </cell>
          <cell r="Q4275">
            <v>8.0299999999999996E-2</v>
          </cell>
          <cell r="R4275">
            <v>0</v>
          </cell>
          <cell r="S4275">
            <v>0</v>
          </cell>
          <cell r="T4275">
            <v>55</v>
          </cell>
          <cell r="U4275">
            <v>0</v>
          </cell>
          <cell r="V4275">
            <v>0</v>
          </cell>
          <cell r="W4275">
            <v>0</v>
          </cell>
          <cell r="X4275">
            <v>5.5000000000000003E-4</v>
          </cell>
          <cell r="Y4275">
            <v>0</v>
          </cell>
          <cell r="Z4275">
            <v>0</v>
          </cell>
          <cell r="AA4275">
            <v>0</v>
          </cell>
          <cell r="AB4275">
            <v>0</v>
          </cell>
        </row>
        <row r="4276">
          <cell r="A4276">
            <v>63215010</v>
          </cell>
          <cell r="B4276" t="str">
            <v>Loganberries, raw</v>
          </cell>
          <cell r="I4276">
            <v>55</v>
          </cell>
          <cell r="J4276">
            <v>30.25</v>
          </cell>
          <cell r="K4276">
            <v>0.55000000000000004</v>
          </cell>
          <cell r="L4276">
            <v>2.915</v>
          </cell>
          <cell r="M4276">
            <v>6.0499999999999998E-3</v>
          </cell>
          <cell r="N4276">
            <v>0</v>
          </cell>
          <cell r="O4276">
            <v>1.43E-2</v>
          </cell>
          <cell r="P4276">
            <v>0</v>
          </cell>
          <cell r="Q4276">
            <v>9.6799999999999997E-2</v>
          </cell>
          <cell r="R4276">
            <v>0</v>
          </cell>
          <cell r="S4276">
            <v>0</v>
          </cell>
          <cell r="T4276">
            <v>55</v>
          </cell>
          <cell r="U4276">
            <v>0</v>
          </cell>
          <cell r="V4276">
            <v>0</v>
          </cell>
          <cell r="W4276">
            <v>0</v>
          </cell>
          <cell r="X4276">
            <v>5.5000000000000003E-4</v>
          </cell>
          <cell r="Y4276">
            <v>0</v>
          </cell>
          <cell r="Z4276">
            <v>0</v>
          </cell>
          <cell r="AA4276">
            <v>0</v>
          </cell>
          <cell r="AB4276">
            <v>0</v>
          </cell>
        </row>
        <row r="4277">
          <cell r="A4277">
            <v>63219000</v>
          </cell>
          <cell r="B4277" t="str">
            <v>Raspberries, raw, NS as to color</v>
          </cell>
          <cell r="I4277">
            <v>55</v>
          </cell>
          <cell r="J4277">
            <v>28.6</v>
          </cell>
          <cell r="K4277">
            <v>0.52</v>
          </cell>
          <cell r="L4277">
            <v>3.5750000000000002</v>
          </cell>
          <cell r="M4277">
            <v>1.0449999999999999E-2</v>
          </cell>
          <cell r="N4277">
            <v>0</v>
          </cell>
          <cell r="O4277">
            <v>1.375E-2</v>
          </cell>
          <cell r="P4277">
            <v>0</v>
          </cell>
          <cell r="Q4277">
            <v>0.20624999999999999</v>
          </cell>
          <cell r="R4277">
            <v>0</v>
          </cell>
          <cell r="S4277">
            <v>0</v>
          </cell>
          <cell r="T4277">
            <v>55</v>
          </cell>
          <cell r="U4277">
            <v>0</v>
          </cell>
          <cell r="V4277">
            <v>0</v>
          </cell>
          <cell r="W4277">
            <v>0</v>
          </cell>
          <cell r="X4277">
            <v>5.5000000000000003E-4</v>
          </cell>
          <cell r="Y4277">
            <v>0</v>
          </cell>
          <cell r="Z4277">
            <v>0</v>
          </cell>
          <cell r="AA4277">
            <v>0</v>
          </cell>
          <cell r="AB4277">
            <v>0</v>
          </cell>
        </row>
        <row r="4278">
          <cell r="A4278">
            <v>63219020</v>
          </cell>
          <cell r="B4278" t="str">
            <v>Raspberries, red, raw</v>
          </cell>
          <cell r="I4278">
            <v>55</v>
          </cell>
          <cell r="J4278">
            <v>28.6</v>
          </cell>
          <cell r="K4278">
            <v>0.52</v>
          </cell>
          <cell r="L4278">
            <v>3.5750000000000002</v>
          </cell>
          <cell r="M4278">
            <v>1.0449999999999999E-2</v>
          </cell>
          <cell r="N4278">
            <v>0</v>
          </cell>
          <cell r="O4278">
            <v>1.375E-2</v>
          </cell>
          <cell r="P4278">
            <v>0</v>
          </cell>
          <cell r="Q4278">
            <v>0.20624999999999999</v>
          </cell>
          <cell r="R4278">
            <v>0</v>
          </cell>
          <cell r="S4278">
            <v>0</v>
          </cell>
          <cell r="T4278">
            <v>55</v>
          </cell>
          <cell r="U4278">
            <v>0</v>
          </cell>
          <cell r="V4278">
            <v>0</v>
          </cell>
          <cell r="W4278">
            <v>0</v>
          </cell>
          <cell r="X4278">
            <v>5.5000000000000003E-4</v>
          </cell>
          <cell r="Y4278">
            <v>0</v>
          </cell>
          <cell r="Z4278">
            <v>0</v>
          </cell>
          <cell r="AA4278">
            <v>0</v>
          </cell>
          <cell r="AB4278">
            <v>0</v>
          </cell>
        </row>
        <row r="4279">
          <cell r="A4279">
            <v>63219110</v>
          </cell>
          <cell r="B4279" t="str">
            <v>Raspberries, cooked or canned, NS as to sweetened or unsweetened; sweetened, NS as to type of sweetener</v>
          </cell>
          <cell r="I4279">
            <v>55</v>
          </cell>
          <cell r="J4279">
            <v>50.05</v>
          </cell>
          <cell r="K4279">
            <v>0.90999999999999992</v>
          </cell>
          <cell r="L4279">
            <v>1.8149999999999999</v>
          </cell>
          <cell r="M4279">
            <v>2.7499999999999998E-3</v>
          </cell>
          <cell r="N4279">
            <v>0</v>
          </cell>
          <cell r="O4279">
            <v>6.0499999999999998E-3</v>
          </cell>
          <cell r="P4279">
            <v>0</v>
          </cell>
          <cell r="Q4279">
            <v>3.7400000000000003E-2</v>
          </cell>
          <cell r="R4279">
            <v>0</v>
          </cell>
          <cell r="S4279">
            <v>0</v>
          </cell>
          <cell r="T4279">
            <v>35.75</v>
          </cell>
          <cell r="U4279">
            <v>0</v>
          </cell>
          <cell r="V4279">
            <v>0</v>
          </cell>
          <cell r="W4279">
            <v>0</v>
          </cell>
          <cell r="X4279">
            <v>1.65E-3</v>
          </cell>
          <cell r="Y4279">
            <v>0</v>
          </cell>
          <cell r="Z4279">
            <v>0</v>
          </cell>
          <cell r="AA4279">
            <v>0</v>
          </cell>
          <cell r="AB4279">
            <v>0</v>
          </cell>
        </row>
        <row r="4280">
          <cell r="A4280">
            <v>63219610</v>
          </cell>
          <cell r="B4280" t="str">
            <v>Raspberries, frozen, unsweetened</v>
          </cell>
          <cell r="I4280">
            <v>55</v>
          </cell>
          <cell r="J4280">
            <v>28.6</v>
          </cell>
          <cell r="K4280">
            <v>0.52</v>
          </cell>
          <cell r="L4280">
            <v>3.5750000000000002</v>
          </cell>
          <cell r="M4280">
            <v>1.0449999999999999E-2</v>
          </cell>
          <cell r="N4280">
            <v>0</v>
          </cell>
          <cell r="O4280">
            <v>1.375E-2</v>
          </cell>
          <cell r="P4280">
            <v>0</v>
          </cell>
          <cell r="Q4280">
            <v>0.20624999999999999</v>
          </cell>
          <cell r="R4280">
            <v>0</v>
          </cell>
          <cell r="S4280">
            <v>0</v>
          </cell>
          <cell r="T4280">
            <v>55</v>
          </cell>
          <cell r="U4280">
            <v>0</v>
          </cell>
          <cell r="V4280">
            <v>0</v>
          </cell>
          <cell r="W4280">
            <v>0</v>
          </cell>
          <cell r="X4280">
            <v>5.5000000000000003E-4</v>
          </cell>
          <cell r="Y4280">
            <v>0</v>
          </cell>
          <cell r="Z4280">
            <v>0</v>
          </cell>
          <cell r="AA4280">
            <v>0</v>
          </cell>
          <cell r="AB4280">
            <v>0</v>
          </cell>
        </row>
        <row r="4281">
          <cell r="A4281">
            <v>63219620</v>
          </cell>
          <cell r="B4281" t="str">
            <v>Raspberries, frozen, with sugar</v>
          </cell>
          <cell r="I4281">
            <v>55</v>
          </cell>
          <cell r="J4281">
            <v>56.65</v>
          </cell>
          <cell r="K4281">
            <v>1.03</v>
          </cell>
          <cell r="L4281">
            <v>2.42</v>
          </cell>
          <cell r="M4281">
            <v>2.7499999999999998E-3</v>
          </cell>
          <cell r="N4281">
            <v>0</v>
          </cell>
          <cell r="O4281">
            <v>8.2500000000000004E-3</v>
          </cell>
          <cell r="P4281">
            <v>0</v>
          </cell>
          <cell r="Q4281">
            <v>4.895E-2</v>
          </cell>
          <cell r="R4281">
            <v>0</v>
          </cell>
          <cell r="S4281">
            <v>0</v>
          </cell>
          <cell r="T4281">
            <v>45.459699999999998</v>
          </cell>
          <cell r="U4281">
            <v>0</v>
          </cell>
          <cell r="V4281">
            <v>0</v>
          </cell>
          <cell r="W4281">
            <v>0</v>
          </cell>
          <cell r="X4281">
            <v>5.5000000000000003E-4</v>
          </cell>
          <cell r="Y4281">
            <v>0</v>
          </cell>
          <cell r="Z4281">
            <v>0</v>
          </cell>
          <cell r="AA4281">
            <v>0</v>
          </cell>
          <cell r="AB4281">
            <v>0</v>
          </cell>
        </row>
        <row r="4282">
          <cell r="A4282">
            <v>63223020</v>
          </cell>
          <cell r="B4282" t="str">
            <v>Strawberries, raw</v>
          </cell>
          <cell r="I4282">
            <v>140</v>
          </cell>
          <cell r="J4282">
            <v>44.8</v>
          </cell>
          <cell r="K4282">
            <v>0.32</v>
          </cell>
          <cell r="L4282">
            <v>2.8</v>
          </cell>
          <cell r="M4282">
            <v>2.1000000000000001E-2</v>
          </cell>
          <cell r="N4282">
            <v>0</v>
          </cell>
          <cell r="O4282">
            <v>2.24E-2</v>
          </cell>
          <cell r="P4282">
            <v>0</v>
          </cell>
          <cell r="Q4282">
            <v>0.217</v>
          </cell>
          <cell r="R4282">
            <v>0</v>
          </cell>
          <cell r="S4282">
            <v>0</v>
          </cell>
          <cell r="T4282">
            <v>140</v>
          </cell>
          <cell r="U4282">
            <v>0</v>
          </cell>
          <cell r="V4282">
            <v>0</v>
          </cell>
          <cell r="W4282">
            <v>0</v>
          </cell>
          <cell r="X4282">
            <v>1.4E-3</v>
          </cell>
          <cell r="Y4282">
            <v>0</v>
          </cell>
          <cell r="Z4282">
            <v>0</v>
          </cell>
          <cell r="AA4282">
            <v>0</v>
          </cell>
          <cell r="AB4282">
            <v>0</v>
          </cell>
        </row>
        <row r="4283">
          <cell r="A4283">
            <v>63223030</v>
          </cell>
          <cell r="B4283" t="str">
            <v>Strawberries, raw, with sugar</v>
          </cell>
          <cell r="I4283">
            <v>140</v>
          </cell>
          <cell r="J4283">
            <v>69.650000000000006</v>
          </cell>
          <cell r="K4283">
            <v>0.49750000000000005</v>
          </cell>
          <cell r="L4283">
            <v>2.66</v>
          </cell>
          <cell r="M4283">
            <v>1.9949999999999999E-2</v>
          </cell>
          <cell r="N4283">
            <v>0</v>
          </cell>
          <cell r="O4283">
            <v>2.1350000000000001E-2</v>
          </cell>
          <cell r="P4283">
            <v>0</v>
          </cell>
          <cell r="Q4283">
            <v>0.20615</v>
          </cell>
          <cell r="R4283">
            <v>0</v>
          </cell>
          <cell r="S4283">
            <v>0</v>
          </cell>
          <cell r="T4283">
            <v>133</v>
          </cell>
          <cell r="U4283">
            <v>0</v>
          </cell>
          <cell r="V4283">
            <v>0</v>
          </cell>
          <cell r="W4283">
            <v>0</v>
          </cell>
          <cell r="X4283">
            <v>1.4E-3</v>
          </cell>
          <cell r="Y4283">
            <v>0</v>
          </cell>
          <cell r="Z4283">
            <v>0</v>
          </cell>
          <cell r="AA4283">
            <v>0</v>
          </cell>
          <cell r="AB4283">
            <v>0</v>
          </cell>
        </row>
        <row r="4284">
          <cell r="A4284">
            <v>63223110</v>
          </cell>
          <cell r="B4284" t="str">
            <v>Strawberries, cooked or canned, NS as to sweetened or unsweetened; sweetened, NS as to type of sweetener</v>
          </cell>
          <cell r="I4284">
            <v>140</v>
          </cell>
          <cell r="J4284">
            <v>128.80000000000001</v>
          </cell>
          <cell r="K4284">
            <v>0.92</v>
          </cell>
          <cell r="L4284">
            <v>2.38</v>
          </cell>
          <cell r="M4284">
            <v>1.9599999999999999E-2</v>
          </cell>
          <cell r="N4284">
            <v>0</v>
          </cell>
          <cell r="O4284">
            <v>1.8200000000000001E-2</v>
          </cell>
          <cell r="P4284">
            <v>0</v>
          </cell>
          <cell r="Q4284">
            <v>0.18060000000000001</v>
          </cell>
          <cell r="R4284">
            <v>0</v>
          </cell>
          <cell r="S4284">
            <v>0</v>
          </cell>
          <cell r="T4284">
            <v>91</v>
          </cell>
          <cell r="U4284">
            <v>0</v>
          </cell>
          <cell r="V4284">
            <v>0</v>
          </cell>
          <cell r="W4284">
            <v>0</v>
          </cell>
          <cell r="X4284">
            <v>5.5999999999999999E-3</v>
          </cell>
          <cell r="Y4284">
            <v>0</v>
          </cell>
          <cell r="Z4284">
            <v>0</v>
          </cell>
          <cell r="AA4284">
            <v>0</v>
          </cell>
          <cell r="AB4284">
            <v>0</v>
          </cell>
        </row>
        <row r="4285">
          <cell r="A4285">
            <v>63223120</v>
          </cell>
          <cell r="B4285" t="str">
            <v>Strawberries, cooked or canned, unsweetened, water pack</v>
          </cell>
          <cell r="I4285">
            <v>140</v>
          </cell>
          <cell r="J4285">
            <v>30.015999999999998</v>
          </cell>
          <cell r="K4285">
            <v>0.21439999999999998</v>
          </cell>
          <cell r="L4285">
            <v>1.8759999999999999</v>
          </cell>
          <cell r="M4285">
            <v>1.4069999999999999E-2</v>
          </cell>
          <cell r="N4285">
            <v>0</v>
          </cell>
          <cell r="O4285">
            <v>1.6393999999999999E-2</v>
          </cell>
          <cell r="P4285">
            <v>0</v>
          </cell>
          <cell r="Q4285">
            <v>0.14538999999999999</v>
          </cell>
          <cell r="R4285">
            <v>0</v>
          </cell>
          <cell r="S4285">
            <v>0</v>
          </cell>
          <cell r="T4285">
            <v>93.8</v>
          </cell>
          <cell r="U4285">
            <v>0</v>
          </cell>
          <cell r="V4285">
            <v>0</v>
          </cell>
          <cell r="W4285">
            <v>0</v>
          </cell>
          <cell r="X4285">
            <v>2.3240000000000001E-3</v>
          </cell>
          <cell r="Y4285">
            <v>0</v>
          </cell>
          <cell r="Z4285">
            <v>0</v>
          </cell>
          <cell r="AA4285">
            <v>0</v>
          </cell>
          <cell r="AB4285">
            <v>0</v>
          </cell>
        </row>
        <row r="4286">
          <cell r="A4286">
            <v>63223600</v>
          </cell>
          <cell r="B4286" t="str">
            <v>Strawberries, frozen, NS as to added sweetener</v>
          </cell>
          <cell r="I4286">
            <v>140</v>
          </cell>
          <cell r="J4286">
            <v>134.4</v>
          </cell>
          <cell r="K4286">
            <v>0.96000000000000008</v>
          </cell>
          <cell r="L4286">
            <v>2.66</v>
          </cell>
          <cell r="M4286">
            <v>9.7999999999999997E-3</v>
          </cell>
          <cell r="N4286">
            <v>0</v>
          </cell>
          <cell r="O4286">
            <v>1.54E-2</v>
          </cell>
          <cell r="P4286">
            <v>0</v>
          </cell>
          <cell r="Q4286">
            <v>8.9599999999999999E-2</v>
          </cell>
          <cell r="R4286">
            <v>0</v>
          </cell>
          <cell r="S4286">
            <v>0</v>
          </cell>
          <cell r="T4286">
            <v>112.7756</v>
          </cell>
          <cell r="U4286">
            <v>0</v>
          </cell>
          <cell r="V4286">
            <v>0</v>
          </cell>
          <cell r="W4286">
            <v>0</v>
          </cell>
          <cell r="X4286">
            <v>4.1999999999999997E-3</v>
          </cell>
          <cell r="Y4286">
            <v>0</v>
          </cell>
          <cell r="Z4286">
            <v>0</v>
          </cell>
          <cell r="AA4286">
            <v>0</v>
          </cell>
          <cell r="AB4286">
            <v>0</v>
          </cell>
        </row>
        <row r="4287">
          <cell r="A4287">
            <v>63223610</v>
          </cell>
          <cell r="B4287" t="str">
            <v>Strawberries, frozen, unsweetened</v>
          </cell>
          <cell r="I4287">
            <v>140</v>
          </cell>
          <cell r="J4287">
            <v>49</v>
          </cell>
          <cell r="K4287">
            <v>0.35</v>
          </cell>
          <cell r="L4287">
            <v>2.94</v>
          </cell>
          <cell r="M4287">
            <v>8.3999999999999995E-3</v>
          </cell>
          <cell r="N4287">
            <v>0</v>
          </cell>
          <cell r="O4287">
            <v>2.24E-2</v>
          </cell>
          <cell r="P4287">
            <v>0</v>
          </cell>
          <cell r="Q4287">
            <v>7.5600000000000001E-2</v>
          </cell>
          <cell r="R4287">
            <v>0</v>
          </cell>
          <cell r="S4287">
            <v>0</v>
          </cell>
          <cell r="T4287">
            <v>140</v>
          </cell>
          <cell r="U4287">
            <v>0</v>
          </cell>
          <cell r="V4287">
            <v>0</v>
          </cell>
          <cell r="W4287">
            <v>0</v>
          </cell>
          <cell r="X4287">
            <v>2.8E-3</v>
          </cell>
          <cell r="Y4287">
            <v>0</v>
          </cell>
          <cell r="Z4287">
            <v>0</v>
          </cell>
          <cell r="AA4287">
            <v>0</v>
          </cell>
          <cell r="AB4287">
            <v>0</v>
          </cell>
        </row>
        <row r="4288">
          <cell r="A4288">
            <v>63223620</v>
          </cell>
          <cell r="B4288" t="str">
            <v>Strawberries, frozen, with sugar</v>
          </cell>
          <cell r="I4288">
            <v>140</v>
          </cell>
          <cell r="J4288">
            <v>134.4</v>
          </cell>
          <cell r="K4288">
            <v>0.96000000000000008</v>
          </cell>
          <cell r="L4288">
            <v>2.66</v>
          </cell>
          <cell r="M4288">
            <v>9.7999999999999997E-3</v>
          </cell>
          <cell r="N4288">
            <v>0</v>
          </cell>
          <cell r="O4288">
            <v>1.54E-2</v>
          </cell>
          <cell r="P4288">
            <v>0</v>
          </cell>
          <cell r="Q4288">
            <v>8.9599999999999999E-2</v>
          </cell>
          <cell r="R4288">
            <v>0</v>
          </cell>
          <cell r="S4288">
            <v>0</v>
          </cell>
          <cell r="T4288">
            <v>112.7756</v>
          </cell>
          <cell r="U4288">
            <v>0</v>
          </cell>
          <cell r="V4288">
            <v>0</v>
          </cell>
          <cell r="W4288">
            <v>0</v>
          </cell>
          <cell r="X4288">
            <v>4.1999999999999997E-3</v>
          </cell>
          <cell r="Y4288">
            <v>0</v>
          </cell>
          <cell r="Z4288">
            <v>0</v>
          </cell>
          <cell r="AA4288">
            <v>0</v>
          </cell>
          <cell r="AB4288">
            <v>0</v>
          </cell>
        </row>
        <row r="4289">
          <cell r="A4289">
            <v>63301010</v>
          </cell>
          <cell r="B4289" t="str">
            <v>Ambrosia</v>
          </cell>
          <cell r="I4289">
            <v>70</v>
          </cell>
          <cell r="J4289">
            <v>49.222315999999999</v>
          </cell>
          <cell r="K4289">
            <v>0.7031759428571428</v>
          </cell>
          <cell r="L4289">
            <v>1.4485474</v>
          </cell>
          <cell r="M4289">
            <v>0.52354970000000001</v>
          </cell>
          <cell r="N4289">
            <v>0</v>
          </cell>
          <cell r="O4289">
            <v>1.6708400000000002E-2</v>
          </cell>
          <cell r="P4289">
            <v>0.15157889999999999</v>
          </cell>
          <cell r="Q4289">
            <v>3.2939799999999998E-2</v>
          </cell>
          <cell r="R4289">
            <v>0</v>
          </cell>
          <cell r="S4289">
            <v>0</v>
          </cell>
          <cell r="T4289">
            <v>67.052632000000003</v>
          </cell>
          <cell r="U4289">
            <v>0</v>
          </cell>
          <cell r="V4289">
            <v>0</v>
          </cell>
          <cell r="W4289">
            <v>0</v>
          </cell>
          <cell r="X4289">
            <v>7.0169999999999998E-4</v>
          </cell>
          <cell r="Y4289">
            <v>0</v>
          </cell>
          <cell r="Z4289">
            <v>0</v>
          </cell>
          <cell r="AA4289">
            <v>0</v>
          </cell>
          <cell r="AB4289">
            <v>0</v>
          </cell>
        </row>
        <row r="4290">
          <cell r="A4290">
            <v>63311000</v>
          </cell>
          <cell r="B4290" t="str">
            <v>Fruit salad, fresh or raw,  excluding citrus fruits, no dressing</v>
          </cell>
          <cell r="I4290">
            <v>140</v>
          </cell>
          <cell r="J4290">
            <v>74.493313999999998</v>
          </cell>
          <cell r="K4290">
            <v>0.53209509999999993</v>
          </cell>
          <cell r="L4290">
            <v>2.4492718999999998</v>
          </cell>
          <cell r="M4290">
            <v>7.9594100000000001E-2</v>
          </cell>
          <cell r="N4290">
            <v>0</v>
          </cell>
          <cell r="O4290">
            <v>1.3425899999999999E-2</v>
          </cell>
          <cell r="P4290">
            <v>0</v>
          </cell>
          <cell r="Q4290">
            <v>0.12561929999999999</v>
          </cell>
          <cell r="R4290">
            <v>0</v>
          </cell>
          <cell r="S4290">
            <v>0</v>
          </cell>
          <cell r="T4290">
            <v>140</v>
          </cell>
          <cell r="U4290">
            <v>0</v>
          </cell>
          <cell r="V4290">
            <v>0</v>
          </cell>
          <cell r="W4290">
            <v>0</v>
          </cell>
          <cell r="X4290">
            <v>4.0252999999999999E-3</v>
          </cell>
          <cell r="Y4290">
            <v>0</v>
          </cell>
          <cell r="Z4290">
            <v>0</v>
          </cell>
          <cell r="AA4290">
            <v>0</v>
          </cell>
          <cell r="AB4290">
            <v>0</v>
          </cell>
        </row>
        <row r="4291">
          <cell r="A4291">
            <v>63311050</v>
          </cell>
          <cell r="B4291" t="str">
            <v>Fruit salad, fresh or raw, including citrus fruits, no dressing</v>
          </cell>
          <cell r="I4291">
            <v>140</v>
          </cell>
          <cell r="J4291">
            <v>72.658850999999999</v>
          </cell>
          <cell r="K4291">
            <v>0.51899179285714281</v>
          </cell>
          <cell r="L4291">
            <v>2.6414537</v>
          </cell>
          <cell r="M4291">
            <v>6.7229499999999998E-2</v>
          </cell>
          <cell r="N4291">
            <v>0</v>
          </cell>
          <cell r="O4291">
            <v>2.2409800000000001E-2</v>
          </cell>
          <cell r="P4291">
            <v>0</v>
          </cell>
          <cell r="Q4291">
            <v>0.1064968</v>
          </cell>
          <cell r="R4291">
            <v>0</v>
          </cell>
          <cell r="S4291">
            <v>0</v>
          </cell>
          <cell r="T4291">
            <v>140</v>
          </cell>
          <cell r="U4291">
            <v>0</v>
          </cell>
          <cell r="V4291">
            <v>0</v>
          </cell>
          <cell r="W4291">
            <v>0</v>
          </cell>
          <cell r="X4291">
            <v>3.1757999999999999E-3</v>
          </cell>
          <cell r="Y4291">
            <v>0</v>
          </cell>
          <cell r="Z4291">
            <v>0</v>
          </cell>
          <cell r="AA4291">
            <v>0</v>
          </cell>
          <cell r="AB4291">
            <v>0</v>
          </cell>
        </row>
        <row r="4292">
          <cell r="A4292">
            <v>63311080</v>
          </cell>
          <cell r="B4292" t="str">
            <v>Fruit cocktail or mix, frozen</v>
          </cell>
          <cell r="I4292">
            <v>140</v>
          </cell>
          <cell r="J4292">
            <v>68.25</v>
          </cell>
          <cell r="K4292">
            <v>0.48749999999999999</v>
          </cell>
          <cell r="L4292">
            <v>3.4790000000000001</v>
          </cell>
          <cell r="M4292">
            <v>4.9979999999999997E-2</v>
          </cell>
          <cell r="N4292">
            <v>0</v>
          </cell>
          <cell r="O4292">
            <v>1.771E-2</v>
          </cell>
          <cell r="P4292">
            <v>0</v>
          </cell>
          <cell r="Q4292">
            <v>0.16702</v>
          </cell>
          <cell r="R4292">
            <v>0</v>
          </cell>
          <cell r="S4292">
            <v>0</v>
          </cell>
          <cell r="T4292">
            <v>140</v>
          </cell>
          <cell r="U4292">
            <v>0</v>
          </cell>
          <cell r="V4292">
            <v>0</v>
          </cell>
          <cell r="W4292">
            <v>0</v>
          </cell>
          <cell r="X4292">
            <v>6.3000000000000003E-4</v>
          </cell>
          <cell r="Y4292">
            <v>0</v>
          </cell>
          <cell r="Z4292">
            <v>0</v>
          </cell>
          <cell r="AA4292">
            <v>0</v>
          </cell>
          <cell r="AB4292">
            <v>0</v>
          </cell>
        </row>
        <row r="4293">
          <cell r="A4293">
            <v>63311110</v>
          </cell>
          <cell r="B4293" t="str">
            <v>Fruit cocktail, cooked or canned, NS as to sweetened or unsweetened; sweetened, NS as to type of sweetener</v>
          </cell>
          <cell r="I4293">
            <v>140</v>
          </cell>
          <cell r="J4293">
            <v>79.8</v>
          </cell>
          <cell r="K4293">
            <v>0.56999999999999995</v>
          </cell>
          <cell r="L4293">
            <v>1.4</v>
          </cell>
          <cell r="M4293">
            <v>1.4E-2</v>
          </cell>
          <cell r="N4293">
            <v>0</v>
          </cell>
          <cell r="O4293">
            <v>8.3999999999999995E-3</v>
          </cell>
          <cell r="P4293">
            <v>0</v>
          </cell>
          <cell r="Q4293">
            <v>4.3400000000000001E-2</v>
          </cell>
          <cell r="R4293">
            <v>0</v>
          </cell>
          <cell r="S4293">
            <v>0</v>
          </cell>
          <cell r="T4293">
            <v>91</v>
          </cell>
          <cell r="U4293">
            <v>0</v>
          </cell>
          <cell r="V4293">
            <v>0</v>
          </cell>
          <cell r="W4293">
            <v>0</v>
          </cell>
          <cell r="X4293">
            <v>8.3999999999999995E-3</v>
          </cell>
          <cell r="Y4293">
            <v>0</v>
          </cell>
          <cell r="Z4293">
            <v>0</v>
          </cell>
          <cell r="AA4293">
            <v>0</v>
          </cell>
          <cell r="AB4293">
            <v>0</v>
          </cell>
        </row>
        <row r="4294">
          <cell r="A4294">
            <v>63311120</v>
          </cell>
          <cell r="B4294" t="str">
            <v>Fruit cocktail, cooked or canned, unsweetened, water pack</v>
          </cell>
          <cell r="I4294">
            <v>140</v>
          </cell>
          <cell r="J4294">
            <v>44.8</v>
          </cell>
          <cell r="K4294">
            <v>0.32</v>
          </cell>
          <cell r="L4294">
            <v>1.4</v>
          </cell>
          <cell r="M4294">
            <v>8.3999999999999995E-3</v>
          </cell>
          <cell r="N4294">
            <v>0</v>
          </cell>
          <cell r="O4294">
            <v>7.0000000000000001E-3</v>
          </cell>
          <cell r="P4294">
            <v>0</v>
          </cell>
          <cell r="Q4294">
            <v>2.8000000000000001E-2</v>
          </cell>
          <cell r="R4294">
            <v>0</v>
          </cell>
          <cell r="S4294">
            <v>0</v>
          </cell>
          <cell r="T4294">
            <v>91</v>
          </cell>
          <cell r="U4294">
            <v>0</v>
          </cell>
          <cell r="V4294">
            <v>0</v>
          </cell>
          <cell r="W4294">
            <v>0</v>
          </cell>
          <cell r="X4294">
            <v>5.5999999999999999E-3</v>
          </cell>
          <cell r="Y4294">
            <v>0</v>
          </cell>
          <cell r="Z4294">
            <v>0</v>
          </cell>
          <cell r="AA4294">
            <v>0</v>
          </cell>
          <cell r="AB4294">
            <v>0</v>
          </cell>
        </row>
        <row r="4295">
          <cell r="A4295">
            <v>63311130</v>
          </cell>
          <cell r="B4295" t="str">
            <v>Fruit cocktail, cooked or canned, in heavy syrup</v>
          </cell>
          <cell r="I4295">
            <v>140</v>
          </cell>
          <cell r="J4295">
            <v>102.2</v>
          </cell>
          <cell r="K4295">
            <v>0.73</v>
          </cell>
          <cell r="L4295">
            <v>1.4</v>
          </cell>
          <cell r="M4295">
            <v>1.4E-2</v>
          </cell>
          <cell r="N4295">
            <v>0</v>
          </cell>
          <cell r="O4295">
            <v>8.3999999999999995E-3</v>
          </cell>
          <cell r="P4295">
            <v>0</v>
          </cell>
          <cell r="Q4295">
            <v>4.3400000000000001E-2</v>
          </cell>
          <cell r="R4295">
            <v>0</v>
          </cell>
          <cell r="S4295">
            <v>0</v>
          </cell>
          <cell r="T4295">
            <v>91</v>
          </cell>
          <cell r="U4295">
            <v>0</v>
          </cell>
          <cell r="V4295">
            <v>0</v>
          </cell>
          <cell r="W4295">
            <v>0</v>
          </cell>
          <cell r="X4295">
            <v>8.3999999999999995E-3</v>
          </cell>
          <cell r="Y4295">
            <v>0</v>
          </cell>
          <cell r="Z4295">
            <v>0</v>
          </cell>
          <cell r="AA4295">
            <v>0</v>
          </cell>
          <cell r="AB4295">
            <v>0</v>
          </cell>
        </row>
        <row r="4296">
          <cell r="A4296">
            <v>63311140</v>
          </cell>
          <cell r="B4296" t="str">
            <v>Fruit cocktail, cooked or canned, in light syrup</v>
          </cell>
          <cell r="I4296">
            <v>140</v>
          </cell>
          <cell r="J4296">
            <v>79.8</v>
          </cell>
          <cell r="K4296">
            <v>0.56999999999999995</v>
          </cell>
          <cell r="L4296">
            <v>1.4</v>
          </cell>
          <cell r="M4296">
            <v>1.4E-2</v>
          </cell>
          <cell r="N4296">
            <v>0</v>
          </cell>
          <cell r="O4296">
            <v>8.3999999999999995E-3</v>
          </cell>
          <cell r="P4296">
            <v>0</v>
          </cell>
          <cell r="Q4296">
            <v>4.3400000000000001E-2</v>
          </cell>
          <cell r="R4296">
            <v>0</v>
          </cell>
          <cell r="S4296">
            <v>0</v>
          </cell>
          <cell r="T4296">
            <v>91</v>
          </cell>
          <cell r="U4296">
            <v>0</v>
          </cell>
          <cell r="V4296">
            <v>0</v>
          </cell>
          <cell r="W4296">
            <v>0</v>
          </cell>
          <cell r="X4296">
            <v>8.3999999999999995E-3</v>
          </cell>
          <cell r="Y4296">
            <v>0</v>
          </cell>
          <cell r="Z4296">
            <v>0</v>
          </cell>
          <cell r="AA4296">
            <v>0</v>
          </cell>
          <cell r="AB4296">
            <v>0</v>
          </cell>
        </row>
        <row r="4297">
          <cell r="A4297">
            <v>63311150</v>
          </cell>
          <cell r="B4297" t="str">
            <v>Fruit cocktail, cooked or canned, drained solids</v>
          </cell>
          <cell r="I4297">
            <v>140</v>
          </cell>
          <cell r="J4297">
            <v>98</v>
          </cell>
          <cell r="K4297">
            <v>0.7</v>
          </cell>
          <cell r="L4297">
            <v>2.38</v>
          </cell>
          <cell r="M4297">
            <v>1.9599999999999999E-2</v>
          </cell>
          <cell r="N4297">
            <v>0</v>
          </cell>
          <cell r="O4297">
            <v>9.7999999999999997E-3</v>
          </cell>
          <cell r="P4297">
            <v>0</v>
          </cell>
          <cell r="Q4297">
            <v>5.8799999999999998E-2</v>
          </cell>
          <cell r="R4297">
            <v>0</v>
          </cell>
          <cell r="S4297">
            <v>0</v>
          </cell>
          <cell r="T4297">
            <v>126.5348</v>
          </cell>
          <cell r="U4297">
            <v>0</v>
          </cell>
          <cell r="V4297">
            <v>0</v>
          </cell>
          <cell r="W4297">
            <v>0</v>
          </cell>
          <cell r="X4297">
            <v>8.3999999999999995E-3</v>
          </cell>
          <cell r="Y4297">
            <v>0</v>
          </cell>
          <cell r="Z4297">
            <v>0</v>
          </cell>
          <cell r="AA4297">
            <v>0</v>
          </cell>
          <cell r="AB4297">
            <v>0</v>
          </cell>
        </row>
        <row r="4298">
          <cell r="A4298">
            <v>63311170</v>
          </cell>
          <cell r="B4298" t="str">
            <v>Fruit cocktail, cooked or canned, juice pack</v>
          </cell>
          <cell r="I4298">
            <v>140</v>
          </cell>
          <cell r="J4298">
            <v>64.400000000000006</v>
          </cell>
          <cell r="K4298">
            <v>0.46</v>
          </cell>
          <cell r="L4298">
            <v>1.4</v>
          </cell>
          <cell r="M4298">
            <v>1.4E-3</v>
          </cell>
          <cell r="N4298">
            <v>0</v>
          </cell>
          <cell r="O4298">
            <v>1.12E-2</v>
          </cell>
          <cell r="P4298">
            <v>0</v>
          </cell>
          <cell r="Q4298">
            <v>5.5999999999999999E-3</v>
          </cell>
          <cell r="R4298">
            <v>0</v>
          </cell>
          <cell r="S4298">
            <v>0</v>
          </cell>
          <cell r="T4298">
            <v>140</v>
          </cell>
          <cell r="U4298">
            <v>0</v>
          </cell>
          <cell r="V4298">
            <v>0</v>
          </cell>
          <cell r="W4298">
            <v>0</v>
          </cell>
          <cell r="X4298">
            <v>5.5999999999999999E-3</v>
          </cell>
          <cell r="Y4298">
            <v>0</v>
          </cell>
          <cell r="Z4298">
            <v>0</v>
          </cell>
          <cell r="AA4298">
            <v>0</v>
          </cell>
          <cell r="AB4298">
            <v>0</v>
          </cell>
        </row>
        <row r="4299">
          <cell r="A4299">
            <v>63320100</v>
          </cell>
          <cell r="B4299" t="str">
            <v>Fruit salad, Puerto Rican style (Mixture includes bananas, papayas, oranges, etc.) (Ensalada de frutas tropicales)</v>
          </cell>
          <cell r="I4299">
            <v>100</v>
          </cell>
          <cell r="J4299">
            <v>57.944076000000003</v>
          </cell>
          <cell r="K4299">
            <v>0.57944076</v>
          </cell>
          <cell r="L4299">
            <v>1.4675256000000001</v>
          </cell>
          <cell r="M4299">
            <v>5.0397600000000001E-2</v>
          </cell>
          <cell r="N4299">
            <v>0</v>
          </cell>
          <cell r="O4299">
            <v>1.5726500000000001E-2</v>
          </cell>
          <cell r="P4299">
            <v>0</v>
          </cell>
          <cell r="Q4299">
            <v>5.7549799999999998E-2</v>
          </cell>
          <cell r="R4299">
            <v>0</v>
          </cell>
          <cell r="S4299">
            <v>0</v>
          </cell>
          <cell r="T4299">
            <v>92.383628000000002</v>
          </cell>
          <cell r="U4299">
            <v>0</v>
          </cell>
          <cell r="V4299">
            <v>0</v>
          </cell>
          <cell r="W4299">
            <v>0</v>
          </cell>
          <cell r="X4299">
            <v>4.2315E-3</v>
          </cell>
          <cell r="Y4299">
            <v>0</v>
          </cell>
          <cell r="Z4299">
            <v>0</v>
          </cell>
          <cell r="AA4299">
            <v>0</v>
          </cell>
          <cell r="AB4299">
            <v>0</v>
          </cell>
        </row>
        <row r="4300">
          <cell r="A4300">
            <v>63401010</v>
          </cell>
          <cell r="B4300" t="str">
            <v>Apple salad with dressing</v>
          </cell>
          <cell r="I4300">
            <v>100</v>
          </cell>
          <cell r="J4300">
            <v>171.87173999999999</v>
          </cell>
          <cell r="K4300">
            <v>1.7187173999999998</v>
          </cell>
          <cell r="L4300">
            <v>1.6253120999999999</v>
          </cell>
          <cell r="M4300">
            <v>1.9064291</v>
          </cell>
          <cell r="N4300">
            <v>0</v>
          </cell>
          <cell r="O4300">
            <v>1.5516500000000001E-2</v>
          </cell>
          <cell r="P4300">
            <v>0.45629969999999997</v>
          </cell>
          <cell r="Q4300">
            <v>8.8352190999999998</v>
          </cell>
          <cell r="R4300">
            <v>0</v>
          </cell>
          <cell r="S4300">
            <v>0</v>
          </cell>
          <cell r="T4300">
            <v>73.893303000000003</v>
          </cell>
          <cell r="U4300">
            <v>6.8104427000000003</v>
          </cell>
          <cell r="V4300">
            <v>0</v>
          </cell>
          <cell r="W4300">
            <v>0</v>
          </cell>
          <cell r="X4300">
            <v>8.5779800000000003E-2</v>
          </cell>
          <cell r="Y4300">
            <v>6.8059307999999996</v>
          </cell>
          <cell r="Z4300">
            <v>0</v>
          </cell>
          <cell r="AA4300">
            <v>0</v>
          </cell>
          <cell r="AB4300">
            <v>2.3348500000000001E-2</v>
          </cell>
        </row>
        <row r="4301">
          <cell r="A4301">
            <v>63401060</v>
          </cell>
          <cell r="B4301" t="str">
            <v>Apple, candied</v>
          </cell>
          <cell r="I4301">
            <v>140</v>
          </cell>
          <cell r="J4301">
            <v>180.83662000000001</v>
          </cell>
          <cell r="K4301">
            <v>1.291690142857143</v>
          </cell>
          <cell r="L4301">
            <v>2.5742791</v>
          </cell>
          <cell r="M4301">
            <v>0.84063529999999997</v>
          </cell>
          <cell r="N4301">
            <v>0</v>
          </cell>
          <cell r="O4301">
            <v>5.1614599999999997E-2</v>
          </cell>
          <cell r="P4301">
            <v>0</v>
          </cell>
          <cell r="Q4301">
            <v>1.193344</v>
          </cell>
          <cell r="R4301">
            <v>0</v>
          </cell>
          <cell r="S4301">
            <v>0</v>
          </cell>
          <cell r="T4301">
            <v>107.26163</v>
          </cell>
          <cell r="U4301">
            <v>0</v>
          </cell>
          <cell r="V4301">
            <v>0</v>
          </cell>
          <cell r="W4301">
            <v>0</v>
          </cell>
          <cell r="X4301">
            <v>8.1281599999999996E-2</v>
          </cell>
          <cell r="Y4301">
            <v>0</v>
          </cell>
          <cell r="Z4301">
            <v>0</v>
          </cell>
          <cell r="AA4301">
            <v>0</v>
          </cell>
          <cell r="AB4301">
            <v>8.8119100000000006E-2</v>
          </cell>
        </row>
        <row r="4302">
          <cell r="A4302">
            <v>63401070</v>
          </cell>
          <cell r="B4302" t="str">
            <v>Fruit, chocolate covered</v>
          </cell>
          <cell r="I4302">
            <v>140</v>
          </cell>
          <cell r="J4302">
            <v>181.14783</v>
          </cell>
          <cell r="K4302">
            <v>1.2939130714285714</v>
          </cell>
          <cell r="L4302">
            <v>2.1913043000000001</v>
          </cell>
          <cell r="M4302">
            <v>5.4186087000000001</v>
          </cell>
          <cell r="N4302">
            <v>0</v>
          </cell>
          <cell r="O4302">
            <v>2.7269600000000001E-2</v>
          </cell>
          <cell r="P4302">
            <v>1.7956521999999999</v>
          </cell>
          <cell r="Q4302">
            <v>0.46382610000000002</v>
          </cell>
          <cell r="R4302">
            <v>0</v>
          </cell>
          <cell r="S4302">
            <v>0</v>
          </cell>
          <cell r="T4302">
            <v>109.56522</v>
          </cell>
          <cell r="U4302">
            <v>0</v>
          </cell>
          <cell r="V4302">
            <v>0</v>
          </cell>
          <cell r="W4302">
            <v>0</v>
          </cell>
          <cell r="X4302">
            <v>4.4435000000000004E-3</v>
          </cell>
          <cell r="Y4302">
            <v>0</v>
          </cell>
          <cell r="Z4302">
            <v>0</v>
          </cell>
          <cell r="AA4302">
            <v>0</v>
          </cell>
          <cell r="AB4302">
            <v>1.1436184</v>
          </cell>
        </row>
        <row r="4303">
          <cell r="A4303">
            <v>63402045</v>
          </cell>
          <cell r="B4303" t="str">
            <v>Fried dwarf banana, Puerto Rican style</v>
          </cell>
          <cell r="I4303">
            <v>140</v>
          </cell>
          <cell r="J4303">
            <v>216.34550999999999</v>
          </cell>
          <cell r="K4303">
            <v>1.5453250714285713</v>
          </cell>
          <cell r="L4303">
            <v>3.3405545000000001</v>
          </cell>
          <cell r="M4303">
            <v>1.7190477</v>
          </cell>
          <cell r="N4303">
            <v>0</v>
          </cell>
          <cell r="O4303">
            <v>6.4529000000000001E-3</v>
          </cell>
          <cell r="P4303">
            <v>0</v>
          </cell>
          <cell r="Q4303">
            <v>4.8376720999999998</v>
          </cell>
          <cell r="R4303">
            <v>0</v>
          </cell>
          <cell r="S4303">
            <v>0</v>
          </cell>
          <cell r="T4303">
            <v>128.48285999999999</v>
          </cell>
          <cell r="U4303">
            <v>0</v>
          </cell>
          <cell r="V4303">
            <v>0</v>
          </cell>
          <cell r="W4303">
            <v>0</v>
          </cell>
          <cell r="X4303">
            <v>1.3424000000000001E-3</v>
          </cell>
          <cell r="Y4303">
            <v>0</v>
          </cell>
          <cell r="Z4303">
            <v>0</v>
          </cell>
          <cell r="AA4303">
            <v>0</v>
          </cell>
          <cell r="AB4303">
            <v>4.0811E-2</v>
          </cell>
        </row>
        <row r="4304">
          <cell r="A4304">
            <v>63402950</v>
          </cell>
          <cell r="B4304" t="str">
            <v>Fruit salad, excluding citrus fruits, with salad dressing or mayonnaise</v>
          </cell>
          <cell r="I4304">
            <v>100</v>
          </cell>
          <cell r="J4304">
            <v>234.51822999999999</v>
          </cell>
          <cell r="K4304">
            <v>2.3451822999999998</v>
          </cell>
          <cell r="L4304">
            <v>1.358962</v>
          </cell>
          <cell r="M4304">
            <v>2.8648150000000001</v>
          </cell>
          <cell r="N4304">
            <v>0</v>
          </cell>
          <cell r="O4304">
            <v>1.6227100000000001E-2</v>
          </cell>
          <cell r="P4304">
            <v>0.54423460000000001</v>
          </cell>
          <cell r="Q4304">
            <v>12.749748</v>
          </cell>
          <cell r="R4304">
            <v>0</v>
          </cell>
          <cell r="S4304">
            <v>0</v>
          </cell>
          <cell r="T4304">
            <v>72.023090999999994</v>
          </cell>
          <cell r="U4304">
            <v>0</v>
          </cell>
          <cell r="V4304">
            <v>0</v>
          </cell>
          <cell r="W4304">
            <v>0</v>
          </cell>
          <cell r="X4304">
            <v>0.1270802</v>
          </cell>
          <cell r="Y4304">
            <v>8.1175235000000008</v>
          </cell>
          <cell r="Z4304">
            <v>0</v>
          </cell>
          <cell r="AA4304">
            <v>0</v>
          </cell>
          <cell r="AB4304">
            <v>3.7127E-2</v>
          </cell>
        </row>
        <row r="4305">
          <cell r="A4305">
            <v>63402960</v>
          </cell>
          <cell r="B4305" t="str">
            <v>Fruit salad, excluding citrus fruits, with whipped cream</v>
          </cell>
          <cell r="I4305">
            <v>100</v>
          </cell>
          <cell r="J4305">
            <v>149.76032000000001</v>
          </cell>
          <cell r="K4305">
            <v>1.4976032000000001</v>
          </cell>
          <cell r="L4305">
            <v>1.4945105999999999</v>
          </cell>
          <cell r="M4305">
            <v>3.3268658000000002</v>
          </cell>
          <cell r="N4305">
            <v>0</v>
          </cell>
          <cell r="O4305">
            <v>2.39265E-2</v>
          </cell>
          <cell r="P4305">
            <v>0.59851889999999996</v>
          </cell>
          <cell r="Q4305">
            <v>4.4499016999999998</v>
          </cell>
          <cell r="R4305">
            <v>0</v>
          </cell>
          <cell r="S4305">
            <v>0</v>
          </cell>
          <cell r="T4305">
            <v>79.206976999999995</v>
          </cell>
          <cell r="U4305">
            <v>0</v>
          </cell>
          <cell r="V4305">
            <v>0</v>
          </cell>
          <cell r="W4305">
            <v>0</v>
          </cell>
          <cell r="X4305">
            <v>4.3099000000000002E-3</v>
          </cell>
          <cell r="Y4305">
            <v>8.9271995999999998</v>
          </cell>
          <cell r="Z4305">
            <v>0</v>
          </cell>
          <cell r="AA4305">
            <v>0</v>
          </cell>
          <cell r="AB4305">
            <v>0.14658840000000001</v>
          </cell>
        </row>
        <row r="4306">
          <cell r="A4306">
            <v>63402970</v>
          </cell>
          <cell r="B4306" t="str">
            <v>Fruit salad, excluding citrus fruits, with nondairy whipped topping</v>
          </cell>
          <cell r="I4306">
            <v>100</v>
          </cell>
          <cell r="J4306">
            <v>139.25745000000001</v>
          </cell>
          <cell r="K4306">
            <v>1.3925745</v>
          </cell>
          <cell r="L4306">
            <v>1.5635611</v>
          </cell>
          <cell r="M4306">
            <v>2.3191668999999999</v>
          </cell>
          <cell r="N4306">
            <v>0</v>
          </cell>
          <cell r="O4306">
            <v>1.7309999999999999E-2</v>
          </cell>
          <cell r="P4306">
            <v>0.62617210000000001</v>
          </cell>
          <cell r="Q4306">
            <v>4.5014250999999996</v>
          </cell>
          <cell r="R4306">
            <v>0</v>
          </cell>
          <cell r="S4306">
            <v>0</v>
          </cell>
          <cell r="T4306">
            <v>82.866560000000007</v>
          </cell>
          <cell r="U4306">
            <v>0</v>
          </cell>
          <cell r="V4306">
            <v>0</v>
          </cell>
          <cell r="W4306">
            <v>0</v>
          </cell>
          <cell r="X4306">
            <v>3.1058000000000001E-3</v>
          </cell>
          <cell r="Y4306">
            <v>9.3396609999999995</v>
          </cell>
          <cell r="Z4306">
            <v>0</v>
          </cell>
          <cell r="AA4306">
            <v>0</v>
          </cell>
          <cell r="AB4306">
            <v>3.4123899999999999E-2</v>
          </cell>
        </row>
        <row r="4307">
          <cell r="A4307">
            <v>63402980</v>
          </cell>
          <cell r="B4307" t="str">
            <v>Fruit salad, excluding citrus fruits, with marshmallows</v>
          </cell>
          <cell r="I4307">
            <v>100</v>
          </cell>
          <cell r="J4307">
            <v>239.41233</v>
          </cell>
          <cell r="K4307">
            <v>2.3941233</v>
          </cell>
          <cell r="L4307">
            <v>1.2792931999999999</v>
          </cell>
          <cell r="M4307">
            <v>2.7001491</v>
          </cell>
          <cell r="N4307">
            <v>0</v>
          </cell>
          <cell r="O4307">
            <v>1.5451700000000001E-2</v>
          </cell>
          <cell r="P4307">
            <v>0.51819150000000003</v>
          </cell>
          <cell r="Q4307">
            <v>12.005053</v>
          </cell>
          <cell r="R4307">
            <v>0</v>
          </cell>
          <cell r="S4307">
            <v>0</v>
          </cell>
          <cell r="T4307">
            <v>67.800758000000002</v>
          </cell>
          <cell r="U4307">
            <v>0</v>
          </cell>
          <cell r="V4307">
            <v>0</v>
          </cell>
          <cell r="W4307">
            <v>0</v>
          </cell>
          <cell r="X4307">
            <v>0.1243201</v>
          </cell>
          <cell r="Y4307">
            <v>7.6416360000000001</v>
          </cell>
          <cell r="Z4307">
            <v>0</v>
          </cell>
          <cell r="AA4307">
            <v>0</v>
          </cell>
          <cell r="AB4307">
            <v>3.49504E-2</v>
          </cell>
        </row>
        <row r="4308">
          <cell r="A4308">
            <v>63402990</v>
          </cell>
          <cell r="B4308" t="str">
            <v>Fruit salad, including citrus fruits, with pudding</v>
          </cell>
          <cell r="I4308">
            <v>100</v>
          </cell>
          <cell r="J4308">
            <v>123.34684</v>
          </cell>
          <cell r="K4308">
            <v>1.2334684</v>
          </cell>
          <cell r="L4308">
            <v>1.5426732000000001</v>
          </cell>
          <cell r="M4308">
            <v>0.73985540000000005</v>
          </cell>
          <cell r="N4308">
            <v>0</v>
          </cell>
          <cell r="O4308">
            <v>3.1233899999999998E-2</v>
          </cell>
          <cell r="P4308">
            <v>0.51473659999999999</v>
          </cell>
          <cell r="Q4308">
            <v>3.6835490000000002</v>
          </cell>
          <cell r="R4308">
            <v>0</v>
          </cell>
          <cell r="S4308">
            <v>0</v>
          </cell>
          <cell r="T4308">
            <v>70.040026999999995</v>
          </cell>
          <cell r="U4308">
            <v>0</v>
          </cell>
          <cell r="V4308">
            <v>0</v>
          </cell>
          <cell r="W4308">
            <v>0</v>
          </cell>
          <cell r="X4308">
            <v>3.23752E-2</v>
          </cell>
          <cell r="Y4308">
            <v>7.6775456999999996</v>
          </cell>
          <cell r="Z4308">
            <v>0</v>
          </cell>
          <cell r="AA4308">
            <v>0</v>
          </cell>
          <cell r="AB4308">
            <v>5.4887100000000001E-2</v>
          </cell>
        </row>
        <row r="4309">
          <cell r="A4309">
            <v>63403000</v>
          </cell>
          <cell r="B4309" t="str">
            <v>Fruit salad (excluding citrus fruits) with pudding</v>
          </cell>
          <cell r="I4309">
            <v>100</v>
          </cell>
          <cell r="J4309">
            <v>125.48814</v>
          </cell>
          <cell r="K4309">
            <v>1.2548813999999999</v>
          </cell>
          <cell r="L4309">
            <v>1.3104747000000001</v>
          </cell>
          <cell r="M4309">
            <v>0.75275749999999997</v>
          </cell>
          <cell r="N4309">
            <v>0</v>
          </cell>
          <cell r="O4309">
            <v>2.52462E-2</v>
          </cell>
          <cell r="P4309">
            <v>0.52481650000000002</v>
          </cell>
          <cell r="Q4309">
            <v>3.7584244</v>
          </cell>
          <cell r="R4309">
            <v>0</v>
          </cell>
          <cell r="S4309">
            <v>0</v>
          </cell>
          <cell r="T4309">
            <v>69.453328999999997</v>
          </cell>
          <cell r="U4309">
            <v>0</v>
          </cell>
          <cell r="V4309">
            <v>0</v>
          </cell>
          <cell r="W4309">
            <v>0</v>
          </cell>
          <cell r="X4309">
            <v>3.32246E-2</v>
          </cell>
          <cell r="Y4309">
            <v>7.8278927999999999</v>
          </cell>
          <cell r="Z4309">
            <v>0</v>
          </cell>
          <cell r="AA4309">
            <v>0</v>
          </cell>
          <cell r="AB4309">
            <v>4.9570400000000001E-2</v>
          </cell>
        </row>
        <row r="4310">
          <cell r="A4310">
            <v>63403010</v>
          </cell>
          <cell r="B4310" t="str">
            <v>Fruit salad (including citrus fruits) with salad dressing or mayonnaise</v>
          </cell>
          <cell r="I4310">
            <v>100</v>
          </cell>
          <cell r="J4310">
            <v>230.12924000000001</v>
          </cell>
          <cell r="K4310">
            <v>2.3012923999999999</v>
          </cell>
          <cell r="L4310">
            <v>1.5986157999999999</v>
          </cell>
          <cell r="M4310">
            <v>2.8094085</v>
          </cell>
          <cell r="N4310">
            <v>0</v>
          </cell>
          <cell r="O4310">
            <v>2.26115E-2</v>
          </cell>
          <cell r="P4310">
            <v>0.53340270000000001</v>
          </cell>
          <cell r="Q4310">
            <v>12.493202</v>
          </cell>
          <cell r="R4310">
            <v>0</v>
          </cell>
          <cell r="S4310">
            <v>0</v>
          </cell>
          <cell r="T4310">
            <v>72.579918000000006</v>
          </cell>
          <cell r="U4310">
            <v>0</v>
          </cell>
          <cell r="V4310">
            <v>0</v>
          </cell>
          <cell r="W4310">
            <v>0</v>
          </cell>
          <cell r="X4310">
            <v>0.1243319</v>
          </cell>
          <cell r="Y4310">
            <v>7.9559597999999996</v>
          </cell>
          <cell r="Z4310">
            <v>0</v>
          </cell>
          <cell r="AA4310">
            <v>0</v>
          </cell>
          <cell r="AB4310">
            <v>3.63881E-2</v>
          </cell>
        </row>
        <row r="4311">
          <cell r="A4311">
            <v>63403020</v>
          </cell>
          <cell r="B4311" t="str">
            <v>Fruit salad (including citrus fruit) with whipped cream</v>
          </cell>
          <cell r="I4311">
            <v>100</v>
          </cell>
          <cell r="J4311">
            <v>146.79464999999999</v>
          </cell>
          <cell r="K4311">
            <v>1.4679464999999998</v>
          </cell>
          <cell r="L4311">
            <v>1.7545853</v>
          </cell>
          <cell r="M4311">
            <v>3.2559600999999998</v>
          </cell>
          <cell r="N4311">
            <v>0</v>
          </cell>
          <cell r="O4311">
            <v>3.0765600000000001E-2</v>
          </cell>
          <cell r="P4311">
            <v>0.58544430000000003</v>
          </cell>
          <cell r="Q4311">
            <v>4.3496356</v>
          </cell>
          <cell r="R4311">
            <v>0</v>
          </cell>
          <cell r="S4311">
            <v>0</v>
          </cell>
          <cell r="T4311">
            <v>79.661199999999994</v>
          </cell>
          <cell r="U4311">
            <v>0</v>
          </cell>
          <cell r="V4311">
            <v>0</v>
          </cell>
          <cell r="W4311">
            <v>0</v>
          </cell>
          <cell r="X4311">
            <v>3.9753999999999996E-3</v>
          </cell>
          <cell r="Y4311">
            <v>8.7321854999999999</v>
          </cell>
          <cell r="Z4311">
            <v>0</v>
          </cell>
          <cell r="AA4311">
            <v>0</v>
          </cell>
          <cell r="AB4311">
            <v>0.14338619999999999</v>
          </cell>
        </row>
        <row r="4312">
          <cell r="A4312">
            <v>63403030</v>
          </cell>
          <cell r="B4312" t="str">
            <v>Fruit salad (including citrus fruits) with nondairy whipped topping</v>
          </cell>
          <cell r="I4312">
            <v>100</v>
          </cell>
          <cell r="J4312">
            <v>136.39768000000001</v>
          </cell>
          <cell r="K4312">
            <v>1.3639768000000001</v>
          </cell>
          <cell r="L4312">
            <v>1.8338011000000001</v>
          </cell>
          <cell r="M4312">
            <v>2.2680669</v>
          </cell>
          <cell r="N4312">
            <v>0</v>
          </cell>
          <cell r="O4312">
            <v>2.46089E-2</v>
          </cell>
          <cell r="P4312">
            <v>0.61187590000000003</v>
          </cell>
          <cell r="Q4312">
            <v>4.3954557999999997</v>
          </cell>
          <cell r="R4312">
            <v>0</v>
          </cell>
          <cell r="S4312">
            <v>0</v>
          </cell>
          <cell r="T4312">
            <v>83.257737000000006</v>
          </cell>
          <cell r="U4312">
            <v>0</v>
          </cell>
          <cell r="V4312">
            <v>0</v>
          </cell>
          <cell r="W4312">
            <v>0</v>
          </cell>
          <cell r="X4312">
            <v>2.7837000000000001E-3</v>
          </cell>
          <cell r="Y4312">
            <v>9.1264254000000005</v>
          </cell>
          <cell r="Z4312">
            <v>0</v>
          </cell>
          <cell r="AA4312">
            <v>0</v>
          </cell>
          <cell r="AB4312">
            <v>3.5172700000000001E-2</v>
          </cell>
        </row>
        <row r="4313">
          <cell r="A4313">
            <v>63403040</v>
          </cell>
          <cell r="B4313" t="str">
            <v>Fruit salad (including citrus fruits) with marshmallows</v>
          </cell>
          <cell r="I4313">
            <v>100</v>
          </cell>
          <cell r="J4313">
            <v>235.18401</v>
          </cell>
          <cell r="K4313">
            <v>2.3518401</v>
          </cell>
          <cell r="L4313">
            <v>1.5066554000000001</v>
          </cell>
          <cell r="M4313">
            <v>2.6510186</v>
          </cell>
          <cell r="N4313">
            <v>0</v>
          </cell>
          <cell r="O4313">
            <v>2.14834E-2</v>
          </cell>
          <cell r="P4313">
            <v>0.50847120000000001</v>
          </cell>
          <cell r="Q4313">
            <v>11.777234</v>
          </cell>
          <cell r="R4313">
            <v>0</v>
          </cell>
          <cell r="S4313">
            <v>0</v>
          </cell>
          <cell r="T4313">
            <v>68.404756000000006</v>
          </cell>
          <cell r="U4313">
            <v>0</v>
          </cell>
          <cell r="V4313">
            <v>0</v>
          </cell>
          <cell r="W4313">
            <v>0</v>
          </cell>
          <cell r="X4313">
            <v>0.1217818</v>
          </cell>
          <cell r="Y4313">
            <v>7.4982930000000003</v>
          </cell>
          <cell r="Z4313">
            <v>0</v>
          </cell>
          <cell r="AA4313">
            <v>0</v>
          </cell>
          <cell r="AB4313">
            <v>3.42948E-2</v>
          </cell>
        </row>
        <row r="4314">
          <cell r="A4314">
            <v>63403100</v>
          </cell>
          <cell r="B4314" t="str">
            <v>Fruit dessert with cream and/or pudding and nuts</v>
          </cell>
          <cell r="I4314">
            <v>140</v>
          </cell>
          <cell r="J4314">
            <v>284.84291000000002</v>
          </cell>
          <cell r="K4314">
            <v>2.0345922142857145</v>
          </cell>
          <cell r="L4314">
            <v>0.60471359999999996</v>
          </cell>
          <cell r="M4314">
            <v>7.9662306000000003</v>
          </cell>
          <cell r="N4314">
            <v>0</v>
          </cell>
          <cell r="O4314">
            <v>2.2322000000000002E-2</v>
          </cell>
          <cell r="P4314">
            <v>0.54512210000000005</v>
          </cell>
          <cell r="Q4314">
            <v>3.9788442000000002</v>
          </cell>
          <cell r="R4314">
            <v>0</v>
          </cell>
          <cell r="S4314">
            <v>0</v>
          </cell>
          <cell r="T4314">
            <v>75.589202</v>
          </cell>
          <cell r="U4314">
            <v>0</v>
          </cell>
          <cell r="V4314">
            <v>0</v>
          </cell>
          <cell r="W4314">
            <v>0</v>
          </cell>
          <cell r="X4314">
            <v>0.20696339999999999</v>
          </cell>
          <cell r="Y4314">
            <v>7.9935581000000004</v>
          </cell>
          <cell r="Z4314">
            <v>0</v>
          </cell>
          <cell r="AA4314">
            <v>0</v>
          </cell>
          <cell r="AB4314">
            <v>0.24142069999999999</v>
          </cell>
        </row>
        <row r="4315">
          <cell r="A4315">
            <v>63409010</v>
          </cell>
          <cell r="B4315" t="str">
            <v>Guacamole, NFS</v>
          </cell>
          <cell r="I4315">
            <v>30</v>
          </cell>
          <cell r="J4315">
            <v>46.646518</v>
          </cell>
          <cell r="K4315">
            <v>1.5548839333333333</v>
          </cell>
          <cell r="L4315">
            <v>1.9511605000000001</v>
          </cell>
          <cell r="M4315">
            <v>0.61712520000000004</v>
          </cell>
          <cell r="N4315">
            <v>0</v>
          </cell>
          <cell r="O4315">
            <v>3.6495E-3</v>
          </cell>
          <cell r="P4315">
            <v>0</v>
          </cell>
          <cell r="Q4315">
            <v>0.52702369999999998</v>
          </cell>
          <cell r="R4315">
            <v>0</v>
          </cell>
          <cell r="S4315">
            <v>0</v>
          </cell>
          <cell r="T4315">
            <v>0.36266920000000002</v>
          </cell>
          <cell r="U4315">
            <v>29.376208999999999</v>
          </cell>
          <cell r="V4315">
            <v>0</v>
          </cell>
          <cell r="W4315">
            <v>0</v>
          </cell>
          <cell r="X4315">
            <v>0.1032547</v>
          </cell>
          <cell r="Y4315">
            <v>0</v>
          </cell>
          <cell r="Z4315">
            <v>0</v>
          </cell>
          <cell r="AA4315">
            <v>0</v>
          </cell>
          <cell r="AB4315">
            <v>0</v>
          </cell>
        </row>
        <row r="4316">
          <cell r="A4316">
            <v>63409015</v>
          </cell>
          <cell r="B4316" t="str">
            <v>Guacamole with tomatoes</v>
          </cell>
          <cell r="I4316">
            <v>30</v>
          </cell>
          <cell r="J4316">
            <v>43.428443999999999</v>
          </cell>
          <cell r="K4316">
            <v>1.4476148</v>
          </cell>
          <cell r="L4316">
            <v>1.8270173999999999</v>
          </cell>
          <cell r="M4316">
            <v>0.56963220000000003</v>
          </cell>
          <cell r="N4316">
            <v>0</v>
          </cell>
          <cell r="O4316">
            <v>3.5988000000000001E-3</v>
          </cell>
          <cell r="P4316">
            <v>0</v>
          </cell>
          <cell r="Q4316">
            <v>0.4878477</v>
          </cell>
          <cell r="R4316">
            <v>0</v>
          </cell>
          <cell r="S4316">
            <v>0</v>
          </cell>
          <cell r="T4316">
            <v>0.33437359999999999</v>
          </cell>
          <cell r="U4316">
            <v>29.424876999999999</v>
          </cell>
          <cell r="V4316">
            <v>0</v>
          </cell>
          <cell r="W4316">
            <v>0</v>
          </cell>
          <cell r="X4316">
            <v>9.5315700000000003E-2</v>
          </cell>
          <cell r="Y4316">
            <v>0</v>
          </cell>
          <cell r="Z4316">
            <v>0</v>
          </cell>
          <cell r="AA4316">
            <v>0</v>
          </cell>
          <cell r="AB4316">
            <v>0</v>
          </cell>
        </row>
        <row r="4317">
          <cell r="A4317">
            <v>63409020</v>
          </cell>
          <cell r="B4317" t="str">
            <v>Chutney</v>
          </cell>
          <cell r="I4317">
            <v>34</v>
          </cell>
          <cell r="J4317">
            <v>25.462332</v>
          </cell>
          <cell r="K4317">
            <v>0.74889211764705887</v>
          </cell>
          <cell r="L4317">
            <v>0.36198449999999999</v>
          </cell>
          <cell r="M4317">
            <v>8.9764000000000007E-3</v>
          </cell>
          <cell r="N4317">
            <v>0</v>
          </cell>
          <cell r="O4317">
            <v>6.4817E-3</v>
          </cell>
          <cell r="P4317">
            <v>1.0698999999999999E-3</v>
          </cell>
          <cell r="Q4317">
            <v>1.8713799999999999E-2</v>
          </cell>
          <cell r="R4317">
            <v>0</v>
          </cell>
          <cell r="S4317">
            <v>0</v>
          </cell>
          <cell r="T4317">
            <v>6.7990879</v>
          </cell>
          <cell r="U4317">
            <v>19.218192999999999</v>
          </cell>
          <cell r="V4317">
            <v>0</v>
          </cell>
          <cell r="W4317">
            <v>0</v>
          </cell>
          <cell r="X4317">
            <v>4.0534800000000003E-2</v>
          </cell>
          <cell r="Y4317">
            <v>0</v>
          </cell>
          <cell r="Z4317">
            <v>0</v>
          </cell>
          <cell r="AA4317">
            <v>0</v>
          </cell>
          <cell r="AB4317">
            <v>0</v>
          </cell>
        </row>
        <row r="4318">
          <cell r="A4318">
            <v>63415100</v>
          </cell>
          <cell r="B4318" t="str">
            <v>Soup, fruit</v>
          </cell>
          <cell r="I4318">
            <v>245</v>
          </cell>
          <cell r="J4318">
            <v>177.12777</v>
          </cell>
          <cell r="K4318">
            <v>0.72297048979591838</v>
          </cell>
          <cell r="L4318">
            <v>2.529026</v>
          </cell>
          <cell r="M4318">
            <v>1.70423E-2</v>
          </cell>
          <cell r="N4318">
            <v>0</v>
          </cell>
          <cell r="O4318">
            <v>2.6554299999999999E-2</v>
          </cell>
          <cell r="P4318">
            <v>3.9817199999999997E-2</v>
          </cell>
          <cell r="Q4318">
            <v>2.48285E-2</v>
          </cell>
          <cell r="R4318">
            <v>0</v>
          </cell>
          <cell r="S4318">
            <v>0</v>
          </cell>
          <cell r="T4318">
            <v>82.758874000000006</v>
          </cell>
          <cell r="U4318">
            <v>0</v>
          </cell>
          <cell r="V4318">
            <v>0</v>
          </cell>
          <cell r="W4318">
            <v>0</v>
          </cell>
          <cell r="X4318">
            <v>1.01727E-2</v>
          </cell>
          <cell r="Y4318">
            <v>0</v>
          </cell>
          <cell r="Z4318">
            <v>0</v>
          </cell>
          <cell r="AA4318">
            <v>0</v>
          </cell>
          <cell r="AB4318">
            <v>0</v>
          </cell>
        </row>
        <row r="4319">
          <cell r="A4319">
            <v>63420110</v>
          </cell>
          <cell r="B4319" t="str">
            <v>Fruit juice bar, frozen, flavor other than orange</v>
          </cell>
          <cell r="I4319">
            <v>85</v>
          </cell>
          <cell r="J4319">
            <v>73.95</v>
          </cell>
          <cell r="K4319">
            <v>0.87</v>
          </cell>
          <cell r="L4319">
            <v>0.85</v>
          </cell>
          <cell r="M4319">
            <v>0</v>
          </cell>
          <cell r="N4319">
            <v>0</v>
          </cell>
          <cell r="O4319">
            <v>4.2500000000000003E-3</v>
          </cell>
          <cell r="P4319">
            <v>0</v>
          </cell>
          <cell r="Q4319">
            <v>2.5499999999999998E-2</v>
          </cell>
          <cell r="R4319">
            <v>0</v>
          </cell>
          <cell r="S4319">
            <v>0</v>
          </cell>
          <cell r="T4319">
            <v>7.14</v>
          </cell>
          <cell r="U4319">
            <v>0</v>
          </cell>
          <cell r="V4319">
            <v>0</v>
          </cell>
          <cell r="W4319">
            <v>0</v>
          </cell>
          <cell r="X4319">
            <v>3.3999999999999998E-3</v>
          </cell>
          <cell r="Y4319">
            <v>0</v>
          </cell>
          <cell r="Z4319">
            <v>0</v>
          </cell>
          <cell r="AA4319">
            <v>0</v>
          </cell>
          <cell r="AB4319">
            <v>6.9953999999999997E-3</v>
          </cell>
        </row>
        <row r="4320">
          <cell r="A4320">
            <v>63430100</v>
          </cell>
          <cell r="B4320" t="str">
            <v>Sorbet, fruit, noncitrus flavor</v>
          </cell>
          <cell r="I4320">
            <v>85</v>
          </cell>
          <cell r="J4320">
            <v>73.95</v>
          </cell>
          <cell r="K4320">
            <v>0.87</v>
          </cell>
          <cell r="L4320">
            <v>0.85</v>
          </cell>
          <cell r="M4320">
            <v>0</v>
          </cell>
          <cell r="N4320">
            <v>0</v>
          </cell>
          <cell r="O4320">
            <v>4.2500000000000003E-3</v>
          </cell>
          <cell r="P4320">
            <v>0</v>
          </cell>
          <cell r="Q4320">
            <v>2.5499999999999998E-2</v>
          </cell>
          <cell r="R4320">
            <v>0</v>
          </cell>
          <cell r="S4320">
            <v>0</v>
          </cell>
          <cell r="T4320">
            <v>7.14</v>
          </cell>
          <cell r="U4320">
            <v>0</v>
          </cell>
          <cell r="V4320">
            <v>0</v>
          </cell>
          <cell r="W4320">
            <v>0</v>
          </cell>
          <cell r="X4320">
            <v>3.3999999999999998E-3</v>
          </cell>
          <cell r="Y4320">
            <v>0</v>
          </cell>
          <cell r="Z4320">
            <v>0</v>
          </cell>
          <cell r="AA4320">
            <v>0</v>
          </cell>
          <cell r="AB4320">
            <v>7.5786999999999998E-3</v>
          </cell>
        </row>
        <row r="4321">
          <cell r="A4321">
            <v>64100100</v>
          </cell>
          <cell r="B4321" t="str">
            <v>Fruit juice, NFS</v>
          </cell>
          <cell r="I4321">
            <v>240</v>
          </cell>
          <cell r="J4321">
            <v>120</v>
          </cell>
          <cell r="K4321">
            <v>0.5</v>
          </cell>
          <cell r="L4321">
            <v>0.48</v>
          </cell>
          <cell r="M4321">
            <v>5.5199999999999999E-2</v>
          </cell>
          <cell r="N4321">
            <v>0</v>
          </cell>
          <cell r="O4321">
            <v>2.64E-2</v>
          </cell>
          <cell r="P4321">
            <v>0</v>
          </cell>
          <cell r="Q4321">
            <v>7.6799999999999993E-2</v>
          </cell>
          <cell r="R4321">
            <v>0</v>
          </cell>
          <cell r="S4321">
            <v>0</v>
          </cell>
          <cell r="T4321">
            <v>240</v>
          </cell>
          <cell r="U4321">
            <v>0</v>
          </cell>
          <cell r="V4321">
            <v>0</v>
          </cell>
          <cell r="W4321">
            <v>0</v>
          </cell>
          <cell r="X4321">
            <v>1.6799999999999999E-2</v>
          </cell>
          <cell r="Y4321">
            <v>0</v>
          </cell>
          <cell r="Z4321">
            <v>0</v>
          </cell>
          <cell r="AA4321">
            <v>0</v>
          </cell>
          <cell r="AB4321">
            <v>0</v>
          </cell>
        </row>
        <row r="4322">
          <cell r="A4322">
            <v>64100110</v>
          </cell>
          <cell r="B4322" t="str">
            <v>Fruit juice blend, 100% juice</v>
          </cell>
          <cell r="I4322">
            <v>240</v>
          </cell>
          <cell r="J4322">
            <v>120</v>
          </cell>
          <cell r="K4322">
            <v>0.5</v>
          </cell>
          <cell r="L4322">
            <v>0.48</v>
          </cell>
          <cell r="M4322">
            <v>5.5199999999999999E-2</v>
          </cell>
          <cell r="N4322">
            <v>0</v>
          </cell>
          <cell r="O4322">
            <v>2.64E-2</v>
          </cell>
          <cell r="P4322">
            <v>0</v>
          </cell>
          <cell r="Q4322">
            <v>7.6799999999999993E-2</v>
          </cell>
          <cell r="R4322">
            <v>0</v>
          </cell>
          <cell r="S4322">
            <v>0</v>
          </cell>
          <cell r="T4322">
            <v>240</v>
          </cell>
          <cell r="U4322">
            <v>0</v>
          </cell>
          <cell r="V4322">
            <v>0</v>
          </cell>
          <cell r="W4322">
            <v>0</v>
          </cell>
          <cell r="X4322">
            <v>1.6799999999999999E-2</v>
          </cell>
          <cell r="Y4322">
            <v>0</v>
          </cell>
          <cell r="Z4322">
            <v>0</v>
          </cell>
          <cell r="AA4322">
            <v>0</v>
          </cell>
          <cell r="AB4322">
            <v>0</v>
          </cell>
        </row>
        <row r="4323">
          <cell r="A4323">
            <v>64100200</v>
          </cell>
          <cell r="B4323" t="str">
            <v>Cranberry juice blend, 100% juice</v>
          </cell>
          <cell r="I4323">
            <v>240</v>
          </cell>
          <cell r="J4323">
            <v>120</v>
          </cell>
          <cell r="K4323">
            <v>0.5</v>
          </cell>
          <cell r="L4323">
            <v>0.48</v>
          </cell>
          <cell r="M4323">
            <v>5.5199999999999999E-2</v>
          </cell>
          <cell r="N4323">
            <v>0</v>
          </cell>
          <cell r="O4323">
            <v>2.64E-2</v>
          </cell>
          <cell r="P4323">
            <v>0</v>
          </cell>
          <cell r="Q4323">
            <v>7.6799999999999993E-2</v>
          </cell>
          <cell r="R4323">
            <v>0</v>
          </cell>
          <cell r="S4323">
            <v>0</v>
          </cell>
          <cell r="T4323">
            <v>240</v>
          </cell>
          <cell r="U4323">
            <v>0</v>
          </cell>
          <cell r="V4323">
            <v>0</v>
          </cell>
          <cell r="W4323">
            <v>0</v>
          </cell>
          <cell r="X4323">
            <v>1.6799999999999999E-2</v>
          </cell>
          <cell r="Y4323">
            <v>0</v>
          </cell>
          <cell r="Z4323">
            <v>0</v>
          </cell>
          <cell r="AA4323">
            <v>0</v>
          </cell>
          <cell r="AB4323">
            <v>0</v>
          </cell>
        </row>
        <row r="4324">
          <cell r="A4324">
            <v>64100220</v>
          </cell>
          <cell r="B4324" t="str">
            <v>Cranberry juice blend, 100% juice, with calcium added</v>
          </cell>
          <cell r="I4324">
            <v>240</v>
          </cell>
          <cell r="J4324">
            <v>108</v>
          </cell>
          <cell r="K4324">
            <v>0.45</v>
          </cell>
          <cell r="L4324">
            <v>0.24</v>
          </cell>
          <cell r="M4324">
            <v>4.7999999999999996E-3</v>
          </cell>
          <cell r="N4324">
            <v>0</v>
          </cell>
          <cell r="O4324">
            <v>4.5600000000000002E-2</v>
          </cell>
          <cell r="P4324">
            <v>0</v>
          </cell>
          <cell r="Q4324">
            <v>4.7999999999999996E-3</v>
          </cell>
          <cell r="R4324">
            <v>0</v>
          </cell>
          <cell r="S4324">
            <v>0</v>
          </cell>
          <cell r="T4324">
            <v>240</v>
          </cell>
          <cell r="U4324">
            <v>0</v>
          </cell>
          <cell r="V4324">
            <v>0</v>
          </cell>
          <cell r="W4324">
            <v>0</v>
          </cell>
          <cell r="X4324">
            <v>1.44E-2</v>
          </cell>
          <cell r="Y4324">
            <v>0</v>
          </cell>
          <cell r="Z4324">
            <v>0</v>
          </cell>
          <cell r="AA4324">
            <v>0</v>
          </cell>
          <cell r="AB4324">
            <v>0</v>
          </cell>
        </row>
        <row r="4325">
          <cell r="A4325">
            <v>64101010</v>
          </cell>
          <cell r="B4325" t="str">
            <v>Apple cider</v>
          </cell>
          <cell r="I4325">
            <v>240</v>
          </cell>
          <cell r="J4325">
            <v>110.4</v>
          </cell>
          <cell r="K4325">
            <v>0.46</v>
          </cell>
          <cell r="L4325">
            <v>0.48</v>
          </cell>
          <cell r="M4325">
            <v>5.28E-2</v>
          </cell>
          <cell r="N4325">
            <v>0</v>
          </cell>
          <cell r="O4325">
            <v>1.9199999999999998E-2</v>
          </cell>
          <cell r="P4325">
            <v>0</v>
          </cell>
          <cell r="Q4325">
            <v>9.3600000000000003E-2</v>
          </cell>
          <cell r="R4325">
            <v>0</v>
          </cell>
          <cell r="S4325">
            <v>0</v>
          </cell>
          <cell r="T4325">
            <v>240</v>
          </cell>
          <cell r="U4325">
            <v>0</v>
          </cell>
          <cell r="V4325">
            <v>0</v>
          </cell>
          <cell r="W4325">
            <v>0</v>
          </cell>
          <cell r="X4325">
            <v>9.5999999999999992E-3</v>
          </cell>
          <cell r="Y4325">
            <v>0</v>
          </cell>
          <cell r="Z4325">
            <v>0</v>
          </cell>
          <cell r="AA4325">
            <v>0</v>
          </cell>
          <cell r="AB4325">
            <v>0</v>
          </cell>
        </row>
        <row r="4326">
          <cell r="A4326">
            <v>64104010</v>
          </cell>
          <cell r="B4326" t="str">
            <v>Apple juice, 100%</v>
          </cell>
          <cell r="I4326">
            <v>240</v>
          </cell>
          <cell r="J4326">
            <v>110.4</v>
          </cell>
          <cell r="K4326">
            <v>0.46</v>
          </cell>
          <cell r="L4326">
            <v>0.48</v>
          </cell>
          <cell r="M4326">
            <v>5.28E-2</v>
          </cell>
          <cell r="N4326">
            <v>0</v>
          </cell>
          <cell r="O4326">
            <v>1.9199999999999998E-2</v>
          </cell>
          <cell r="P4326">
            <v>0</v>
          </cell>
          <cell r="Q4326">
            <v>9.3600000000000003E-2</v>
          </cell>
          <cell r="R4326">
            <v>0</v>
          </cell>
          <cell r="S4326">
            <v>0</v>
          </cell>
          <cell r="T4326">
            <v>240</v>
          </cell>
          <cell r="U4326">
            <v>0</v>
          </cell>
          <cell r="V4326">
            <v>0</v>
          </cell>
          <cell r="W4326">
            <v>0</v>
          </cell>
          <cell r="X4326">
            <v>9.5999999999999992E-3</v>
          </cell>
          <cell r="Y4326">
            <v>0</v>
          </cell>
          <cell r="Z4326">
            <v>0</v>
          </cell>
          <cell r="AA4326">
            <v>0</v>
          </cell>
          <cell r="AB4326">
            <v>0</v>
          </cell>
        </row>
        <row r="4327">
          <cell r="A4327">
            <v>64104030</v>
          </cell>
          <cell r="B4327" t="str">
            <v>Apple juice, 100%, with calcium added</v>
          </cell>
          <cell r="I4327">
            <v>240</v>
          </cell>
          <cell r="J4327">
            <v>115.2</v>
          </cell>
          <cell r="K4327">
            <v>0.48000000000000004</v>
          </cell>
          <cell r="L4327">
            <v>0.72</v>
          </cell>
          <cell r="M4327">
            <v>6.9599999999999995E-2</v>
          </cell>
          <cell r="N4327">
            <v>0</v>
          </cell>
          <cell r="O4327">
            <v>0.16800000000000001</v>
          </cell>
          <cell r="P4327">
            <v>0</v>
          </cell>
          <cell r="Q4327">
            <v>0.12239999999999999</v>
          </cell>
          <cell r="R4327">
            <v>0</v>
          </cell>
          <cell r="S4327">
            <v>0</v>
          </cell>
          <cell r="T4327">
            <v>240</v>
          </cell>
          <cell r="U4327">
            <v>0</v>
          </cell>
          <cell r="V4327">
            <v>0</v>
          </cell>
          <cell r="W4327">
            <v>0</v>
          </cell>
          <cell r="X4327">
            <v>1.2E-2</v>
          </cell>
          <cell r="Y4327">
            <v>0</v>
          </cell>
          <cell r="Z4327">
            <v>0</v>
          </cell>
          <cell r="AA4327">
            <v>0</v>
          </cell>
          <cell r="AB4327">
            <v>0</v>
          </cell>
        </row>
        <row r="4328">
          <cell r="A4328">
            <v>64104600</v>
          </cell>
          <cell r="B4328" t="str">
            <v>Blackberry juice, 100%</v>
          </cell>
          <cell r="I4328">
            <v>240</v>
          </cell>
          <cell r="J4328">
            <v>91.2</v>
          </cell>
          <cell r="K4328">
            <v>0.38</v>
          </cell>
          <cell r="L4328">
            <v>0.24</v>
          </cell>
          <cell r="M4328">
            <v>4.3200000000000002E-2</v>
          </cell>
          <cell r="N4328">
            <v>0</v>
          </cell>
          <cell r="O4328">
            <v>2.8799999999999999E-2</v>
          </cell>
          <cell r="P4328">
            <v>0</v>
          </cell>
          <cell r="Q4328">
            <v>0.8256</v>
          </cell>
          <cell r="R4328">
            <v>0</v>
          </cell>
          <cell r="S4328">
            <v>0</v>
          </cell>
          <cell r="T4328">
            <v>240</v>
          </cell>
          <cell r="U4328">
            <v>0</v>
          </cell>
          <cell r="V4328">
            <v>0</v>
          </cell>
          <cell r="W4328">
            <v>0</v>
          </cell>
          <cell r="X4328">
            <v>2.3999999999999998E-3</v>
          </cell>
          <cell r="Y4328">
            <v>0</v>
          </cell>
          <cell r="Z4328">
            <v>0</v>
          </cell>
          <cell r="AA4328">
            <v>0</v>
          </cell>
          <cell r="AB4328">
            <v>0</v>
          </cell>
        </row>
        <row r="4329">
          <cell r="A4329">
            <v>64105400</v>
          </cell>
          <cell r="B4329" t="str">
            <v>Cranberry juice, 100%, not a blend</v>
          </cell>
          <cell r="I4329">
            <v>240</v>
          </cell>
          <cell r="J4329">
            <v>110.4</v>
          </cell>
          <cell r="K4329">
            <v>0.46</v>
          </cell>
          <cell r="L4329">
            <v>0.24</v>
          </cell>
          <cell r="M4329">
            <v>2.4E-2</v>
          </cell>
          <cell r="N4329">
            <v>0</v>
          </cell>
          <cell r="O4329">
            <v>1.9199999999999998E-2</v>
          </cell>
          <cell r="P4329">
            <v>0</v>
          </cell>
          <cell r="Q4329">
            <v>0.16800000000000001</v>
          </cell>
          <cell r="R4329">
            <v>0</v>
          </cell>
          <cell r="S4329">
            <v>0</v>
          </cell>
          <cell r="T4329">
            <v>240</v>
          </cell>
          <cell r="U4329">
            <v>0</v>
          </cell>
          <cell r="V4329">
            <v>0</v>
          </cell>
          <cell r="W4329">
            <v>0</v>
          </cell>
          <cell r="X4329">
            <v>4.7999999999999996E-3</v>
          </cell>
          <cell r="Y4329">
            <v>0</v>
          </cell>
          <cell r="Z4329">
            <v>0</v>
          </cell>
          <cell r="AA4329">
            <v>0</v>
          </cell>
          <cell r="AB4329">
            <v>0</v>
          </cell>
        </row>
        <row r="4330">
          <cell r="A4330">
            <v>64116020</v>
          </cell>
          <cell r="B4330" t="str">
            <v>Grape juice, 100%</v>
          </cell>
          <cell r="I4330">
            <v>240</v>
          </cell>
          <cell r="J4330">
            <v>144</v>
          </cell>
          <cell r="K4330">
            <v>0.6</v>
          </cell>
          <cell r="L4330">
            <v>0.48</v>
          </cell>
          <cell r="M4330">
            <v>0.06</v>
          </cell>
          <cell r="N4330">
            <v>0</v>
          </cell>
          <cell r="O4330">
            <v>2.64E-2</v>
          </cell>
          <cell r="P4330">
            <v>0</v>
          </cell>
          <cell r="Q4330">
            <v>5.28E-2</v>
          </cell>
          <cell r="R4330">
            <v>0</v>
          </cell>
          <cell r="S4330">
            <v>0</v>
          </cell>
          <cell r="T4330">
            <v>240</v>
          </cell>
          <cell r="U4330">
            <v>0</v>
          </cell>
          <cell r="V4330">
            <v>0</v>
          </cell>
          <cell r="W4330">
            <v>0</v>
          </cell>
          <cell r="X4330">
            <v>1.2E-2</v>
          </cell>
          <cell r="Y4330">
            <v>0</v>
          </cell>
          <cell r="Z4330">
            <v>0</v>
          </cell>
          <cell r="AA4330">
            <v>0</v>
          </cell>
          <cell r="AB4330">
            <v>0</v>
          </cell>
        </row>
        <row r="4331">
          <cell r="A4331">
            <v>64116060</v>
          </cell>
          <cell r="B4331" t="str">
            <v>Grape juice, 100%, with calcium added</v>
          </cell>
          <cell r="I4331">
            <v>240</v>
          </cell>
          <cell r="J4331">
            <v>148.80000000000001</v>
          </cell>
          <cell r="K4331">
            <v>0.62</v>
          </cell>
          <cell r="L4331">
            <v>0.48</v>
          </cell>
          <cell r="M4331">
            <v>0.06</v>
          </cell>
          <cell r="N4331">
            <v>0</v>
          </cell>
          <cell r="O4331">
            <v>0.1008</v>
          </cell>
          <cell r="P4331">
            <v>0</v>
          </cell>
          <cell r="Q4331">
            <v>5.28E-2</v>
          </cell>
          <cell r="R4331">
            <v>0</v>
          </cell>
          <cell r="S4331">
            <v>0</v>
          </cell>
          <cell r="T4331">
            <v>240</v>
          </cell>
          <cell r="U4331">
            <v>0</v>
          </cell>
          <cell r="V4331">
            <v>0</v>
          </cell>
          <cell r="W4331">
            <v>0</v>
          </cell>
          <cell r="X4331">
            <v>1.2E-2</v>
          </cell>
          <cell r="Y4331">
            <v>0</v>
          </cell>
          <cell r="Z4331">
            <v>0</v>
          </cell>
          <cell r="AA4331">
            <v>0</v>
          </cell>
          <cell r="AB4331">
            <v>0</v>
          </cell>
        </row>
        <row r="4332">
          <cell r="A4332">
            <v>64120010</v>
          </cell>
          <cell r="B4332" t="str">
            <v>Papaya juice, 100%</v>
          </cell>
          <cell r="I4332">
            <v>240</v>
          </cell>
          <cell r="J4332">
            <v>136.80000000000001</v>
          </cell>
          <cell r="K4332">
            <v>0.57000000000000006</v>
          </cell>
          <cell r="L4332">
            <v>1.44</v>
          </cell>
          <cell r="M4332">
            <v>0.1128</v>
          </cell>
          <cell r="N4332">
            <v>0</v>
          </cell>
          <cell r="O4332">
            <v>2.4E-2</v>
          </cell>
          <cell r="P4332">
            <v>0</v>
          </cell>
          <cell r="Q4332">
            <v>8.4000000000000005E-2</v>
          </cell>
          <cell r="R4332">
            <v>0</v>
          </cell>
          <cell r="S4332">
            <v>0</v>
          </cell>
          <cell r="T4332">
            <v>96</v>
          </cell>
          <cell r="U4332">
            <v>0</v>
          </cell>
          <cell r="V4332">
            <v>0</v>
          </cell>
          <cell r="W4332">
            <v>0</v>
          </cell>
          <cell r="X4332">
            <v>1.2E-2</v>
          </cell>
          <cell r="Y4332">
            <v>0</v>
          </cell>
          <cell r="Z4332">
            <v>0</v>
          </cell>
          <cell r="AA4332">
            <v>0</v>
          </cell>
          <cell r="AB4332">
            <v>0</v>
          </cell>
        </row>
        <row r="4333">
          <cell r="A4333">
            <v>64121000</v>
          </cell>
          <cell r="B4333" t="str">
            <v>Passion fruit juice, 100%</v>
          </cell>
          <cell r="I4333">
            <v>240</v>
          </cell>
          <cell r="J4333">
            <v>122.4</v>
          </cell>
          <cell r="K4333">
            <v>0.51</v>
          </cell>
          <cell r="L4333">
            <v>0.48</v>
          </cell>
          <cell r="M4333">
            <v>9.5999999999999992E-3</v>
          </cell>
          <cell r="N4333">
            <v>0</v>
          </cell>
          <cell r="O4333">
            <v>9.5999999999999992E-3</v>
          </cell>
          <cell r="P4333">
            <v>0</v>
          </cell>
          <cell r="Q4333">
            <v>6.9599999999999995E-2</v>
          </cell>
          <cell r="R4333">
            <v>0</v>
          </cell>
          <cell r="S4333">
            <v>0</v>
          </cell>
          <cell r="T4333">
            <v>240</v>
          </cell>
          <cell r="U4333">
            <v>0</v>
          </cell>
          <cell r="V4333">
            <v>0</v>
          </cell>
          <cell r="W4333">
            <v>0</v>
          </cell>
          <cell r="X4333">
            <v>1.44E-2</v>
          </cell>
          <cell r="Y4333">
            <v>0</v>
          </cell>
          <cell r="Z4333">
            <v>0</v>
          </cell>
          <cell r="AA4333">
            <v>0</v>
          </cell>
          <cell r="AB4333">
            <v>0</v>
          </cell>
        </row>
        <row r="4334">
          <cell r="A4334">
            <v>64124020</v>
          </cell>
          <cell r="B4334" t="str">
            <v>Pineapple juice, 100%</v>
          </cell>
          <cell r="I4334">
            <v>240</v>
          </cell>
          <cell r="J4334">
            <v>127.2</v>
          </cell>
          <cell r="K4334">
            <v>0.53</v>
          </cell>
          <cell r="L4334">
            <v>0.48</v>
          </cell>
          <cell r="M4334">
            <v>1.9199999999999998E-2</v>
          </cell>
          <cell r="N4334">
            <v>0</v>
          </cell>
          <cell r="O4334">
            <v>3.1199999999999999E-2</v>
          </cell>
          <cell r="P4334">
            <v>0</v>
          </cell>
          <cell r="Q4334">
            <v>0.1008</v>
          </cell>
          <cell r="R4334">
            <v>0</v>
          </cell>
          <cell r="S4334">
            <v>0</v>
          </cell>
          <cell r="T4334">
            <v>240</v>
          </cell>
          <cell r="U4334">
            <v>0</v>
          </cell>
          <cell r="V4334">
            <v>0</v>
          </cell>
          <cell r="W4334">
            <v>0</v>
          </cell>
          <cell r="X4334">
            <v>4.7999999999999996E-3</v>
          </cell>
          <cell r="Y4334">
            <v>0</v>
          </cell>
          <cell r="Z4334">
            <v>0</v>
          </cell>
          <cell r="AA4334">
            <v>0</v>
          </cell>
          <cell r="AB4334">
            <v>0</v>
          </cell>
        </row>
        <row r="4335">
          <cell r="A4335">
            <v>64126000</v>
          </cell>
          <cell r="B4335" t="str">
            <v>Pomegranate juice, 100%</v>
          </cell>
          <cell r="I4335">
            <v>240</v>
          </cell>
          <cell r="J4335">
            <v>129.6</v>
          </cell>
          <cell r="K4335">
            <v>0.53999999999999992</v>
          </cell>
          <cell r="L4335">
            <v>0.24</v>
          </cell>
          <cell r="M4335">
            <v>0.18479999999999999</v>
          </cell>
          <cell r="N4335">
            <v>0</v>
          </cell>
          <cell r="O4335">
            <v>2.64E-2</v>
          </cell>
          <cell r="P4335">
            <v>0</v>
          </cell>
          <cell r="Q4335">
            <v>0.12</v>
          </cell>
          <cell r="R4335">
            <v>0</v>
          </cell>
          <cell r="S4335">
            <v>0</v>
          </cell>
          <cell r="T4335">
            <v>240</v>
          </cell>
          <cell r="U4335">
            <v>0</v>
          </cell>
          <cell r="V4335">
            <v>0</v>
          </cell>
          <cell r="W4335">
            <v>0</v>
          </cell>
          <cell r="X4335">
            <v>2.1600000000000001E-2</v>
          </cell>
          <cell r="Y4335">
            <v>0</v>
          </cell>
          <cell r="Z4335">
            <v>0</v>
          </cell>
          <cell r="AA4335">
            <v>0</v>
          </cell>
          <cell r="AB4335">
            <v>0</v>
          </cell>
        </row>
        <row r="4336">
          <cell r="A4336">
            <v>64132010</v>
          </cell>
          <cell r="B4336" t="str">
            <v>Prune juice, 100%</v>
          </cell>
          <cell r="I4336">
            <v>240</v>
          </cell>
          <cell r="J4336">
            <v>170.4</v>
          </cell>
          <cell r="K4336">
            <v>0.71000000000000008</v>
          </cell>
          <cell r="L4336">
            <v>2.4</v>
          </cell>
          <cell r="M4336">
            <v>7.1999999999999998E-3</v>
          </cell>
          <cell r="N4336">
            <v>0</v>
          </cell>
          <cell r="O4336">
            <v>2.8799999999999999E-2</v>
          </cell>
          <cell r="P4336">
            <v>0</v>
          </cell>
          <cell r="Q4336">
            <v>1.6799999999999999E-2</v>
          </cell>
          <cell r="R4336">
            <v>0</v>
          </cell>
          <cell r="S4336">
            <v>0</v>
          </cell>
          <cell r="T4336">
            <v>240</v>
          </cell>
          <cell r="U4336">
            <v>0</v>
          </cell>
          <cell r="V4336">
            <v>0</v>
          </cell>
          <cell r="W4336">
            <v>0</v>
          </cell>
          <cell r="X4336">
            <v>9.5999999999999992E-3</v>
          </cell>
          <cell r="Y4336">
            <v>0</v>
          </cell>
          <cell r="Z4336">
            <v>0</v>
          </cell>
          <cell r="AA4336">
            <v>0</v>
          </cell>
          <cell r="AB4336">
            <v>0</v>
          </cell>
        </row>
        <row r="4337">
          <cell r="A4337">
            <v>64132500</v>
          </cell>
          <cell r="B4337" t="str">
            <v>Strawberry juice, 100%</v>
          </cell>
          <cell r="I4337">
            <v>240</v>
          </cell>
          <cell r="J4337">
            <v>91.2</v>
          </cell>
          <cell r="K4337">
            <v>0.38</v>
          </cell>
          <cell r="L4337">
            <v>0.24</v>
          </cell>
          <cell r="M4337">
            <v>4.3200000000000002E-2</v>
          </cell>
          <cell r="N4337">
            <v>0</v>
          </cell>
          <cell r="O4337">
            <v>2.8799999999999999E-2</v>
          </cell>
          <cell r="P4337">
            <v>0</v>
          </cell>
          <cell r="Q4337">
            <v>0.8256</v>
          </cell>
          <cell r="R4337">
            <v>0</v>
          </cell>
          <cell r="S4337">
            <v>0</v>
          </cell>
          <cell r="T4337">
            <v>240</v>
          </cell>
          <cell r="U4337">
            <v>0</v>
          </cell>
          <cell r="V4337">
            <v>0</v>
          </cell>
          <cell r="W4337">
            <v>0</v>
          </cell>
          <cell r="X4337">
            <v>2.3999999999999998E-3</v>
          </cell>
          <cell r="Y4337">
            <v>0</v>
          </cell>
          <cell r="Z4337">
            <v>0</v>
          </cell>
          <cell r="AA4337">
            <v>0</v>
          </cell>
          <cell r="AB4337">
            <v>0</v>
          </cell>
        </row>
        <row r="4338">
          <cell r="A4338">
            <v>64133100</v>
          </cell>
          <cell r="B4338" t="str">
            <v>Watermelon juice, 100%</v>
          </cell>
          <cell r="I4338">
            <v>240</v>
          </cell>
          <cell r="J4338">
            <v>72</v>
          </cell>
          <cell r="K4338">
            <v>0.3</v>
          </cell>
          <cell r="L4338">
            <v>0.96</v>
          </cell>
          <cell r="M4338">
            <v>3.8399999999999997E-2</v>
          </cell>
          <cell r="N4338">
            <v>0</v>
          </cell>
          <cell r="O4338">
            <v>1.6799999999999999E-2</v>
          </cell>
          <cell r="P4338">
            <v>0</v>
          </cell>
          <cell r="Q4338">
            <v>0.12</v>
          </cell>
          <cell r="R4338">
            <v>0</v>
          </cell>
          <cell r="S4338">
            <v>0</v>
          </cell>
          <cell r="T4338">
            <v>240</v>
          </cell>
          <cell r="U4338">
            <v>0</v>
          </cell>
          <cell r="V4338">
            <v>0</v>
          </cell>
          <cell r="W4338">
            <v>0</v>
          </cell>
          <cell r="X4338">
            <v>2.3999999999999998E-3</v>
          </cell>
          <cell r="Y4338">
            <v>0</v>
          </cell>
          <cell r="Z4338">
            <v>0</v>
          </cell>
          <cell r="AA4338">
            <v>0</v>
          </cell>
          <cell r="AB4338">
            <v>0</v>
          </cell>
        </row>
        <row r="4339">
          <cell r="A4339">
            <v>64134000</v>
          </cell>
          <cell r="B4339" t="str">
            <v>Fruit smoothie drink, made with fruit or fruit juice only (no dairy products)</v>
          </cell>
          <cell r="I4339">
            <v>240</v>
          </cell>
          <cell r="J4339">
            <v>147.87667999999999</v>
          </cell>
          <cell r="K4339">
            <v>0.61615283333333326</v>
          </cell>
          <cell r="L4339">
            <v>2.4511957</v>
          </cell>
          <cell r="M4339">
            <v>7.9955300000000007E-2</v>
          </cell>
          <cell r="N4339">
            <v>0</v>
          </cell>
          <cell r="O4339">
            <v>1.9241999999999999E-2</v>
          </cell>
          <cell r="P4339">
            <v>0</v>
          </cell>
          <cell r="Q4339">
            <v>0.1086859</v>
          </cell>
          <cell r="R4339">
            <v>0</v>
          </cell>
          <cell r="S4339">
            <v>0</v>
          </cell>
          <cell r="T4339">
            <v>194.56632999999999</v>
          </cell>
          <cell r="U4339">
            <v>0</v>
          </cell>
          <cell r="V4339">
            <v>0</v>
          </cell>
          <cell r="W4339">
            <v>240</v>
          </cell>
          <cell r="X4339">
            <v>7.2480000000000001E-3</v>
          </cell>
          <cell r="Y4339">
            <v>0</v>
          </cell>
          <cell r="Z4339">
            <v>0</v>
          </cell>
          <cell r="AA4339">
            <v>0</v>
          </cell>
          <cell r="AB4339">
            <v>0</v>
          </cell>
        </row>
        <row r="4340">
          <cell r="A4340">
            <v>64134015</v>
          </cell>
          <cell r="B4340" t="str">
            <v>Fruit smoothie, with whole fruit, no dairy</v>
          </cell>
          <cell r="I4340">
            <v>240</v>
          </cell>
          <cell r="J4340">
            <v>127.52382</v>
          </cell>
          <cell r="K4340">
            <v>0.53134925</v>
          </cell>
          <cell r="L4340">
            <v>3.9854327999999999</v>
          </cell>
          <cell r="M4340">
            <v>9.2407199999999995E-2</v>
          </cell>
          <cell r="N4340">
            <v>0</v>
          </cell>
          <cell r="O4340">
            <v>6.4976199999999998E-2</v>
          </cell>
          <cell r="P4340">
            <v>0</v>
          </cell>
          <cell r="Q4340">
            <v>0.2412358</v>
          </cell>
          <cell r="R4340">
            <v>0</v>
          </cell>
          <cell r="S4340">
            <v>0</v>
          </cell>
          <cell r="T4340">
            <v>240</v>
          </cell>
          <cell r="U4340">
            <v>0</v>
          </cell>
          <cell r="V4340">
            <v>0</v>
          </cell>
          <cell r="W4340">
            <v>240</v>
          </cell>
          <cell r="X4340">
            <v>3.8221000000000002E-3</v>
          </cell>
          <cell r="Y4340">
            <v>0</v>
          </cell>
          <cell r="Z4340">
            <v>0</v>
          </cell>
          <cell r="AA4340">
            <v>0</v>
          </cell>
          <cell r="AB4340">
            <v>0</v>
          </cell>
        </row>
        <row r="4341">
          <cell r="A4341">
            <v>64134020</v>
          </cell>
          <cell r="B4341" t="str">
            <v>Fruit smoothie, with whole fruit, no dairy, added protein</v>
          </cell>
          <cell r="I4341">
            <v>240</v>
          </cell>
          <cell r="J4341">
            <v>179.18360000000001</v>
          </cell>
          <cell r="K4341">
            <v>0.74659833333333336</v>
          </cell>
          <cell r="L4341">
            <v>3.6983934000000001</v>
          </cell>
          <cell r="M4341">
            <v>0.2207501</v>
          </cell>
          <cell r="N4341">
            <v>0</v>
          </cell>
          <cell r="O4341">
            <v>0.14136470000000001</v>
          </cell>
          <cell r="P4341">
            <v>0.53584489999999996</v>
          </cell>
          <cell r="Q4341">
            <v>0.27554459999999997</v>
          </cell>
          <cell r="R4341">
            <v>0</v>
          </cell>
          <cell r="S4341">
            <v>0</v>
          </cell>
          <cell r="T4341">
            <v>222.71467999999999</v>
          </cell>
          <cell r="U4341">
            <v>0</v>
          </cell>
          <cell r="V4341">
            <v>0</v>
          </cell>
          <cell r="W4341">
            <v>240</v>
          </cell>
          <cell r="X4341">
            <v>3.0511900000000002E-2</v>
          </cell>
          <cell r="Y4341">
            <v>0</v>
          </cell>
          <cell r="Z4341">
            <v>0</v>
          </cell>
          <cell r="AA4341">
            <v>0</v>
          </cell>
          <cell r="AB4341">
            <v>0</v>
          </cell>
        </row>
        <row r="4342">
          <cell r="A4342">
            <v>64134030</v>
          </cell>
          <cell r="B4342" t="str">
            <v>Fruit smoothie juice drink, no dairy</v>
          </cell>
          <cell r="I4342">
            <v>240</v>
          </cell>
          <cell r="J4342">
            <v>119.46504</v>
          </cell>
          <cell r="K4342">
            <v>0.49777100000000002</v>
          </cell>
          <cell r="L4342">
            <v>2.9093423999999999</v>
          </cell>
          <cell r="M4342">
            <v>7.3695499999999997E-2</v>
          </cell>
          <cell r="N4342">
            <v>0</v>
          </cell>
          <cell r="O4342">
            <v>7.1540199999999998E-2</v>
          </cell>
          <cell r="P4342">
            <v>0</v>
          </cell>
          <cell r="Q4342">
            <v>0.10101590000000001</v>
          </cell>
          <cell r="R4342">
            <v>0</v>
          </cell>
          <cell r="S4342">
            <v>0</v>
          </cell>
          <cell r="T4342">
            <v>215.8639</v>
          </cell>
          <cell r="U4342">
            <v>0</v>
          </cell>
          <cell r="V4342">
            <v>0</v>
          </cell>
          <cell r="W4342">
            <v>240</v>
          </cell>
          <cell r="X4342">
            <v>4.5293E-3</v>
          </cell>
          <cell r="Y4342">
            <v>0</v>
          </cell>
          <cell r="Z4342">
            <v>0</v>
          </cell>
          <cell r="AA4342">
            <v>0</v>
          </cell>
          <cell r="AB4342">
            <v>0</v>
          </cell>
        </row>
        <row r="4343">
          <cell r="A4343">
            <v>64134100</v>
          </cell>
          <cell r="B4343" t="str">
            <v>Fruit smoothie, light</v>
          </cell>
          <cell r="I4343">
            <v>240</v>
          </cell>
          <cell r="J4343">
            <v>125.0087</v>
          </cell>
          <cell r="K4343">
            <v>0.52086958333333333</v>
          </cell>
          <cell r="L4343">
            <v>2.7083477999999999</v>
          </cell>
          <cell r="M4343">
            <v>0.75649299999999997</v>
          </cell>
          <cell r="N4343">
            <v>0</v>
          </cell>
          <cell r="O4343">
            <v>0.20990610000000001</v>
          </cell>
          <cell r="P4343">
            <v>0</v>
          </cell>
          <cell r="Q4343">
            <v>0.18733830000000001</v>
          </cell>
          <cell r="R4343">
            <v>0</v>
          </cell>
          <cell r="S4343">
            <v>0</v>
          </cell>
          <cell r="T4343">
            <v>110.08696</v>
          </cell>
          <cell r="U4343">
            <v>0</v>
          </cell>
          <cell r="V4343">
            <v>0</v>
          </cell>
          <cell r="W4343">
            <v>240</v>
          </cell>
          <cell r="X4343">
            <v>7.4606099999999995E-2</v>
          </cell>
          <cell r="Y4343">
            <v>0</v>
          </cell>
          <cell r="Z4343">
            <v>0</v>
          </cell>
          <cell r="AA4343">
            <v>0</v>
          </cell>
          <cell r="AB4343">
            <v>1.83924E-2</v>
          </cell>
        </row>
        <row r="4344">
          <cell r="A4344">
            <v>64134200</v>
          </cell>
          <cell r="B4344" t="str">
            <v>Fruit smoothie, bottled</v>
          </cell>
          <cell r="I4344">
            <v>240</v>
          </cell>
          <cell r="J4344">
            <v>120</v>
          </cell>
          <cell r="K4344">
            <v>0.5</v>
          </cell>
          <cell r="L4344">
            <v>1.44</v>
          </cell>
          <cell r="M4344">
            <v>0.2208</v>
          </cell>
          <cell r="N4344">
            <v>0</v>
          </cell>
          <cell r="O4344">
            <v>2.4E-2</v>
          </cell>
          <cell r="P4344">
            <v>0</v>
          </cell>
          <cell r="Q4344">
            <v>0.1056</v>
          </cell>
          <cell r="R4344">
            <v>0</v>
          </cell>
          <cell r="S4344">
            <v>0</v>
          </cell>
          <cell r="T4344">
            <v>240</v>
          </cell>
          <cell r="U4344">
            <v>0</v>
          </cell>
          <cell r="V4344">
            <v>0</v>
          </cell>
          <cell r="W4344">
            <v>240</v>
          </cell>
          <cell r="X4344">
            <v>4.7999999999999996E-3</v>
          </cell>
          <cell r="Y4344">
            <v>0</v>
          </cell>
          <cell r="Z4344">
            <v>0</v>
          </cell>
          <cell r="AA4344">
            <v>0</v>
          </cell>
          <cell r="AB4344">
            <v>7.1999999999999998E-3</v>
          </cell>
        </row>
        <row r="4345">
          <cell r="A4345">
            <v>64201010</v>
          </cell>
          <cell r="B4345" t="str">
            <v>Apricot nectar</v>
          </cell>
          <cell r="I4345">
            <v>240</v>
          </cell>
          <cell r="J4345">
            <v>134.4</v>
          </cell>
          <cell r="K4345">
            <v>0.56000000000000005</v>
          </cell>
          <cell r="L4345">
            <v>1.44</v>
          </cell>
          <cell r="M4345">
            <v>1.44E-2</v>
          </cell>
          <cell r="N4345">
            <v>0</v>
          </cell>
          <cell r="O4345">
            <v>1.6799999999999999E-2</v>
          </cell>
          <cell r="P4345">
            <v>0</v>
          </cell>
          <cell r="Q4345">
            <v>4.0800000000000003E-2</v>
          </cell>
          <cell r="R4345">
            <v>0</v>
          </cell>
          <cell r="S4345">
            <v>0</v>
          </cell>
          <cell r="T4345">
            <v>96</v>
          </cell>
          <cell r="U4345">
            <v>0</v>
          </cell>
          <cell r="V4345">
            <v>0</v>
          </cell>
          <cell r="W4345">
            <v>240</v>
          </cell>
          <cell r="X4345">
            <v>7.1999999999999998E-3</v>
          </cell>
          <cell r="Y4345">
            <v>0</v>
          </cell>
          <cell r="Z4345">
            <v>0</v>
          </cell>
          <cell r="AA4345">
            <v>0</v>
          </cell>
          <cell r="AB4345">
            <v>0</v>
          </cell>
        </row>
        <row r="4346">
          <cell r="A4346">
            <v>64202010</v>
          </cell>
          <cell r="B4346" t="str">
            <v>Cantaloupe nectar</v>
          </cell>
          <cell r="I4346">
            <v>240</v>
          </cell>
          <cell r="J4346">
            <v>148</v>
          </cell>
          <cell r="K4346">
            <v>0.6166666666666667</v>
          </cell>
          <cell r="L4346">
            <v>0.85970150000000001</v>
          </cell>
          <cell r="M4346">
            <v>4.87164E-2</v>
          </cell>
          <cell r="N4346">
            <v>0</v>
          </cell>
          <cell r="O4346">
            <v>1.2334299999999999E-2</v>
          </cell>
          <cell r="P4346">
            <v>0</v>
          </cell>
          <cell r="Q4346">
            <v>7.73731E-2</v>
          </cell>
          <cell r="R4346">
            <v>0</v>
          </cell>
          <cell r="S4346">
            <v>0</v>
          </cell>
          <cell r="T4346">
            <v>95.522388000000007</v>
          </cell>
          <cell r="U4346">
            <v>0</v>
          </cell>
          <cell r="V4346">
            <v>0</v>
          </cell>
          <cell r="W4346">
            <v>240</v>
          </cell>
          <cell r="X4346">
            <v>1.90209E-2</v>
          </cell>
          <cell r="Y4346">
            <v>0</v>
          </cell>
          <cell r="Z4346">
            <v>0</v>
          </cell>
          <cell r="AA4346">
            <v>0</v>
          </cell>
          <cell r="AB4346">
            <v>0</v>
          </cell>
        </row>
        <row r="4347">
          <cell r="A4347">
            <v>64203020</v>
          </cell>
          <cell r="B4347" t="str">
            <v>Guava nectar</v>
          </cell>
          <cell r="I4347">
            <v>240</v>
          </cell>
          <cell r="J4347">
            <v>115.2</v>
          </cell>
          <cell r="K4347">
            <v>0.48000000000000004</v>
          </cell>
          <cell r="L4347">
            <v>2.88</v>
          </cell>
          <cell r="M4347">
            <v>5.5199999999999999E-2</v>
          </cell>
          <cell r="N4347">
            <v>0</v>
          </cell>
          <cell r="O4347">
            <v>1.9199999999999998E-2</v>
          </cell>
          <cell r="P4347">
            <v>0</v>
          </cell>
          <cell r="Q4347">
            <v>4.0800000000000003E-2</v>
          </cell>
          <cell r="R4347">
            <v>0</v>
          </cell>
          <cell r="S4347">
            <v>0</v>
          </cell>
          <cell r="T4347">
            <v>240</v>
          </cell>
          <cell r="U4347">
            <v>0</v>
          </cell>
          <cell r="V4347">
            <v>0</v>
          </cell>
          <cell r="W4347">
            <v>240</v>
          </cell>
          <cell r="X4347">
            <v>1.44E-2</v>
          </cell>
          <cell r="Y4347">
            <v>0</v>
          </cell>
          <cell r="Z4347">
            <v>0</v>
          </cell>
          <cell r="AA4347">
            <v>0</v>
          </cell>
          <cell r="AB4347">
            <v>0</v>
          </cell>
        </row>
        <row r="4348">
          <cell r="A4348">
            <v>64204010</v>
          </cell>
          <cell r="B4348" t="str">
            <v>Mango nectar</v>
          </cell>
          <cell r="I4348">
            <v>240</v>
          </cell>
          <cell r="J4348">
            <v>122.4</v>
          </cell>
          <cell r="K4348">
            <v>0.51</v>
          </cell>
          <cell r="L4348">
            <v>0.72</v>
          </cell>
          <cell r="M4348">
            <v>3.3599999999999998E-2</v>
          </cell>
          <cell r="N4348">
            <v>0</v>
          </cell>
          <cell r="O4348">
            <v>4.0800000000000003E-2</v>
          </cell>
          <cell r="P4348">
            <v>0</v>
          </cell>
          <cell r="Q4348">
            <v>2.64E-2</v>
          </cell>
          <cell r="R4348">
            <v>0</v>
          </cell>
          <cell r="S4348">
            <v>0</v>
          </cell>
          <cell r="T4348">
            <v>96</v>
          </cell>
          <cell r="U4348">
            <v>0</v>
          </cell>
          <cell r="V4348">
            <v>0</v>
          </cell>
          <cell r="W4348">
            <v>240</v>
          </cell>
          <cell r="X4348">
            <v>1.2E-2</v>
          </cell>
          <cell r="Y4348">
            <v>0</v>
          </cell>
          <cell r="Z4348">
            <v>0</v>
          </cell>
          <cell r="AA4348">
            <v>0</v>
          </cell>
          <cell r="AB4348">
            <v>0</v>
          </cell>
        </row>
        <row r="4349">
          <cell r="A4349">
            <v>64205010</v>
          </cell>
          <cell r="B4349" t="str">
            <v>Peach nectar</v>
          </cell>
          <cell r="I4349">
            <v>240</v>
          </cell>
          <cell r="J4349">
            <v>129.6</v>
          </cell>
          <cell r="K4349">
            <v>0.53999999999999992</v>
          </cell>
          <cell r="L4349">
            <v>1.44</v>
          </cell>
          <cell r="M4349">
            <v>4.7999999999999996E-3</v>
          </cell>
          <cell r="N4349">
            <v>0</v>
          </cell>
          <cell r="O4349">
            <v>1.2E-2</v>
          </cell>
          <cell r="P4349">
            <v>0</v>
          </cell>
          <cell r="Q4349">
            <v>2.64E-2</v>
          </cell>
          <cell r="R4349">
            <v>0</v>
          </cell>
          <cell r="S4349">
            <v>0</v>
          </cell>
          <cell r="T4349">
            <v>96</v>
          </cell>
          <cell r="U4349">
            <v>0</v>
          </cell>
          <cell r="V4349">
            <v>0</v>
          </cell>
          <cell r="W4349">
            <v>240</v>
          </cell>
          <cell r="X4349">
            <v>1.6799999999999999E-2</v>
          </cell>
          <cell r="Y4349">
            <v>0</v>
          </cell>
          <cell r="Z4349">
            <v>0</v>
          </cell>
          <cell r="AA4349">
            <v>0</v>
          </cell>
          <cell r="AB4349">
            <v>0</v>
          </cell>
        </row>
        <row r="4350">
          <cell r="A4350">
            <v>64210010</v>
          </cell>
          <cell r="B4350" t="str">
            <v>Papaya nectar</v>
          </cell>
          <cell r="I4350">
            <v>240</v>
          </cell>
          <cell r="J4350">
            <v>136.80000000000001</v>
          </cell>
          <cell r="K4350">
            <v>0.57000000000000006</v>
          </cell>
          <cell r="L4350">
            <v>1.44</v>
          </cell>
          <cell r="M4350">
            <v>0.1128</v>
          </cell>
          <cell r="N4350">
            <v>0</v>
          </cell>
          <cell r="O4350">
            <v>2.4E-2</v>
          </cell>
          <cell r="P4350">
            <v>0</v>
          </cell>
          <cell r="Q4350">
            <v>8.4000000000000005E-2</v>
          </cell>
          <cell r="R4350">
            <v>0</v>
          </cell>
          <cell r="S4350">
            <v>0</v>
          </cell>
          <cell r="T4350">
            <v>96</v>
          </cell>
          <cell r="U4350">
            <v>0</v>
          </cell>
          <cell r="V4350">
            <v>0</v>
          </cell>
          <cell r="W4350">
            <v>240</v>
          </cell>
          <cell r="X4350">
            <v>1.2E-2</v>
          </cell>
          <cell r="Y4350">
            <v>0</v>
          </cell>
          <cell r="Z4350">
            <v>0</v>
          </cell>
          <cell r="AA4350">
            <v>0</v>
          </cell>
          <cell r="AB4350">
            <v>0</v>
          </cell>
        </row>
        <row r="4351">
          <cell r="A4351">
            <v>64213010</v>
          </cell>
          <cell r="B4351" t="str">
            <v>Passion fruit nectar</v>
          </cell>
          <cell r="I4351">
            <v>240</v>
          </cell>
          <cell r="J4351">
            <v>160.416</v>
          </cell>
          <cell r="K4351">
            <v>0.66839999999999999</v>
          </cell>
          <cell r="L4351">
            <v>0.192</v>
          </cell>
          <cell r="M4351">
            <v>3.8400000000000001E-3</v>
          </cell>
          <cell r="N4351">
            <v>0</v>
          </cell>
          <cell r="O4351">
            <v>7.5839999999999996E-3</v>
          </cell>
          <cell r="P4351">
            <v>0</v>
          </cell>
          <cell r="Q4351">
            <v>2.784E-2</v>
          </cell>
          <cell r="R4351">
            <v>0</v>
          </cell>
          <cell r="S4351">
            <v>0</v>
          </cell>
          <cell r="T4351">
            <v>96</v>
          </cell>
          <cell r="U4351">
            <v>0</v>
          </cell>
          <cell r="V4351">
            <v>0</v>
          </cell>
          <cell r="W4351">
            <v>240</v>
          </cell>
          <cell r="X4351">
            <v>9.5040000000000003E-3</v>
          </cell>
          <cell r="Y4351">
            <v>0</v>
          </cell>
          <cell r="Z4351">
            <v>0</v>
          </cell>
          <cell r="AA4351">
            <v>0</v>
          </cell>
          <cell r="AB4351">
            <v>0</v>
          </cell>
        </row>
        <row r="4352">
          <cell r="A4352">
            <v>64215010</v>
          </cell>
          <cell r="B4352" t="str">
            <v>Pear nectar</v>
          </cell>
          <cell r="I4352">
            <v>240</v>
          </cell>
          <cell r="J4352">
            <v>144</v>
          </cell>
          <cell r="K4352">
            <v>0.6</v>
          </cell>
          <cell r="L4352">
            <v>1.44</v>
          </cell>
          <cell r="M4352">
            <v>2.3999999999999998E-3</v>
          </cell>
          <cell r="N4352">
            <v>0</v>
          </cell>
          <cell r="O4352">
            <v>1.2E-2</v>
          </cell>
          <cell r="P4352">
            <v>0</v>
          </cell>
          <cell r="Q4352">
            <v>7.1999999999999998E-3</v>
          </cell>
          <cell r="R4352">
            <v>0</v>
          </cell>
          <cell r="S4352">
            <v>0</v>
          </cell>
          <cell r="T4352">
            <v>96</v>
          </cell>
          <cell r="U4352">
            <v>0</v>
          </cell>
          <cell r="V4352">
            <v>0</v>
          </cell>
          <cell r="W4352">
            <v>240</v>
          </cell>
          <cell r="X4352">
            <v>9.5999999999999992E-3</v>
          </cell>
          <cell r="Y4352">
            <v>0</v>
          </cell>
          <cell r="Z4352">
            <v>0</v>
          </cell>
          <cell r="AA4352">
            <v>0</v>
          </cell>
          <cell r="AB4352">
            <v>0</v>
          </cell>
        </row>
        <row r="4353">
          <cell r="A4353">
            <v>64221010</v>
          </cell>
          <cell r="B4353" t="str">
            <v>Soursop, nectar</v>
          </cell>
          <cell r="I4353">
            <v>240</v>
          </cell>
          <cell r="J4353">
            <v>141.6</v>
          </cell>
          <cell r="K4353">
            <v>0.59</v>
          </cell>
          <cell r="L4353">
            <v>0.24</v>
          </cell>
          <cell r="M4353">
            <v>6.9599999999999995E-2</v>
          </cell>
          <cell r="N4353">
            <v>0</v>
          </cell>
          <cell r="O4353">
            <v>1.6799999999999999E-2</v>
          </cell>
          <cell r="P4353">
            <v>0</v>
          </cell>
          <cell r="Q4353">
            <v>9.3600000000000003E-2</v>
          </cell>
          <cell r="R4353">
            <v>0</v>
          </cell>
          <cell r="S4353">
            <v>0</v>
          </cell>
          <cell r="T4353">
            <v>96</v>
          </cell>
          <cell r="U4353">
            <v>0</v>
          </cell>
          <cell r="V4353">
            <v>0</v>
          </cell>
          <cell r="W4353">
            <v>240</v>
          </cell>
          <cell r="X4353">
            <v>1.9199999999999998E-2</v>
          </cell>
          <cell r="Y4353">
            <v>0</v>
          </cell>
          <cell r="Z4353">
            <v>0</v>
          </cell>
          <cell r="AA4353">
            <v>0</v>
          </cell>
          <cell r="AB4353">
            <v>0</v>
          </cell>
        </row>
        <row r="4354">
          <cell r="A4354">
            <v>64401000</v>
          </cell>
          <cell r="B4354" t="str">
            <v>Vinegar</v>
          </cell>
          <cell r="I4354">
            <v>15</v>
          </cell>
          <cell r="J4354">
            <v>3.15</v>
          </cell>
          <cell r="K4354">
            <v>0.21</v>
          </cell>
          <cell r="L4354">
            <v>0</v>
          </cell>
          <cell r="M4354">
            <v>0</v>
          </cell>
          <cell r="N4354">
            <v>0</v>
          </cell>
          <cell r="O4354">
            <v>1.0499999999999999E-3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7.5000000000000002E-4</v>
          </cell>
          <cell r="Y4354">
            <v>0</v>
          </cell>
          <cell r="Z4354">
            <v>0</v>
          </cell>
          <cell r="AA4354">
            <v>0</v>
          </cell>
          <cell r="AB4354">
            <v>0</v>
          </cell>
        </row>
        <row r="4355">
          <cell r="A4355">
            <v>67102010</v>
          </cell>
          <cell r="B4355" t="str">
            <v>Applesauce, baby food, strained</v>
          </cell>
          <cell r="I4355">
            <v>110</v>
          </cell>
          <cell r="J4355">
            <v>45.1</v>
          </cell>
          <cell r="K4355">
            <v>0.41000000000000003</v>
          </cell>
          <cell r="L4355">
            <v>1.87</v>
          </cell>
          <cell r="M4355">
            <v>3.5200000000000002E-2</v>
          </cell>
          <cell r="N4355">
            <v>0</v>
          </cell>
          <cell r="O4355">
            <v>4.4000000000000003E-3</v>
          </cell>
          <cell r="P4355">
            <v>0</v>
          </cell>
          <cell r="Q4355">
            <v>6.1600000000000002E-2</v>
          </cell>
          <cell r="R4355">
            <v>0</v>
          </cell>
          <cell r="S4355">
            <v>0</v>
          </cell>
          <cell r="T4355">
            <v>110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  <cell r="Z4355">
            <v>0</v>
          </cell>
          <cell r="AA4355">
            <v>0</v>
          </cell>
          <cell r="AB4355">
            <v>0</v>
          </cell>
        </row>
        <row r="4356">
          <cell r="A4356">
            <v>67108020</v>
          </cell>
          <cell r="B4356" t="str">
            <v>Peaches, baby food, junior</v>
          </cell>
          <cell r="I4356">
            <v>110</v>
          </cell>
          <cell r="J4356">
            <v>71.5</v>
          </cell>
          <cell r="K4356">
            <v>0.65</v>
          </cell>
          <cell r="L4356">
            <v>1.43</v>
          </cell>
          <cell r="M4356">
            <v>2.1999999999999999E-2</v>
          </cell>
          <cell r="N4356">
            <v>0</v>
          </cell>
          <cell r="O4356">
            <v>4.4000000000000003E-3</v>
          </cell>
          <cell r="P4356">
            <v>0</v>
          </cell>
          <cell r="Q4356">
            <v>4.3999999999999997E-2</v>
          </cell>
          <cell r="R4356">
            <v>0</v>
          </cell>
          <cell r="S4356">
            <v>0</v>
          </cell>
          <cell r="T4356">
            <v>110</v>
          </cell>
          <cell r="U4356">
            <v>0</v>
          </cell>
          <cell r="V4356">
            <v>0</v>
          </cell>
          <cell r="W4356">
            <v>0</v>
          </cell>
          <cell r="X4356">
            <v>4.4000000000000003E-3</v>
          </cell>
          <cell r="Y4356">
            <v>0</v>
          </cell>
          <cell r="Z4356">
            <v>0</v>
          </cell>
          <cell r="AA4356">
            <v>0</v>
          </cell>
          <cell r="AB4356">
            <v>0</v>
          </cell>
        </row>
        <row r="4357">
          <cell r="A4357">
            <v>67109020</v>
          </cell>
          <cell r="B4357" t="str">
            <v>Pears, baby food, junior</v>
          </cell>
          <cell r="I4357">
            <v>110</v>
          </cell>
          <cell r="J4357">
            <v>48.4</v>
          </cell>
          <cell r="K4357">
            <v>0.44</v>
          </cell>
          <cell r="L4357">
            <v>3.08</v>
          </cell>
          <cell r="M4357">
            <v>6.6E-3</v>
          </cell>
          <cell r="N4357">
            <v>0</v>
          </cell>
          <cell r="O4357">
            <v>8.8000000000000005E-3</v>
          </cell>
          <cell r="P4357">
            <v>0</v>
          </cell>
          <cell r="Q4357">
            <v>2.53E-2</v>
          </cell>
          <cell r="R4357">
            <v>0</v>
          </cell>
          <cell r="S4357">
            <v>0</v>
          </cell>
          <cell r="T4357">
            <v>110</v>
          </cell>
          <cell r="U4357">
            <v>0</v>
          </cell>
          <cell r="V4357">
            <v>0</v>
          </cell>
          <cell r="W4357">
            <v>0</v>
          </cell>
          <cell r="X4357">
            <v>1.1000000000000001E-3</v>
          </cell>
          <cell r="Y4357">
            <v>0</v>
          </cell>
          <cell r="Z4357">
            <v>0</v>
          </cell>
          <cell r="AA4357">
            <v>0</v>
          </cell>
          <cell r="AB4357">
            <v>0</v>
          </cell>
        </row>
        <row r="4358">
          <cell r="A4358">
            <v>71000100</v>
          </cell>
          <cell r="B4358" t="str">
            <v>Potato, NFS</v>
          </cell>
          <cell r="I4358">
            <v>110</v>
          </cell>
          <cell r="J4358">
            <v>136.95209</v>
          </cell>
          <cell r="K4358">
            <v>1.2450189999999999</v>
          </cell>
          <cell r="L4358">
            <v>0</v>
          </cell>
          <cell r="M4358">
            <v>1.3142533999999999</v>
          </cell>
          <cell r="N4358">
            <v>0</v>
          </cell>
          <cell r="O4358">
            <v>5.9198000000000002E-3</v>
          </cell>
          <cell r="P4358">
            <v>1.5654649</v>
          </cell>
          <cell r="Q4358">
            <v>1.4435243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0.18417900000000001</v>
          </cell>
          <cell r="Y4358">
            <v>0</v>
          </cell>
          <cell r="Z4358">
            <v>0</v>
          </cell>
          <cell r="AA4358">
            <v>0</v>
          </cell>
          <cell r="AB4358">
            <v>0.11186749999999999</v>
          </cell>
        </row>
        <row r="4359">
          <cell r="A4359">
            <v>71001000</v>
          </cell>
          <cell r="B4359" t="str">
            <v>White potato, raw, with or without peel (assume peel not eaten)</v>
          </cell>
          <cell r="I4359">
            <v>110</v>
          </cell>
          <cell r="J4359">
            <v>84.7</v>
          </cell>
          <cell r="K4359">
            <v>0.77</v>
          </cell>
          <cell r="L4359">
            <v>0</v>
          </cell>
          <cell r="M4359">
            <v>2.75E-2</v>
          </cell>
          <cell r="N4359">
            <v>0</v>
          </cell>
          <cell r="O4359">
            <v>1.32E-2</v>
          </cell>
          <cell r="P4359">
            <v>2.31</v>
          </cell>
          <cell r="Q4359">
            <v>4.6199999999999998E-2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6.6E-3</v>
          </cell>
          <cell r="Y4359">
            <v>0</v>
          </cell>
          <cell r="Z4359">
            <v>0</v>
          </cell>
          <cell r="AA4359">
            <v>0</v>
          </cell>
          <cell r="AB4359">
            <v>0</v>
          </cell>
        </row>
        <row r="4360">
          <cell r="A4360">
            <v>71101000</v>
          </cell>
          <cell r="B4360" t="str">
            <v>Potato, baked, peel not eaten</v>
          </cell>
          <cell r="I4360">
            <v>110</v>
          </cell>
          <cell r="J4360">
            <v>101.83548999999999</v>
          </cell>
          <cell r="K4360">
            <v>0.9257771818181818</v>
          </cell>
          <cell r="L4360">
            <v>0</v>
          </cell>
          <cell r="M4360">
            <v>2.8470100000000002E-2</v>
          </cell>
          <cell r="N4360">
            <v>0</v>
          </cell>
          <cell r="O4360">
            <v>5.5948999999999999E-3</v>
          </cell>
          <cell r="P4360">
            <v>1.6425079</v>
          </cell>
          <cell r="Q4360">
            <v>4.7085200000000001E-2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0.19906199999999999</v>
          </cell>
          <cell r="Y4360">
            <v>0</v>
          </cell>
          <cell r="Z4360">
            <v>0</v>
          </cell>
          <cell r="AA4360">
            <v>0</v>
          </cell>
          <cell r="AB4360">
            <v>0</v>
          </cell>
        </row>
        <row r="4361">
          <cell r="A4361">
            <v>71101100</v>
          </cell>
          <cell r="B4361" t="str">
            <v>White potato, baked, peel eaten, NS as to fat added in cooking</v>
          </cell>
          <cell r="I4361">
            <v>110</v>
          </cell>
          <cell r="J4361">
            <v>117.77334999999999</v>
          </cell>
          <cell r="K4361">
            <v>1.0706668181818182</v>
          </cell>
          <cell r="L4361">
            <v>0</v>
          </cell>
          <cell r="M4361">
            <v>1.0741847</v>
          </cell>
          <cell r="N4361">
            <v>0</v>
          </cell>
          <cell r="O4361">
            <v>1.6780300000000001E-2</v>
          </cell>
          <cell r="P4361">
            <v>2.3429533999999999</v>
          </cell>
          <cell r="Q4361">
            <v>0.42216930000000003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0.25883329999999999</v>
          </cell>
          <cell r="Y4361">
            <v>0</v>
          </cell>
          <cell r="Z4361">
            <v>0</v>
          </cell>
          <cell r="AA4361">
            <v>0</v>
          </cell>
          <cell r="AB4361">
            <v>9.9922200000000003E-2</v>
          </cell>
        </row>
        <row r="4362">
          <cell r="A4362">
            <v>71101110</v>
          </cell>
          <cell r="B4362" t="str">
            <v>White potato, baked, peel eaten, fat not added in cooking</v>
          </cell>
          <cell r="I4362">
            <v>110</v>
          </cell>
          <cell r="J4362">
            <v>101.59529000000001</v>
          </cell>
          <cell r="K4362">
            <v>0.92359354545454553</v>
          </cell>
          <cell r="L4362">
            <v>0</v>
          </cell>
          <cell r="M4362">
            <v>3.7142399999999999E-2</v>
          </cell>
          <cell r="N4362">
            <v>0</v>
          </cell>
          <cell r="O4362">
            <v>1.6568200000000002E-2</v>
          </cell>
          <cell r="P4362">
            <v>2.4033294999999999</v>
          </cell>
          <cell r="Q4362">
            <v>6.22681E-2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0.30461290000000002</v>
          </cell>
          <cell r="Y4362">
            <v>0</v>
          </cell>
          <cell r="Z4362">
            <v>0</v>
          </cell>
          <cell r="AA4362">
            <v>0</v>
          </cell>
          <cell r="AB4362">
            <v>0</v>
          </cell>
        </row>
        <row r="4363">
          <cell r="A4363">
            <v>71101120</v>
          </cell>
          <cell r="B4363" t="str">
            <v>White potato, baked, peel eaten, fat added in cooking</v>
          </cell>
          <cell r="I4363">
            <v>110</v>
          </cell>
          <cell r="J4363">
            <v>117.77334999999999</v>
          </cell>
          <cell r="K4363">
            <v>1.0706668181818182</v>
          </cell>
          <cell r="L4363">
            <v>0</v>
          </cell>
          <cell r="M4363">
            <v>1.0741847</v>
          </cell>
          <cell r="N4363">
            <v>0</v>
          </cell>
          <cell r="O4363">
            <v>1.6780300000000001E-2</v>
          </cell>
          <cell r="P4363">
            <v>2.3429533999999999</v>
          </cell>
          <cell r="Q4363">
            <v>0.42216930000000003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0.25883329999999999</v>
          </cell>
          <cell r="Y4363">
            <v>0</v>
          </cell>
          <cell r="Z4363">
            <v>0</v>
          </cell>
          <cell r="AA4363">
            <v>0</v>
          </cell>
          <cell r="AB4363">
            <v>9.9922200000000003E-2</v>
          </cell>
        </row>
        <row r="4364">
          <cell r="A4364">
            <v>71101150</v>
          </cell>
          <cell r="B4364" t="str">
            <v>White potato skins, with adhering flesh, baked</v>
          </cell>
          <cell r="I4364">
            <v>70</v>
          </cell>
          <cell r="J4364">
            <v>106.04737</v>
          </cell>
          <cell r="K4364">
            <v>1.5149624285714285</v>
          </cell>
          <cell r="L4364">
            <v>-6.2200000000000005E-16</v>
          </cell>
          <cell r="M4364">
            <v>1.8029699999999999E-2</v>
          </cell>
          <cell r="N4364">
            <v>0</v>
          </cell>
          <cell r="O4364">
            <v>1.5102000000000001E-2</v>
          </cell>
          <cell r="P4364">
            <v>3.5731470999999999</v>
          </cell>
          <cell r="Q4364">
            <v>2.9818299999999999E-2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0.26369530000000002</v>
          </cell>
          <cell r="Y4364">
            <v>0</v>
          </cell>
          <cell r="Z4364">
            <v>0</v>
          </cell>
          <cell r="AA4364">
            <v>0</v>
          </cell>
          <cell r="AB4364">
            <v>0</v>
          </cell>
        </row>
        <row r="4365">
          <cell r="A4365">
            <v>71102980</v>
          </cell>
          <cell r="B4365" t="str">
            <v>Potato, boiled, NFS</v>
          </cell>
          <cell r="I4365">
            <v>110</v>
          </cell>
          <cell r="J4365">
            <v>136.95209</v>
          </cell>
          <cell r="K4365">
            <v>1.2450189999999999</v>
          </cell>
          <cell r="L4365">
            <v>0</v>
          </cell>
          <cell r="M4365">
            <v>1.3142533999999999</v>
          </cell>
          <cell r="N4365">
            <v>0</v>
          </cell>
          <cell r="O4365">
            <v>5.9198000000000002E-3</v>
          </cell>
          <cell r="P4365">
            <v>1.5654649</v>
          </cell>
          <cell r="Q4365">
            <v>1.4435243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0.18417900000000001</v>
          </cell>
          <cell r="Y4365">
            <v>0</v>
          </cell>
          <cell r="Z4365">
            <v>0</v>
          </cell>
          <cell r="AA4365">
            <v>0</v>
          </cell>
          <cell r="AB4365">
            <v>9.8800399999999997E-2</v>
          </cell>
        </row>
        <row r="4366">
          <cell r="A4366">
            <v>71102990</v>
          </cell>
          <cell r="B4366" t="str">
            <v>Potato, boiled, ready-to-heat</v>
          </cell>
          <cell r="I4366">
            <v>110</v>
          </cell>
          <cell r="J4366">
            <v>136.95209</v>
          </cell>
          <cell r="K4366">
            <v>1.2450189999999999</v>
          </cell>
          <cell r="L4366">
            <v>0</v>
          </cell>
          <cell r="M4366">
            <v>1.3142533999999999</v>
          </cell>
          <cell r="N4366">
            <v>0</v>
          </cell>
          <cell r="O4366">
            <v>5.9198000000000002E-3</v>
          </cell>
          <cell r="P4366">
            <v>1.5654649</v>
          </cell>
          <cell r="Q4366">
            <v>1.4435243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0.18417900000000001</v>
          </cell>
          <cell r="Y4366">
            <v>0</v>
          </cell>
          <cell r="Z4366">
            <v>0</v>
          </cell>
          <cell r="AA4366">
            <v>0</v>
          </cell>
          <cell r="AB4366">
            <v>9.8800399999999997E-2</v>
          </cell>
        </row>
        <row r="4367">
          <cell r="A4367">
            <v>71103000</v>
          </cell>
          <cell r="B4367" t="str">
            <v>Potato, boiled, from fresh, peel not eaten, NS as to fat added in cooking</v>
          </cell>
          <cell r="I4367">
            <v>110</v>
          </cell>
          <cell r="J4367">
            <v>136.95209</v>
          </cell>
          <cell r="K4367">
            <v>1.2450189999999999</v>
          </cell>
          <cell r="L4367">
            <v>0</v>
          </cell>
          <cell r="M4367">
            <v>1.3142533999999999</v>
          </cell>
          <cell r="N4367">
            <v>0</v>
          </cell>
          <cell r="O4367">
            <v>5.9198000000000002E-3</v>
          </cell>
          <cell r="P4367">
            <v>1.5654649</v>
          </cell>
          <cell r="Q4367">
            <v>1.4435243</v>
          </cell>
          <cell r="R4367">
            <v>0</v>
          </cell>
          <cell r="S4367">
            <v>0</v>
          </cell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>
            <v>0.18417900000000001</v>
          </cell>
          <cell r="Y4367">
            <v>0</v>
          </cell>
          <cell r="Z4367">
            <v>0</v>
          </cell>
          <cell r="AA4367">
            <v>0</v>
          </cell>
          <cell r="AB4367">
            <v>9.8800399999999997E-2</v>
          </cell>
        </row>
        <row r="4368">
          <cell r="A4368">
            <v>71103010</v>
          </cell>
          <cell r="B4368" t="str">
            <v>Potato, boiled, from fresh, peel not eaten, fat not added in cooking</v>
          </cell>
          <cell r="I4368">
            <v>110</v>
          </cell>
          <cell r="J4368">
            <v>101.89243</v>
          </cell>
          <cell r="K4368">
            <v>0.92629481818181825</v>
          </cell>
          <cell r="L4368">
            <v>0</v>
          </cell>
          <cell r="M4368">
            <v>2.84861E-2</v>
          </cell>
          <cell r="N4368">
            <v>0</v>
          </cell>
          <cell r="O4368">
            <v>5.5833000000000002E-3</v>
          </cell>
          <cell r="P4368">
            <v>1.6434263</v>
          </cell>
          <cell r="Q4368">
            <v>4.7111599999999997E-2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>
            <v>0.17533389999999999</v>
          </cell>
          <cell r="Y4368">
            <v>0</v>
          </cell>
          <cell r="Z4368">
            <v>0</v>
          </cell>
          <cell r="AA4368">
            <v>0</v>
          </cell>
          <cell r="AB4368">
            <v>0</v>
          </cell>
        </row>
        <row r="4369">
          <cell r="A4369">
            <v>71103020</v>
          </cell>
          <cell r="B4369" t="str">
            <v>Potato, boiled, from fresh, peel not eaten, fat added in cooking, NS as to type of fat</v>
          </cell>
          <cell r="I4369">
            <v>110</v>
          </cell>
          <cell r="J4369">
            <v>136.95209</v>
          </cell>
          <cell r="K4369">
            <v>1.2450189999999999</v>
          </cell>
          <cell r="L4369">
            <v>0</v>
          </cell>
          <cell r="M4369">
            <v>1.3142533999999999</v>
          </cell>
          <cell r="N4369">
            <v>0</v>
          </cell>
          <cell r="O4369">
            <v>5.9198000000000002E-3</v>
          </cell>
          <cell r="P4369">
            <v>1.5654649</v>
          </cell>
          <cell r="Q4369">
            <v>1.4435243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0.18417900000000001</v>
          </cell>
          <cell r="Y4369">
            <v>0</v>
          </cell>
          <cell r="Z4369">
            <v>0</v>
          </cell>
          <cell r="AA4369">
            <v>0</v>
          </cell>
          <cell r="AB4369">
            <v>9.8800399999999997E-2</v>
          </cell>
        </row>
        <row r="4370">
          <cell r="A4370">
            <v>71103030</v>
          </cell>
          <cell r="B4370" t="str">
            <v>Potato, boiled, from fresh, peel not eaten, made with oil</v>
          </cell>
          <cell r="I4370">
            <v>110</v>
          </cell>
          <cell r="J4370">
            <v>143.27135000000001</v>
          </cell>
          <cell r="K4370">
            <v>1.3024668181818182</v>
          </cell>
          <cell r="L4370">
            <v>0</v>
          </cell>
          <cell r="M4370">
            <v>0.74080670000000004</v>
          </cell>
          <cell r="N4370">
            <v>0</v>
          </cell>
          <cell r="O4370">
            <v>5.3315000000000003E-3</v>
          </cell>
          <cell r="P4370">
            <v>1.5654649</v>
          </cell>
          <cell r="Q4370">
            <v>2.1942469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0.16704240000000001</v>
          </cell>
          <cell r="Y4370">
            <v>0</v>
          </cell>
          <cell r="Z4370">
            <v>0</v>
          </cell>
          <cell r="AA4370">
            <v>0</v>
          </cell>
          <cell r="AB4370">
            <v>1.8490699999999999E-2</v>
          </cell>
        </row>
        <row r="4371">
          <cell r="A4371">
            <v>71103040</v>
          </cell>
          <cell r="B4371" t="str">
            <v>Potato, boiled, from fresh, peel not eaten, made with butter</v>
          </cell>
          <cell r="I4371">
            <v>110</v>
          </cell>
          <cell r="J4371">
            <v>134.47343000000001</v>
          </cell>
          <cell r="K4371">
            <v>1.2224857272727274</v>
          </cell>
          <cell r="L4371">
            <v>0</v>
          </cell>
          <cell r="M4371">
            <v>2.7076281</v>
          </cell>
          <cell r="N4371">
            <v>0</v>
          </cell>
          <cell r="O4371">
            <v>6.5707999999999999E-3</v>
          </cell>
          <cell r="P4371">
            <v>1.5654649</v>
          </cell>
          <cell r="Q4371">
            <v>0.20366699999999999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0.20056940000000001</v>
          </cell>
          <cell r="Y4371">
            <v>0</v>
          </cell>
          <cell r="Z4371">
            <v>0</v>
          </cell>
          <cell r="AA4371">
            <v>0</v>
          </cell>
          <cell r="AB4371">
            <v>0.17105310000000001</v>
          </cell>
        </row>
        <row r="4372">
          <cell r="A4372">
            <v>71103050</v>
          </cell>
          <cell r="B4372" t="str">
            <v>Potato, boiled, from fresh, peel not eaten, made with margarine</v>
          </cell>
          <cell r="I4372">
            <v>110</v>
          </cell>
          <cell r="J4372">
            <v>124.87192</v>
          </cell>
          <cell r="K4372">
            <v>1.1351992727272728</v>
          </cell>
          <cell r="L4372">
            <v>0</v>
          </cell>
          <cell r="M4372">
            <v>0.65780830000000001</v>
          </cell>
          <cell r="N4372">
            <v>0</v>
          </cell>
          <cell r="O4372">
            <v>6.4142000000000001E-3</v>
          </cell>
          <cell r="P4372">
            <v>1.5654649</v>
          </cell>
          <cell r="Q4372">
            <v>1.4265038000000001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0.20221320000000001</v>
          </cell>
          <cell r="Y4372">
            <v>0</v>
          </cell>
          <cell r="Z4372">
            <v>0</v>
          </cell>
          <cell r="AA4372">
            <v>0</v>
          </cell>
          <cell r="AB4372">
            <v>0.19119539999999999</v>
          </cell>
        </row>
        <row r="4373">
          <cell r="A4373">
            <v>71103100</v>
          </cell>
          <cell r="B4373" t="str">
            <v>White potato, boiled with peel, peel not eaten, NS as to fat added in cooking</v>
          </cell>
          <cell r="I4373">
            <v>110</v>
          </cell>
          <cell r="J4373">
            <v>113.03243999999999</v>
          </cell>
          <cell r="K4373">
            <v>1.0275676363636363</v>
          </cell>
          <cell r="L4373">
            <v>2.442E-16</v>
          </cell>
          <cell r="M4373">
            <v>1.1747019999999999</v>
          </cell>
          <cell r="N4373">
            <v>0</v>
          </cell>
          <cell r="O4373">
            <v>6.1967999999999997E-3</v>
          </cell>
          <cell r="P4373">
            <v>1.910334</v>
          </cell>
          <cell r="Q4373">
            <v>0.4451058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0.27852270000000001</v>
          </cell>
          <cell r="Y4373">
            <v>0</v>
          </cell>
          <cell r="Z4373">
            <v>0</v>
          </cell>
          <cell r="AA4373">
            <v>0</v>
          </cell>
          <cell r="AB4373">
            <v>0.1104281</v>
          </cell>
        </row>
        <row r="4374">
          <cell r="A4374">
            <v>71103105</v>
          </cell>
          <cell r="B4374" t="str">
            <v>Potato, boiled, from fresh, peel eaten, NS as to fat added in cooking</v>
          </cell>
          <cell r="I4374">
            <v>110</v>
          </cell>
          <cell r="J4374">
            <v>136.95209</v>
          </cell>
          <cell r="K4374">
            <v>1.2450189999999999</v>
          </cell>
          <cell r="L4374">
            <v>0</v>
          </cell>
          <cell r="M4374">
            <v>1.3226026</v>
          </cell>
          <cell r="N4374">
            <v>0</v>
          </cell>
          <cell r="O4374">
            <v>1.6356200000000001E-2</v>
          </cell>
          <cell r="P4374">
            <v>2.2960151999999998</v>
          </cell>
          <cell r="Q4374">
            <v>1.4581352999999999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0.18939719999999999</v>
          </cell>
          <cell r="Y4374">
            <v>0</v>
          </cell>
          <cell r="Z4374">
            <v>0</v>
          </cell>
          <cell r="AA4374">
            <v>0</v>
          </cell>
          <cell r="AB4374">
            <v>9.8800399999999997E-2</v>
          </cell>
        </row>
        <row r="4375">
          <cell r="A4375">
            <v>71103125</v>
          </cell>
          <cell r="B4375" t="str">
            <v>Potato, boiled, from fresh,  peel eaten, fat not added in cooking</v>
          </cell>
          <cell r="I4375">
            <v>110</v>
          </cell>
          <cell r="J4375">
            <v>101.89243</v>
          </cell>
          <cell r="K4375">
            <v>0.92629481818181825</v>
          </cell>
          <cell r="L4375">
            <v>0</v>
          </cell>
          <cell r="M4375">
            <v>3.7250999999999999E-2</v>
          </cell>
          <cell r="N4375">
            <v>0</v>
          </cell>
          <cell r="O4375">
            <v>1.6539399999999999E-2</v>
          </cell>
          <cell r="P4375">
            <v>2.4103585999999999</v>
          </cell>
          <cell r="Q4375">
            <v>6.2450199999999997E-2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0.180812</v>
          </cell>
          <cell r="Y4375">
            <v>0</v>
          </cell>
          <cell r="Z4375">
            <v>0</v>
          </cell>
          <cell r="AA4375">
            <v>0</v>
          </cell>
          <cell r="AB4375">
            <v>0</v>
          </cell>
        </row>
        <row r="4376">
          <cell r="A4376">
            <v>71103135</v>
          </cell>
          <cell r="B4376" t="str">
            <v>Potato, boiled, from fresh, peel eaten, made with oil</v>
          </cell>
          <cell r="I4376">
            <v>110</v>
          </cell>
          <cell r="J4376">
            <v>143.27135000000001</v>
          </cell>
          <cell r="K4376">
            <v>1.3024668181818182</v>
          </cell>
          <cell r="L4376">
            <v>0</v>
          </cell>
          <cell r="M4376">
            <v>0.74915580000000004</v>
          </cell>
          <cell r="N4376">
            <v>0</v>
          </cell>
          <cell r="O4376">
            <v>1.5767900000000001E-2</v>
          </cell>
          <cell r="P4376">
            <v>2.2960151999999998</v>
          </cell>
          <cell r="Q4376">
            <v>2.2088578999999999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0.17226060000000001</v>
          </cell>
          <cell r="Y4376">
            <v>0</v>
          </cell>
          <cell r="Z4376">
            <v>0</v>
          </cell>
          <cell r="AA4376">
            <v>0</v>
          </cell>
          <cell r="AB4376">
            <v>1.8490699999999999E-2</v>
          </cell>
        </row>
        <row r="4377">
          <cell r="A4377">
            <v>71103140</v>
          </cell>
          <cell r="B4377" t="str">
            <v>Potato, boiled, from fresh, peel eaten, made with butter</v>
          </cell>
          <cell r="I4377">
            <v>110</v>
          </cell>
          <cell r="J4377">
            <v>134.47343000000001</v>
          </cell>
          <cell r="K4377">
            <v>1.2224857272727274</v>
          </cell>
          <cell r="L4377">
            <v>0</v>
          </cell>
          <cell r="M4377">
            <v>2.7159772000000002</v>
          </cell>
          <cell r="N4377">
            <v>0</v>
          </cell>
          <cell r="O4377">
            <v>1.70072E-2</v>
          </cell>
          <cell r="P4377">
            <v>2.2960151999999998</v>
          </cell>
          <cell r="Q4377">
            <v>0.218278</v>
          </cell>
          <cell r="R4377">
            <v>0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0.20578769999999999</v>
          </cell>
          <cell r="Y4377">
            <v>0</v>
          </cell>
          <cell r="Z4377">
            <v>0</v>
          </cell>
          <cell r="AA4377">
            <v>0</v>
          </cell>
          <cell r="AB4377">
            <v>0.17105310000000001</v>
          </cell>
        </row>
        <row r="4378">
          <cell r="A4378">
            <v>71103150</v>
          </cell>
          <cell r="B4378" t="str">
            <v>Potato, boiled, from fresh, peel eaten, made with margarine</v>
          </cell>
          <cell r="I4378">
            <v>110</v>
          </cell>
          <cell r="J4378">
            <v>124.87192</v>
          </cell>
          <cell r="K4378">
            <v>1.1351992727272728</v>
          </cell>
          <cell r="L4378">
            <v>0</v>
          </cell>
          <cell r="M4378">
            <v>0.66615749999999996</v>
          </cell>
          <cell r="N4378">
            <v>0</v>
          </cell>
          <cell r="O4378">
            <v>1.68507E-2</v>
          </cell>
          <cell r="P4378">
            <v>2.2960151999999998</v>
          </cell>
          <cell r="Q4378">
            <v>1.4411148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0.20743139999999999</v>
          </cell>
          <cell r="Y4378">
            <v>0</v>
          </cell>
          <cell r="Z4378">
            <v>0</v>
          </cell>
          <cell r="AA4378">
            <v>0</v>
          </cell>
          <cell r="AB4378">
            <v>0.19119539999999999</v>
          </cell>
        </row>
        <row r="4379">
          <cell r="A4379">
            <v>71103210</v>
          </cell>
          <cell r="B4379" t="str">
            <v>White potato, boiled, without peel, canned, low sodium, fat not added in cooking</v>
          </cell>
          <cell r="I4379">
            <v>160</v>
          </cell>
          <cell r="J4379">
            <v>99.2</v>
          </cell>
          <cell r="K4379">
            <v>0.62</v>
          </cell>
          <cell r="L4379">
            <v>0</v>
          </cell>
          <cell r="M4379">
            <v>8.1600000000000006E-2</v>
          </cell>
          <cell r="N4379">
            <v>0</v>
          </cell>
          <cell r="O4379">
            <v>8.0000000000000002E-3</v>
          </cell>
          <cell r="P4379">
            <v>3.84</v>
          </cell>
          <cell r="Q4379">
            <v>0.13600000000000001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8.0000000000000002E-3</v>
          </cell>
          <cell r="Y4379">
            <v>0</v>
          </cell>
          <cell r="Z4379">
            <v>0</v>
          </cell>
          <cell r="AA4379">
            <v>0</v>
          </cell>
          <cell r="AB4379">
            <v>0</v>
          </cell>
        </row>
        <row r="4380">
          <cell r="A4380">
            <v>71104000</v>
          </cell>
          <cell r="B4380" t="str">
            <v>White potato, roasted, NS as to fat added in cooking</v>
          </cell>
          <cell r="I4380">
            <v>110</v>
          </cell>
          <cell r="J4380">
            <v>134.39400000000001</v>
          </cell>
          <cell r="K4380">
            <v>1.2217636363636364</v>
          </cell>
          <cell r="L4380">
            <v>0</v>
          </cell>
          <cell r="M4380">
            <v>0.87344069999999996</v>
          </cell>
          <cell r="N4380">
            <v>0</v>
          </cell>
          <cell r="O4380">
            <v>1.2537299999999999E-2</v>
          </cell>
          <cell r="P4380">
            <v>2.1683862</v>
          </cell>
          <cell r="Q4380">
            <v>2.5961699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0.2177866</v>
          </cell>
          <cell r="Y4380">
            <v>0</v>
          </cell>
          <cell r="Z4380">
            <v>0</v>
          </cell>
          <cell r="AA4380">
            <v>0</v>
          </cell>
          <cell r="AB4380">
            <v>2.1961399999999999E-2</v>
          </cell>
        </row>
        <row r="4381">
          <cell r="A4381">
            <v>71104010</v>
          </cell>
          <cell r="B4381" t="str">
            <v>White potato, roasted, fat not added in cooking</v>
          </cell>
          <cell r="I4381">
            <v>110</v>
          </cell>
          <cell r="J4381">
            <v>84.521276999999998</v>
          </cell>
          <cell r="K4381">
            <v>0.76837524545454539</v>
          </cell>
          <cell r="L4381">
            <v>0</v>
          </cell>
          <cell r="M4381">
            <v>2.7442000000000001E-2</v>
          </cell>
          <cell r="N4381">
            <v>0</v>
          </cell>
          <cell r="O4381">
            <v>1.3227900000000001E-2</v>
          </cell>
          <cell r="P4381">
            <v>2.3051257000000001</v>
          </cell>
          <cell r="Q4381">
            <v>4.6102499999999998E-2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9.6546599999999996E-2</v>
          </cell>
          <cell r="Y4381">
            <v>0</v>
          </cell>
          <cell r="Z4381">
            <v>0</v>
          </cell>
          <cell r="AA4381">
            <v>0</v>
          </cell>
          <cell r="AB4381">
            <v>0</v>
          </cell>
        </row>
        <row r="4382">
          <cell r="A4382">
            <v>71104020</v>
          </cell>
          <cell r="B4382" t="str">
            <v>White potato, roasted, fat added in cooking</v>
          </cell>
          <cell r="I4382">
            <v>110</v>
          </cell>
          <cell r="J4382">
            <v>134.39400000000001</v>
          </cell>
          <cell r="K4382">
            <v>1.2217636363636364</v>
          </cell>
          <cell r="L4382">
            <v>0</v>
          </cell>
          <cell r="M4382">
            <v>0.87344069999999996</v>
          </cell>
          <cell r="N4382">
            <v>0</v>
          </cell>
          <cell r="O4382">
            <v>1.2537299999999999E-2</v>
          </cell>
          <cell r="P4382">
            <v>2.1683862</v>
          </cell>
          <cell r="Q4382">
            <v>2.5961699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0.2177866</v>
          </cell>
          <cell r="Y4382">
            <v>0</v>
          </cell>
          <cell r="Z4382">
            <v>0</v>
          </cell>
          <cell r="AA4382">
            <v>0</v>
          </cell>
          <cell r="AB4382">
            <v>2.1961399999999999E-2</v>
          </cell>
        </row>
        <row r="4383">
          <cell r="A4383">
            <v>71104040</v>
          </cell>
          <cell r="B4383" t="str">
            <v>Potato, roasted, from fresh, peel eaten, NS as to fat added in cooking</v>
          </cell>
          <cell r="I4383">
            <v>110</v>
          </cell>
          <cell r="J4383">
            <v>136.95209</v>
          </cell>
          <cell r="K4383">
            <v>1.2450189999999999</v>
          </cell>
          <cell r="L4383">
            <v>0</v>
          </cell>
          <cell r="M4383">
            <v>1.3226026</v>
          </cell>
          <cell r="N4383">
            <v>0</v>
          </cell>
          <cell r="O4383">
            <v>1.6356200000000001E-2</v>
          </cell>
          <cell r="P4383">
            <v>2.2960151999999998</v>
          </cell>
          <cell r="Q4383">
            <v>1.4581352999999999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0.18939719999999999</v>
          </cell>
          <cell r="Y4383">
            <v>0</v>
          </cell>
          <cell r="Z4383">
            <v>0</v>
          </cell>
          <cell r="AA4383">
            <v>0</v>
          </cell>
          <cell r="AB4383">
            <v>9.8800399999999997E-2</v>
          </cell>
        </row>
        <row r="4384">
          <cell r="A4384">
            <v>71104050</v>
          </cell>
          <cell r="B4384" t="str">
            <v>Potato, roasted, from fresh, peel eaten, fat not added in cooking</v>
          </cell>
          <cell r="I4384">
            <v>110</v>
          </cell>
          <cell r="J4384">
            <v>101.89243</v>
          </cell>
          <cell r="K4384">
            <v>0.92629481818181825</v>
          </cell>
          <cell r="L4384">
            <v>0</v>
          </cell>
          <cell r="M4384">
            <v>3.7250999999999999E-2</v>
          </cell>
          <cell r="N4384">
            <v>0</v>
          </cell>
          <cell r="O4384">
            <v>1.6539399999999999E-2</v>
          </cell>
          <cell r="P4384">
            <v>2.4103585999999999</v>
          </cell>
          <cell r="Q4384">
            <v>6.2450199999999997E-2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0.180812</v>
          </cell>
          <cell r="Y4384">
            <v>0</v>
          </cell>
          <cell r="Z4384">
            <v>0</v>
          </cell>
          <cell r="AA4384">
            <v>0</v>
          </cell>
          <cell r="AB4384">
            <v>0</v>
          </cell>
        </row>
        <row r="4385">
          <cell r="A4385">
            <v>71104070</v>
          </cell>
          <cell r="B4385" t="str">
            <v>Potato, roasted, from fresh, peel eaten, made with oil</v>
          </cell>
          <cell r="I4385">
            <v>110</v>
          </cell>
          <cell r="J4385">
            <v>143.27135000000001</v>
          </cell>
          <cell r="K4385">
            <v>1.3024668181818182</v>
          </cell>
          <cell r="L4385">
            <v>0</v>
          </cell>
          <cell r="M4385">
            <v>0.74915580000000004</v>
          </cell>
          <cell r="N4385">
            <v>0</v>
          </cell>
          <cell r="O4385">
            <v>1.5767900000000001E-2</v>
          </cell>
          <cell r="P4385">
            <v>2.2960151999999998</v>
          </cell>
          <cell r="Q4385">
            <v>2.2088578999999999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0.17226060000000001</v>
          </cell>
          <cell r="Y4385">
            <v>0</v>
          </cell>
          <cell r="Z4385">
            <v>0</v>
          </cell>
          <cell r="AA4385">
            <v>0</v>
          </cell>
          <cell r="AB4385">
            <v>1.8490699999999999E-2</v>
          </cell>
        </row>
        <row r="4386">
          <cell r="A4386">
            <v>71104080</v>
          </cell>
          <cell r="B4386" t="str">
            <v>Potato, roasted, from fresh, peel eaten, made with butter</v>
          </cell>
          <cell r="I4386">
            <v>110</v>
          </cell>
          <cell r="J4386">
            <v>134.47343000000001</v>
          </cell>
          <cell r="K4386">
            <v>1.2224857272727274</v>
          </cell>
          <cell r="L4386">
            <v>0</v>
          </cell>
          <cell r="M4386">
            <v>2.7159772000000002</v>
          </cell>
          <cell r="N4386">
            <v>0</v>
          </cell>
          <cell r="O4386">
            <v>1.70072E-2</v>
          </cell>
          <cell r="P4386">
            <v>2.2960151999999998</v>
          </cell>
          <cell r="Q4386">
            <v>0.218278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0.20578769999999999</v>
          </cell>
          <cell r="Y4386">
            <v>0</v>
          </cell>
          <cell r="Z4386">
            <v>0</v>
          </cell>
          <cell r="AA4386">
            <v>0</v>
          </cell>
          <cell r="AB4386">
            <v>0.17105310000000001</v>
          </cell>
        </row>
        <row r="4387">
          <cell r="A4387">
            <v>71104090</v>
          </cell>
          <cell r="B4387" t="str">
            <v>Potato, roasted, from fresh, peel eaten, made with margarine</v>
          </cell>
          <cell r="I4387">
            <v>110</v>
          </cell>
          <cell r="J4387">
            <v>124.87192</v>
          </cell>
          <cell r="K4387">
            <v>1.1351992727272728</v>
          </cell>
          <cell r="L4387">
            <v>0</v>
          </cell>
          <cell r="M4387">
            <v>0.66615749999999996</v>
          </cell>
          <cell r="N4387">
            <v>0</v>
          </cell>
          <cell r="O4387">
            <v>1.68507E-2</v>
          </cell>
          <cell r="P4387">
            <v>2.2960151999999998</v>
          </cell>
          <cell r="Q4387">
            <v>1.4411148</v>
          </cell>
          <cell r="R4387">
            <v>0</v>
          </cell>
          <cell r="S4387">
            <v>0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0.20743139999999999</v>
          </cell>
          <cell r="Y4387">
            <v>0</v>
          </cell>
          <cell r="Z4387">
            <v>0</v>
          </cell>
          <cell r="AA4387">
            <v>0</v>
          </cell>
          <cell r="AB4387">
            <v>0.19119539999999999</v>
          </cell>
        </row>
        <row r="4388">
          <cell r="A4388">
            <v>71104120</v>
          </cell>
          <cell r="B4388" t="str">
            <v>Potato, roasted, from fresh, peel not eaten, fat not added in cooking</v>
          </cell>
          <cell r="I4388">
            <v>110</v>
          </cell>
          <cell r="J4388">
            <v>101.89243</v>
          </cell>
          <cell r="K4388">
            <v>0.92629481818181825</v>
          </cell>
          <cell r="L4388">
            <v>0</v>
          </cell>
          <cell r="M4388">
            <v>2.84861E-2</v>
          </cell>
          <cell r="N4388">
            <v>0</v>
          </cell>
          <cell r="O4388">
            <v>5.5833000000000002E-3</v>
          </cell>
          <cell r="P4388">
            <v>1.6434263</v>
          </cell>
          <cell r="Q4388">
            <v>4.7111599999999997E-2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0.17533389999999999</v>
          </cell>
          <cell r="Y4388">
            <v>0</v>
          </cell>
          <cell r="Z4388">
            <v>0</v>
          </cell>
          <cell r="AA4388">
            <v>0</v>
          </cell>
          <cell r="AB4388">
            <v>0</v>
          </cell>
        </row>
        <row r="4389">
          <cell r="A4389">
            <v>71104130</v>
          </cell>
          <cell r="B4389" t="str">
            <v>Potato, roasted, from fresh, peel not eaten, made with oil</v>
          </cell>
          <cell r="I4389">
            <v>110</v>
          </cell>
          <cell r="J4389">
            <v>143.27135000000001</v>
          </cell>
          <cell r="K4389">
            <v>1.3024668181818182</v>
          </cell>
          <cell r="L4389">
            <v>0</v>
          </cell>
          <cell r="M4389">
            <v>0.74080670000000004</v>
          </cell>
          <cell r="N4389">
            <v>0</v>
          </cell>
          <cell r="O4389">
            <v>5.3315000000000003E-3</v>
          </cell>
          <cell r="P4389">
            <v>1.5654649</v>
          </cell>
          <cell r="Q4389">
            <v>2.1942469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0.16704240000000001</v>
          </cell>
          <cell r="Y4389">
            <v>0</v>
          </cell>
          <cell r="Z4389">
            <v>0</v>
          </cell>
          <cell r="AA4389">
            <v>0</v>
          </cell>
          <cell r="AB4389">
            <v>1.8490699999999999E-2</v>
          </cell>
        </row>
        <row r="4390">
          <cell r="A4390">
            <v>71104140</v>
          </cell>
          <cell r="B4390" t="str">
            <v>Potato, roasted, from fresh, peel not eaten, made with butter</v>
          </cell>
          <cell r="I4390">
            <v>110</v>
          </cell>
          <cell r="J4390">
            <v>134.47343000000001</v>
          </cell>
          <cell r="K4390">
            <v>1.2224857272727274</v>
          </cell>
          <cell r="L4390">
            <v>0</v>
          </cell>
          <cell r="M4390">
            <v>2.7076281</v>
          </cell>
          <cell r="N4390">
            <v>0</v>
          </cell>
          <cell r="O4390">
            <v>6.5707999999999999E-3</v>
          </cell>
          <cell r="P4390">
            <v>1.5654649</v>
          </cell>
          <cell r="Q4390">
            <v>0.20366699999999999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0.20056940000000001</v>
          </cell>
          <cell r="Y4390">
            <v>0</v>
          </cell>
          <cell r="Z4390">
            <v>0</v>
          </cell>
          <cell r="AA4390">
            <v>0</v>
          </cell>
          <cell r="AB4390">
            <v>0.17105310000000001</v>
          </cell>
        </row>
        <row r="4391">
          <cell r="A4391">
            <v>71104150</v>
          </cell>
          <cell r="B4391" t="str">
            <v>Potato, roasted, from fresh, peel not eaten, made with margarine</v>
          </cell>
          <cell r="I4391">
            <v>110</v>
          </cell>
          <cell r="J4391">
            <v>124.87192</v>
          </cell>
          <cell r="K4391">
            <v>1.1351992727272728</v>
          </cell>
          <cell r="L4391">
            <v>0</v>
          </cell>
          <cell r="M4391">
            <v>0.65780830000000001</v>
          </cell>
          <cell r="N4391">
            <v>0</v>
          </cell>
          <cell r="O4391">
            <v>6.4142000000000001E-3</v>
          </cell>
          <cell r="P4391">
            <v>1.5654649</v>
          </cell>
          <cell r="Q4391">
            <v>1.4265038000000001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0.20221320000000001</v>
          </cell>
          <cell r="Y4391">
            <v>0</v>
          </cell>
          <cell r="Z4391">
            <v>0</v>
          </cell>
          <cell r="AA4391">
            <v>0</v>
          </cell>
          <cell r="AB4391">
            <v>0.19119539999999999</v>
          </cell>
        </row>
        <row r="4392">
          <cell r="A4392">
            <v>71104200</v>
          </cell>
          <cell r="B4392" t="str">
            <v>Potato, roasted, ready-to-heat</v>
          </cell>
          <cell r="I4392">
            <v>110</v>
          </cell>
          <cell r="J4392">
            <v>136.95209</v>
          </cell>
          <cell r="K4392">
            <v>1.2450189999999999</v>
          </cell>
          <cell r="L4392">
            <v>0</v>
          </cell>
          <cell r="M4392">
            <v>1.3142533999999999</v>
          </cell>
          <cell r="N4392">
            <v>0</v>
          </cell>
          <cell r="O4392">
            <v>5.9198000000000002E-3</v>
          </cell>
          <cell r="P4392">
            <v>1.5654649</v>
          </cell>
          <cell r="Q4392">
            <v>1.4435243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0.18417900000000001</v>
          </cell>
          <cell r="Y4392">
            <v>0</v>
          </cell>
          <cell r="Z4392">
            <v>0</v>
          </cell>
          <cell r="AA4392">
            <v>0</v>
          </cell>
          <cell r="AB4392">
            <v>9.8800399999999997E-2</v>
          </cell>
        </row>
        <row r="4393">
          <cell r="A4393">
            <v>71200010</v>
          </cell>
          <cell r="B4393" t="str">
            <v>Potato chips, NFS</v>
          </cell>
          <cell r="I4393">
            <v>30</v>
          </cell>
          <cell r="J4393">
            <v>159.6</v>
          </cell>
          <cell r="K4393">
            <v>5.3199999999999994</v>
          </cell>
          <cell r="L4393">
            <v>0</v>
          </cell>
          <cell r="M4393">
            <v>1.02</v>
          </cell>
          <cell r="N4393">
            <v>0</v>
          </cell>
          <cell r="O4393">
            <v>6.3E-3</v>
          </cell>
          <cell r="P4393">
            <v>0.93</v>
          </cell>
          <cell r="Q4393">
            <v>2.4845999999999999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0.15809999999999999</v>
          </cell>
          <cell r="Y4393">
            <v>0</v>
          </cell>
          <cell r="Z4393">
            <v>0</v>
          </cell>
          <cell r="AA4393">
            <v>0</v>
          </cell>
          <cell r="AB4393">
            <v>2.52E-2</v>
          </cell>
        </row>
        <row r="4394">
          <cell r="A4394">
            <v>71200100</v>
          </cell>
          <cell r="B4394" t="str">
            <v>Potato chips, plain</v>
          </cell>
          <cell r="I4394">
            <v>30</v>
          </cell>
          <cell r="J4394">
            <v>159.6</v>
          </cell>
          <cell r="K4394">
            <v>5.3199999999999994</v>
          </cell>
          <cell r="L4394">
            <v>0</v>
          </cell>
          <cell r="M4394">
            <v>1.02</v>
          </cell>
          <cell r="N4394">
            <v>0</v>
          </cell>
          <cell r="O4394">
            <v>6.3E-3</v>
          </cell>
          <cell r="P4394">
            <v>0.93</v>
          </cell>
          <cell r="Q4394">
            <v>2.4845999999999999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0.15809999999999999</v>
          </cell>
          <cell r="Y4394">
            <v>0</v>
          </cell>
          <cell r="Z4394">
            <v>0</v>
          </cell>
          <cell r="AA4394">
            <v>0</v>
          </cell>
          <cell r="AB4394">
            <v>2.52E-2</v>
          </cell>
        </row>
        <row r="4395">
          <cell r="A4395">
            <v>71200110</v>
          </cell>
          <cell r="B4395" t="str">
            <v>Potato chips, barbecue flavored</v>
          </cell>
          <cell r="I4395">
            <v>30</v>
          </cell>
          <cell r="J4395">
            <v>146.1</v>
          </cell>
          <cell r="K4395">
            <v>4.87</v>
          </cell>
          <cell r="L4395">
            <v>0</v>
          </cell>
          <cell r="M4395">
            <v>1.2005999999999999</v>
          </cell>
          <cell r="N4395">
            <v>0</v>
          </cell>
          <cell r="O4395">
            <v>9.5999999999999992E-3</v>
          </cell>
          <cell r="P4395">
            <v>1.1399999999999999</v>
          </cell>
          <cell r="Q4395">
            <v>3.6621000000000001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0.16350000000000001</v>
          </cell>
          <cell r="Y4395">
            <v>0</v>
          </cell>
          <cell r="Z4395">
            <v>0</v>
          </cell>
          <cell r="AA4395">
            <v>0</v>
          </cell>
          <cell r="AB4395">
            <v>3.7199999999999997E-2</v>
          </cell>
        </row>
        <row r="4396">
          <cell r="A4396">
            <v>71200120</v>
          </cell>
          <cell r="B4396" t="str">
            <v>Potato chips, sour cream and onion flavored</v>
          </cell>
          <cell r="I4396">
            <v>30</v>
          </cell>
          <cell r="J4396">
            <v>146.1</v>
          </cell>
          <cell r="K4396">
            <v>4.87</v>
          </cell>
          <cell r="L4396">
            <v>0</v>
          </cell>
          <cell r="M4396">
            <v>1.2005999999999999</v>
          </cell>
          <cell r="N4396">
            <v>0</v>
          </cell>
          <cell r="O4396">
            <v>9.5999999999999992E-3</v>
          </cell>
          <cell r="P4396">
            <v>1.1399999999999999</v>
          </cell>
          <cell r="Q4396">
            <v>3.6621000000000001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0.16350000000000001</v>
          </cell>
          <cell r="Y4396">
            <v>0</v>
          </cell>
          <cell r="Z4396">
            <v>0</v>
          </cell>
          <cell r="AA4396">
            <v>0</v>
          </cell>
          <cell r="AB4396">
            <v>3.7199999999999997E-2</v>
          </cell>
        </row>
        <row r="4397">
          <cell r="A4397">
            <v>71200130</v>
          </cell>
          <cell r="B4397" t="str">
            <v>Potato chips, cheese flavored</v>
          </cell>
          <cell r="I4397">
            <v>30</v>
          </cell>
          <cell r="J4397">
            <v>146.1</v>
          </cell>
          <cell r="K4397">
            <v>4.87</v>
          </cell>
          <cell r="L4397">
            <v>0</v>
          </cell>
          <cell r="M4397">
            <v>1.2005999999999999</v>
          </cell>
          <cell r="N4397">
            <v>0</v>
          </cell>
          <cell r="O4397">
            <v>9.5999999999999992E-3</v>
          </cell>
          <cell r="P4397">
            <v>1.1399999999999999</v>
          </cell>
          <cell r="Q4397">
            <v>3.6621000000000001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0.16350000000000001</v>
          </cell>
          <cell r="Y4397">
            <v>0</v>
          </cell>
          <cell r="Z4397">
            <v>0</v>
          </cell>
          <cell r="AA4397">
            <v>0</v>
          </cell>
          <cell r="AB4397">
            <v>3.7199999999999997E-2</v>
          </cell>
        </row>
        <row r="4398">
          <cell r="A4398">
            <v>71200140</v>
          </cell>
          <cell r="B4398" t="str">
            <v>Potato chips, other flavored</v>
          </cell>
          <cell r="I4398">
            <v>30</v>
          </cell>
          <cell r="J4398">
            <v>146.1</v>
          </cell>
          <cell r="K4398">
            <v>4.87</v>
          </cell>
          <cell r="L4398">
            <v>0</v>
          </cell>
          <cell r="M4398">
            <v>1.2005999999999999</v>
          </cell>
          <cell r="N4398">
            <v>0</v>
          </cell>
          <cell r="O4398">
            <v>9.5999999999999992E-3</v>
          </cell>
          <cell r="P4398">
            <v>1.1399999999999999</v>
          </cell>
          <cell r="Q4398">
            <v>3.6621000000000001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0.16350000000000001</v>
          </cell>
          <cell r="Y4398">
            <v>0</v>
          </cell>
          <cell r="Z4398">
            <v>0</v>
          </cell>
          <cell r="AA4398">
            <v>0</v>
          </cell>
          <cell r="AB4398">
            <v>3.7199999999999997E-2</v>
          </cell>
        </row>
        <row r="4399">
          <cell r="A4399">
            <v>71200200</v>
          </cell>
          <cell r="B4399" t="str">
            <v>Potato chips, ruffled, plain</v>
          </cell>
          <cell r="I4399">
            <v>30</v>
          </cell>
          <cell r="J4399">
            <v>159.6</v>
          </cell>
          <cell r="K4399">
            <v>5.3199999999999994</v>
          </cell>
          <cell r="L4399">
            <v>0</v>
          </cell>
          <cell r="M4399">
            <v>1.02</v>
          </cell>
          <cell r="N4399">
            <v>0</v>
          </cell>
          <cell r="O4399">
            <v>6.3E-3</v>
          </cell>
          <cell r="P4399">
            <v>0.93</v>
          </cell>
          <cell r="Q4399">
            <v>2.4845999999999999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0.15809999999999999</v>
          </cell>
          <cell r="Y4399">
            <v>0</v>
          </cell>
          <cell r="Z4399">
            <v>0</v>
          </cell>
          <cell r="AA4399">
            <v>0</v>
          </cell>
          <cell r="AB4399">
            <v>2.52E-2</v>
          </cell>
        </row>
        <row r="4400">
          <cell r="A4400">
            <v>71200210</v>
          </cell>
          <cell r="B4400" t="str">
            <v>Potato chips, ruffled, barbecue flavored</v>
          </cell>
          <cell r="I4400">
            <v>30</v>
          </cell>
          <cell r="J4400">
            <v>146.1</v>
          </cell>
          <cell r="K4400">
            <v>4.87</v>
          </cell>
          <cell r="L4400">
            <v>0</v>
          </cell>
          <cell r="M4400">
            <v>1.2005999999999999</v>
          </cell>
          <cell r="N4400">
            <v>0</v>
          </cell>
          <cell r="O4400">
            <v>9.5999999999999992E-3</v>
          </cell>
          <cell r="P4400">
            <v>1.1399999999999999</v>
          </cell>
          <cell r="Q4400">
            <v>3.6621000000000001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0.16350000000000001</v>
          </cell>
          <cell r="Y4400">
            <v>0</v>
          </cell>
          <cell r="Z4400">
            <v>0</v>
          </cell>
          <cell r="AA4400">
            <v>0</v>
          </cell>
          <cell r="AB4400">
            <v>3.7199999999999997E-2</v>
          </cell>
        </row>
        <row r="4401">
          <cell r="A4401">
            <v>71200220</v>
          </cell>
          <cell r="B4401" t="str">
            <v>Potato chips, ruffled, sour cream and onion flavored</v>
          </cell>
          <cell r="I4401">
            <v>30</v>
          </cell>
          <cell r="J4401">
            <v>146.1</v>
          </cell>
          <cell r="K4401">
            <v>4.87</v>
          </cell>
          <cell r="L4401">
            <v>0</v>
          </cell>
          <cell r="M4401">
            <v>1.2005999999999999</v>
          </cell>
          <cell r="N4401">
            <v>0</v>
          </cell>
          <cell r="O4401">
            <v>9.5999999999999992E-3</v>
          </cell>
          <cell r="P4401">
            <v>1.1399999999999999</v>
          </cell>
          <cell r="Q4401">
            <v>3.6621000000000001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0.16350000000000001</v>
          </cell>
          <cell r="Y4401">
            <v>0</v>
          </cell>
          <cell r="Z4401">
            <v>0</v>
          </cell>
          <cell r="AA4401">
            <v>0</v>
          </cell>
          <cell r="AB4401">
            <v>3.7199999999999997E-2</v>
          </cell>
        </row>
        <row r="4402">
          <cell r="A4402">
            <v>71200230</v>
          </cell>
          <cell r="B4402" t="str">
            <v>Potato chips, ruffled, cheese flavored</v>
          </cell>
          <cell r="I4402">
            <v>30</v>
          </cell>
          <cell r="J4402">
            <v>146.1</v>
          </cell>
          <cell r="K4402">
            <v>4.87</v>
          </cell>
          <cell r="L4402">
            <v>0</v>
          </cell>
          <cell r="M4402">
            <v>1.2005999999999999</v>
          </cell>
          <cell r="N4402">
            <v>0</v>
          </cell>
          <cell r="O4402">
            <v>9.5999999999999992E-3</v>
          </cell>
          <cell r="P4402">
            <v>1.1399999999999999</v>
          </cell>
          <cell r="Q4402">
            <v>3.6621000000000001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0.16350000000000001</v>
          </cell>
          <cell r="Y4402">
            <v>0</v>
          </cell>
          <cell r="Z4402">
            <v>0</v>
          </cell>
          <cell r="AA4402">
            <v>0</v>
          </cell>
          <cell r="AB4402">
            <v>3.7199999999999997E-2</v>
          </cell>
        </row>
        <row r="4403">
          <cell r="A4403">
            <v>71200240</v>
          </cell>
          <cell r="B4403" t="str">
            <v>Potato chips, ruffled, other flavored</v>
          </cell>
          <cell r="I4403">
            <v>30</v>
          </cell>
          <cell r="J4403">
            <v>146.1</v>
          </cell>
          <cell r="K4403">
            <v>4.87</v>
          </cell>
          <cell r="L4403">
            <v>0</v>
          </cell>
          <cell r="M4403">
            <v>1.2005999999999999</v>
          </cell>
          <cell r="N4403">
            <v>0</v>
          </cell>
          <cell r="O4403">
            <v>9.5999999999999992E-3</v>
          </cell>
          <cell r="P4403">
            <v>1.1399999999999999</v>
          </cell>
          <cell r="Q4403">
            <v>3.6621000000000001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0.16350000000000001</v>
          </cell>
          <cell r="Y4403">
            <v>0</v>
          </cell>
          <cell r="Z4403">
            <v>0</v>
          </cell>
          <cell r="AA4403">
            <v>0</v>
          </cell>
          <cell r="AB4403">
            <v>3.7199999999999997E-2</v>
          </cell>
        </row>
        <row r="4404">
          <cell r="A4404">
            <v>71200300</v>
          </cell>
          <cell r="B4404" t="str">
            <v>Potato chips, restructured, plain</v>
          </cell>
          <cell r="I4404">
            <v>30</v>
          </cell>
          <cell r="J4404">
            <v>163.01096999999999</v>
          </cell>
          <cell r="K4404">
            <v>5.4336989999999998</v>
          </cell>
          <cell r="L4404">
            <v>-1.3299999999999999E-16</v>
          </cell>
          <cell r="M4404">
            <v>2.5851446</v>
          </cell>
          <cell r="N4404">
            <v>0</v>
          </cell>
          <cell r="O4404">
            <v>5.1063000000000002E-3</v>
          </cell>
          <cell r="P4404">
            <v>0.8673978</v>
          </cell>
          <cell r="Q4404">
            <v>4.6366899000000004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0.1544189</v>
          </cell>
          <cell r="Y4404">
            <v>0</v>
          </cell>
          <cell r="Z4404">
            <v>0</v>
          </cell>
          <cell r="AA4404">
            <v>0</v>
          </cell>
          <cell r="AB4404">
            <v>6.7896300000000007E-2</v>
          </cell>
        </row>
        <row r="4405">
          <cell r="A4405">
            <v>71200310</v>
          </cell>
          <cell r="B4405" t="str">
            <v>Potato chips, restructured, flavored</v>
          </cell>
          <cell r="I4405">
            <v>30</v>
          </cell>
          <cell r="J4405">
            <v>162.52484999999999</v>
          </cell>
          <cell r="K4405">
            <v>5.4174949999999997</v>
          </cell>
          <cell r="L4405">
            <v>0</v>
          </cell>
          <cell r="M4405">
            <v>2.5774354000000002</v>
          </cell>
          <cell r="N4405">
            <v>0</v>
          </cell>
          <cell r="O4405">
            <v>5.1124999999999999E-3</v>
          </cell>
          <cell r="P4405">
            <v>0.86481110000000005</v>
          </cell>
          <cell r="Q4405">
            <v>4.6228628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0.18863260000000001</v>
          </cell>
          <cell r="Y4405">
            <v>0</v>
          </cell>
          <cell r="Z4405">
            <v>0</v>
          </cell>
          <cell r="AA4405">
            <v>0</v>
          </cell>
          <cell r="AB4405">
            <v>6.7693799999999998E-2</v>
          </cell>
        </row>
        <row r="4406">
          <cell r="A4406">
            <v>71200400</v>
          </cell>
          <cell r="B4406" t="str">
            <v>Potato chips, baked, plain</v>
          </cell>
          <cell r="I4406">
            <v>30</v>
          </cell>
          <cell r="J4406">
            <v>140.69999999999999</v>
          </cell>
          <cell r="K4406">
            <v>4.6899999999999995</v>
          </cell>
          <cell r="L4406">
            <v>0</v>
          </cell>
          <cell r="M4406">
            <v>0.7893</v>
          </cell>
          <cell r="N4406">
            <v>0</v>
          </cell>
          <cell r="O4406">
            <v>3.7499999999999999E-2</v>
          </cell>
          <cell r="P4406">
            <v>1.44</v>
          </cell>
          <cell r="Q4406">
            <v>1.2702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0.16619999999999999</v>
          </cell>
          <cell r="Y4406">
            <v>0</v>
          </cell>
          <cell r="Z4406">
            <v>0</v>
          </cell>
          <cell r="AA4406">
            <v>0</v>
          </cell>
          <cell r="AB4406">
            <v>0.124455</v>
          </cell>
        </row>
        <row r="4407">
          <cell r="A4407">
            <v>71200410</v>
          </cell>
          <cell r="B4407" t="str">
            <v>Potato chips, baked, flavored</v>
          </cell>
          <cell r="I4407">
            <v>30</v>
          </cell>
          <cell r="J4407">
            <v>140</v>
          </cell>
          <cell r="K4407">
            <v>4.666666666666667</v>
          </cell>
          <cell r="L4407">
            <v>2.6649999999999999E-16</v>
          </cell>
          <cell r="M4407">
            <v>0.78537310000000005</v>
          </cell>
          <cell r="N4407">
            <v>0</v>
          </cell>
          <cell r="O4407">
            <v>3.7349300000000002E-2</v>
          </cell>
          <cell r="P4407">
            <v>1.4328358000000001</v>
          </cell>
          <cell r="Q4407">
            <v>1.2638806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0.2232209</v>
          </cell>
          <cell r="Y4407">
            <v>0</v>
          </cell>
          <cell r="Z4407">
            <v>0</v>
          </cell>
          <cell r="AA4407">
            <v>0</v>
          </cell>
          <cell r="AB4407">
            <v>0.1238031</v>
          </cell>
        </row>
        <row r="4408">
          <cell r="A4408">
            <v>71201015</v>
          </cell>
          <cell r="B4408" t="str">
            <v>White potato chips, regular cut</v>
          </cell>
          <cell r="I4408">
            <v>30</v>
          </cell>
          <cell r="J4408">
            <v>159.6</v>
          </cell>
          <cell r="K4408">
            <v>5.3199999999999994</v>
          </cell>
          <cell r="L4408">
            <v>0</v>
          </cell>
          <cell r="M4408">
            <v>1.02</v>
          </cell>
          <cell r="N4408">
            <v>0</v>
          </cell>
          <cell r="O4408">
            <v>6.3E-3</v>
          </cell>
          <cell r="P4408">
            <v>0.93</v>
          </cell>
          <cell r="Q4408">
            <v>2.4845999999999999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0.15809999999999999</v>
          </cell>
          <cell r="Y4408">
            <v>0</v>
          </cell>
          <cell r="Z4408">
            <v>0</v>
          </cell>
          <cell r="AA4408">
            <v>0</v>
          </cell>
          <cell r="AB4408">
            <v>2.52E-2</v>
          </cell>
        </row>
        <row r="4409">
          <cell r="A4409">
            <v>71201020</v>
          </cell>
          <cell r="B4409" t="str">
            <v>White potato chips, ruffled, rippled, or crinkle cut</v>
          </cell>
          <cell r="I4409">
            <v>30</v>
          </cell>
          <cell r="J4409">
            <v>159.6</v>
          </cell>
          <cell r="K4409">
            <v>5.3199999999999994</v>
          </cell>
          <cell r="L4409">
            <v>0</v>
          </cell>
          <cell r="M4409">
            <v>1.02</v>
          </cell>
          <cell r="N4409">
            <v>0</v>
          </cell>
          <cell r="O4409">
            <v>6.3E-3</v>
          </cell>
          <cell r="P4409">
            <v>0.93</v>
          </cell>
          <cell r="Q4409">
            <v>2.4845999999999999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0.15809999999999999</v>
          </cell>
          <cell r="Y4409">
            <v>0</v>
          </cell>
          <cell r="Z4409">
            <v>0</v>
          </cell>
          <cell r="AA4409">
            <v>0</v>
          </cell>
          <cell r="AB4409">
            <v>2.52E-2</v>
          </cell>
        </row>
        <row r="4410">
          <cell r="A4410">
            <v>71201050</v>
          </cell>
          <cell r="B4410" t="str">
            <v>Potato chips, reduced fat</v>
          </cell>
          <cell r="I4410">
            <v>30</v>
          </cell>
          <cell r="J4410">
            <v>144.65347</v>
          </cell>
          <cell r="K4410">
            <v>4.8217823333333332</v>
          </cell>
          <cell r="L4410">
            <v>0</v>
          </cell>
          <cell r="M4410">
            <v>1.2356436</v>
          </cell>
          <cell r="N4410">
            <v>0</v>
          </cell>
          <cell r="O4410">
            <v>6.3089000000000001E-3</v>
          </cell>
          <cell r="P4410">
            <v>1.8118812</v>
          </cell>
          <cell r="Q4410">
            <v>3.2495050000000001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0.11749900000000001</v>
          </cell>
          <cell r="Y4410">
            <v>0</v>
          </cell>
          <cell r="Z4410">
            <v>0</v>
          </cell>
          <cell r="AA4410">
            <v>0</v>
          </cell>
          <cell r="AB4410">
            <v>0</v>
          </cell>
        </row>
        <row r="4411">
          <cell r="A4411">
            <v>71201080</v>
          </cell>
          <cell r="B4411" t="str">
            <v>White potato, chips, fat free</v>
          </cell>
          <cell r="I4411">
            <v>30</v>
          </cell>
          <cell r="J4411">
            <v>113.7</v>
          </cell>
          <cell r="K4411">
            <v>3.79</v>
          </cell>
          <cell r="L4411">
            <v>0</v>
          </cell>
          <cell r="M4411">
            <v>4.4999999999999998E-2</v>
          </cell>
          <cell r="N4411">
            <v>0</v>
          </cell>
          <cell r="O4411">
            <v>1.0500000000000001E-2</v>
          </cell>
          <cell r="P4411">
            <v>2.25</v>
          </cell>
          <cell r="Q4411">
            <v>7.6499999999999999E-2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0.19289999999999999</v>
          </cell>
          <cell r="Y4411">
            <v>0</v>
          </cell>
          <cell r="Z4411">
            <v>0</v>
          </cell>
          <cell r="AA4411">
            <v>0</v>
          </cell>
          <cell r="AB4411">
            <v>0</v>
          </cell>
        </row>
        <row r="4412">
          <cell r="A4412">
            <v>71201090</v>
          </cell>
          <cell r="B4412" t="str">
            <v>White potato, chips, fat free, made with Olean</v>
          </cell>
          <cell r="I4412">
            <v>30</v>
          </cell>
          <cell r="J4412">
            <v>82.2</v>
          </cell>
          <cell r="K4412">
            <v>2.74</v>
          </cell>
          <cell r="L4412">
            <v>0</v>
          </cell>
          <cell r="M4412">
            <v>7.1999999999999995E-2</v>
          </cell>
          <cell r="N4412">
            <v>0</v>
          </cell>
          <cell r="O4412">
            <v>1.0500000000000001E-2</v>
          </cell>
          <cell r="P4412">
            <v>2.04</v>
          </cell>
          <cell r="Q4412">
            <v>9.1200000000000003E-2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0.16619999999999999</v>
          </cell>
          <cell r="Y4412">
            <v>0</v>
          </cell>
          <cell r="Z4412">
            <v>0</v>
          </cell>
          <cell r="AA4412">
            <v>0</v>
          </cell>
          <cell r="AB4412">
            <v>0</v>
          </cell>
        </row>
        <row r="4413">
          <cell r="A4413">
            <v>71201100</v>
          </cell>
          <cell r="B4413" t="str">
            <v>White potato, chips, restructured</v>
          </cell>
          <cell r="I4413">
            <v>30</v>
          </cell>
          <cell r="J4413">
            <v>163.5</v>
          </cell>
          <cell r="K4413">
            <v>5.45</v>
          </cell>
          <cell r="L4413">
            <v>0</v>
          </cell>
          <cell r="M4413">
            <v>2.5929000000000002</v>
          </cell>
          <cell r="N4413">
            <v>0</v>
          </cell>
          <cell r="O4413">
            <v>5.1000000000000004E-3</v>
          </cell>
          <cell r="P4413">
            <v>0.87</v>
          </cell>
          <cell r="Q4413">
            <v>4.6505999999999998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0.12</v>
          </cell>
          <cell r="Y4413">
            <v>0</v>
          </cell>
          <cell r="Z4413">
            <v>0</v>
          </cell>
          <cell r="AA4413">
            <v>0</v>
          </cell>
          <cell r="AB4413">
            <v>6.8099999999999994E-2</v>
          </cell>
        </row>
        <row r="4414">
          <cell r="A4414">
            <v>71201200</v>
          </cell>
          <cell r="B4414" t="str">
            <v>Potato chips, restructured, reduced fat, lightly salted</v>
          </cell>
          <cell r="I4414">
            <v>30</v>
          </cell>
          <cell r="J4414">
            <v>150.6</v>
          </cell>
          <cell r="K4414">
            <v>5.0199999999999996</v>
          </cell>
          <cell r="L4414">
            <v>0</v>
          </cell>
          <cell r="M4414">
            <v>2.0276999999999998</v>
          </cell>
          <cell r="N4414">
            <v>0</v>
          </cell>
          <cell r="O4414">
            <v>8.6999999999999994E-3</v>
          </cell>
          <cell r="P4414">
            <v>0.96</v>
          </cell>
          <cell r="Q4414">
            <v>3.6602999999999999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0.13500000000000001</v>
          </cell>
          <cell r="Y4414">
            <v>0</v>
          </cell>
          <cell r="Z4414">
            <v>0</v>
          </cell>
          <cell r="AA4414">
            <v>0</v>
          </cell>
          <cell r="AB4414">
            <v>4.1700000000000001E-2</v>
          </cell>
        </row>
        <row r="4415">
          <cell r="A4415">
            <v>71201210</v>
          </cell>
          <cell r="B4415" t="str">
            <v>Potato chips, restructured, fat free</v>
          </cell>
          <cell r="I4415">
            <v>30</v>
          </cell>
          <cell r="J4415">
            <v>150.6</v>
          </cell>
          <cell r="K4415">
            <v>5.0199999999999996</v>
          </cell>
          <cell r="L4415">
            <v>0</v>
          </cell>
          <cell r="M4415">
            <v>2.0276999999999998</v>
          </cell>
          <cell r="N4415">
            <v>0</v>
          </cell>
          <cell r="O4415">
            <v>8.6999999999999994E-3</v>
          </cell>
          <cell r="P4415">
            <v>0.96</v>
          </cell>
          <cell r="Q4415">
            <v>3.6602999999999999</v>
          </cell>
          <cell r="R4415">
            <v>0</v>
          </cell>
          <cell r="S4415">
            <v>0</v>
          </cell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0.13500000000000001</v>
          </cell>
          <cell r="Y4415">
            <v>0</v>
          </cell>
          <cell r="Z4415">
            <v>0</v>
          </cell>
          <cell r="AA4415">
            <v>0</v>
          </cell>
          <cell r="AB4415">
            <v>4.1700000000000001E-2</v>
          </cell>
        </row>
        <row r="4416">
          <cell r="A4416">
            <v>71201250</v>
          </cell>
          <cell r="B4416" t="str">
            <v>White potato, chips, restructured, baked</v>
          </cell>
          <cell r="I4416">
            <v>30</v>
          </cell>
          <cell r="J4416">
            <v>140.69999999999999</v>
          </cell>
          <cell r="K4416">
            <v>4.6899999999999995</v>
          </cell>
          <cell r="L4416">
            <v>0</v>
          </cell>
          <cell r="M4416">
            <v>0.7893</v>
          </cell>
          <cell r="N4416">
            <v>0</v>
          </cell>
          <cell r="O4416">
            <v>3.7499999999999999E-2</v>
          </cell>
          <cell r="P4416">
            <v>1.44</v>
          </cell>
          <cell r="Q4416">
            <v>1.2702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0.16619999999999999</v>
          </cell>
          <cell r="Y4416">
            <v>0</v>
          </cell>
          <cell r="Z4416">
            <v>0</v>
          </cell>
          <cell r="AA4416">
            <v>0</v>
          </cell>
          <cell r="AB4416">
            <v>0.1244296</v>
          </cell>
        </row>
        <row r="4417">
          <cell r="A4417">
            <v>71202000</v>
          </cell>
          <cell r="B4417" t="str">
            <v>Potato chips, unsalted</v>
          </cell>
          <cell r="I4417">
            <v>30</v>
          </cell>
          <cell r="J4417">
            <v>160.96799999999999</v>
          </cell>
          <cell r="K4417">
            <v>5.3655999999999997</v>
          </cell>
          <cell r="L4417">
            <v>0</v>
          </cell>
          <cell r="M4417">
            <v>1.564368</v>
          </cell>
          <cell r="N4417">
            <v>0</v>
          </cell>
          <cell r="O4417">
            <v>5.5440000000000003E-3</v>
          </cell>
          <cell r="P4417">
            <v>1.6104000000000001</v>
          </cell>
          <cell r="Q4417">
            <v>4.8565319999999996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2.1120000000000002E-3</v>
          </cell>
          <cell r="Y4417">
            <v>0</v>
          </cell>
          <cell r="Z4417">
            <v>0</v>
          </cell>
          <cell r="AA4417">
            <v>0</v>
          </cell>
          <cell r="AB4417">
            <v>1.0296E-2</v>
          </cell>
        </row>
        <row r="4418">
          <cell r="A4418">
            <v>71202100</v>
          </cell>
          <cell r="B4418" t="str">
            <v>Potato chips, reduced fat, unsalted</v>
          </cell>
          <cell r="I4418">
            <v>30</v>
          </cell>
          <cell r="J4418">
            <v>146.1</v>
          </cell>
          <cell r="K4418">
            <v>4.87</v>
          </cell>
          <cell r="L4418">
            <v>0</v>
          </cell>
          <cell r="M4418">
            <v>1.248</v>
          </cell>
          <cell r="N4418">
            <v>0</v>
          </cell>
          <cell r="O4418">
            <v>6.3E-3</v>
          </cell>
          <cell r="P4418">
            <v>1.83</v>
          </cell>
          <cell r="Q4418">
            <v>3.282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2.3999999999999998E-3</v>
          </cell>
          <cell r="Y4418">
            <v>0</v>
          </cell>
          <cell r="Z4418">
            <v>0</v>
          </cell>
          <cell r="AA4418">
            <v>0</v>
          </cell>
          <cell r="AB4418">
            <v>0</v>
          </cell>
        </row>
        <row r="4419">
          <cell r="A4419">
            <v>71202500</v>
          </cell>
          <cell r="B4419" t="str">
            <v>Potato chips, lightly salted</v>
          </cell>
          <cell r="I4419">
            <v>30</v>
          </cell>
          <cell r="J4419">
            <v>167.66467</v>
          </cell>
          <cell r="K4419">
            <v>5.5888223333333338</v>
          </cell>
          <cell r="L4419">
            <v>0</v>
          </cell>
          <cell r="M4419">
            <v>1.6437126</v>
          </cell>
          <cell r="N4419">
            <v>0</v>
          </cell>
          <cell r="O4419">
            <v>7.1999999999999998E-3</v>
          </cell>
          <cell r="P4419">
            <v>1.257485</v>
          </cell>
          <cell r="Q4419">
            <v>3.7173653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7.91964E-2</v>
          </cell>
          <cell r="Y4419">
            <v>0</v>
          </cell>
          <cell r="Z4419">
            <v>0</v>
          </cell>
          <cell r="AA4419">
            <v>0</v>
          </cell>
          <cell r="AB4419">
            <v>6.4371300000000006E-2</v>
          </cell>
        </row>
        <row r="4420">
          <cell r="A4420">
            <v>71202510</v>
          </cell>
          <cell r="B4420" t="str">
            <v>Potato chips, restructured, lightly salted</v>
          </cell>
          <cell r="I4420">
            <v>30</v>
          </cell>
          <cell r="J4420">
            <v>167.66467</v>
          </cell>
          <cell r="K4420">
            <v>5.5888223333333338</v>
          </cell>
          <cell r="L4420">
            <v>0</v>
          </cell>
          <cell r="M4420">
            <v>1.6437126</v>
          </cell>
          <cell r="N4420">
            <v>0</v>
          </cell>
          <cell r="O4420">
            <v>7.1999999999999998E-3</v>
          </cell>
          <cell r="P4420">
            <v>1.257485</v>
          </cell>
          <cell r="Q4420">
            <v>3.7173653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7.91964E-2</v>
          </cell>
          <cell r="Y4420">
            <v>0</v>
          </cell>
          <cell r="Z4420">
            <v>0</v>
          </cell>
          <cell r="AA4420">
            <v>0</v>
          </cell>
          <cell r="AB4420">
            <v>6.4371300000000006E-2</v>
          </cell>
        </row>
        <row r="4421">
          <cell r="A4421">
            <v>71203020</v>
          </cell>
          <cell r="B4421" t="str">
            <v>Potato chips, popped, flavored</v>
          </cell>
          <cell r="I4421">
            <v>30</v>
          </cell>
          <cell r="J4421">
            <v>140</v>
          </cell>
          <cell r="K4421">
            <v>4.666666666666667</v>
          </cell>
          <cell r="L4421">
            <v>2.6649999999999999E-16</v>
          </cell>
          <cell r="M4421">
            <v>0.78537310000000005</v>
          </cell>
          <cell r="N4421">
            <v>0</v>
          </cell>
          <cell r="O4421">
            <v>3.7349300000000002E-2</v>
          </cell>
          <cell r="P4421">
            <v>1.4328358000000001</v>
          </cell>
          <cell r="Q4421">
            <v>1.2638806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0.2232209</v>
          </cell>
          <cell r="Y4421">
            <v>0</v>
          </cell>
          <cell r="Z4421">
            <v>0</v>
          </cell>
          <cell r="AA4421">
            <v>0</v>
          </cell>
          <cell r="AB4421">
            <v>0.1233654</v>
          </cell>
        </row>
        <row r="4422">
          <cell r="A4422">
            <v>71204000</v>
          </cell>
          <cell r="B4422" t="str">
            <v>Potato puffs, cheese-filled</v>
          </cell>
          <cell r="I4422">
            <v>30</v>
          </cell>
          <cell r="J4422">
            <v>159.6</v>
          </cell>
          <cell r="K4422">
            <v>5.3199999999999994</v>
          </cell>
          <cell r="L4422">
            <v>0</v>
          </cell>
          <cell r="M4422">
            <v>1.02</v>
          </cell>
          <cell r="N4422">
            <v>0</v>
          </cell>
          <cell r="O4422">
            <v>6.3E-3</v>
          </cell>
          <cell r="P4422">
            <v>0.93</v>
          </cell>
          <cell r="Q4422">
            <v>2.4845999999999999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0.15809999999999999</v>
          </cell>
          <cell r="Y4422">
            <v>0</v>
          </cell>
          <cell r="Z4422">
            <v>0</v>
          </cell>
          <cell r="AA4422">
            <v>0</v>
          </cell>
          <cell r="AB4422">
            <v>2.52E-2</v>
          </cell>
        </row>
        <row r="4423">
          <cell r="A4423">
            <v>71205000</v>
          </cell>
          <cell r="B4423" t="str">
            <v>White potato, sticks</v>
          </cell>
          <cell r="I4423">
            <v>30</v>
          </cell>
          <cell r="J4423">
            <v>156.6</v>
          </cell>
          <cell r="K4423">
            <v>5.22</v>
          </cell>
          <cell r="L4423">
            <v>0</v>
          </cell>
          <cell r="M4423">
            <v>2.6640000000000001</v>
          </cell>
          <cell r="N4423">
            <v>0</v>
          </cell>
          <cell r="O4423">
            <v>5.4000000000000003E-3</v>
          </cell>
          <cell r="P4423">
            <v>1.02</v>
          </cell>
          <cell r="Q4423">
            <v>5.37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0.18990000000000001</v>
          </cell>
          <cell r="Y4423">
            <v>0</v>
          </cell>
          <cell r="Z4423">
            <v>0</v>
          </cell>
          <cell r="AA4423">
            <v>0</v>
          </cell>
          <cell r="AB4423">
            <v>0</v>
          </cell>
        </row>
        <row r="4424">
          <cell r="A4424">
            <v>71205020</v>
          </cell>
          <cell r="B4424" t="str">
            <v>Potato sticks, plain</v>
          </cell>
          <cell r="I4424">
            <v>30</v>
          </cell>
          <cell r="J4424">
            <v>156.6</v>
          </cell>
          <cell r="K4424">
            <v>5.22</v>
          </cell>
          <cell r="L4424">
            <v>0</v>
          </cell>
          <cell r="M4424">
            <v>2.6640000000000001</v>
          </cell>
          <cell r="N4424">
            <v>0</v>
          </cell>
          <cell r="O4424">
            <v>5.4000000000000003E-3</v>
          </cell>
          <cell r="P4424">
            <v>1.02</v>
          </cell>
          <cell r="Q4424">
            <v>5.37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0.18990000000000001</v>
          </cell>
          <cell r="Y4424">
            <v>0</v>
          </cell>
          <cell r="Z4424">
            <v>0</v>
          </cell>
          <cell r="AA4424">
            <v>0</v>
          </cell>
          <cell r="AB4424">
            <v>0</v>
          </cell>
        </row>
        <row r="4425">
          <cell r="A4425">
            <v>71205030</v>
          </cell>
          <cell r="B4425" t="str">
            <v>Potato sticks, flavored</v>
          </cell>
          <cell r="I4425">
            <v>30</v>
          </cell>
          <cell r="J4425">
            <v>155.04949999999999</v>
          </cell>
          <cell r="K4425">
            <v>5.1683166666666667</v>
          </cell>
          <cell r="L4425">
            <v>0</v>
          </cell>
          <cell r="M4425">
            <v>2.6376238000000001</v>
          </cell>
          <cell r="N4425">
            <v>0</v>
          </cell>
          <cell r="O4425">
            <v>5.4178000000000004E-3</v>
          </cell>
          <cell r="P4425">
            <v>1.0099009999999999</v>
          </cell>
          <cell r="Q4425">
            <v>5.3168316999999998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0.30314259999999998</v>
          </cell>
          <cell r="Y4425">
            <v>0</v>
          </cell>
          <cell r="Z4425">
            <v>0</v>
          </cell>
          <cell r="AA4425">
            <v>0</v>
          </cell>
          <cell r="AB4425">
            <v>0</v>
          </cell>
        </row>
        <row r="4426">
          <cell r="A4426">
            <v>71205040</v>
          </cell>
          <cell r="B4426" t="str">
            <v>Potato sticks, fry shaped</v>
          </cell>
          <cell r="I4426">
            <v>30</v>
          </cell>
          <cell r="J4426">
            <v>155.04949999999999</v>
          </cell>
          <cell r="K4426">
            <v>5.1683166666666667</v>
          </cell>
          <cell r="L4426">
            <v>0</v>
          </cell>
          <cell r="M4426">
            <v>2.6376238000000001</v>
          </cell>
          <cell r="N4426">
            <v>0</v>
          </cell>
          <cell r="O4426">
            <v>5.4178000000000004E-3</v>
          </cell>
          <cell r="P4426">
            <v>1.0099009999999999</v>
          </cell>
          <cell r="Q4426">
            <v>5.3168316999999998</v>
          </cell>
          <cell r="R4426">
            <v>0</v>
          </cell>
          <cell r="S4426">
            <v>0</v>
          </cell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>
            <v>0.30314259999999998</v>
          </cell>
          <cell r="Y4426">
            <v>0</v>
          </cell>
          <cell r="Z4426">
            <v>0</v>
          </cell>
          <cell r="AA4426">
            <v>0</v>
          </cell>
          <cell r="AB4426">
            <v>0</v>
          </cell>
        </row>
        <row r="4427">
          <cell r="A4427">
            <v>71211000</v>
          </cell>
          <cell r="B4427" t="str">
            <v>White potato skins, chips</v>
          </cell>
          <cell r="I4427">
            <v>30</v>
          </cell>
          <cell r="J4427">
            <v>167.7</v>
          </cell>
          <cell r="K4427">
            <v>5.59</v>
          </cell>
          <cell r="L4427">
            <v>0</v>
          </cell>
          <cell r="M4427">
            <v>2.8475999999999999</v>
          </cell>
          <cell r="N4427">
            <v>0</v>
          </cell>
          <cell r="O4427">
            <v>8.0999999999999996E-3</v>
          </cell>
          <cell r="P4427">
            <v>0.93</v>
          </cell>
          <cell r="Q4427">
            <v>4.0781999999999998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0.15870000000000001</v>
          </cell>
          <cell r="Y4427">
            <v>0</v>
          </cell>
          <cell r="Z4427">
            <v>0</v>
          </cell>
          <cell r="AA4427">
            <v>0</v>
          </cell>
          <cell r="AB4427">
            <v>6.8099999999999994E-2</v>
          </cell>
        </row>
        <row r="4428">
          <cell r="A4428">
            <v>71220000</v>
          </cell>
          <cell r="B4428" t="str">
            <v>Vegetable chips</v>
          </cell>
          <cell r="I4428">
            <v>30</v>
          </cell>
          <cell r="J4428">
            <v>148.5</v>
          </cell>
          <cell r="K4428">
            <v>4.95</v>
          </cell>
          <cell r="L4428">
            <v>0.60771839999999999</v>
          </cell>
          <cell r="M4428">
            <v>0.54735</v>
          </cell>
          <cell r="N4428">
            <v>0</v>
          </cell>
          <cell r="O4428">
            <v>1.9650000000000001E-2</v>
          </cell>
          <cell r="P4428">
            <v>1.7322816000000001</v>
          </cell>
          <cell r="Q4428">
            <v>2.0297999999999998</v>
          </cell>
          <cell r="R4428">
            <v>0</v>
          </cell>
          <cell r="S4428">
            <v>0</v>
          </cell>
          <cell r="T4428">
            <v>0</v>
          </cell>
          <cell r="U4428">
            <v>7.9551020000000001</v>
          </cell>
          <cell r="V4428">
            <v>0</v>
          </cell>
          <cell r="W4428">
            <v>0</v>
          </cell>
          <cell r="X4428">
            <v>9.0450000000000003E-2</v>
          </cell>
          <cell r="Y4428">
            <v>0</v>
          </cell>
          <cell r="Z4428">
            <v>0</v>
          </cell>
          <cell r="AA4428">
            <v>0</v>
          </cell>
          <cell r="AB4428">
            <v>2.7900000000000001E-2</v>
          </cell>
        </row>
        <row r="4429">
          <cell r="A4429">
            <v>71301020</v>
          </cell>
          <cell r="B4429" t="str">
            <v>White potato, cooked, with cheese</v>
          </cell>
          <cell r="I4429">
            <v>140</v>
          </cell>
          <cell r="J4429">
            <v>157.13549</v>
          </cell>
          <cell r="K4429">
            <v>1.1223963571428572</v>
          </cell>
          <cell r="L4429">
            <v>0</v>
          </cell>
          <cell r="M4429">
            <v>3.5472700000000001</v>
          </cell>
          <cell r="N4429">
            <v>0</v>
          </cell>
          <cell r="O4429">
            <v>0.1193799</v>
          </cell>
          <cell r="P4429">
            <v>1.9886927999999999</v>
          </cell>
          <cell r="Q4429">
            <v>0.6725255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0.40928389999999998</v>
          </cell>
          <cell r="Y4429">
            <v>0</v>
          </cell>
          <cell r="Z4429">
            <v>0</v>
          </cell>
          <cell r="AA4429">
            <v>0</v>
          </cell>
          <cell r="AB4429">
            <v>0.22615830000000001</v>
          </cell>
        </row>
        <row r="4430">
          <cell r="A4430">
            <v>71301021</v>
          </cell>
          <cell r="B4430" t="str">
            <v>White potato, cooked, with cheese, fat not added in cooking</v>
          </cell>
          <cell r="I4430">
            <v>140</v>
          </cell>
          <cell r="J4430">
            <v>137.05802</v>
          </cell>
          <cell r="K4430">
            <v>0.97898585714285713</v>
          </cell>
          <cell r="L4430">
            <v>3.1089999999999998E-16</v>
          </cell>
          <cell r="M4430">
            <v>2.2953039999999998</v>
          </cell>
          <cell r="N4430">
            <v>0</v>
          </cell>
          <cell r="O4430">
            <v>0.1217413</v>
          </cell>
          <cell r="P4430">
            <v>2.0423865000000001</v>
          </cell>
          <cell r="Q4430">
            <v>0.22134499999999999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0.39548889999999998</v>
          </cell>
          <cell r="Y4430">
            <v>0</v>
          </cell>
          <cell r="Z4430">
            <v>0</v>
          </cell>
          <cell r="AA4430">
            <v>0</v>
          </cell>
          <cell r="AB4430">
            <v>0.146675</v>
          </cell>
        </row>
        <row r="4431">
          <cell r="A4431">
            <v>71301120</v>
          </cell>
          <cell r="B4431" t="str">
            <v>White potato, cooked, with ham and cheese</v>
          </cell>
          <cell r="I4431">
            <v>140</v>
          </cell>
          <cell r="J4431">
            <v>162.12299999999999</v>
          </cell>
          <cell r="K4431">
            <v>1.1580214285714285</v>
          </cell>
          <cell r="L4431">
            <v>0</v>
          </cell>
          <cell r="M4431">
            <v>3.4699659999999999</v>
          </cell>
          <cell r="N4431">
            <v>0</v>
          </cell>
          <cell r="O4431">
            <v>0.1106584</v>
          </cell>
          <cell r="P4431">
            <v>1.8304115000000001</v>
          </cell>
          <cell r="Q4431">
            <v>0.68919779999999997</v>
          </cell>
          <cell r="R4431">
            <v>0</v>
          </cell>
          <cell r="S4431">
            <v>0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0.52457220000000004</v>
          </cell>
          <cell r="Y4431">
            <v>0</v>
          </cell>
          <cell r="Z4431">
            <v>0</v>
          </cell>
          <cell r="AA4431">
            <v>11.142688</v>
          </cell>
          <cell r="AB4431">
            <v>0.22566849999999999</v>
          </cell>
        </row>
        <row r="4432">
          <cell r="A4432">
            <v>71305010</v>
          </cell>
          <cell r="B4432" t="str">
            <v>White potato, scalloped</v>
          </cell>
          <cell r="I4432">
            <v>140</v>
          </cell>
          <cell r="J4432">
            <v>120.84159</v>
          </cell>
          <cell r="K4432">
            <v>0.86315421428571426</v>
          </cell>
          <cell r="L4432">
            <v>0</v>
          </cell>
          <cell r="M4432">
            <v>0.98121510000000001</v>
          </cell>
          <cell r="N4432">
            <v>0</v>
          </cell>
          <cell r="O4432">
            <v>6.2943700000000005E-2</v>
          </cell>
          <cell r="P4432">
            <v>1.9636922999999999</v>
          </cell>
          <cell r="Q4432">
            <v>0.8169613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0.37720140000000002</v>
          </cell>
          <cell r="Y4432">
            <v>0</v>
          </cell>
          <cell r="Z4432">
            <v>0</v>
          </cell>
          <cell r="AA4432">
            <v>0</v>
          </cell>
          <cell r="AB4432">
            <v>0.46077879999999999</v>
          </cell>
        </row>
        <row r="4433">
          <cell r="A4433">
            <v>71305011</v>
          </cell>
          <cell r="B4433" t="str">
            <v>White potato, scalloped, fat not added in cooking</v>
          </cell>
          <cell r="I4433">
            <v>140</v>
          </cell>
          <cell r="J4433">
            <v>101.50223</v>
          </cell>
          <cell r="K4433">
            <v>0.7250159285714286</v>
          </cell>
          <cell r="L4433">
            <v>0</v>
          </cell>
          <cell r="M4433">
            <v>0.53694989999999998</v>
          </cell>
          <cell r="N4433">
            <v>0</v>
          </cell>
          <cell r="O4433">
            <v>6.4230300000000004E-2</v>
          </cell>
          <cell r="P4433">
            <v>2.0067029000000001</v>
          </cell>
          <cell r="Q4433">
            <v>8.9656700000000006E-2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0.36243449999999999</v>
          </cell>
          <cell r="Y4433">
            <v>0</v>
          </cell>
          <cell r="Z4433">
            <v>0</v>
          </cell>
          <cell r="AA4433">
            <v>0</v>
          </cell>
          <cell r="AB4433">
            <v>2.25489E-2</v>
          </cell>
        </row>
        <row r="4434">
          <cell r="A4434">
            <v>71305015</v>
          </cell>
          <cell r="B4434" t="str">
            <v>Potato, scalloped, NFS</v>
          </cell>
          <cell r="I4434">
            <v>140</v>
          </cell>
          <cell r="J4434">
            <v>232.51943</v>
          </cell>
          <cell r="K4434">
            <v>1.6608530714285714</v>
          </cell>
          <cell r="L4434">
            <v>-1.55E-16</v>
          </cell>
          <cell r="M4434">
            <v>7.2918827000000004</v>
          </cell>
          <cell r="N4434">
            <v>0</v>
          </cell>
          <cell r="O4434">
            <v>0.2660304</v>
          </cell>
          <cell r="P4434">
            <v>1.0914200999999999</v>
          </cell>
          <cell r="Q4434">
            <v>0.85758559999999995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0.4539203</v>
          </cell>
          <cell r="Y4434">
            <v>0</v>
          </cell>
          <cell r="Z4434">
            <v>0</v>
          </cell>
          <cell r="AA4434">
            <v>0</v>
          </cell>
          <cell r="AB4434">
            <v>0.50779070000000004</v>
          </cell>
        </row>
        <row r="4435">
          <cell r="A4435">
            <v>71305030</v>
          </cell>
          <cell r="B4435" t="str">
            <v>Potato, scalloped, from fresh</v>
          </cell>
          <cell r="I4435">
            <v>140</v>
          </cell>
          <cell r="J4435">
            <v>232.51943</v>
          </cell>
          <cell r="K4435">
            <v>1.6608530714285714</v>
          </cell>
          <cell r="L4435">
            <v>-1.55E-16</v>
          </cell>
          <cell r="M4435">
            <v>7.2918827000000004</v>
          </cell>
          <cell r="N4435">
            <v>0</v>
          </cell>
          <cell r="O4435">
            <v>0.2660304</v>
          </cell>
          <cell r="P4435">
            <v>1.0914200999999999</v>
          </cell>
          <cell r="Q4435">
            <v>0.85758559999999995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0.4539203</v>
          </cell>
          <cell r="Y4435">
            <v>0</v>
          </cell>
          <cell r="Z4435">
            <v>0</v>
          </cell>
          <cell r="AA4435">
            <v>0</v>
          </cell>
          <cell r="AB4435">
            <v>0.50798350000000003</v>
          </cell>
        </row>
        <row r="4436">
          <cell r="A4436">
            <v>71305050</v>
          </cell>
          <cell r="B4436" t="str">
            <v>Potato, scalloped, from dry mix</v>
          </cell>
          <cell r="I4436">
            <v>140</v>
          </cell>
          <cell r="J4436">
            <v>233.14572000000001</v>
          </cell>
          <cell r="K4436">
            <v>1.6653265714285714</v>
          </cell>
          <cell r="L4436">
            <v>0</v>
          </cell>
          <cell r="M4436">
            <v>7.3427088999999999</v>
          </cell>
          <cell r="N4436">
            <v>0</v>
          </cell>
          <cell r="O4436">
            <v>0.25638290000000002</v>
          </cell>
          <cell r="P4436">
            <v>1.0528979000000001</v>
          </cell>
          <cell r="Q4436">
            <v>0.97177000000000002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0.58455089999999998</v>
          </cell>
          <cell r="Y4436">
            <v>0</v>
          </cell>
          <cell r="Z4436">
            <v>0</v>
          </cell>
          <cell r="AA4436">
            <v>0</v>
          </cell>
          <cell r="AB4436">
            <v>0.51284940000000001</v>
          </cell>
        </row>
        <row r="4437">
          <cell r="A4437">
            <v>71305070</v>
          </cell>
          <cell r="B4437" t="str">
            <v>Potato, scalloped, ready-to-heat</v>
          </cell>
          <cell r="I4437">
            <v>140</v>
          </cell>
          <cell r="J4437">
            <v>245.31820999999999</v>
          </cell>
          <cell r="K4437">
            <v>1.7522729285714285</v>
          </cell>
          <cell r="L4437">
            <v>0</v>
          </cell>
          <cell r="M4437">
            <v>8.1155627999999993</v>
          </cell>
          <cell r="N4437">
            <v>0</v>
          </cell>
          <cell r="O4437">
            <v>0.2524264</v>
          </cell>
          <cell r="P4437">
            <v>1.0343424999999999</v>
          </cell>
          <cell r="Q4437">
            <v>1.2688466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0.5663629</v>
          </cell>
          <cell r="Y4437">
            <v>0</v>
          </cell>
          <cell r="Z4437">
            <v>0</v>
          </cell>
          <cell r="AA4437">
            <v>0</v>
          </cell>
          <cell r="AB4437">
            <v>0.57342380000000004</v>
          </cell>
        </row>
        <row r="4438">
          <cell r="A4438">
            <v>71305110</v>
          </cell>
          <cell r="B4438" t="str">
            <v>White potato, scalloped, with ham</v>
          </cell>
          <cell r="I4438">
            <v>140</v>
          </cell>
          <cell r="J4438">
            <v>130.46357</v>
          </cell>
          <cell r="K4438">
            <v>0.93188264285714284</v>
          </cell>
          <cell r="L4438">
            <v>0</v>
          </cell>
          <cell r="M4438">
            <v>1.1370065</v>
          </cell>
          <cell r="N4438">
            <v>0</v>
          </cell>
          <cell r="O4438">
            <v>5.7826200000000001E-2</v>
          </cell>
          <cell r="P4438">
            <v>1.7746238999999999</v>
          </cell>
          <cell r="Q4438">
            <v>0.82719940000000003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0.51965980000000001</v>
          </cell>
          <cell r="Y4438">
            <v>0</v>
          </cell>
          <cell r="Z4438">
            <v>0</v>
          </cell>
          <cell r="AA4438">
            <v>13.462697</v>
          </cell>
          <cell r="AB4438">
            <v>0.41891499999999998</v>
          </cell>
        </row>
        <row r="4439">
          <cell r="A4439">
            <v>71400990</v>
          </cell>
          <cell r="B4439" t="str">
            <v>Potato, french fries, NFS</v>
          </cell>
          <cell r="I4439">
            <v>70</v>
          </cell>
          <cell r="J4439">
            <v>156.90181999999999</v>
          </cell>
          <cell r="K4439">
            <v>2.2414545714285712</v>
          </cell>
          <cell r="L4439">
            <v>0</v>
          </cell>
          <cell r="M4439">
            <v>1.4099622999999999</v>
          </cell>
          <cell r="N4439">
            <v>0</v>
          </cell>
          <cell r="O4439">
            <v>7.6522999999999999E-3</v>
          </cell>
          <cell r="P4439">
            <v>1.2727272999999999</v>
          </cell>
          <cell r="Q4439">
            <v>3.5769841000000002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0.2062136</v>
          </cell>
          <cell r="Y4439">
            <v>0</v>
          </cell>
          <cell r="Z4439">
            <v>0</v>
          </cell>
          <cell r="AA4439">
            <v>0</v>
          </cell>
          <cell r="AB4439">
            <v>0.17331369999999999</v>
          </cell>
        </row>
        <row r="4440">
          <cell r="A4440">
            <v>71401000</v>
          </cell>
          <cell r="B4440" t="str">
            <v>Potato, french fries, NS as to fresh or frozen</v>
          </cell>
          <cell r="I4440">
            <v>70</v>
          </cell>
          <cell r="J4440">
            <v>156.90181999999999</v>
          </cell>
          <cell r="K4440">
            <v>2.2414545714285712</v>
          </cell>
          <cell r="L4440">
            <v>0</v>
          </cell>
          <cell r="M4440">
            <v>1.4099622999999999</v>
          </cell>
          <cell r="N4440">
            <v>0</v>
          </cell>
          <cell r="O4440">
            <v>7.6522999999999999E-3</v>
          </cell>
          <cell r="P4440">
            <v>1.2727272999999999</v>
          </cell>
          <cell r="Q4440">
            <v>3.5769841000000002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0.2062136</v>
          </cell>
          <cell r="Y4440">
            <v>0</v>
          </cell>
          <cell r="Z4440">
            <v>0</v>
          </cell>
          <cell r="AA4440">
            <v>0</v>
          </cell>
          <cell r="AB4440">
            <v>0.2874737</v>
          </cell>
        </row>
        <row r="4441">
          <cell r="A4441">
            <v>71401010</v>
          </cell>
          <cell r="B4441" t="str">
            <v>Potato, french fries, from fresh, fried</v>
          </cell>
          <cell r="I4441">
            <v>70</v>
          </cell>
          <cell r="J4441">
            <v>136.99133</v>
          </cell>
          <cell r="K4441">
            <v>1.9570190000000001</v>
          </cell>
          <cell r="L4441">
            <v>-1.55E-16</v>
          </cell>
          <cell r="M4441">
            <v>1.2625976999999999</v>
          </cell>
          <cell r="N4441">
            <v>0</v>
          </cell>
          <cell r="O4441">
            <v>6.1468E-3</v>
          </cell>
          <cell r="P4441">
            <v>1.1221836999999999</v>
          </cell>
          <cell r="Q4441">
            <v>3.7780968000000001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9.8635100000000003E-2</v>
          </cell>
          <cell r="Y4441">
            <v>0</v>
          </cell>
          <cell r="Z4441">
            <v>0</v>
          </cell>
          <cell r="AA4441">
            <v>0</v>
          </cell>
          <cell r="AB4441">
            <v>0.107784</v>
          </cell>
        </row>
        <row r="4442">
          <cell r="A4442">
            <v>71401015</v>
          </cell>
          <cell r="B4442" t="str">
            <v>Potato, french fries, from fresh, baked</v>
          </cell>
          <cell r="I4442">
            <v>70</v>
          </cell>
          <cell r="J4442">
            <v>115.11957</v>
          </cell>
          <cell r="K4442">
            <v>1.6445652857142856</v>
          </cell>
          <cell r="L4442">
            <v>1.554E-16</v>
          </cell>
          <cell r="M4442">
            <v>0.88619429999999999</v>
          </cell>
          <cell r="N4442">
            <v>0</v>
          </cell>
          <cell r="O4442">
            <v>6.4172999999999999E-3</v>
          </cell>
          <cell r="P4442">
            <v>1.1730072</v>
          </cell>
          <cell r="Q4442">
            <v>2.6433718000000002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0.10308639999999999</v>
          </cell>
          <cell r="Y4442">
            <v>0</v>
          </cell>
          <cell r="Z4442">
            <v>0</v>
          </cell>
          <cell r="AA4442">
            <v>0</v>
          </cell>
          <cell r="AB4442">
            <v>4.3531300000000002E-2</v>
          </cell>
        </row>
        <row r="4443">
          <cell r="A4443">
            <v>71401020</v>
          </cell>
          <cell r="B4443" t="str">
            <v>Potato, french fries, from frozen, baked</v>
          </cell>
          <cell r="I4443">
            <v>70</v>
          </cell>
          <cell r="J4443">
            <v>110.6</v>
          </cell>
          <cell r="K4443">
            <v>1.5799999999999998</v>
          </cell>
          <cell r="L4443">
            <v>0</v>
          </cell>
          <cell r="M4443">
            <v>0.59360000000000002</v>
          </cell>
          <cell r="N4443">
            <v>0</v>
          </cell>
          <cell r="O4443">
            <v>8.3999999999999995E-3</v>
          </cell>
          <cell r="P4443">
            <v>1.4</v>
          </cell>
          <cell r="Q4443">
            <v>1.0513999999999999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0.2268</v>
          </cell>
          <cell r="Y4443">
            <v>0</v>
          </cell>
          <cell r="Z4443">
            <v>0</v>
          </cell>
          <cell r="AA4443">
            <v>0</v>
          </cell>
          <cell r="AB4443">
            <v>0.1429106</v>
          </cell>
        </row>
        <row r="4444">
          <cell r="A4444">
            <v>71401030</v>
          </cell>
          <cell r="B4444" t="str">
            <v>Potato, french fries, fast food</v>
          </cell>
          <cell r="I4444">
            <v>70</v>
          </cell>
          <cell r="J4444">
            <v>218.4</v>
          </cell>
          <cell r="K4444">
            <v>3.12</v>
          </cell>
          <cell r="L4444">
            <v>0</v>
          </cell>
          <cell r="M4444">
            <v>1.6352</v>
          </cell>
          <cell r="N4444">
            <v>0</v>
          </cell>
          <cell r="O4444">
            <v>1.26E-2</v>
          </cell>
          <cell r="P4444">
            <v>2.66</v>
          </cell>
          <cell r="Q4444">
            <v>3.7786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0.14699999999999999</v>
          </cell>
          <cell r="Y4444">
            <v>0</v>
          </cell>
          <cell r="Z4444">
            <v>0</v>
          </cell>
          <cell r="AA4444">
            <v>0</v>
          </cell>
          <cell r="AB4444">
            <v>4.2000000000000003E-2</v>
          </cell>
        </row>
        <row r="4445">
          <cell r="A4445">
            <v>71401031</v>
          </cell>
          <cell r="B4445" t="str">
            <v>Potato, french fries, restaurant</v>
          </cell>
          <cell r="I4445">
            <v>70</v>
          </cell>
          <cell r="J4445">
            <v>202.3</v>
          </cell>
          <cell r="K4445">
            <v>2.89</v>
          </cell>
          <cell r="L4445">
            <v>0</v>
          </cell>
          <cell r="M4445">
            <v>1.7423</v>
          </cell>
          <cell r="N4445">
            <v>0</v>
          </cell>
          <cell r="O4445">
            <v>1.1900000000000001E-2</v>
          </cell>
          <cell r="P4445">
            <v>2.73</v>
          </cell>
          <cell r="Q4445">
            <v>4.6256000000000004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0.24990000000000001</v>
          </cell>
          <cell r="Y4445">
            <v>0</v>
          </cell>
          <cell r="Z4445">
            <v>0</v>
          </cell>
          <cell r="AA4445">
            <v>0</v>
          </cell>
          <cell r="AB4445">
            <v>7.2800000000000004E-2</v>
          </cell>
        </row>
        <row r="4446">
          <cell r="A4446">
            <v>71401032</v>
          </cell>
          <cell r="B4446" t="str">
            <v>Potato, french fries, from frozen, fried</v>
          </cell>
          <cell r="I4446">
            <v>70</v>
          </cell>
          <cell r="J4446">
            <v>156.90181999999999</v>
          </cell>
          <cell r="K4446">
            <v>2.2414545714285712</v>
          </cell>
          <cell r="L4446">
            <v>0</v>
          </cell>
          <cell r="M4446">
            <v>1.4099622999999999</v>
          </cell>
          <cell r="N4446">
            <v>0</v>
          </cell>
          <cell r="O4446">
            <v>7.6522999999999999E-3</v>
          </cell>
          <cell r="P4446">
            <v>1.2727272999999999</v>
          </cell>
          <cell r="Q4446">
            <v>3.5769841000000002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0.2062136</v>
          </cell>
          <cell r="Y4446">
            <v>0</v>
          </cell>
          <cell r="Z4446">
            <v>0</v>
          </cell>
          <cell r="AA4446">
            <v>0</v>
          </cell>
          <cell r="AB4446">
            <v>0.13680980000000001</v>
          </cell>
        </row>
        <row r="4447">
          <cell r="A4447">
            <v>71401035</v>
          </cell>
          <cell r="B4447" t="str">
            <v>White potato, french fries, from frozen, NS as to deep fried or oven baked</v>
          </cell>
          <cell r="I4447">
            <v>70</v>
          </cell>
          <cell r="J4447">
            <v>110.6</v>
          </cell>
          <cell r="K4447">
            <v>1.5799999999999998</v>
          </cell>
          <cell r="L4447">
            <v>0</v>
          </cell>
          <cell r="M4447">
            <v>0.59360000000000002</v>
          </cell>
          <cell r="N4447">
            <v>0</v>
          </cell>
          <cell r="O4447">
            <v>8.3999999999999995E-3</v>
          </cell>
          <cell r="P4447">
            <v>1.4</v>
          </cell>
          <cell r="Q4447">
            <v>1.0513999999999999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0.2268</v>
          </cell>
          <cell r="Y4447">
            <v>0</v>
          </cell>
          <cell r="Z4447">
            <v>0</v>
          </cell>
          <cell r="AA4447">
            <v>0</v>
          </cell>
          <cell r="AB4447">
            <v>0.1490348</v>
          </cell>
        </row>
        <row r="4448">
          <cell r="A4448">
            <v>71401039</v>
          </cell>
          <cell r="B4448" t="str">
            <v>Potato, french fries, with cheese, fast food / restaurant</v>
          </cell>
          <cell r="I4448">
            <v>70</v>
          </cell>
          <cell r="J4448">
            <v>181.41575</v>
          </cell>
          <cell r="K4448">
            <v>2.5916535714285716</v>
          </cell>
          <cell r="L4448">
            <v>0</v>
          </cell>
          <cell r="M4448">
            <v>1.8211976999999999</v>
          </cell>
          <cell r="N4448">
            <v>0</v>
          </cell>
          <cell r="O4448">
            <v>2.5966599999999999E-2</v>
          </cell>
          <cell r="P4448">
            <v>1.7983891000000001</v>
          </cell>
          <cell r="Q4448">
            <v>3.5212713999999998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0.25454739999999998</v>
          </cell>
          <cell r="Y4448">
            <v>0</v>
          </cell>
          <cell r="Z4448">
            <v>0</v>
          </cell>
          <cell r="AA4448">
            <v>0</v>
          </cell>
          <cell r="AB4448">
            <v>0.1703857</v>
          </cell>
        </row>
        <row r="4449">
          <cell r="A4449">
            <v>71401050</v>
          </cell>
          <cell r="B4449" t="str">
            <v>Potato, french fries, with chili and cheese, fast food / restaurant</v>
          </cell>
          <cell r="I4449">
            <v>70</v>
          </cell>
          <cell r="J4449">
            <v>153.92780999999999</v>
          </cell>
          <cell r="K4449">
            <v>2.1989687142857144</v>
          </cell>
          <cell r="L4449">
            <v>0.59612900000000002</v>
          </cell>
          <cell r="M4449">
            <v>1.5775596000000001</v>
          </cell>
          <cell r="N4449">
            <v>0</v>
          </cell>
          <cell r="O4449">
            <v>2.5226800000000001E-2</v>
          </cell>
          <cell r="P4449">
            <v>1.3342887000000001</v>
          </cell>
          <cell r="Q4449">
            <v>2.6848141999999999</v>
          </cell>
          <cell r="R4449">
            <v>0</v>
          </cell>
          <cell r="S4449">
            <v>3.4774194</v>
          </cell>
          <cell r="T4449">
            <v>0</v>
          </cell>
          <cell r="U4449">
            <v>3.0980645</v>
          </cell>
          <cell r="V4449">
            <v>0</v>
          </cell>
          <cell r="W4449">
            <v>0</v>
          </cell>
          <cell r="X4449">
            <v>0.26996750000000003</v>
          </cell>
          <cell r="Y4449">
            <v>0</v>
          </cell>
          <cell r="Z4449">
            <v>2.5094322999999998</v>
          </cell>
          <cell r="AA4449">
            <v>0</v>
          </cell>
          <cell r="AB4449">
            <v>0.13992099999999999</v>
          </cell>
        </row>
        <row r="4450">
          <cell r="A4450">
            <v>71402500</v>
          </cell>
          <cell r="B4450" t="str">
            <v>Potato, french fries, with cheese</v>
          </cell>
          <cell r="I4450">
            <v>70</v>
          </cell>
          <cell r="J4450">
            <v>181.41575</v>
          </cell>
          <cell r="K4450">
            <v>2.5916535714285716</v>
          </cell>
          <cell r="L4450">
            <v>0</v>
          </cell>
          <cell r="M4450">
            <v>1.8211976999999999</v>
          </cell>
          <cell r="N4450">
            <v>0</v>
          </cell>
          <cell r="O4450">
            <v>2.5966599999999999E-2</v>
          </cell>
          <cell r="P4450">
            <v>1.7983891000000001</v>
          </cell>
          <cell r="Q4450">
            <v>3.5212713999999998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0.25454739999999998</v>
          </cell>
          <cell r="Y4450">
            <v>0</v>
          </cell>
          <cell r="Z4450">
            <v>0</v>
          </cell>
          <cell r="AA4450">
            <v>0</v>
          </cell>
          <cell r="AB4450">
            <v>0.31004110000000001</v>
          </cell>
        </row>
        <row r="4451">
          <cell r="A4451">
            <v>71402505</v>
          </cell>
          <cell r="B4451" t="str">
            <v>White potato, french fries, with cheese and bacon</v>
          </cell>
          <cell r="I4451">
            <v>70</v>
          </cell>
          <cell r="J4451">
            <v>220.68029999999999</v>
          </cell>
          <cell r="K4451">
            <v>3.1525757142857143</v>
          </cell>
          <cell r="L4451">
            <v>-1.55E-16</v>
          </cell>
          <cell r="M4451">
            <v>5.8234802999999999</v>
          </cell>
          <cell r="N4451">
            <v>0</v>
          </cell>
          <cell r="O4451">
            <v>0.51614919999999997</v>
          </cell>
          <cell r="P4451">
            <v>1.1486364</v>
          </cell>
          <cell r="Q4451">
            <v>2.1612287999999999</v>
          </cell>
          <cell r="R4451">
            <v>0</v>
          </cell>
          <cell r="S4451">
            <v>0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0.58290909999999996</v>
          </cell>
          <cell r="Y4451">
            <v>0</v>
          </cell>
          <cell r="Z4451">
            <v>0</v>
          </cell>
          <cell r="AA4451">
            <v>1.8942954999999999</v>
          </cell>
          <cell r="AB4451">
            <v>0.32523479999999999</v>
          </cell>
        </row>
        <row r="4452">
          <cell r="A4452">
            <v>71402510</v>
          </cell>
          <cell r="B4452" t="str">
            <v>White potato, french fries, with chili and cheese</v>
          </cell>
          <cell r="I4452">
            <v>70</v>
          </cell>
          <cell r="J4452">
            <v>159.03716</v>
          </cell>
          <cell r="K4452">
            <v>2.2719594285714284</v>
          </cell>
          <cell r="L4452">
            <v>0.1513514</v>
          </cell>
          <cell r="M4452">
            <v>2.9636912</v>
          </cell>
          <cell r="N4452">
            <v>0</v>
          </cell>
          <cell r="O4452">
            <v>0.189525</v>
          </cell>
          <cell r="P4452">
            <v>1.0244595000000001</v>
          </cell>
          <cell r="Q4452">
            <v>1.7333514000000001</v>
          </cell>
          <cell r="R4452">
            <v>1.0170811</v>
          </cell>
          <cell r="S4452">
            <v>0</v>
          </cell>
          <cell r="T4452">
            <v>0</v>
          </cell>
          <cell r="U4452">
            <v>7.5070269999999999</v>
          </cell>
          <cell r="V4452">
            <v>0</v>
          </cell>
          <cell r="W4452">
            <v>0</v>
          </cell>
          <cell r="X4452">
            <v>0.34435739999999998</v>
          </cell>
          <cell r="Y4452">
            <v>0</v>
          </cell>
          <cell r="Z4452">
            <v>4.8057081000000004</v>
          </cell>
          <cell r="AA4452">
            <v>0</v>
          </cell>
          <cell r="AB4452">
            <v>0.2827306</v>
          </cell>
        </row>
        <row r="4453">
          <cell r="A4453">
            <v>71402520</v>
          </cell>
          <cell r="B4453" t="str">
            <v>White potato, french fries, with chili con carne</v>
          </cell>
          <cell r="I4453">
            <v>70</v>
          </cell>
          <cell r="J4453">
            <v>146.5719</v>
          </cell>
          <cell r="K4453">
            <v>2.0938842857142856</v>
          </cell>
          <cell r="L4453">
            <v>0.18512400000000001</v>
          </cell>
          <cell r="M4453">
            <v>1.6052099</v>
          </cell>
          <cell r="N4453">
            <v>0</v>
          </cell>
          <cell r="O4453">
            <v>1.7042999999999999E-2</v>
          </cell>
          <cell r="P4453">
            <v>1.2530578999999999</v>
          </cell>
          <cell r="Q4453">
            <v>1.9654959000000001</v>
          </cell>
          <cell r="R4453">
            <v>1.2440331</v>
          </cell>
          <cell r="S4453">
            <v>0</v>
          </cell>
          <cell r="T4453">
            <v>0</v>
          </cell>
          <cell r="U4453">
            <v>9.1821488000000002</v>
          </cell>
          <cell r="V4453">
            <v>0</v>
          </cell>
          <cell r="W4453">
            <v>0</v>
          </cell>
          <cell r="X4453">
            <v>0.2214198</v>
          </cell>
          <cell r="Y4453">
            <v>0</v>
          </cell>
          <cell r="Z4453">
            <v>5.8780561999999996</v>
          </cell>
          <cell r="AA4453">
            <v>0</v>
          </cell>
          <cell r="AB4453">
            <v>6.78087E-2</v>
          </cell>
        </row>
        <row r="4454">
          <cell r="A4454">
            <v>71403000</v>
          </cell>
          <cell r="B4454" t="str">
            <v>White potato, home fries</v>
          </cell>
          <cell r="I4454">
            <v>70</v>
          </cell>
          <cell r="J4454">
            <v>97.048394999999999</v>
          </cell>
          <cell r="K4454">
            <v>1.3864056428571427</v>
          </cell>
          <cell r="L4454">
            <v>0.12472759999999999</v>
          </cell>
          <cell r="M4454">
            <v>0.70188839999999997</v>
          </cell>
          <cell r="N4454">
            <v>0</v>
          </cell>
          <cell r="O4454">
            <v>4.7673000000000004E-3</v>
          </cell>
          <cell r="P4454">
            <v>1.036206</v>
          </cell>
          <cell r="Q4454">
            <v>2.0848738999999998</v>
          </cell>
          <cell r="R4454">
            <v>0</v>
          </cell>
          <cell r="S4454">
            <v>0</v>
          </cell>
          <cell r="T4454">
            <v>0</v>
          </cell>
          <cell r="U4454">
            <v>7.3369206</v>
          </cell>
          <cell r="V4454">
            <v>0</v>
          </cell>
          <cell r="W4454">
            <v>0</v>
          </cell>
          <cell r="X4454">
            <v>0.1625674</v>
          </cell>
          <cell r="Y4454">
            <v>0</v>
          </cell>
          <cell r="Z4454">
            <v>0</v>
          </cell>
          <cell r="AA4454">
            <v>0</v>
          </cell>
          <cell r="AB4454">
            <v>1.7711399999999999E-2</v>
          </cell>
        </row>
        <row r="4455">
          <cell r="A4455">
            <v>71403010</v>
          </cell>
          <cell r="B4455" t="str">
            <v>White potato, home fries, fat not added in cooking</v>
          </cell>
          <cell r="I4455">
            <v>70</v>
          </cell>
          <cell r="J4455">
            <v>56.843097999999998</v>
          </cell>
          <cell r="K4455">
            <v>0.81204425714285711</v>
          </cell>
          <cell r="L4455">
            <v>0.13431779999999999</v>
          </cell>
          <cell r="M4455">
            <v>1.9708799999999999E-2</v>
          </cell>
          <cell r="N4455">
            <v>0</v>
          </cell>
          <cell r="O4455">
            <v>5.1221000000000001E-3</v>
          </cell>
          <cell r="P4455">
            <v>1.1159783000000001</v>
          </cell>
          <cell r="Q4455">
            <v>2.81065E-2</v>
          </cell>
          <cell r="R4455">
            <v>0</v>
          </cell>
          <cell r="S4455">
            <v>0</v>
          </cell>
          <cell r="T4455">
            <v>0</v>
          </cell>
          <cell r="U4455">
            <v>7.9010451000000002</v>
          </cell>
          <cell r="V4455">
            <v>0</v>
          </cell>
          <cell r="W4455">
            <v>0</v>
          </cell>
          <cell r="X4455">
            <v>0.1750401</v>
          </cell>
          <cell r="Y4455">
            <v>0</v>
          </cell>
          <cell r="Z4455">
            <v>0</v>
          </cell>
          <cell r="AA4455">
            <v>0</v>
          </cell>
          <cell r="AB4455">
            <v>0</v>
          </cell>
        </row>
        <row r="4456">
          <cell r="A4456">
            <v>71403020</v>
          </cell>
          <cell r="B4456" t="str">
            <v>Potato, home fries, NFS</v>
          </cell>
          <cell r="I4456">
            <v>70</v>
          </cell>
          <cell r="J4456">
            <v>136.28276</v>
          </cell>
          <cell r="K4456">
            <v>1.9468965714285713</v>
          </cell>
          <cell r="L4456">
            <v>0</v>
          </cell>
          <cell r="M4456">
            <v>1.256067</v>
          </cell>
          <cell r="N4456">
            <v>0</v>
          </cell>
          <cell r="O4456">
            <v>6.2018999999999998E-3</v>
          </cell>
          <cell r="P4456">
            <v>1.1163793</v>
          </cell>
          <cell r="Q4456">
            <v>3.7585549999999999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0.23845559999999999</v>
          </cell>
          <cell r="Y4456">
            <v>0</v>
          </cell>
          <cell r="Z4456">
            <v>0</v>
          </cell>
          <cell r="AA4456">
            <v>0</v>
          </cell>
          <cell r="AB4456">
            <v>3.2074800000000001E-2</v>
          </cell>
        </row>
        <row r="4457">
          <cell r="A4457">
            <v>71403030</v>
          </cell>
          <cell r="B4457" t="str">
            <v>Potato, home fries, from restaurant / fast food</v>
          </cell>
          <cell r="I4457">
            <v>70</v>
          </cell>
          <cell r="J4457">
            <v>148.90268</v>
          </cell>
          <cell r="K4457">
            <v>2.1271811428571428</v>
          </cell>
          <cell r="L4457">
            <v>0</v>
          </cell>
          <cell r="M4457">
            <v>3.4712542000000002</v>
          </cell>
          <cell r="N4457">
            <v>0</v>
          </cell>
          <cell r="O4457">
            <v>6.0416000000000003E-3</v>
          </cell>
          <cell r="P4457">
            <v>1.0864094</v>
          </cell>
          <cell r="Q4457">
            <v>3.3920667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0.27753119999999998</v>
          </cell>
          <cell r="Y4457">
            <v>0</v>
          </cell>
          <cell r="Z4457">
            <v>0</v>
          </cell>
          <cell r="AA4457">
            <v>0</v>
          </cell>
          <cell r="AB4457">
            <v>8.1419000000000005E-2</v>
          </cell>
        </row>
        <row r="4458">
          <cell r="A4458">
            <v>71403040</v>
          </cell>
          <cell r="B4458" t="str">
            <v>Potato, home fries, from fresh</v>
          </cell>
          <cell r="I4458">
            <v>70</v>
          </cell>
          <cell r="J4458">
            <v>128.02250000000001</v>
          </cell>
          <cell r="K4458">
            <v>1.8288928571428573</v>
          </cell>
          <cell r="L4458">
            <v>1.554E-16</v>
          </cell>
          <cell r="M4458">
            <v>1.1120966999999999</v>
          </cell>
          <cell r="N4458">
            <v>0</v>
          </cell>
          <cell r="O4458">
            <v>6.2892E-3</v>
          </cell>
          <cell r="P4458">
            <v>1.1379613</v>
          </cell>
          <cell r="Q4458">
            <v>3.3244878999999998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0.1953781</v>
          </cell>
          <cell r="Y4458">
            <v>0</v>
          </cell>
          <cell r="Z4458">
            <v>0</v>
          </cell>
          <cell r="AA4458">
            <v>0</v>
          </cell>
          <cell r="AB4458">
            <v>2.83355E-2</v>
          </cell>
        </row>
        <row r="4459">
          <cell r="A4459">
            <v>71403050</v>
          </cell>
          <cell r="B4459" t="str">
            <v>Potato, home fries, ready-to-heat</v>
          </cell>
          <cell r="I4459">
            <v>70</v>
          </cell>
          <cell r="J4459">
            <v>136.28276</v>
          </cell>
          <cell r="K4459">
            <v>1.9468965714285713</v>
          </cell>
          <cell r="L4459">
            <v>0</v>
          </cell>
          <cell r="M4459">
            <v>1.256067</v>
          </cell>
          <cell r="N4459">
            <v>0</v>
          </cell>
          <cell r="O4459">
            <v>6.2018999999999998E-3</v>
          </cell>
          <cell r="P4459">
            <v>1.1163793</v>
          </cell>
          <cell r="Q4459">
            <v>3.7585549999999999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0.23845559999999999</v>
          </cell>
          <cell r="Y4459">
            <v>0</v>
          </cell>
          <cell r="Z4459">
            <v>0</v>
          </cell>
          <cell r="AA4459">
            <v>0</v>
          </cell>
          <cell r="AB4459">
            <v>3.2074800000000001E-2</v>
          </cell>
        </row>
        <row r="4460">
          <cell r="A4460">
            <v>71403500</v>
          </cell>
          <cell r="B4460" t="str">
            <v>Potato, home fries, with vegetables</v>
          </cell>
          <cell r="I4460">
            <v>70</v>
          </cell>
          <cell r="J4460">
            <v>119.79649999999999</v>
          </cell>
          <cell r="K4460">
            <v>1.7113785714285714</v>
          </cell>
          <cell r="L4460">
            <v>0.26051780000000002</v>
          </cell>
          <cell r="M4460">
            <v>1.1363464999999999</v>
          </cell>
          <cell r="N4460">
            <v>0</v>
          </cell>
          <cell r="O4460">
            <v>7.3647000000000001E-3</v>
          </cell>
          <cell r="P4460">
            <v>0.83818769999999998</v>
          </cell>
          <cell r="Q4460">
            <v>3.3966107000000001</v>
          </cell>
          <cell r="R4460">
            <v>0</v>
          </cell>
          <cell r="S4460">
            <v>0</v>
          </cell>
          <cell r="T4460">
            <v>0</v>
          </cell>
          <cell r="U4460">
            <v>15.857605</v>
          </cell>
          <cell r="V4460">
            <v>0</v>
          </cell>
          <cell r="W4460">
            <v>0</v>
          </cell>
          <cell r="X4460">
            <v>0.26765830000000002</v>
          </cell>
          <cell r="Y4460">
            <v>0</v>
          </cell>
          <cell r="Z4460">
            <v>0</v>
          </cell>
          <cell r="AA4460">
            <v>0</v>
          </cell>
          <cell r="AB4460">
            <v>2.8898500000000001E-2</v>
          </cell>
        </row>
        <row r="4461">
          <cell r="A4461">
            <v>71404000</v>
          </cell>
          <cell r="B4461" t="str">
            <v>Potato, hash brown, NFS</v>
          </cell>
          <cell r="I4461">
            <v>70</v>
          </cell>
          <cell r="J4461">
            <v>151.78218000000001</v>
          </cell>
          <cell r="K4461">
            <v>2.1683168571428575</v>
          </cell>
          <cell r="L4461">
            <v>0</v>
          </cell>
          <cell r="M4461">
            <v>0.64732670000000003</v>
          </cell>
          <cell r="N4461">
            <v>0</v>
          </cell>
          <cell r="O4461">
            <v>1.1948500000000001E-2</v>
          </cell>
          <cell r="P4461">
            <v>2.2178217999999998</v>
          </cell>
          <cell r="Q4461">
            <v>1.9301980000000001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>
            <v>0.27901579999999998</v>
          </cell>
          <cell r="Y4461">
            <v>0</v>
          </cell>
          <cell r="Z4461">
            <v>0</v>
          </cell>
          <cell r="AA4461">
            <v>0</v>
          </cell>
          <cell r="AB4461">
            <v>2.49505E-2</v>
          </cell>
        </row>
        <row r="4462">
          <cell r="A4462">
            <v>71404010</v>
          </cell>
          <cell r="B4462" t="str">
            <v>Potato, hash brown, from fast food</v>
          </cell>
          <cell r="I4462">
            <v>70</v>
          </cell>
          <cell r="J4462">
            <v>190.4</v>
          </cell>
          <cell r="K4462">
            <v>2.72</v>
          </cell>
          <cell r="L4462">
            <v>0</v>
          </cell>
          <cell r="M4462">
            <v>1.778</v>
          </cell>
          <cell r="N4462">
            <v>0</v>
          </cell>
          <cell r="O4462">
            <v>1.3299999999999999E-2</v>
          </cell>
          <cell r="P4462">
            <v>1.89</v>
          </cell>
          <cell r="Q4462">
            <v>3.9655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0.3962</v>
          </cell>
          <cell r="Y4462">
            <v>0</v>
          </cell>
          <cell r="Z4462">
            <v>0</v>
          </cell>
          <cell r="AA4462">
            <v>0</v>
          </cell>
          <cell r="AB4462">
            <v>3.9199999999999999E-2</v>
          </cell>
        </row>
        <row r="4463">
          <cell r="A4463">
            <v>71404020</v>
          </cell>
          <cell r="B4463" t="str">
            <v>Potato, hash brown, from fast food, with cheese</v>
          </cell>
          <cell r="I4463">
            <v>70</v>
          </cell>
          <cell r="J4463">
            <v>205.8</v>
          </cell>
          <cell r="K4463">
            <v>2.94</v>
          </cell>
          <cell r="L4463">
            <v>0</v>
          </cell>
          <cell r="M4463">
            <v>3.6828167000000001</v>
          </cell>
          <cell r="N4463">
            <v>0</v>
          </cell>
          <cell r="O4463">
            <v>9.3916700000000006E-2</v>
          </cell>
          <cell r="P4463">
            <v>1.575</v>
          </cell>
          <cell r="Q4463">
            <v>3.4703667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0.40634999999999999</v>
          </cell>
          <cell r="Y4463">
            <v>0</v>
          </cell>
          <cell r="Z4463">
            <v>0</v>
          </cell>
          <cell r="AA4463">
            <v>0</v>
          </cell>
          <cell r="AB4463">
            <v>0.13965</v>
          </cell>
        </row>
        <row r="4464">
          <cell r="A4464">
            <v>71404030</v>
          </cell>
          <cell r="B4464" t="str">
            <v>Potato, hash brown, from restaurant</v>
          </cell>
          <cell r="I4464">
            <v>70</v>
          </cell>
          <cell r="J4464">
            <v>190.4</v>
          </cell>
          <cell r="K4464">
            <v>2.72</v>
          </cell>
          <cell r="L4464">
            <v>0</v>
          </cell>
          <cell r="M4464">
            <v>1.778</v>
          </cell>
          <cell r="N4464">
            <v>0</v>
          </cell>
          <cell r="O4464">
            <v>1.3299999999999999E-2</v>
          </cell>
          <cell r="P4464">
            <v>1.89</v>
          </cell>
          <cell r="Q4464">
            <v>3.9655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>
            <v>0.3962</v>
          </cell>
          <cell r="Y4464">
            <v>0</v>
          </cell>
          <cell r="Z4464">
            <v>0</v>
          </cell>
          <cell r="AA4464">
            <v>0</v>
          </cell>
          <cell r="AB4464">
            <v>3.9199999999999999E-2</v>
          </cell>
        </row>
        <row r="4465">
          <cell r="A4465">
            <v>71404040</v>
          </cell>
          <cell r="B4465" t="str">
            <v>Potato, hash brown, from restaurant, with cheese</v>
          </cell>
          <cell r="I4465">
            <v>70</v>
          </cell>
          <cell r="J4465">
            <v>205.8</v>
          </cell>
          <cell r="K4465">
            <v>2.94</v>
          </cell>
          <cell r="L4465">
            <v>0</v>
          </cell>
          <cell r="M4465">
            <v>3.6828167000000001</v>
          </cell>
          <cell r="N4465">
            <v>0</v>
          </cell>
          <cell r="O4465">
            <v>9.3916700000000006E-2</v>
          </cell>
          <cell r="P4465">
            <v>1.575</v>
          </cell>
          <cell r="Q4465">
            <v>3.4703667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0.40634999999999999</v>
          </cell>
          <cell r="Y4465">
            <v>0</v>
          </cell>
          <cell r="Z4465">
            <v>0</v>
          </cell>
          <cell r="AA4465">
            <v>0</v>
          </cell>
          <cell r="AB4465">
            <v>0.13965</v>
          </cell>
        </row>
        <row r="4466">
          <cell r="A4466">
            <v>71405000</v>
          </cell>
          <cell r="B4466" t="str">
            <v>White potato, hash brown, NS as to from fresh, frozen, or dry mix</v>
          </cell>
          <cell r="I4466">
            <v>70</v>
          </cell>
          <cell r="J4466">
            <v>190.4</v>
          </cell>
          <cell r="K4466">
            <v>2.72</v>
          </cell>
          <cell r="L4466">
            <v>0</v>
          </cell>
          <cell r="M4466">
            <v>1.778</v>
          </cell>
          <cell r="N4466">
            <v>0</v>
          </cell>
          <cell r="O4466">
            <v>1.3299999999999999E-2</v>
          </cell>
          <cell r="P4466">
            <v>1.89</v>
          </cell>
          <cell r="Q4466">
            <v>3.9655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0.3962</v>
          </cell>
          <cell r="Y4466">
            <v>0</v>
          </cell>
          <cell r="Z4466">
            <v>0</v>
          </cell>
          <cell r="AA4466">
            <v>0</v>
          </cell>
          <cell r="AB4466">
            <v>3.9199999999999999E-2</v>
          </cell>
        </row>
        <row r="4467">
          <cell r="A4467">
            <v>71405010</v>
          </cell>
          <cell r="B4467" t="str">
            <v>Potato, hash brown, from fresh</v>
          </cell>
          <cell r="I4467">
            <v>70</v>
          </cell>
          <cell r="J4467">
            <v>132.07722000000001</v>
          </cell>
          <cell r="K4467">
            <v>1.8868174285714288</v>
          </cell>
          <cell r="L4467">
            <v>0</v>
          </cell>
          <cell r="M4467">
            <v>1.1837408</v>
          </cell>
          <cell r="N4467">
            <v>0</v>
          </cell>
          <cell r="O4467">
            <v>6.2543E-3</v>
          </cell>
          <cell r="P4467">
            <v>1.1260870000000001</v>
          </cell>
          <cell r="Q4467">
            <v>3.5405177999999999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0.24052609999999999</v>
          </cell>
          <cell r="Y4467">
            <v>0</v>
          </cell>
          <cell r="Z4467">
            <v>0</v>
          </cell>
          <cell r="AA4467">
            <v>0</v>
          </cell>
          <cell r="AB4467">
            <v>0.13761209999999999</v>
          </cell>
        </row>
        <row r="4468">
          <cell r="A4468">
            <v>71405019</v>
          </cell>
          <cell r="B4468" t="str">
            <v>Potato, hash brown, from fresh, with cheese</v>
          </cell>
          <cell r="I4468">
            <v>70</v>
          </cell>
          <cell r="J4468">
            <v>154.40652</v>
          </cell>
          <cell r="K4468">
            <v>2.2058074285714286</v>
          </cell>
          <cell r="L4468">
            <v>-1.55E-16</v>
          </cell>
          <cell r="M4468">
            <v>2.9649496000000002</v>
          </cell>
          <cell r="N4468">
            <v>0</v>
          </cell>
          <cell r="O4468">
            <v>7.8957399999999997E-2</v>
          </cell>
          <cell r="P4468">
            <v>0.95925930000000004</v>
          </cell>
          <cell r="Q4468">
            <v>3.1633596000000002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0.2726111</v>
          </cell>
          <cell r="Y4468">
            <v>0</v>
          </cell>
          <cell r="Z4468">
            <v>0</v>
          </cell>
          <cell r="AA4468">
            <v>0</v>
          </cell>
          <cell r="AB4468">
            <v>0.16120390000000001</v>
          </cell>
        </row>
        <row r="4469">
          <cell r="A4469">
            <v>71405020</v>
          </cell>
          <cell r="B4469" t="str">
            <v>White potato, hash brown, from frozen</v>
          </cell>
          <cell r="I4469">
            <v>70</v>
          </cell>
          <cell r="J4469">
            <v>190.4</v>
          </cell>
          <cell r="K4469">
            <v>2.72</v>
          </cell>
          <cell r="L4469">
            <v>0</v>
          </cell>
          <cell r="M4469">
            <v>1.778</v>
          </cell>
          <cell r="N4469">
            <v>0</v>
          </cell>
          <cell r="O4469">
            <v>1.3299999999999999E-2</v>
          </cell>
          <cell r="P4469">
            <v>1.89</v>
          </cell>
          <cell r="Q4469">
            <v>3.9655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0.3962</v>
          </cell>
          <cell r="Y4469">
            <v>0</v>
          </cell>
          <cell r="Z4469">
            <v>0</v>
          </cell>
          <cell r="AA4469">
            <v>0</v>
          </cell>
          <cell r="AB4469">
            <v>3.9199999999999999E-2</v>
          </cell>
        </row>
        <row r="4470">
          <cell r="A4470">
            <v>71405030</v>
          </cell>
          <cell r="B4470" t="str">
            <v>Potato, hash brown, from dry mix</v>
          </cell>
          <cell r="I4470">
            <v>70</v>
          </cell>
          <cell r="J4470">
            <v>151.78218000000001</v>
          </cell>
          <cell r="K4470">
            <v>2.1683168571428575</v>
          </cell>
          <cell r="L4470">
            <v>0</v>
          </cell>
          <cell r="M4470">
            <v>0.64732670000000003</v>
          </cell>
          <cell r="N4470">
            <v>0</v>
          </cell>
          <cell r="O4470">
            <v>1.1948500000000001E-2</v>
          </cell>
          <cell r="P4470">
            <v>2.2178217999999998</v>
          </cell>
          <cell r="Q4470">
            <v>1.9301980000000001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0.27901579999999998</v>
          </cell>
          <cell r="Y4470">
            <v>0</v>
          </cell>
          <cell r="Z4470">
            <v>0</v>
          </cell>
          <cell r="AA4470">
            <v>0</v>
          </cell>
          <cell r="AB4470">
            <v>2.49505E-2</v>
          </cell>
        </row>
        <row r="4471">
          <cell r="A4471">
            <v>71405040</v>
          </cell>
          <cell r="B4471" t="str">
            <v>Potato, hash brown, ready-to-heat</v>
          </cell>
          <cell r="I4471">
            <v>70</v>
          </cell>
          <cell r="J4471">
            <v>151.78218000000001</v>
          </cell>
          <cell r="K4471">
            <v>2.1683168571428575</v>
          </cell>
          <cell r="L4471">
            <v>0</v>
          </cell>
          <cell r="M4471">
            <v>0.64732670000000003</v>
          </cell>
          <cell r="N4471">
            <v>0</v>
          </cell>
          <cell r="O4471">
            <v>1.1948500000000001E-2</v>
          </cell>
          <cell r="P4471">
            <v>2.2178217999999998</v>
          </cell>
          <cell r="Q4471">
            <v>1.9301980000000001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0.27901579999999998</v>
          </cell>
          <cell r="Y4471">
            <v>0</v>
          </cell>
          <cell r="Z4471">
            <v>0</v>
          </cell>
          <cell r="AA4471">
            <v>0</v>
          </cell>
          <cell r="AB4471">
            <v>2.49505E-2</v>
          </cell>
        </row>
        <row r="4472">
          <cell r="A4472">
            <v>71405050</v>
          </cell>
          <cell r="B4472" t="str">
            <v>Potato, hash brown, ready-to-heat, with cheese</v>
          </cell>
          <cell r="I4472">
            <v>70</v>
          </cell>
          <cell r="J4472">
            <v>173.43801999999999</v>
          </cell>
          <cell r="K4472">
            <v>2.4776859999999998</v>
          </cell>
          <cell r="L4472">
            <v>3.1089999999999998E-16</v>
          </cell>
          <cell r="M4472">
            <v>2.7232892999999998</v>
          </cell>
          <cell r="N4472">
            <v>0</v>
          </cell>
          <cell r="O4472">
            <v>9.2122300000000004E-2</v>
          </cell>
          <cell r="P4472">
            <v>1.8512397</v>
          </cell>
          <cell r="Q4472">
            <v>1.7755702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0.30845119999999998</v>
          </cell>
          <cell r="Y4472">
            <v>0</v>
          </cell>
          <cell r="Z4472">
            <v>0</v>
          </cell>
          <cell r="AA4472">
            <v>0</v>
          </cell>
          <cell r="AB4472">
            <v>0.1269256</v>
          </cell>
        </row>
        <row r="4473">
          <cell r="A4473">
            <v>71405100</v>
          </cell>
          <cell r="B4473" t="str">
            <v>White potato, hash brown, with cheese</v>
          </cell>
          <cell r="I4473">
            <v>70</v>
          </cell>
          <cell r="J4473">
            <v>194.83959999999999</v>
          </cell>
          <cell r="K4473">
            <v>2.783422857142857</v>
          </cell>
          <cell r="L4473">
            <v>0</v>
          </cell>
          <cell r="M4473">
            <v>2.5654854</v>
          </cell>
          <cell r="N4473">
            <v>0</v>
          </cell>
          <cell r="O4473">
            <v>6.1221100000000001E-2</v>
          </cell>
          <cell r="P4473">
            <v>1.992597</v>
          </cell>
          <cell r="Q4473">
            <v>3.0334086</v>
          </cell>
          <cell r="R4473">
            <v>0</v>
          </cell>
          <cell r="S4473">
            <v>0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0.39614850000000001</v>
          </cell>
          <cell r="Y4473">
            <v>0</v>
          </cell>
          <cell r="Z4473">
            <v>0</v>
          </cell>
          <cell r="AA4473">
            <v>0</v>
          </cell>
          <cell r="AB4473">
            <v>0.21763070000000001</v>
          </cell>
        </row>
        <row r="4474">
          <cell r="A4474">
            <v>71410000</v>
          </cell>
          <cell r="B4474" t="str">
            <v>Potato skins without topping</v>
          </cell>
          <cell r="I4474">
            <v>70</v>
          </cell>
          <cell r="J4474">
            <v>105.22349</v>
          </cell>
          <cell r="K4474">
            <v>1.5031927142857142</v>
          </cell>
          <cell r="L4474">
            <v>0</v>
          </cell>
          <cell r="M4474">
            <v>0.72268509999999997</v>
          </cell>
          <cell r="N4474">
            <v>0</v>
          </cell>
          <cell r="O4474">
            <v>7.5522999999999996E-3</v>
          </cell>
          <cell r="P4474">
            <v>1.2555046000000001</v>
          </cell>
          <cell r="Q4474">
            <v>2.1496293999999998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0.25422840000000002</v>
          </cell>
          <cell r="Y4474">
            <v>0</v>
          </cell>
          <cell r="Z4474">
            <v>0</v>
          </cell>
          <cell r="AA4474">
            <v>0</v>
          </cell>
          <cell r="AB4474">
            <v>0.2034309</v>
          </cell>
        </row>
        <row r="4475">
          <cell r="A4475">
            <v>71410500</v>
          </cell>
          <cell r="B4475" t="str">
            <v>Potato skins, with cheese</v>
          </cell>
          <cell r="I4475">
            <v>70</v>
          </cell>
          <cell r="J4475">
            <v>138.35343</v>
          </cell>
          <cell r="K4475">
            <v>1.9764775714285714</v>
          </cell>
          <cell r="L4475">
            <v>0</v>
          </cell>
          <cell r="M4475">
            <v>3.0518296999999999</v>
          </cell>
          <cell r="N4475">
            <v>0</v>
          </cell>
          <cell r="O4475">
            <v>9.8867200000000002E-2</v>
          </cell>
          <cell r="P4475">
            <v>1.0212687</v>
          </cell>
          <cell r="Q4475">
            <v>1.9341575</v>
          </cell>
          <cell r="R4475">
            <v>0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0.29207759999999999</v>
          </cell>
          <cell r="Y4475">
            <v>0</v>
          </cell>
          <cell r="Z4475">
            <v>0</v>
          </cell>
          <cell r="AA4475">
            <v>0</v>
          </cell>
          <cell r="AB4475">
            <v>0.69279970000000002</v>
          </cell>
        </row>
        <row r="4476">
          <cell r="A4476">
            <v>71411000</v>
          </cell>
          <cell r="B4476" t="str">
            <v>Potato skins, with cheese and bacon</v>
          </cell>
          <cell r="I4476">
            <v>70</v>
          </cell>
          <cell r="J4476">
            <v>149.01521</v>
          </cell>
          <cell r="K4476">
            <v>2.1287887142857143</v>
          </cell>
          <cell r="L4476">
            <v>0</v>
          </cell>
          <cell r="M4476">
            <v>3.3517153999999998</v>
          </cell>
          <cell r="N4476">
            <v>0</v>
          </cell>
          <cell r="O4476">
            <v>9.3730999999999995E-2</v>
          </cell>
          <cell r="P4476">
            <v>0.96373240000000004</v>
          </cell>
          <cell r="Q4476">
            <v>2.0662275000000001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0.3420338</v>
          </cell>
          <cell r="Y4476">
            <v>0</v>
          </cell>
          <cell r="Z4476">
            <v>0</v>
          </cell>
          <cell r="AA4476">
            <v>2.817431</v>
          </cell>
          <cell r="AB4476">
            <v>0.53141210000000005</v>
          </cell>
        </row>
        <row r="4477">
          <cell r="A4477">
            <v>71501000</v>
          </cell>
          <cell r="B4477" t="str">
            <v>Potato, mashed, NFS</v>
          </cell>
          <cell r="I4477">
            <v>140</v>
          </cell>
          <cell r="J4477">
            <v>155.73312999999999</v>
          </cell>
          <cell r="K4477">
            <v>1.1123794999999999</v>
          </cell>
          <cell r="L4477">
            <v>0</v>
          </cell>
          <cell r="M4477">
            <v>3.1066240000000001</v>
          </cell>
          <cell r="N4477">
            <v>0</v>
          </cell>
          <cell r="O4477">
            <v>3.5465900000000002E-2</v>
          </cell>
          <cell r="P4477">
            <v>1.6329705000000001</v>
          </cell>
          <cell r="Q4477">
            <v>0.60310819999999998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0.29667480000000002</v>
          </cell>
          <cell r="Y4477">
            <v>0</v>
          </cell>
          <cell r="Z4477">
            <v>0</v>
          </cell>
          <cell r="AA4477">
            <v>0</v>
          </cell>
          <cell r="AB4477">
            <v>0.23838319999999999</v>
          </cell>
        </row>
        <row r="4478">
          <cell r="A4478">
            <v>71501005</v>
          </cell>
          <cell r="B4478" t="str">
            <v>Potato, mashed, from fast food</v>
          </cell>
          <cell r="I4478">
            <v>140</v>
          </cell>
          <cell r="J4478">
            <v>124.6</v>
          </cell>
          <cell r="K4478">
            <v>0.89</v>
          </cell>
          <cell r="L4478">
            <v>0</v>
          </cell>
          <cell r="M4478">
            <v>0.80779999999999996</v>
          </cell>
          <cell r="N4478">
            <v>0</v>
          </cell>
          <cell r="O4478">
            <v>2.52E-2</v>
          </cell>
          <cell r="P4478">
            <v>1.82</v>
          </cell>
          <cell r="Q4478">
            <v>1.8788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0.4284</v>
          </cell>
          <cell r="Y4478">
            <v>0</v>
          </cell>
          <cell r="Z4478">
            <v>0</v>
          </cell>
          <cell r="AA4478">
            <v>0</v>
          </cell>
          <cell r="AB4478">
            <v>0.14699999999999999</v>
          </cell>
        </row>
        <row r="4479">
          <cell r="A4479">
            <v>71501006</v>
          </cell>
          <cell r="B4479" t="str">
            <v>Potato, mashed, from fast food, with gravy</v>
          </cell>
          <cell r="I4479">
            <v>140</v>
          </cell>
          <cell r="J4479">
            <v>113.12</v>
          </cell>
          <cell r="K4479">
            <v>0.80800000000000005</v>
          </cell>
          <cell r="L4479">
            <v>0</v>
          </cell>
          <cell r="M4479">
            <v>0.82516</v>
          </cell>
          <cell r="N4479">
            <v>0</v>
          </cell>
          <cell r="O4479">
            <v>2.2960000000000001E-2</v>
          </cell>
          <cell r="P4479">
            <v>1.484</v>
          </cell>
          <cell r="Q4479">
            <v>1.617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0.45163999999999999</v>
          </cell>
          <cell r="Y4479">
            <v>0</v>
          </cell>
          <cell r="Z4479">
            <v>0</v>
          </cell>
          <cell r="AA4479">
            <v>0</v>
          </cell>
          <cell r="AB4479">
            <v>0.12068</v>
          </cell>
        </row>
        <row r="4480">
          <cell r="A4480">
            <v>71501007</v>
          </cell>
          <cell r="B4480" t="str">
            <v>Potato, mashed, ready-to-heat</v>
          </cell>
          <cell r="I4480">
            <v>140</v>
          </cell>
          <cell r="J4480">
            <v>148.4</v>
          </cell>
          <cell r="K4480">
            <v>1.06</v>
          </cell>
          <cell r="L4480">
            <v>0</v>
          </cell>
          <cell r="M4480">
            <v>3.6848000000000001</v>
          </cell>
          <cell r="N4480">
            <v>0</v>
          </cell>
          <cell r="O4480">
            <v>4.7600000000000003E-2</v>
          </cell>
          <cell r="P4480">
            <v>2.66</v>
          </cell>
          <cell r="Q4480">
            <v>0.95760000000000001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0.41720000000000002</v>
          </cell>
          <cell r="Y4480">
            <v>0</v>
          </cell>
          <cell r="Z4480">
            <v>0</v>
          </cell>
          <cell r="AA4480">
            <v>0</v>
          </cell>
          <cell r="AB4480">
            <v>0.1792</v>
          </cell>
        </row>
        <row r="4481">
          <cell r="A4481">
            <v>71501010</v>
          </cell>
          <cell r="B4481" t="str">
            <v>Potato, mashed, from fresh, made with milk</v>
          </cell>
          <cell r="I4481">
            <v>140</v>
          </cell>
          <cell r="J4481">
            <v>155.73312999999999</v>
          </cell>
          <cell r="K4481">
            <v>1.1123794999999999</v>
          </cell>
          <cell r="L4481">
            <v>0</v>
          </cell>
          <cell r="M4481">
            <v>3.1066240000000001</v>
          </cell>
          <cell r="N4481">
            <v>0</v>
          </cell>
          <cell r="O4481">
            <v>3.5465900000000002E-2</v>
          </cell>
          <cell r="P4481">
            <v>1.6329705000000001</v>
          </cell>
          <cell r="Q4481">
            <v>0.60310819999999998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0.29667480000000002</v>
          </cell>
          <cell r="Y4481">
            <v>0</v>
          </cell>
          <cell r="Z4481">
            <v>0</v>
          </cell>
          <cell r="AA4481">
            <v>0</v>
          </cell>
          <cell r="AB4481">
            <v>0.23838319999999999</v>
          </cell>
        </row>
        <row r="4482">
          <cell r="A4482">
            <v>71501011</v>
          </cell>
          <cell r="B4482" t="str">
            <v>Potato, mashed, from fresh, made with milk, with cheese</v>
          </cell>
          <cell r="I4482">
            <v>140</v>
          </cell>
          <cell r="J4482">
            <v>199.64743000000001</v>
          </cell>
          <cell r="K4482">
            <v>1.4260530714285715</v>
          </cell>
          <cell r="L4482">
            <v>0</v>
          </cell>
          <cell r="M4482">
            <v>5.6038214000000002</v>
          </cell>
          <cell r="N4482">
            <v>0</v>
          </cell>
          <cell r="O4482">
            <v>0.13816600000000001</v>
          </cell>
          <cell r="P4482">
            <v>1.4580093000000001</v>
          </cell>
          <cell r="Q4482">
            <v>0.75163950000000002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0.3628382</v>
          </cell>
          <cell r="Y4482">
            <v>0</v>
          </cell>
          <cell r="Z4482">
            <v>0</v>
          </cell>
          <cell r="AA4482">
            <v>0</v>
          </cell>
          <cell r="AB4482">
            <v>0.35039209999999998</v>
          </cell>
        </row>
        <row r="4483">
          <cell r="A4483">
            <v>71501012</v>
          </cell>
          <cell r="B4483" t="str">
            <v>Potato, mashed, from fresh, made with milk, with gravy</v>
          </cell>
          <cell r="I4483">
            <v>140</v>
          </cell>
          <cell r="J4483">
            <v>138.0265</v>
          </cell>
          <cell r="K4483">
            <v>0.98590357142857143</v>
          </cell>
          <cell r="L4483">
            <v>-1.55E-16</v>
          </cell>
          <cell r="M4483">
            <v>2.6642191999999998</v>
          </cell>
          <cell r="N4483">
            <v>0</v>
          </cell>
          <cell r="O4483">
            <v>3.1172800000000001E-2</v>
          </cell>
          <cell r="P4483">
            <v>1.3343764</v>
          </cell>
          <cell r="Q4483">
            <v>0.59644660000000005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0.34625980000000001</v>
          </cell>
          <cell r="Y4483">
            <v>0</v>
          </cell>
          <cell r="Z4483">
            <v>0</v>
          </cell>
          <cell r="AA4483">
            <v>0</v>
          </cell>
          <cell r="AB4483">
            <v>0.1937866</v>
          </cell>
        </row>
        <row r="4484">
          <cell r="A4484">
            <v>71501013</v>
          </cell>
          <cell r="B4484" t="str">
            <v>Potato, mashed, from fresh, NFS</v>
          </cell>
          <cell r="I4484">
            <v>140</v>
          </cell>
          <cell r="J4484">
            <v>155.73312999999999</v>
          </cell>
          <cell r="K4484">
            <v>1.1123794999999999</v>
          </cell>
          <cell r="L4484">
            <v>0</v>
          </cell>
          <cell r="M4484">
            <v>3.1066240000000001</v>
          </cell>
          <cell r="N4484">
            <v>0</v>
          </cell>
          <cell r="O4484">
            <v>3.5465900000000002E-2</v>
          </cell>
          <cell r="P4484">
            <v>1.6329705000000001</v>
          </cell>
          <cell r="Q4484">
            <v>0.60310819999999998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0.29667480000000002</v>
          </cell>
          <cell r="Y4484">
            <v>0</v>
          </cell>
          <cell r="Z4484">
            <v>0</v>
          </cell>
          <cell r="AA4484">
            <v>0</v>
          </cell>
          <cell r="AB4484">
            <v>0.23838319999999999</v>
          </cell>
        </row>
        <row r="4485">
          <cell r="A4485">
            <v>71501015</v>
          </cell>
          <cell r="B4485" t="str">
            <v>White potato, from fresh, mashed, made with milk, and sour cream and/or cream cheese</v>
          </cell>
          <cell r="I4485">
            <v>140</v>
          </cell>
          <cell r="J4485">
            <v>172.67697000000001</v>
          </cell>
          <cell r="K4485">
            <v>1.2334069285714286</v>
          </cell>
          <cell r="L4485">
            <v>0</v>
          </cell>
          <cell r="M4485">
            <v>4.4600837000000002</v>
          </cell>
          <cell r="N4485">
            <v>0</v>
          </cell>
          <cell r="O4485">
            <v>4.1940999999999999E-2</v>
          </cell>
          <cell r="P4485">
            <v>1.91587</v>
          </cell>
          <cell r="Q4485">
            <v>0.37941619999999998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0.35334979999999999</v>
          </cell>
          <cell r="Y4485">
            <v>0</v>
          </cell>
          <cell r="Z4485">
            <v>0</v>
          </cell>
          <cell r="AA4485">
            <v>0</v>
          </cell>
          <cell r="AB4485">
            <v>0.33506730000000001</v>
          </cell>
        </row>
        <row r="4486">
          <cell r="A4486">
            <v>71501016</v>
          </cell>
          <cell r="B4486" t="str">
            <v>Potato, mashed, from restaurant</v>
          </cell>
          <cell r="I4486">
            <v>140</v>
          </cell>
          <cell r="J4486">
            <v>188.24456000000001</v>
          </cell>
          <cell r="K4486">
            <v>1.3446040000000001</v>
          </cell>
          <cell r="L4486">
            <v>0</v>
          </cell>
          <cell r="M4486">
            <v>5.1740601000000002</v>
          </cell>
          <cell r="N4486">
            <v>0</v>
          </cell>
          <cell r="O4486">
            <v>3.5301600000000002E-2</v>
          </cell>
          <cell r="P4486">
            <v>1.5544041</v>
          </cell>
          <cell r="Q4486">
            <v>1.3461078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0.52408809999999995</v>
          </cell>
          <cell r="Y4486">
            <v>0</v>
          </cell>
          <cell r="Z4486">
            <v>0</v>
          </cell>
          <cell r="AA4486">
            <v>0</v>
          </cell>
          <cell r="AB4486">
            <v>0.44032749999999998</v>
          </cell>
        </row>
        <row r="4487">
          <cell r="A4487">
            <v>71501017</v>
          </cell>
          <cell r="B4487" t="str">
            <v>Potato, mashed, from restaurant, with gravy</v>
          </cell>
          <cell r="I4487">
            <v>140</v>
          </cell>
          <cell r="J4487">
            <v>164.03565</v>
          </cell>
          <cell r="K4487">
            <v>1.1716832142857143</v>
          </cell>
          <cell r="L4487">
            <v>0</v>
          </cell>
          <cell r="M4487">
            <v>4.3181681000000003</v>
          </cell>
          <cell r="N4487">
            <v>0</v>
          </cell>
          <cell r="O4487">
            <v>3.1041200000000001E-2</v>
          </cell>
          <cell r="P4487">
            <v>1.2715232999999999</v>
          </cell>
          <cell r="Q4487">
            <v>1.1908462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0.52819050000000001</v>
          </cell>
          <cell r="Y4487">
            <v>0</v>
          </cell>
          <cell r="Z4487">
            <v>0</v>
          </cell>
          <cell r="AA4487">
            <v>0</v>
          </cell>
          <cell r="AB4487">
            <v>0.35534199999999999</v>
          </cell>
        </row>
        <row r="4488">
          <cell r="A4488">
            <v>71501018</v>
          </cell>
          <cell r="B4488" t="str">
            <v>Potato, mashed, from school lunch</v>
          </cell>
          <cell r="I4488">
            <v>140</v>
          </cell>
          <cell r="J4488">
            <v>105.93591000000001</v>
          </cell>
          <cell r="K4488">
            <v>0.75668507142857144</v>
          </cell>
          <cell r="L4488">
            <v>0</v>
          </cell>
          <cell r="M4488">
            <v>0.68668499999999999</v>
          </cell>
          <cell r="N4488">
            <v>0</v>
          </cell>
          <cell r="O4488">
            <v>5.68771E-2</v>
          </cell>
          <cell r="P4488">
            <v>1.3372846</v>
          </cell>
          <cell r="Q4488">
            <v>0.93660580000000004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0.28282269999999998</v>
          </cell>
          <cell r="Y4488">
            <v>0</v>
          </cell>
          <cell r="Z4488">
            <v>0</v>
          </cell>
          <cell r="AA4488">
            <v>0</v>
          </cell>
          <cell r="AB4488">
            <v>0.1237326</v>
          </cell>
        </row>
        <row r="4489">
          <cell r="A4489">
            <v>71501020</v>
          </cell>
          <cell r="B4489" t="str">
            <v>White potato, from fresh, mashed, made with milk and fat</v>
          </cell>
          <cell r="I4489">
            <v>140</v>
          </cell>
          <cell r="J4489">
            <v>141.77149</v>
          </cell>
          <cell r="K4489">
            <v>1.0126535000000001</v>
          </cell>
          <cell r="L4489">
            <v>0</v>
          </cell>
          <cell r="M4489">
            <v>2.0047817999999999</v>
          </cell>
          <cell r="N4489">
            <v>0</v>
          </cell>
          <cell r="O4489">
            <v>2.9993100000000002E-2</v>
          </cell>
          <cell r="P4489">
            <v>2.1244486999999999</v>
          </cell>
          <cell r="Q4489">
            <v>0.68837760000000003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0.3542033</v>
          </cell>
          <cell r="Y4489">
            <v>0</v>
          </cell>
          <cell r="Z4489">
            <v>0</v>
          </cell>
          <cell r="AA4489">
            <v>0</v>
          </cell>
          <cell r="AB4489">
            <v>0.17730209999999999</v>
          </cell>
        </row>
        <row r="4490">
          <cell r="A4490">
            <v>71501025</v>
          </cell>
          <cell r="B4490" t="str">
            <v>White potato, from fresh, mashed, made with milk, and sour cream and/or cream cheese and fat</v>
          </cell>
          <cell r="I4490">
            <v>140</v>
          </cell>
          <cell r="J4490">
            <v>208.44919999999999</v>
          </cell>
          <cell r="K4490">
            <v>1.488922857142857</v>
          </cell>
          <cell r="L4490">
            <v>0</v>
          </cell>
          <cell r="M4490">
            <v>6.6934899999999997</v>
          </cell>
          <cell r="N4490">
            <v>0</v>
          </cell>
          <cell r="O4490">
            <v>4.1448699999999998E-2</v>
          </cell>
          <cell r="P4490">
            <v>1.8217393</v>
          </cell>
          <cell r="Q4490">
            <v>1.2148493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0.38120130000000002</v>
          </cell>
          <cell r="Y4490">
            <v>0</v>
          </cell>
          <cell r="Z4490">
            <v>0</v>
          </cell>
          <cell r="AA4490">
            <v>0</v>
          </cell>
          <cell r="AB4490">
            <v>0.50253499999999995</v>
          </cell>
        </row>
        <row r="4491">
          <cell r="A4491">
            <v>71501030</v>
          </cell>
          <cell r="B4491" t="str">
            <v>White potato, from fresh, mashed, made with fat</v>
          </cell>
          <cell r="I4491">
            <v>140</v>
          </cell>
          <cell r="J4491">
            <v>151.21993000000001</v>
          </cell>
          <cell r="K4491">
            <v>1.0801423571428572</v>
          </cell>
          <cell r="L4491">
            <v>0</v>
          </cell>
          <cell r="M4491">
            <v>2.0555990999999998</v>
          </cell>
          <cell r="N4491">
            <v>0</v>
          </cell>
          <cell r="O4491">
            <v>1.2182699999999999E-2</v>
          </cell>
          <cell r="P4491">
            <v>2.4017978000000002</v>
          </cell>
          <cell r="Q4491">
            <v>0.7611386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0.39231339999999998</v>
          </cell>
          <cell r="Y4491">
            <v>0</v>
          </cell>
          <cell r="Z4491">
            <v>0</v>
          </cell>
          <cell r="AA4491">
            <v>0</v>
          </cell>
          <cell r="AB4491">
            <v>0.19454550000000001</v>
          </cell>
        </row>
        <row r="4492">
          <cell r="A4492">
            <v>71501035</v>
          </cell>
          <cell r="B4492" t="str">
            <v>Potato, mashed, from dry mix, NFS</v>
          </cell>
          <cell r="I4492">
            <v>140</v>
          </cell>
          <cell r="J4492">
            <v>158.66165000000001</v>
          </cell>
          <cell r="K4492">
            <v>1.1332975000000001</v>
          </cell>
          <cell r="L4492">
            <v>0</v>
          </cell>
          <cell r="M4492">
            <v>5.0297919999999996</v>
          </cell>
          <cell r="N4492">
            <v>0</v>
          </cell>
          <cell r="O4492">
            <v>4.9549200000000002E-2</v>
          </cell>
          <cell r="P4492">
            <v>1.3044705999999999</v>
          </cell>
          <cell r="Q4492">
            <v>1.0548630999999999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0.3580856</v>
          </cell>
          <cell r="Y4492">
            <v>0</v>
          </cell>
          <cell r="Z4492">
            <v>0</v>
          </cell>
          <cell r="AA4492">
            <v>0</v>
          </cell>
          <cell r="AB4492">
            <v>0.40081689999999998</v>
          </cell>
        </row>
        <row r="4493">
          <cell r="A4493">
            <v>71501040</v>
          </cell>
          <cell r="B4493" t="str">
            <v>Potato, mashed, from dry mix, made with milk</v>
          </cell>
          <cell r="I4493">
            <v>140</v>
          </cell>
          <cell r="J4493">
            <v>158.66165000000001</v>
          </cell>
          <cell r="K4493">
            <v>1.1332975000000001</v>
          </cell>
          <cell r="L4493">
            <v>0</v>
          </cell>
          <cell r="M4493">
            <v>5.0297919999999996</v>
          </cell>
          <cell r="N4493">
            <v>0</v>
          </cell>
          <cell r="O4493">
            <v>4.9549200000000002E-2</v>
          </cell>
          <cell r="P4493">
            <v>1.3044705999999999</v>
          </cell>
          <cell r="Q4493">
            <v>1.0548630999999999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0.3580856</v>
          </cell>
          <cell r="Y4493">
            <v>0</v>
          </cell>
          <cell r="Z4493">
            <v>0</v>
          </cell>
          <cell r="AA4493">
            <v>0</v>
          </cell>
          <cell r="AB4493">
            <v>0.40081689999999998</v>
          </cell>
        </row>
        <row r="4494">
          <cell r="A4494">
            <v>71501045</v>
          </cell>
          <cell r="B4494" t="str">
            <v>Potato, mashed, from dry mix, made with milk, with cheese</v>
          </cell>
          <cell r="I4494">
            <v>140</v>
          </cell>
          <cell r="J4494">
            <v>202.26218</v>
          </cell>
          <cell r="K4494">
            <v>1.4447298571428571</v>
          </cell>
          <cell r="L4494">
            <v>0</v>
          </cell>
          <cell r="M4494">
            <v>7.3209356999999997</v>
          </cell>
          <cell r="N4494">
            <v>0</v>
          </cell>
          <cell r="O4494">
            <v>0.15074029999999999</v>
          </cell>
          <cell r="P4494">
            <v>1.1647059</v>
          </cell>
          <cell r="Q4494">
            <v>1.154992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0.41766930000000002</v>
          </cell>
          <cell r="Y4494">
            <v>0</v>
          </cell>
          <cell r="Z4494">
            <v>0</v>
          </cell>
          <cell r="AA4494">
            <v>0</v>
          </cell>
          <cell r="AB4494">
            <v>0.49542229999999998</v>
          </cell>
        </row>
        <row r="4495">
          <cell r="A4495">
            <v>71501050</v>
          </cell>
          <cell r="B4495" t="str">
            <v>White potato, from fresh, mashed, made with milk, fat and cheese</v>
          </cell>
          <cell r="I4495">
            <v>140</v>
          </cell>
          <cell r="J4495">
            <v>161.00560999999999</v>
          </cell>
          <cell r="K4495">
            <v>1.1500400714285715</v>
          </cell>
          <cell r="L4495">
            <v>0</v>
          </cell>
          <cell r="M4495">
            <v>3.0798242999999998</v>
          </cell>
          <cell r="N4495">
            <v>0</v>
          </cell>
          <cell r="O4495">
            <v>0.15653890000000001</v>
          </cell>
          <cell r="P4495">
            <v>1.9825809999999999</v>
          </cell>
          <cell r="Q4495">
            <v>0.73496379999999994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0.45012380000000002</v>
          </cell>
          <cell r="Y4495">
            <v>0</v>
          </cell>
          <cell r="Z4495">
            <v>0</v>
          </cell>
          <cell r="AA4495">
            <v>0</v>
          </cell>
          <cell r="AB4495">
            <v>0.24184339999999999</v>
          </cell>
        </row>
        <row r="4496">
          <cell r="A4496">
            <v>71501054</v>
          </cell>
          <cell r="B4496" t="str">
            <v>Potato, mashed, from dry mix, made with milk, with gravy</v>
          </cell>
          <cell r="I4496">
            <v>140</v>
          </cell>
          <cell r="J4496">
            <v>140.36931999999999</v>
          </cell>
          <cell r="K4496">
            <v>1.0026379999999999</v>
          </cell>
          <cell r="L4496">
            <v>0</v>
          </cell>
          <cell r="M4496">
            <v>4.2027536000000003</v>
          </cell>
          <cell r="N4496">
            <v>0</v>
          </cell>
          <cell r="O4496">
            <v>4.2439299999999999E-2</v>
          </cell>
          <cell r="P4496">
            <v>1.0715764999999999</v>
          </cell>
          <cell r="Q4496">
            <v>0.95785039999999999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0.39538849999999998</v>
          </cell>
          <cell r="Y4496">
            <v>0</v>
          </cell>
          <cell r="Z4496">
            <v>0</v>
          </cell>
          <cell r="AA4496">
            <v>0</v>
          </cell>
          <cell r="AB4496">
            <v>0.32373360000000001</v>
          </cell>
        </row>
        <row r="4497">
          <cell r="A4497">
            <v>71501055</v>
          </cell>
          <cell r="B4497" t="str">
            <v>White potato, from fresh, mashed, made with sour cream and/or cream cheese and fat</v>
          </cell>
          <cell r="I4497">
            <v>140</v>
          </cell>
          <cell r="J4497">
            <v>212.22054</v>
          </cell>
          <cell r="K4497">
            <v>1.5158609999999999</v>
          </cell>
          <cell r="L4497">
            <v>0</v>
          </cell>
          <cell r="M4497">
            <v>6.8312141999999998</v>
          </cell>
          <cell r="N4497">
            <v>0</v>
          </cell>
          <cell r="O4497">
            <v>3.8059299999999997E-2</v>
          </cell>
          <cell r="P4497">
            <v>1.8711485000000001</v>
          </cell>
          <cell r="Q4497">
            <v>1.2442443000000001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0.3898509</v>
          </cell>
          <cell r="Y4497">
            <v>0</v>
          </cell>
          <cell r="Z4497">
            <v>0</v>
          </cell>
          <cell r="AA4497">
            <v>0</v>
          </cell>
          <cell r="AB4497">
            <v>0.55054329999999996</v>
          </cell>
        </row>
        <row r="4498">
          <cell r="A4498">
            <v>71501061</v>
          </cell>
          <cell r="B4498" t="str">
            <v>Potato, mashed, ready-to-heat, NFS</v>
          </cell>
          <cell r="I4498">
            <v>140</v>
          </cell>
          <cell r="J4498">
            <v>148.4</v>
          </cell>
          <cell r="K4498">
            <v>1.06</v>
          </cell>
          <cell r="L4498">
            <v>0</v>
          </cell>
          <cell r="M4498">
            <v>3.6848000000000001</v>
          </cell>
          <cell r="N4498">
            <v>0</v>
          </cell>
          <cell r="O4498">
            <v>4.7600000000000003E-2</v>
          </cell>
          <cell r="P4498">
            <v>2.66</v>
          </cell>
          <cell r="Q4498">
            <v>0.95760000000000001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>
            <v>0.41720000000000002</v>
          </cell>
          <cell r="Y4498">
            <v>0</v>
          </cell>
          <cell r="Z4498">
            <v>0</v>
          </cell>
          <cell r="AA4498">
            <v>0</v>
          </cell>
          <cell r="AB4498">
            <v>0.1792</v>
          </cell>
        </row>
        <row r="4499">
          <cell r="A4499">
            <v>71501071</v>
          </cell>
          <cell r="B4499" t="str">
            <v>Potato, mashed, ready-to-heat, with cheese</v>
          </cell>
          <cell r="I4499">
            <v>140</v>
          </cell>
          <cell r="J4499">
            <v>193.1</v>
          </cell>
          <cell r="K4499">
            <v>1.3792857142857142</v>
          </cell>
          <cell r="L4499">
            <v>0</v>
          </cell>
          <cell r="M4499">
            <v>6.12005</v>
          </cell>
          <cell r="N4499">
            <v>0</v>
          </cell>
          <cell r="O4499">
            <v>0.14899999999999999</v>
          </cell>
          <cell r="P4499">
            <v>2.375</v>
          </cell>
          <cell r="Q4499">
            <v>1.0681499999999999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0.47044999999999998</v>
          </cell>
          <cell r="Y4499">
            <v>0</v>
          </cell>
          <cell r="Z4499">
            <v>0</v>
          </cell>
          <cell r="AA4499">
            <v>0</v>
          </cell>
          <cell r="AB4499">
            <v>0.29754999999999998</v>
          </cell>
        </row>
        <row r="4500">
          <cell r="A4500">
            <v>71501075</v>
          </cell>
          <cell r="B4500" t="str">
            <v>Potato, mashed, ready-to-heat, with gravy</v>
          </cell>
          <cell r="I4500">
            <v>140</v>
          </cell>
          <cell r="J4500">
            <v>132.16</v>
          </cell>
          <cell r="K4500">
            <v>0.94399999999999995</v>
          </cell>
          <cell r="L4500">
            <v>0</v>
          </cell>
          <cell r="M4500">
            <v>3.12676</v>
          </cell>
          <cell r="N4500">
            <v>0</v>
          </cell>
          <cell r="O4500">
            <v>4.088E-2</v>
          </cell>
          <cell r="P4500">
            <v>2.1560000000000001</v>
          </cell>
          <cell r="Q4500">
            <v>0.88004000000000004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0.44268000000000002</v>
          </cell>
          <cell r="Y4500">
            <v>0</v>
          </cell>
          <cell r="Z4500">
            <v>0</v>
          </cell>
          <cell r="AA4500">
            <v>0</v>
          </cell>
          <cell r="AB4500">
            <v>0.14643999999999999</v>
          </cell>
        </row>
        <row r="4501">
          <cell r="A4501">
            <v>71501080</v>
          </cell>
          <cell r="B4501" t="str">
            <v>White potato, from fresh, mashed, not made with milk or fat</v>
          </cell>
          <cell r="I4501">
            <v>140</v>
          </cell>
          <cell r="J4501">
            <v>119.66361000000001</v>
          </cell>
          <cell r="K4501">
            <v>0.85474007142857145</v>
          </cell>
          <cell r="L4501">
            <v>3.1089999999999998E-16</v>
          </cell>
          <cell r="M4501">
            <v>3.6177399999999998E-2</v>
          </cell>
          <cell r="N4501">
            <v>0</v>
          </cell>
          <cell r="O4501">
            <v>1.1337E-2</v>
          </cell>
          <cell r="P4501">
            <v>2.5045872</v>
          </cell>
          <cell r="Q4501">
            <v>5.9831799999999997E-2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0.33883000000000002</v>
          </cell>
          <cell r="Y4501">
            <v>0</v>
          </cell>
          <cell r="Z4501">
            <v>0</v>
          </cell>
          <cell r="AA4501">
            <v>0</v>
          </cell>
          <cell r="AB4501">
            <v>0</v>
          </cell>
        </row>
        <row r="4502">
          <cell r="A4502">
            <v>71501090</v>
          </cell>
          <cell r="B4502" t="str">
            <v>White potato, from dry, mashed, made with milk, no fat</v>
          </cell>
          <cell r="I4502">
            <v>140</v>
          </cell>
          <cell r="J4502">
            <v>76.482573000000002</v>
          </cell>
          <cell r="K4502">
            <v>0.54630409285714288</v>
          </cell>
          <cell r="L4502">
            <v>0</v>
          </cell>
          <cell r="M4502">
            <v>0.4228594</v>
          </cell>
          <cell r="N4502">
            <v>0</v>
          </cell>
          <cell r="O4502">
            <v>4.79307E-2</v>
          </cell>
          <cell r="P4502">
            <v>1.1100471000000001</v>
          </cell>
          <cell r="Q4502">
            <v>5.6044700000000003E-2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0.19458619999999999</v>
          </cell>
          <cell r="Y4502">
            <v>0</v>
          </cell>
          <cell r="Z4502">
            <v>0</v>
          </cell>
          <cell r="AA4502">
            <v>0</v>
          </cell>
          <cell r="AB4502">
            <v>2.13508E-2</v>
          </cell>
        </row>
        <row r="4503">
          <cell r="A4503">
            <v>71501200</v>
          </cell>
          <cell r="B4503" t="str">
            <v>White potato, from complete dry mix, mashed, made with water</v>
          </cell>
          <cell r="I4503">
            <v>140</v>
          </cell>
          <cell r="J4503">
            <v>99.507418999999999</v>
          </cell>
          <cell r="K4503">
            <v>0.71076727857142852</v>
          </cell>
          <cell r="L4503">
            <v>0</v>
          </cell>
          <cell r="M4503">
            <v>0.28452040000000001</v>
          </cell>
          <cell r="N4503">
            <v>0</v>
          </cell>
          <cell r="O4503">
            <v>3.9857299999999998E-2</v>
          </cell>
          <cell r="P4503">
            <v>1.6892809</v>
          </cell>
          <cell r="Q4503">
            <v>0.41193360000000001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0.2241136</v>
          </cell>
          <cell r="Y4503">
            <v>0</v>
          </cell>
          <cell r="Z4503">
            <v>0</v>
          </cell>
          <cell r="AA4503">
            <v>0</v>
          </cell>
          <cell r="AB4503">
            <v>0.11892659999999999</v>
          </cell>
        </row>
        <row r="4504">
          <cell r="A4504">
            <v>71501300</v>
          </cell>
          <cell r="B4504" t="str">
            <v>White potato, from dry, mashed, NS as to milk or fat</v>
          </cell>
          <cell r="I4504">
            <v>140</v>
          </cell>
          <cell r="J4504">
            <v>120.43377</v>
          </cell>
          <cell r="K4504">
            <v>0.86024121428571421</v>
          </cell>
          <cell r="L4504">
            <v>0</v>
          </cell>
          <cell r="M4504">
            <v>3.0737559000000001</v>
          </cell>
          <cell r="N4504">
            <v>0</v>
          </cell>
          <cell r="O4504">
            <v>4.7032200000000003E-2</v>
          </cell>
          <cell r="P4504">
            <v>1.0474224000000001</v>
          </cell>
          <cell r="Q4504">
            <v>0.98434129999999997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0.38661309999999999</v>
          </cell>
          <cell r="Y4504">
            <v>0</v>
          </cell>
          <cell r="Z4504">
            <v>0</v>
          </cell>
          <cell r="AA4504">
            <v>0</v>
          </cell>
          <cell r="AB4504">
            <v>0.27784350000000002</v>
          </cell>
        </row>
        <row r="4505">
          <cell r="A4505">
            <v>71501310</v>
          </cell>
          <cell r="B4505" t="str">
            <v>White potato, from fresh, mashed, NS as to milk or fat</v>
          </cell>
          <cell r="I4505">
            <v>140</v>
          </cell>
          <cell r="J4505">
            <v>141.77149</v>
          </cell>
          <cell r="K4505">
            <v>1.0126535000000001</v>
          </cell>
          <cell r="L4505">
            <v>0</v>
          </cell>
          <cell r="M4505">
            <v>2.0047817999999999</v>
          </cell>
          <cell r="N4505">
            <v>0</v>
          </cell>
          <cell r="O4505">
            <v>2.9993100000000002E-2</v>
          </cell>
          <cell r="P4505">
            <v>2.1244486999999999</v>
          </cell>
          <cell r="Q4505">
            <v>0.68837760000000003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0.3542033</v>
          </cell>
          <cell r="Y4505">
            <v>0</v>
          </cell>
          <cell r="Z4505">
            <v>0</v>
          </cell>
          <cell r="AA4505">
            <v>0</v>
          </cell>
          <cell r="AB4505">
            <v>0.2865682</v>
          </cell>
        </row>
        <row r="4506">
          <cell r="A4506">
            <v>71503010</v>
          </cell>
          <cell r="B4506" t="str">
            <v>Potato patty</v>
          </cell>
          <cell r="I4506">
            <v>70</v>
          </cell>
          <cell r="J4506">
            <v>119.05759</v>
          </cell>
          <cell r="K4506">
            <v>1.7008227142857144</v>
          </cell>
          <cell r="L4506">
            <v>7.5316499999999995E-2</v>
          </cell>
          <cell r="M4506">
            <v>2.1838915000000001</v>
          </cell>
          <cell r="N4506">
            <v>0</v>
          </cell>
          <cell r="O4506">
            <v>2.35807E-2</v>
          </cell>
          <cell r="P4506">
            <v>0.97955700000000001</v>
          </cell>
          <cell r="Q4506">
            <v>2.3701047000000002</v>
          </cell>
          <cell r="R4506">
            <v>0</v>
          </cell>
          <cell r="S4506">
            <v>0</v>
          </cell>
          <cell r="T4506">
            <v>0</v>
          </cell>
          <cell r="U4506">
            <v>4.4303796999999996</v>
          </cell>
          <cell r="V4506">
            <v>0</v>
          </cell>
          <cell r="W4506">
            <v>0</v>
          </cell>
          <cell r="X4506">
            <v>0.1546247</v>
          </cell>
          <cell r="Y4506">
            <v>0</v>
          </cell>
          <cell r="Z4506">
            <v>0</v>
          </cell>
          <cell r="AA4506">
            <v>0</v>
          </cell>
          <cell r="AB4506">
            <v>0.46990870000000001</v>
          </cell>
        </row>
        <row r="4507">
          <cell r="A4507">
            <v>71505000</v>
          </cell>
          <cell r="B4507" t="str">
            <v>Potato tots, NFS</v>
          </cell>
          <cell r="I4507">
            <v>70</v>
          </cell>
          <cell r="J4507">
            <v>157.00411</v>
          </cell>
          <cell r="K4507">
            <v>2.2429158571428571</v>
          </cell>
          <cell r="L4507">
            <v>0</v>
          </cell>
          <cell r="M4507">
            <v>1.5539729</v>
          </cell>
          <cell r="N4507">
            <v>0</v>
          </cell>
          <cell r="O4507">
            <v>8.5161000000000004E-3</v>
          </cell>
          <cell r="P4507">
            <v>1.5046729000000001</v>
          </cell>
          <cell r="Q4507">
            <v>3.9404651999999998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0.28002290000000002</v>
          </cell>
          <cell r="Y4507">
            <v>0</v>
          </cell>
          <cell r="Z4507">
            <v>0</v>
          </cell>
          <cell r="AA4507">
            <v>0</v>
          </cell>
          <cell r="AB4507">
            <v>0.45714690000000002</v>
          </cell>
        </row>
        <row r="4508">
          <cell r="A4508">
            <v>71505010</v>
          </cell>
          <cell r="B4508" t="str">
            <v>Potato tots, fast food / restaurant</v>
          </cell>
          <cell r="I4508">
            <v>70</v>
          </cell>
          <cell r="J4508">
            <v>156.71136000000001</v>
          </cell>
          <cell r="K4508">
            <v>2.2387337142857144</v>
          </cell>
          <cell r="L4508">
            <v>0</v>
          </cell>
          <cell r="M4508">
            <v>2.4148534000000001</v>
          </cell>
          <cell r="N4508">
            <v>0</v>
          </cell>
          <cell r="O4508">
            <v>8.5356000000000008E-3</v>
          </cell>
          <cell r="P4508">
            <v>1.4990688999999999</v>
          </cell>
          <cell r="Q4508">
            <v>3.4979518000000001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0.38000220000000001</v>
          </cell>
          <cell r="Y4508">
            <v>0</v>
          </cell>
          <cell r="Z4508">
            <v>0</v>
          </cell>
          <cell r="AA4508">
            <v>0</v>
          </cell>
          <cell r="AB4508">
            <v>7.6203199999999999E-2</v>
          </cell>
        </row>
        <row r="4509">
          <cell r="A4509">
            <v>71505020</v>
          </cell>
          <cell r="B4509" t="str">
            <v>Potato tots, school</v>
          </cell>
          <cell r="I4509">
            <v>70</v>
          </cell>
          <cell r="J4509">
            <v>115.11957</v>
          </cell>
          <cell r="K4509">
            <v>1.6445652857142856</v>
          </cell>
          <cell r="L4509">
            <v>1.554E-16</v>
          </cell>
          <cell r="M4509">
            <v>0.88619429999999999</v>
          </cell>
          <cell r="N4509">
            <v>0</v>
          </cell>
          <cell r="O4509">
            <v>6.4172999999999999E-3</v>
          </cell>
          <cell r="P4509">
            <v>1.1730072</v>
          </cell>
          <cell r="Q4509">
            <v>2.6433718000000002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0.10308639999999999</v>
          </cell>
          <cell r="Y4509">
            <v>0</v>
          </cell>
          <cell r="Z4509">
            <v>0</v>
          </cell>
          <cell r="AA4509">
            <v>0</v>
          </cell>
          <cell r="AB4509">
            <v>2.24678E-2</v>
          </cell>
        </row>
        <row r="4510">
          <cell r="A4510">
            <v>71505040</v>
          </cell>
          <cell r="B4510" t="str">
            <v>Potato tots, frozen, baked</v>
          </cell>
          <cell r="I4510">
            <v>70</v>
          </cell>
          <cell r="J4510">
            <v>124.6</v>
          </cell>
          <cell r="K4510">
            <v>1.78</v>
          </cell>
          <cell r="L4510">
            <v>0</v>
          </cell>
          <cell r="M4510">
            <v>0.99260000000000004</v>
          </cell>
          <cell r="N4510">
            <v>0</v>
          </cell>
          <cell r="O4510">
            <v>9.1000000000000004E-3</v>
          </cell>
          <cell r="P4510">
            <v>1.61</v>
          </cell>
          <cell r="Q4510">
            <v>2.198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0.29959999999999998</v>
          </cell>
          <cell r="Y4510">
            <v>0</v>
          </cell>
          <cell r="Z4510">
            <v>0</v>
          </cell>
          <cell r="AA4510">
            <v>0</v>
          </cell>
          <cell r="AB4510">
            <v>4.41E-2</v>
          </cell>
        </row>
        <row r="4511">
          <cell r="A4511">
            <v>71505050</v>
          </cell>
          <cell r="B4511" t="str">
            <v>Potato tots, frozen, fried</v>
          </cell>
          <cell r="I4511">
            <v>70</v>
          </cell>
          <cell r="J4511">
            <v>157.00411</v>
          </cell>
          <cell r="K4511">
            <v>2.2429158571428571</v>
          </cell>
          <cell r="L4511">
            <v>0</v>
          </cell>
          <cell r="M4511">
            <v>1.5539729</v>
          </cell>
          <cell r="N4511">
            <v>0</v>
          </cell>
          <cell r="O4511">
            <v>8.5161000000000004E-3</v>
          </cell>
          <cell r="P4511">
            <v>1.5046729000000001</v>
          </cell>
          <cell r="Q4511">
            <v>3.9404651999999998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0.28002290000000002</v>
          </cell>
          <cell r="Y4511">
            <v>0</v>
          </cell>
          <cell r="Z4511">
            <v>0</v>
          </cell>
          <cell r="AA4511">
            <v>0</v>
          </cell>
          <cell r="AB4511">
            <v>0.38955820000000002</v>
          </cell>
        </row>
        <row r="4512">
          <cell r="A4512">
            <v>71507005</v>
          </cell>
          <cell r="B4512" t="str">
            <v>Potato, baked, peel not eaten, with butter</v>
          </cell>
          <cell r="I4512">
            <v>140</v>
          </cell>
          <cell r="J4512">
            <v>173.12977000000001</v>
          </cell>
          <cell r="K4512">
            <v>1.2366412142857144</v>
          </cell>
          <cell r="L4512">
            <v>3.1089999999999998E-16</v>
          </cell>
          <cell r="M4512">
            <v>3.6146764</v>
          </cell>
          <cell r="N4512">
            <v>0</v>
          </cell>
          <cell r="O4512">
            <v>8.4390000000000003E-3</v>
          </cell>
          <cell r="P4512">
            <v>1.9863923000000001</v>
          </cell>
          <cell r="Q4512">
            <v>0.2690342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0.28555449999999999</v>
          </cell>
          <cell r="Y4512">
            <v>0</v>
          </cell>
          <cell r="Z4512">
            <v>0</v>
          </cell>
          <cell r="AA4512">
            <v>0</v>
          </cell>
          <cell r="AB4512">
            <v>0.22847000000000001</v>
          </cell>
        </row>
        <row r="4513">
          <cell r="A4513">
            <v>71507010</v>
          </cell>
          <cell r="B4513" t="str">
            <v>Potato, baked, peel not eaten, with sour cream</v>
          </cell>
          <cell r="I4513">
            <v>140</v>
          </cell>
          <cell r="J4513">
            <v>182.55358000000001</v>
          </cell>
          <cell r="K4513">
            <v>1.3039541428571428</v>
          </cell>
          <cell r="L4513">
            <v>-3.1100000000000002E-16</v>
          </cell>
          <cell r="M4513">
            <v>4.5728403000000002</v>
          </cell>
          <cell r="N4513">
            <v>0</v>
          </cell>
          <cell r="O4513">
            <v>2.0479000000000001E-2</v>
          </cell>
          <cell r="P4513">
            <v>1.8065198</v>
          </cell>
          <cell r="Q4513">
            <v>0.34609119999999999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0.26362679999999999</v>
          </cell>
          <cell r="Y4513">
            <v>0</v>
          </cell>
          <cell r="Z4513">
            <v>0</v>
          </cell>
          <cell r="AA4513">
            <v>0</v>
          </cell>
          <cell r="AB4513">
            <v>0.308693</v>
          </cell>
        </row>
        <row r="4514">
          <cell r="A4514">
            <v>71507020</v>
          </cell>
          <cell r="B4514" t="str">
            <v>Potato, baked, peel not eaten, with cheese</v>
          </cell>
          <cell r="I4514">
            <v>140</v>
          </cell>
          <cell r="J4514">
            <v>212.40412000000001</v>
          </cell>
          <cell r="K4514">
            <v>1.5171722857142858</v>
          </cell>
          <cell r="L4514">
            <v>3.1089999999999998E-16</v>
          </cell>
          <cell r="M4514">
            <v>6.2748911999999999</v>
          </cell>
          <cell r="N4514">
            <v>0</v>
          </cell>
          <cell r="O4514">
            <v>9.6344799999999994E-2</v>
          </cell>
          <cell r="P4514">
            <v>1.6657389</v>
          </cell>
          <cell r="Q4514">
            <v>0.47415309999999999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0.31432549999999998</v>
          </cell>
          <cell r="Y4514">
            <v>0</v>
          </cell>
          <cell r="Z4514">
            <v>0</v>
          </cell>
          <cell r="AA4514">
            <v>0</v>
          </cell>
          <cell r="AB4514">
            <v>0.38468239999999998</v>
          </cell>
        </row>
        <row r="4515">
          <cell r="A4515">
            <v>71507025</v>
          </cell>
          <cell r="B4515" t="str">
            <v>Potato, baked, peel not eaten, with meat</v>
          </cell>
          <cell r="I4515">
            <v>140</v>
          </cell>
          <cell r="J4515">
            <v>222.04846000000001</v>
          </cell>
          <cell r="K4515">
            <v>1.5860604285714286</v>
          </cell>
          <cell r="L4515">
            <v>0</v>
          </cell>
          <cell r="M4515">
            <v>6.5030362000000004</v>
          </cell>
          <cell r="N4515">
            <v>0</v>
          </cell>
          <cell r="O4515">
            <v>9.4581799999999994E-2</v>
          </cell>
          <cell r="P4515">
            <v>1.6294582</v>
          </cell>
          <cell r="Q4515">
            <v>0.65019769999999999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0.35882920000000001</v>
          </cell>
          <cell r="Y4515">
            <v>0</v>
          </cell>
          <cell r="Z4515">
            <v>0</v>
          </cell>
          <cell r="AA4515">
            <v>2.1784656</v>
          </cell>
          <cell r="AB4515">
            <v>0.3806948</v>
          </cell>
        </row>
        <row r="4516">
          <cell r="A4516">
            <v>71507040</v>
          </cell>
          <cell r="B4516" t="str">
            <v>White potato, stuffed, baked, peel not eaten, stuffed with broccoli and cheese sauce</v>
          </cell>
          <cell r="I4516">
            <v>140</v>
          </cell>
          <cell r="J4516">
            <v>142.8065</v>
          </cell>
          <cell r="K4516">
            <v>1.0200464285714286</v>
          </cell>
          <cell r="L4516">
            <v>0.85717339999999997</v>
          </cell>
          <cell r="M4516">
            <v>2.2580266999999998</v>
          </cell>
          <cell r="N4516">
            <v>0</v>
          </cell>
          <cell r="O4516">
            <v>5.4202800000000002E-2</v>
          </cell>
          <cell r="P4516">
            <v>1.4328836</v>
          </cell>
          <cell r="Q4516">
            <v>0.65639009999999998</v>
          </cell>
          <cell r="R4516">
            <v>0</v>
          </cell>
          <cell r="S4516">
            <v>0</v>
          </cell>
          <cell r="T4516">
            <v>0</v>
          </cell>
          <cell r="U4516">
            <v>28.572444999999998</v>
          </cell>
          <cell r="V4516">
            <v>0</v>
          </cell>
          <cell r="W4516">
            <v>0</v>
          </cell>
          <cell r="X4516">
            <v>0.38530720000000002</v>
          </cell>
          <cell r="Y4516">
            <v>0</v>
          </cell>
          <cell r="Z4516">
            <v>0</v>
          </cell>
          <cell r="AA4516">
            <v>0</v>
          </cell>
          <cell r="AB4516">
            <v>0.19822909999999999</v>
          </cell>
        </row>
        <row r="4517">
          <cell r="A4517">
            <v>71507050</v>
          </cell>
          <cell r="B4517" t="str">
            <v>White potato, stuffed, baked, peel not eaten, stuffed with meat in cream sauce</v>
          </cell>
          <cell r="I4517">
            <v>140</v>
          </cell>
          <cell r="J4517">
            <v>167.30524</v>
          </cell>
          <cell r="K4517">
            <v>1.1950374285714285</v>
          </cell>
          <cell r="L4517">
            <v>0.1862374</v>
          </cell>
          <cell r="M4517">
            <v>2.5382345000000002</v>
          </cell>
          <cell r="N4517">
            <v>0</v>
          </cell>
          <cell r="O4517">
            <v>2.0930199999999999E-2</v>
          </cell>
          <cell r="P4517">
            <v>1.4536484000000001</v>
          </cell>
          <cell r="Q4517">
            <v>1.2661575</v>
          </cell>
          <cell r="R4517">
            <v>0</v>
          </cell>
          <cell r="S4517">
            <v>0</v>
          </cell>
          <cell r="T4517">
            <v>0</v>
          </cell>
          <cell r="U4517">
            <v>9.5747596000000001</v>
          </cell>
          <cell r="V4517">
            <v>0</v>
          </cell>
          <cell r="W4517">
            <v>0</v>
          </cell>
          <cell r="X4517">
            <v>0.47356989999999999</v>
          </cell>
          <cell r="Y4517">
            <v>0</v>
          </cell>
          <cell r="Z4517">
            <v>12.045090999999999</v>
          </cell>
          <cell r="AA4517">
            <v>0</v>
          </cell>
          <cell r="AB4517">
            <v>0.2163187</v>
          </cell>
        </row>
        <row r="4518">
          <cell r="A4518">
            <v>71508001</v>
          </cell>
          <cell r="B4518" t="str">
            <v>Potato, baked, peel eaten</v>
          </cell>
          <cell r="I4518">
            <v>140</v>
          </cell>
          <cell r="J4518">
            <v>129.6088</v>
          </cell>
          <cell r="K4518">
            <v>0.92577714285714285</v>
          </cell>
          <cell r="L4518">
            <v>0</v>
          </cell>
          <cell r="M4518">
            <v>4.73839E-2</v>
          </cell>
          <cell r="N4518">
            <v>0</v>
          </cell>
          <cell r="O4518">
            <v>2.1057200000000002E-2</v>
          </cell>
          <cell r="P4518">
            <v>3.0660147000000002</v>
          </cell>
          <cell r="Q4518">
            <v>7.94377E-2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0.26031979999999999</v>
          </cell>
          <cell r="Y4518">
            <v>0</v>
          </cell>
          <cell r="Z4518">
            <v>0</v>
          </cell>
          <cell r="AA4518">
            <v>0</v>
          </cell>
          <cell r="AB4518">
            <v>0</v>
          </cell>
        </row>
        <row r="4519">
          <cell r="A4519">
            <v>71508005</v>
          </cell>
          <cell r="B4519" t="str">
            <v>Potato, baked, peel eaten, with butter</v>
          </cell>
          <cell r="I4519">
            <v>140</v>
          </cell>
          <cell r="J4519">
            <v>173.12977000000001</v>
          </cell>
          <cell r="K4519">
            <v>1.2366412142857144</v>
          </cell>
          <cell r="L4519">
            <v>0</v>
          </cell>
          <cell r="M4519">
            <v>3.6252705000000001</v>
          </cell>
          <cell r="N4519">
            <v>0</v>
          </cell>
          <cell r="O4519">
            <v>2.1681599999999999E-2</v>
          </cell>
          <cell r="P4519">
            <v>2.9133754000000001</v>
          </cell>
          <cell r="Q4519">
            <v>0.28757379999999999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0.29217579999999999</v>
          </cell>
          <cell r="Y4519">
            <v>0</v>
          </cell>
          <cell r="Z4519">
            <v>0</v>
          </cell>
          <cell r="AA4519">
            <v>0</v>
          </cell>
          <cell r="AB4519">
            <v>0.22847000000000001</v>
          </cell>
        </row>
        <row r="4520">
          <cell r="A4520">
            <v>71508010</v>
          </cell>
          <cell r="B4520" t="str">
            <v>Potato, baked, peel eaten, with sour cream</v>
          </cell>
          <cell r="I4520">
            <v>140</v>
          </cell>
          <cell r="J4520">
            <v>182.55358000000001</v>
          </cell>
          <cell r="K4520">
            <v>1.3039541428571428</v>
          </cell>
          <cell r="L4520">
            <v>0</v>
          </cell>
          <cell r="M4520">
            <v>4.5824750999999999</v>
          </cell>
          <cell r="N4520">
            <v>0</v>
          </cell>
          <cell r="O4520">
            <v>3.25224E-2</v>
          </cell>
          <cell r="P4520">
            <v>2.6495622999999999</v>
          </cell>
          <cell r="Q4520">
            <v>0.362952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0.26964850000000001</v>
          </cell>
          <cell r="Y4520">
            <v>0</v>
          </cell>
          <cell r="Z4520">
            <v>0</v>
          </cell>
          <cell r="AA4520">
            <v>0</v>
          </cell>
          <cell r="AB4520">
            <v>0.308693</v>
          </cell>
        </row>
        <row r="4521">
          <cell r="A4521">
            <v>71508020</v>
          </cell>
          <cell r="B4521" t="str">
            <v>Potato, baked, peel eaten, with cheese</v>
          </cell>
          <cell r="I4521">
            <v>140</v>
          </cell>
          <cell r="J4521">
            <v>212.40412000000001</v>
          </cell>
          <cell r="K4521">
            <v>1.5171722857142858</v>
          </cell>
          <cell r="L4521">
            <v>0</v>
          </cell>
          <cell r="M4521">
            <v>6.2837750999999997</v>
          </cell>
          <cell r="N4521">
            <v>0</v>
          </cell>
          <cell r="O4521">
            <v>0.1074497</v>
          </cell>
          <cell r="P4521">
            <v>2.4430838000000001</v>
          </cell>
          <cell r="Q4521">
            <v>0.48970000000000002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0.319878</v>
          </cell>
          <cell r="Y4521">
            <v>0</v>
          </cell>
          <cell r="Z4521">
            <v>0</v>
          </cell>
          <cell r="AA4521">
            <v>0</v>
          </cell>
          <cell r="AB4521">
            <v>0.38468239999999998</v>
          </cell>
        </row>
        <row r="4522">
          <cell r="A4522">
            <v>71508025</v>
          </cell>
          <cell r="B4522" t="str">
            <v>Potato, baked, peel eaten, with meat</v>
          </cell>
          <cell r="I4522">
            <v>140</v>
          </cell>
          <cell r="J4522">
            <v>222.04846000000001</v>
          </cell>
          <cell r="K4522">
            <v>1.5860604285714286</v>
          </cell>
          <cell r="L4522">
            <v>0</v>
          </cell>
          <cell r="M4522">
            <v>6.5117266999999996</v>
          </cell>
          <cell r="N4522">
            <v>0</v>
          </cell>
          <cell r="O4522">
            <v>0.10544480000000001</v>
          </cell>
          <cell r="P4522">
            <v>2.389872</v>
          </cell>
          <cell r="Q4522">
            <v>0.66540589999999999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0.36426069999999999</v>
          </cell>
          <cell r="Y4522">
            <v>0</v>
          </cell>
          <cell r="Z4522">
            <v>0</v>
          </cell>
          <cell r="AA4522">
            <v>2.1784656</v>
          </cell>
          <cell r="AB4522">
            <v>0.3806948</v>
          </cell>
        </row>
        <row r="4523">
          <cell r="A4523">
            <v>71508035</v>
          </cell>
          <cell r="B4523" t="str">
            <v>Potato, baked, peel eaten, with vegetables</v>
          </cell>
          <cell r="I4523">
            <v>140</v>
          </cell>
          <cell r="J4523">
            <v>196.92184</v>
          </cell>
          <cell r="K4523">
            <v>1.4065845714285714</v>
          </cell>
          <cell r="L4523">
            <v>0.240481</v>
          </cell>
          <cell r="M4523">
            <v>5.2458758000000003</v>
          </cell>
          <cell r="N4523">
            <v>0</v>
          </cell>
          <cell r="O4523">
            <v>0.1010269</v>
          </cell>
          <cell r="P4523">
            <v>2.5130260999999998</v>
          </cell>
          <cell r="Q4523">
            <v>0.41193590000000002</v>
          </cell>
          <cell r="R4523">
            <v>0</v>
          </cell>
          <cell r="S4523">
            <v>0</v>
          </cell>
          <cell r="T4523">
            <v>0</v>
          </cell>
          <cell r="U4523">
            <v>8.0160321000000003</v>
          </cell>
          <cell r="V4523">
            <v>0</v>
          </cell>
          <cell r="W4523">
            <v>0</v>
          </cell>
          <cell r="X4523">
            <v>0.32618999999999998</v>
          </cell>
          <cell r="Y4523">
            <v>0</v>
          </cell>
          <cell r="Z4523">
            <v>0</v>
          </cell>
          <cell r="AA4523">
            <v>0</v>
          </cell>
          <cell r="AB4523">
            <v>0.29998399999999997</v>
          </cell>
        </row>
        <row r="4524">
          <cell r="A4524">
            <v>71508060</v>
          </cell>
          <cell r="B4524" t="str">
            <v>White potato, stuffed, baked, peel eaten, stuffed with bacon and cheese</v>
          </cell>
          <cell r="I4524">
            <v>140</v>
          </cell>
          <cell r="J4524">
            <v>221.58514</v>
          </cell>
          <cell r="K4524">
            <v>1.582751</v>
          </cell>
          <cell r="L4524">
            <v>0</v>
          </cell>
          <cell r="M4524">
            <v>4.4178758</v>
          </cell>
          <cell r="N4524">
            <v>0</v>
          </cell>
          <cell r="O4524">
            <v>0.3737509</v>
          </cell>
          <cell r="P4524">
            <v>2.3246399000000002</v>
          </cell>
          <cell r="Q4524">
            <v>1.3179529999999999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0.67400280000000001</v>
          </cell>
          <cell r="Y4524">
            <v>0</v>
          </cell>
          <cell r="Z4524">
            <v>0</v>
          </cell>
          <cell r="AA4524">
            <v>3.4908443999999998</v>
          </cell>
          <cell r="AB4524">
            <v>0.6493217</v>
          </cell>
        </row>
        <row r="4525">
          <cell r="A4525">
            <v>71508070</v>
          </cell>
          <cell r="B4525" t="str">
            <v>White potato, stuffed, baked, peel not eaten, stuffed with bacon and cheese</v>
          </cell>
          <cell r="I4525">
            <v>140</v>
          </cell>
          <cell r="J4525">
            <v>242.08668</v>
          </cell>
          <cell r="K4525">
            <v>1.7291905714285714</v>
          </cell>
          <cell r="L4525">
            <v>3.1089999999999998E-16</v>
          </cell>
          <cell r="M4525">
            <v>5.3904759999999996</v>
          </cell>
          <cell r="N4525">
            <v>0</v>
          </cell>
          <cell r="O4525">
            <v>0.44309159999999997</v>
          </cell>
          <cell r="P4525">
            <v>1.4694414</v>
          </cell>
          <cell r="Q4525">
            <v>1.5820080999999999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0.81717119999999999</v>
          </cell>
          <cell r="Y4525">
            <v>0</v>
          </cell>
          <cell r="Z4525">
            <v>0</v>
          </cell>
          <cell r="AA4525">
            <v>4.2739881000000004</v>
          </cell>
          <cell r="AB4525">
            <v>0.79499200000000003</v>
          </cell>
        </row>
        <row r="4526">
          <cell r="A4526">
            <v>71600950</v>
          </cell>
          <cell r="B4526" t="str">
            <v>Potato salad with egg, from restaurant</v>
          </cell>
          <cell r="I4526">
            <v>140</v>
          </cell>
          <cell r="J4526">
            <v>239.58262999999999</v>
          </cell>
          <cell r="K4526">
            <v>1.7113045</v>
          </cell>
          <cell r="L4526">
            <v>4.5744300000000002E-2</v>
          </cell>
          <cell r="M4526">
            <v>2.7717581999999998</v>
          </cell>
          <cell r="N4526">
            <v>0</v>
          </cell>
          <cell r="O4526">
            <v>1.96636E-2</v>
          </cell>
          <cell r="P4526">
            <v>1.980756</v>
          </cell>
          <cell r="Q4526">
            <v>8.6466624999999997</v>
          </cell>
          <cell r="R4526">
            <v>0</v>
          </cell>
          <cell r="S4526">
            <v>0</v>
          </cell>
          <cell r="T4526">
            <v>0</v>
          </cell>
          <cell r="U4526">
            <v>2.7174836</v>
          </cell>
          <cell r="V4526">
            <v>0</v>
          </cell>
          <cell r="W4526">
            <v>0</v>
          </cell>
          <cell r="X4526">
            <v>0.46749309999999999</v>
          </cell>
          <cell r="Y4526">
            <v>0</v>
          </cell>
          <cell r="Z4526">
            <v>0</v>
          </cell>
          <cell r="AA4526">
            <v>0</v>
          </cell>
          <cell r="AB4526">
            <v>3.5095899999999999E-2</v>
          </cell>
        </row>
        <row r="4527">
          <cell r="A4527">
            <v>71601010</v>
          </cell>
          <cell r="B4527" t="str">
            <v>Potato salad with egg, made with mayonnaise</v>
          </cell>
          <cell r="I4527">
            <v>140</v>
          </cell>
          <cell r="J4527">
            <v>219.8</v>
          </cell>
          <cell r="K4527">
            <v>1.57</v>
          </cell>
          <cell r="L4527">
            <v>0.29120000000000001</v>
          </cell>
          <cell r="M4527">
            <v>2.0118</v>
          </cell>
          <cell r="N4527">
            <v>0</v>
          </cell>
          <cell r="O4527">
            <v>2.1000000000000001E-2</v>
          </cell>
          <cell r="P4527">
            <v>1.5287999999999999</v>
          </cell>
          <cell r="Q4527">
            <v>6.9762000000000004</v>
          </cell>
          <cell r="R4527">
            <v>0</v>
          </cell>
          <cell r="S4527">
            <v>0</v>
          </cell>
          <cell r="T4527">
            <v>0</v>
          </cell>
          <cell r="U4527">
            <v>17.36</v>
          </cell>
          <cell r="V4527">
            <v>0</v>
          </cell>
          <cell r="W4527">
            <v>0</v>
          </cell>
          <cell r="X4527">
            <v>0.46060000000000001</v>
          </cell>
          <cell r="Y4527">
            <v>0</v>
          </cell>
          <cell r="Z4527">
            <v>0</v>
          </cell>
          <cell r="AA4527">
            <v>0</v>
          </cell>
          <cell r="AB4527">
            <v>3.5000000000000003E-2</v>
          </cell>
        </row>
        <row r="4528">
          <cell r="A4528">
            <v>71601015</v>
          </cell>
          <cell r="B4528" t="str">
            <v>Potato salad with egg, made with light mayonnaise</v>
          </cell>
          <cell r="I4528">
            <v>140</v>
          </cell>
          <cell r="J4528">
            <v>155.29405</v>
          </cell>
          <cell r="K4528">
            <v>1.1092432142857143</v>
          </cell>
          <cell r="L4528">
            <v>0.1065682</v>
          </cell>
          <cell r="M4528">
            <v>1.238291</v>
          </cell>
          <cell r="N4528">
            <v>0</v>
          </cell>
          <cell r="O4528">
            <v>2.0189599999999999E-2</v>
          </cell>
          <cell r="P4528">
            <v>1.7206903</v>
          </cell>
          <cell r="Q4528">
            <v>2.8318954000000001</v>
          </cell>
          <cell r="R4528">
            <v>0</v>
          </cell>
          <cell r="S4528">
            <v>0</v>
          </cell>
          <cell r="T4528">
            <v>0</v>
          </cell>
          <cell r="U4528">
            <v>6.5245860000000002</v>
          </cell>
          <cell r="V4528">
            <v>0</v>
          </cell>
          <cell r="W4528">
            <v>0</v>
          </cell>
          <cell r="X4528">
            <v>0.28575600000000001</v>
          </cell>
          <cell r="Y4528">
            <v>0</v>
          </cell>
          <cell r="Z4528">
            <v>0</v>
          </cell>
          <cell r="AA4528">
            <v>0</v>
          </cell>
          <cell r="AB4528">
            <v>2.4464E-2</v>
          </cell>
        </row>
        <row r="4529">
          <cell r="A4529">
            <v>71601020</v>
          </cell>
          <cell r="B4529" t="str">
            <v>Potato salad with egg, made with mayonnaise-type salad dressing</v>
          </cell>
          <cell r="I4529">
            <v>140</v>
          </cell>
          <cell r="J4529">
            <v>157.08098000000001</v>
          </cell>
          <cell r="K4529">
            <v>1.122007</v>
          </cell>
          <cell r="L4529">
            <v>0.10687960000000001</v>
          </cell>
          <cell r="M4529">
            <v>1.2182040000000001</v>
          </cell>
          <cell r="N4529">
            <v>0</v>
          </cell>
          <cell r="O4529">
            <v>2.0031799999999999E-2</v>
          </cell>
          <cell r="P4529">
            <v>1.7257169000000001</v>
          </cell>
          <cell r="Q4529">
            <v>2.6321005999999998</v>
          </cell>
          <cell r="R4529">
            <v>0</v>
          </cell>
          <cell r="S4529">
            <v>0</v>
          </cell>
          <cell r="T4529">
            <v>0</v>
          </cell>
          <cell r="U4529">
            <v>6.5436461000000001</v>
          </cell>
          <cell r="V4529">
            <v>0</v>
          </cell>
          <cell r="W4529">
            <v>0</v>
          </cell>
          <cell r="X4529">
            <v>0.24976229999999999</v>
          </cell>
          <cell r="Y4529">
            <v>0</v>
          </cell>
          <cell r="Z4529">
            <v>0</v>
          </cell>
          <cell r="AA4529">
            <v>0</v>
          </cell>
          <cell r="AB4529">
            <v>4.8960700000000003E-2</v>
          </cell>
        </row>
        <row r="4530">
          <cell r="A4530">
            <v>71601025</v>
          </cell>
          <cell r="B4530" t="str">
            <v>Potato salad with egg, made with light mayonnaise-type salad dressing</v>
          </cell>
          <cell r="I4530">
            <v>140</v>
          </cell>
          <cell r="J4530">
            <v>155.29405</v>
          </cell>
          <cell r="K4530">
            <v>1.1092432142857143</v>
          </cell>
          <cell r="L4530">
            <v>0.1065682</v>
          </cell>
          <cell r="M4530">
            <v>1.238291</v>
          </cell>
          <cell r="N4530">
            <v>0</v>
          </cell>
          <cell r="O4530">
            <v>2.0189599999999999E-2</v>
          </cell>
          <cell r="P4530">
            <v>1.7206903</v>
          </cell>
          <cell r="Q4530">
            <v>2.8318954000000001</v>
          </cell>
          <cell r="R4530">
            <v>0</v>
          </cell>
          <cell r="S4530">
            <v>0</v>
          </cell>
          <cell r="T4530">
            <v>0</v>
          </cell>
          <cell r="U4530">
            <v>6.5245860000000002</v>
          </cell>
          <cell r="V4530">
            <v>0</v>
          </cell>
          <cell r="W4530">
            <v>0</v>
          </cell>
          <cell r="X4530">
            <v>0.28575600000000001</v>
          </cell>
          <cell r="Y4530">
            <v>0</v>
          </cell>
          <cell r="Z4530">
            <v>0</v>
          </cell>
          <cell r="AA4530">
            <v>0</v>
          </cell>
          <cell r="AB4530">
            <v>2.63305E-2</v>
          </cell>
        </row>
        <row r="4531">
          <cell r="A4531">
            <v>71601035</v>
          </cell>
          <cell r="B4531" t="str">
            <v>Potato salad with egg, made with light creamy dressing</v>
          </cell>
          <cell r="I4531">
            <v>140</v>
          </cell>
          <cell r="J4531">
            <v>143.27169000000001</v>
          </cell>
          <cell r="K4531">
            <v>1.0233692142857143</v>
          </cell>
          <cell r="L4531">
            <v>0.111522</v>
          </cell>
          <cell r="M4531">
            <v>1.027495</v>
          </cell>
          <cell r="N4531">
            <v>0</v>
          </cell>
          <cell r="O4531">
            <v>1.97764E-2</v>
          </cell>
          <cell r="P4531">
            <v>1.7103841</v>
          </cell>
          <cell r="Q4531">
            <v>1.9577838000000001</v>
          </cell>
          <cell r="R4531">
            <v>0</v>
          </cell>
          <cell r="S4531">
            <v>0</v>
          </cell>
          <cell r="T4531">
            <v>0</v>
          </cell>
          <cell r="U4531">
            <v>6.8278805</v>
          </cell>
          <cell r="V4531">
            <v>0</v>
          </cell>
          <cell r="W4531">
            <v>0</v>
          </cell>
          <cell r="X4531">
            <v>0.26999230000000002</v>
          </cell>
          <cell r="Y4531">
            <v>0</v>
          </cell>
          <cell r="Z4531">
            <v>0</v>
          </cell>
          <cell r="AA4531">
            <v>0</v>
          </cell>
          <cell r="AB4531">
            <v>3.52033E-2</v>
          </cell>
        </row>
        <row r="4532">
          <cell r="A4532">
            <v>71601040</v>
          </cell>
          <cell r="B4532" t="str">
            <v>Potato salad with egg, made with Italian dressing</v>
          </cell>
          <cell r="I4532">
            <v>140</v>
          </cell>
          <cell r="J4532">
            <v>158.92046999999999</v>
          </cell>
          <cell r="K4532">
            <v>1.1351462142857143</v>
          </cell>
          <cell r="L4532">
            <v>0.1122061</v>
          </cell>
          <cell r="M4532">
            <v>1.1837342</v>
          </cell>
          <cell r="N4532">
            <v>0</v>
          </cell>
          <cell r="O4532">
            <v>2.1258800000000001E-2</v>
          </cell>
          <cell r="P4532">
            <v>1.7208751</v>
          </cell>
          <cell r="Q4532">
            <v>2.4569011999999999</v>
          </cell>
          <cell r="R4532">
            <v>0</v>
          </cell>
          <cell r="S4532">
            <v>0</v>
          </cell>
          <cell r="T4532">
            <v>0</v>
          </cell>
          <cell r="U4532">
            <v>6.8697607999999999</v>
          </cell>
          <cell r="V4532">
            <v>0</v>
          </cell>
          <cell r="W4532">
            <v>0</v>
          </cell>
          <cell r="X4532">
            <v>0.29678310000000002</v>
          </cell>
          <cell r="Y4532">
            <v>0</v>
          </cell>
          <cell r="Z4532">
            <v>0</v>
          </cell>
          <cell r="AA4532">
            <v>0</v>
          </cell>
          <cell r="AB4532">
            <v>4.7728399999999997E-2</v>
          </cell>
        </row>
        <row r="4533">
          <cell r="A4533">
            <v>71601050</v>
          </cell>
          <cell r="B4533" t="str">
            <v>Potato salad with egg, made with any type of fat free dressing</v>
          </cell>
          <cell r="I4533">
            <v>140</v>
          </cell>
          <cell r="J4533">
            <v>125.08074000000001</v>
          </cell>
          <cell r="K4533">
            <v>0.89343385714285717</v>
          </cell>
          <cell r="L4533">
            <v>0.1055841</v>
          </cell>
          <cell r="M4533">
            <v>0.68268810000000002</v>
          </cell>
          <cell r="N4533">
            <v>0</v>
          </cell>
          <cell r="O4533">
            <v>2.00807E-2</v>
          </cell>
          <cell r="P4533">
            <v>2.0978314999999998</v>
          </cell>
          <cell r="Q4533">
            <v>0.29904320000000001</v>
          </cell>
          <cell r="R4533">
            <v>0</v>
          </cell>
          <cell r="S4533">
            <v>0</v>
          </cell>
          <cell r="T4533">
            <v>0</v>
          </cell>
          <cell r="U4533">
            <v>6.4643329999999999</v>
          </cell>
          <cell r="V4533">
            <v>0</v>
          </cell>
          <cell r="W4533">
            <v>0</v>
          </cell>
          <cell r="X4533">
            <v>0.28574169999999999</v>
          </cell>
          <cell r="Y4533">
            <v>0</v>
          </cell>
          <cell r="Z4533">
            <v>0</v>
          </cell>
          <cell r="AA4533">
            <v>0</v>
          </cell>
          <cell r="AB4533">
            <v>6.0821600000000003E-2</v>
          </cell>
        </row>
        <row r="4534">
          <cell r="A4534">
            <v>71602010</v>
          </cell>
          <cell r="B4534" t="str">
            <v>Potato salad, German style</v>
          </cell>
          <cell r="I4534">
            <v>140</v>
          </cell>
          <cell r="J4534">
            <v>145.29411999999999</v>
          </cell>
          <cell r="K4534">
            <v>1.0378151428571427</v>
          </cell>
          <cell r="L4534">
            <v>0.21626690000000001</v>
          </cell>
          <cell r="M4534">
            <v>1.6699550999999999</v>
          </cell>
          <cell r="N4534">
            <v>0</v>
          </cell>
          <cell r="O4534">
            <v>1.2494999999999999E-2</v>
          </cell>
          <cell r="P4534">
            <v>1.9731544000000001</v>
          </cell>
          <cell r="Q4534">
            <v>0.6258068</v>
          </cell>
          <cell r="R4534">
            <v>0</v>
          </cell>
          <cell r="S4534">
            <v>0</v>
          </cell>
          <cell r="T4534">
            <v>0</v>
          </cell>
          <cell r="U4534">
            <v>12.928997000000001</v>
          </cell>
          <cell r="V4534">
            <v>0</v>
          </cell>
          <cell r="W4534">
            <v>0</v>
          </cell>
          <cell r="X4534">
            <v>0.24647279999999999</v>
          </cell>
          <cell r="Y4534">
            <v>0</v>
          </cell>
          <cell r="Z4534">
            <v>0</v>
          </cell>
          <cell r="AA4534">
            <v>2.6870498999999999</v>
          </cell>
          <cell r="AB4534">
            <v>1.38461E-2</v>
          </cell>
        </row>
        <row r="4535">
          <cell r="A4535">
            <v>71602950</v>
          </cell>
          <cell r="B4535" t="str">
            <v>Potato salad, from restaurant</v>
          </cell>
          <cell r="I4535">
            <v>140</v>
          </cell>
          <cell r="J4535">
            <v>242.70052000000001</v>
          </cell>
          <cell r="K4535">
            <v>1.7335751428571429</v>
          </cell>
          <cell r="L4535">
            <v>5.2060000000000002E-2</v>
          </cell>
          <cell r="M4535">
            <v>2.5229577000000001</v>
          </cell>
          <cell r="N4535">
            <v>0</v>
          </cell>
          <cell r="O4535">
            <v>1.27139E-2</v>
          </cell>
          <cell r="P4535">
            <v>2.2542308000000002</v>
          </cell>
          <cell r="Q4535">
            <v>9.5671563000000006</v>
          </cell>
          <cell r="R4535">
            <v>0</v>
          </cell>
          <cell r="S4535">
            <v>0</v>
          </cell>
          <cell r="T4535">
            <v>0</v>
          </cell>
          <cell r="U4535">
            <v>3.0926752999999998</v>
          </cell>
          <cell r="V4535">
            <v>0</v>
          </cell>
          <cell r="W4535">
            <v>0</v>
          </cell>
          <cell r="X4535">
            <v>0.50806969999999996</v>
          </cell>
          <cell r="Y4535">
            <v>0</v>
          </cell>
          <cell r="Z4535">
            <v>0</v>
          </cell>
          <cell r="AA4535">
            <v>0</v>
          </cell>
          <cell r="AB4535">
            <v>3.9941400000000002E-2</v>
          </cell>
        </row>
        <row r="4536">
          <cell r="A4536">
            <v>71603010</v>
          </cell>
          <cell r="B4536" t="str">
            <v>Potato salad, made with mayonnaise</v>
          </cell>
          <cell r="I4536">
            <v>140</v>
          </cell>
          <cell r="J4536">
            <v>235.63480999999999</v>
          </cell>
          <cell r="K4536">
            <v>1.6831057857142857</v>
          </cell>
          <cell r="L4536">
            <v>0.12223390000000001</v>
          </cell>
          <cell r="M4536">
            <v>2.4439247000000002</v>
          </cell>
          <cell r="N4536">
            <v>0</v>
          </cell>
          <cell r="O4536">
            <v>1.41022E-2</v>
          </cell>
          <cell r="P4536">
            <v>1.9736342</v>
          </cell>
          <cell r="Q4536">
            <v>9.2638557000000006</v>
          </cell>
          <cell r="R4536">
            <v>0</v>
          </cell>
          <cell r="S4536">
            <v>0</v>
          </cell>
          <cell r="T4536">
            <v>0</v>
          </cell>
          <cell r="U4536">
            <v>7.4837096000000001</v>
          </cell>
          <cell r="V4536">
            <v>0</v>
          </cell>
          <cell r="W4536">
            <v>0</v>
          </cell>
          <cell r="X4536">
            <v>0.24957650000000001</v>
          </cell>
          <cell r="Y4536">
            <v>0</v>
          </cell>
          <cell r="Z4536">
            <v>0</v>
          </cell>
          <cell r="AA4536">
            <v>0</v>
          </cell>
          <cell r="AB4536">
            <v>3.8660399999999998E-2</v>
          </cell>
        </row>
        <row r="4537">
          <cell r="A4537">
            <v>71603015</v>
          </cell>
          <cell r="B4537" t="str">
            <v>Potato salad, made with light mayonnaise</v>
          </cell>
          <cell r="I4537">
            <v>140</v>
          </cell>
          <cell r="J4537">
            <v>147.15656000000001</v>
          </cell>
          <cell r="K4537">
            <v>1.0511182857142858</v>
          </cell>
          <cell r="L4537">
            <v>0.12062199999999999</v>
          </cell>
          <cell r="M4537">
            <v>0.79841969999999995</v>
          </cell>
          <cell r="N4537">
            <v>0</v>
          </cell>
          <cell r="O4537">
            <v>1.3620800000000001E-2</v>
          </cell>
          <cell r="P4537">
            <v>1.9476068</v>
          </cell>
          <cell r="Q4537">
            <v>2.9442921000000002</v>
          </cell>
          <cell r="R4537">
            <v>0</v>
          </cell>
          <cell r="S4537">
            <v>0</v>
          </cell>
          <cell r="T4537">
            <v>0</v>
          </cell>
          <cell r="U4537">
            <v>7.3850179000000002</v>
          </cell>
          <cell r="V4537">
            <v>0</v>
          </cell>
          <cell r="W4537">
            <v>0</v>
          </cell>
          <cell r="X4537">
            <v>0.3005466</v>
          </cell>
          <cell r="Y4537">
            <v>0</v>
          </cell>
          <cell r="Z4537">
            <v>0</v>
          </cell>
          <cell r="AA4537">
            <v>0</v>
          </cell>
          <cell r="AB4537">
            <v>1.25799E-2</v>
          </cell>
        </row>
        <row r="4538">
          <cell r="A4538">
            <v>71603020</v>
          </cell>
          <cell r="B4538" t="str">
            <v>Potato salad, made with mayonnaise-type salad dressing</v>
          </cell>
          <cell r="I4538">
            <v>140</v>
          </cell>
          <cell r="J4538">
            <v>149.15299999999999</v>
          </cell>
          <cell r="K4538">
            <v>1.0653785714285713</v>
          </cell>
          <cell r="L4538">
            <v>0.121021</v>
          </cell>
          <cell r="M4538">
            <v>0.77422000000000002</v>
          </cell>
          <cell r="N4538">
            <v>0</v>
          </cell>
          <cell r="O4538">
            <v>1.3420400000000001E-2</v>
          </cell>
          <cell r="P4538">
            <v>1.9540491</v>
          </cell>
          <cell r="Q4538">
            <v>2.7184339999999998</v>
          </cell>
          <cell r="R4538">
            <v>0</v>
          </cell>
          <cell r="S4538">
            <v>0</v>
          </cell>
          <cell r="T4538">
            <v>0</v>
          </cell>
          <cell r="U4538">
            <v>7.409446</v>
          </cell>
          <cell r="V4538">
            <v>0</v>
          </cell>
          <cell r="W4538">
            <v>0</v>
          </cell>
          <cell r="X4538">
            <v>0.2598395</v>
          </cell>
          <cell r="Y4538">
            <v>0</v>
          </cell>
          <cell r="Z4538">
            <v>0</v>
          </cell>
          <cell r="AA4538">
            <v>0</v>
          </cell>
          <cell r="AB4538">
            <v>1.7150599999999998E-2</v>
          </cell>
        </row>
        <row r="4539">
          <cell r="A4539">
            <v>71603040</v>
          </cell>
          <cell r="B4539" t="str">
            <v>Potato salad, made with Italian dressing</v>
          </cell>
          <cell r="I4539">
            <v>140</v>
          </cell>
          <cell r="J4539">
            <v>150.79935</v>
          </cell>
          <cell r="K4539">
            <v>1.0771382142857142</v>
          </cell>
          <cell r="L4539">
            <v>0.1278956</v>
          </cell>
          <cell r="M4539">
            <v>0.70970960000000005</v>
          </cell>
          <cell r="N4539">
            <v>0</v>
          </cell>
          <cell r="O4539">
            <v>1.44434E-2</v>
          </cell>
          <cell r="P4539">
            <v>1.9615008</v>
          </cell>
          <cell r="Q4539">
            <v>2.5236410999999999</v>
          </cell>
          <cell r="R4539">
            <v>0</v>
          </cell>
          <cell r="S4539">
            <v>0</v>
          </cell>
          <cell r="T4539">
            <v>0</v>
          </cell>
          <cell r="U4539">
            <v>7.8303425999999998</v>
          </cell>
          <cell r="V4539">
            <v>0</v>
          </cell>
          <cell r="W4539">
            <v>0</v>
          </cell>
          <cell r="X4539">
            <v>0.31400749999999999</v>
          </cell>
          <cell r="Y4539">
            <v>0</v>
          </cell>
          <cell r="Z4539">
            <v>0</v>
          </cell>
          <cell r="AA4539">
            <v>0</v>
          </cell>
          <cell r="AB4539">
            <v>1.54111E-2</v>
          </cell>
        </row>
        <row r="4540">
          <cell r="A4540">
            <v>71603050</v>
          </cell>
          <cell r="B4540" t="str">
            <v>Potato salad, made with any type of fat free dressing</v>
          </cell>
          <cell r="I4540">
            <v>140</v>
          </cell>
          <cell r="J4540">
            <v>113.08541</v>
          </cell>
          <cell r="K4540">
            <v>0.80775292857142855</v>
          </cell>
          <cell r="L4540">
            <v>0.1193627</v>
          </cell>
          <cell r="M4540">
            <v>0.1749037</v>
          </cell>
          <cell r="N4540">
            <v>0</v>
          </cell>
          <cell r="O4540">
            <v>1.35663E-2</v>
          </cell>
          <cell r="P4540">
            <v>2.3715955000000002</v>
          </cell>
          <cell r="Q4540">
            <v>7.9732999999999998E-2</v>
          </cell>
          <cell r="R4540">
            <v>0</v>
          </cell>
          <cell r="S4540">
            <v>0</v>
          </cell>
          <cell r="T4540">
            <v>0</v>
          </cell>
          <cell r="U4540">
            <v>7.3079191999999997</v>
          </cell>
          <cell r="V4540">
            <v>0</v>
          </cell>
          <cell r="W4540">
            <v>0</v>
          </cell>
          <cell r="X4540">
            <v>0.30037599999999998</v>
          </cell>
          <cell r="Y4540">
            <v>0</v>
          </cell>
          <cell r="Z4540">
            <v>0</v>
          </cell>
          <cell r="AA4540">
            <v>0</v>
          </cell>
          <cell r="AB4540">
            <v>2.55943E-2</v>
          </cell>
        </row>
        <row r="4541">
          <cell r="A4541">
            <v>71701000</v>
          </cell>
          <cell r="B4541" t="str">
            <v>Potato pancake</v>
          </cell>
          <cell r="I4541">
            <v>70</v>
          </cell>
          <cell r="J4541">
            <v>101.01202000000001</v>
          </cell>
          <cell r="K4541">
            <v>1.4430288571428573</v>
          </cell>
          <cell r="L4541">
            <v>5.7771299999999998E-2</v>
          </cell>
          <cell r="M4541">
            <v>0.9160876</v>
          </cell>
          <cell r="N4541">
            <v>0</v>
          </cell>
          <cell r="O4541">
            <v>1.20888E-2</v>
          </cell>
          <cell r="P4541">
            <v>1.1242323999999999</v>
          </cell>
          <cell r="Q4541">
            <v>2.0997343000000002</v>
          </cell>
          <cell r="R4541">
            <v>0</v>
          </cell>
          <cell r="S4541">
            <v>0</v>
          </cell>
          <cell r="T4541">
            <v>0</v>
          </cell>
          <cell r="U4541">
            <v>3.3983140000000001</v>
          </cell>
          <cell r="V4541">
            <v>0</v>
          </cell>
          <cell r="W4541">
            <v>0</v>
          </cell>
          <cell r="X4541">
            <v>0.2128892</v>
          </cell>
          <cell r="Y4541">
            <v>0</v>
          </cell>
          <cell r="Z4541">
            <v>0</v>
          </cell>
          <cell r="AA4541">
            <v>0</v>
          </cell>
          <cell r="AB4541">
            <v>8.8115200000000005E-2</v>
          </cell>
        </row>
        <row r="4542">
          <cell r="A4542">
            <v>71703000</v>
          </cell>
          <cell r="B4542" t="str">
            <v>Stewed potatoes, Mexican style (Papas guisadas)</v>
          </cell>
          <cell r="I4542">
            <v>140</v>
          </cell>
          <cell r="J4542">
            <v>188.19117</v>
          </cell>
          <cell r="K4542">
            <v>1.3442226428571429</v>
          </cell>
          <cell r="L4542">
            <v>0.42584490000000003</v>
          </cell>
          <cell r="M4542">
            <v>2.8661289999999999</v>
          </cell>
          <cell r="N4542">
            <v>0</v>
          </cell>
          <cell r="O4542">
            <v>1.8413200000000001E-2</v>
          </cell>
          <cell r="P4542">
            <v>2.1509344000000001</v>
          </cell>
          <cell r="Q4542">
            <v>3.7503210999999999</v>
          </cell>
          <cell r="R4542">
            <v>0</v>
          </cell>
          <cell r="S4542">
            <v>0</v>
          </cell>
          <cell r="T4542">
            <v>0</v>
          </cell>
          <cell r="U4542">
            <v>25.049702</v>
          </cell>
          <cell r="V4542">
            <v>0</v>
          </cell>
          <cell r="W4542">
            <v>0</v>
          </cell>
          <cell r="X4542">
            <v>0.58967329999999996</v>
          </cell>
          <cell r="Y4542">
            <v>0</v>
          </cell>
          <cell r="Z4542">
            <v>0</v>
          </cell>
          <cell r="AA4542">
            <v>0</v>
          </cell>
          <cell r="AB4542">
            <v>0.1963114</v>
          </cell>
        </row>
        <row r="4543">
          <cell r="A4543">
            <v>71703040</v>
          </cell>
          <cell r="B4543" t="str">
            <v>Stewed potatoes with tomatoes, Mexican style (Papas guisadas con tomate)</v>
          </cell>
          <cell r="I4543">
            <v>140</v>
          </cell>
          <cell r="J4543">
            <v>107.00936</v>
          </cell>
          <cell r="K4543">
            <v>0.76435257142857138</v>
          </cell>
          <cell r="L4543">
            <v>0.48521789999999998</v>
          </cell>
          <cell r="M4543">
            <v>1.0914874000000001</v>
          </cell>
          <cell r="N4543">
            <v>0</v>
          </cell>
          <cell r="O4543">
            <v>1.5050300000000001E-2</v>
          </cell>
          <cell r="P4543">
            <v>1.6728419000000001</v>
          </cell>
          <cell r="Q4543">
            <v>1.4464824999999999</v>
          </cell>
          <cell r="R4543">
            <v>0</v>
          </cell>
          <cell r="S4543">
            <v>0</v>
          </cell>
          <cell r="T4543">
            <v>0</v>
          </cell>
          <cell r="U4543">
            <v>37.018070999999999</v>
          </cell>
          <cell r="V4543">
            <v>0</v>
          </cell>
          <cell r="W4543">
            <v>0</v>
          </cell>
          <cell r="X4543">
            <v>0.27952339999999998</v>
          </cell>
          <cell r="Y4543">
            <v>0</v>
          </cell>
          <cell r="Z4543">
            <v>0</v>
          </cell>
          <cell r="AA4543">
            <v>0</v>
          </cell>
          <cell r="AB4543">
            <v>6.5990599999999996E-2</v>
          </cell>
        </row>
        <row r="4544">
          <cell r="A4544">
            <v>71703990</v>
          </cell>
          <cell r="B4544" t="str">
            <v>Stewed potatoes</v>
          </cell>
          <cell r="I4544">
            <v>140</v>
          </cell>
          <cell r="J4544">
            <v>158.92092</v>
          </cell>
          <cell r="K4544">
            <v>1.1351494285714285</v>
          </cell>
          <cell r="L4544">
            <v>0.15255289999999999</v>
          </cell>
          <cell r="M4544">
            <v>0.63178920000000005</v>
          </cell>
          <cell r="N4544">
            <v>0</v>
          </cell>
          <cell r="O4544">
            <v>8.7448000000000005E-3</v>
          </cell>
          <cell r="P4544">
            <v>1.8633249999999999</v>
          </cell>
          <cell r="Q4544">
            <v>1.856689</v>
          </cell>
          <cell r="R4544">
            <v>0</v>
          </cell>
          <cell r="S4544">
            <v>0</v>
          </cell>
          <cell r="T4544">
            <v>0</v>
          </cell>
          <cell r="U4544">
            <v>10.896637999999999</v>
          </cell>
          <cell r="V4544">
            <v>0</v>
          </cell>
          <cell r="W4544">
            <v>0</v>
          </cell>
          <cell r="X4544">
            <v>0.2092791</v>
          </cell>
          <cell r="Y4544">
            <v>0</v>
          </cell>
          <cell r="Z4544">
            <v>0</v>
          </cell>
          <cell r="AA4544">
            <v>0</v>
          </cell>
          <cell r="AB4544">
            <v>1.5444899999999999E-2</v>
          </cell>
        </row>
        <row r="4545">
          <cell r="A4545">
            <v>71704000</v>
          </cell>
          <cell r="B4545" t="str">
            <v>Stewed potatoes with tomatoes</v>
          </cell>
          <cell r="I4545">
            <v>140</v>
          </cell>
          <cell r="J4545">
            <v>129.44448</v>
          </cell>
          <cell r="K4545">
            <v>0.92460342857142852</v>
          </cell>
          <cell r="L4545">
            <v>0.42148259999999999</v>
          </cell>
          <cell r="M4545">
            <v>0.6109038</v>
          </cell>
          <cell r="N4545">
            <v>0</v>
          </cell>
          <cell r="O4545">
            <v>1.1069000000000001E-2</v>
          </cell>
          <cell r="P4545">
            <v>1.2934947000000001</v>
          </cell>
          <cell r="Q4545">
            <v>1.8066944</v>
          </cell>
          <cell r="R4545">
            <v>0</v>
          </cell>
          <cell r="S4545">
            <v>0</v>
          </cell>
          <cell r="T4545">
            <v>0</v>
          </cell>
          <cell r="U4545">
            <v>49.016641</v>
          </cell>
          <cell r="V4545">
            <v>0</v>
          </cell>
          <cell r="W4545">
            <v>0</v>
          </cell>
          <cell r="X4545">
            <v>0.2081894</v>
          </cell>
          <cell r="Y4545">
            <v>0</v>
          </cell>
          <cell r="Z4545">
            <v>0</v>
          </cell>
          <cell r="AA4545">
            <v>0</v>
          </cell>
          <cell r="AB4545">
            <v>1.5010300000000001E-2</v>
          </cell>
        </row>
        <row r="4546">
          <cell r="A4546">
            <v>71801000</v>
          </cell>
          <cell r="B4546" t="str">
            <v>Potato soup, NS as to made with milk or water</v>
          </cell>
          <cell r="I4546">
            <v>245</v>
          </cell>
          <cell r="J4546">
            <v>122.60144</v>
          </cell>
          <cell r="K4546">
            <v>0.50041404081632657</v>
          </cell>
          <cell r="L4546">
            <v>0</v>
          </cell>
          <cell r="M4546">
            <v>1.9566444000000001</v>
          </cell>
          <cell r="N4546">
            <v>0</v>
          </cell>
          <cell r="O4546">
            <v>9.5952700000000002E-2</v>
          </cell>
          <cell r="P4546">
            <v>1.6040041</v>
          </cell>
          <cell r="Q4546">
            <v>0.46981279999999997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0.77511969999999997</v>
          </cell>
          <cell r="Y4546">
            <v>0</v>
          </cell>
          <cell r="Z4546">
            <v>0</v>
          </cell>
          <cell r="AA4546">
            <v>0</v>
          </cell>
          <cell r="AB4546">
            <v>0.15647849999999999</v>
          </cell>
        </row>
        <row r="4547">
          <cell r="A4547">
            <v>71801010</v>
          </cell>
          <cell r="B4547" t="str">
            <v>Potato soup, cream of, prepared with milk</v>
          </cell>
          <cell r="I4547">
            <v>245</v>
          </cell>
          <cell r="J4547">
            <v>152.79425000000001</v>
          </cell>
          <cell r="K4547">
            <v>0.62365000000000004</v>
          </cell>
          <cell r="L4547">
            <v>0</v>
          </cell>
          <cell r="M4547">
            <v>2.6969723000000001</v>
          </cell>
          <cell r="N4547">
            <v>0</v>
          </cell>
          <cell r="O4547">
            <v>0.16613449999999999</v>
          </cell>
          <cell r="P4547">
            <v>1.5925</v>
          </cell>
          <cell r="Q4547">
            <v>0.52863649999999995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0.79446150000000004</v>
          </cell>
          <cell r="Y4547">
            <v>0</v>
          </cell>
          <cell r="Z4547">
            <v>0</v>
          </cell>
          <cell r="AA4547">
            <v>0</v>
          </cell>
          <cell r="AB4547">
            <v>0.19722020000000001</v>
          </cell>
        </row>
        <row r="4548">
          <cell r="A4548">
            <v>71801020</v>
          </cell>
          <cell r="B4548" t="str">
            <v>Potato soup, prepared with water</v>
          </cell>
          <cell r="I4548">
            <v>245</v>
          </cell>
          <cell r="J4548">
            <v>91.969230999999994</v>
          </cell>
          <cell r="K4548">
            <v>0.37538461632653058</v>
          </cell>
          <cell r="L4548">
            <v>0</v>
          </cell>
          <cell r="M4548">
            <v>1.2055426</v>
          </cell>
          <cell r="N4548">
            <v>0</v>
          </cell>
          <cell r="O4548">
            <v>2.47496E-2</v>
          </cell>
          <cell r="P4548">
            <v>1.6156756999999999</v>
          </cell>
          <cell r="Q4548">
            <v>0.41013309999999997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0.75549650000000002</v>
          </cell>
          <cell r="Y4548">
            <v>0</v>
          </cell>
          <cell r="Z4548">
            <v>0</v>
          </cell>
          <cell r="AA4548">
            <v>0</v>
          </cell>
          <cell r="AB4548">
            <v>0.11089060000000001</v>
          </cell>
        </row>
        <row r="4549">
          <cell r="A4549">
            <v>71801100</v>
          </cell>
          <cell r="B4549" t="str">
            <v>Potato and cheese soup</v>
          </cell>
          <cell r="I4549">
            <v>245</v>
          </cell>
          <cell r="J4549">
            <v>166.94764000000001</v>
          </cell>
          <cell r="K4549">
            <v>0.68141893877551019</v>
          </cell>
          <cell r="L4549">
            <v>0.38310850000000002</v>
          </cell>
          <cell r="M4549">
            <v>2.9805082000000001</v>
          </cell>
          <cell r="N4549">
            <v>0</v>
          </cell>
          <cell r="O4549">
            <v>0.1338628</v>
          </cell>
          <cell r="P4549">
            <v>1.7630962999999999</v>
          </cell>
          <cell r="Q4549">
            <v>1.1858776</v>
          </cell>
          <cell r="R4549">
            <v>0</v>
          </cell>
          <cell r="S4549">
            <v>0</v>
          </cell>
          <cell r="T4549">
            <v>0</v>
          </cell>
          <cell r="U4549">
            <v>19.16451</v>
          </cell>
          <cell r="V4549">
            <v>0</v>
          </cell>
          <cell r="W4549">
            <v>0</v>
          </cell>
          <cell r="X4549">
            <v>0.69838889999999998</v>
          </cell>
          <cell r="Y4549">
            <v>0</v>
          </cell>
          <cell r="Z4549">
            <v>0</v>
          </cell>
          <cell r="AA4549">
            <v>0</v>
          </cell>
          <cell r="AB4549">
            <v>0.68019909999999995</v>
          </cell>
        </row>
        <row r="4550">
          <cell r="A4550">
            <v>71803010</v>
          </cell>
          <cell r="B4550" t="str">
            <v>Potato chowder</v>
          </cell>
          <cell r="I4550">
            <v>245</v>
          </cell>
          <cell r="J4550">
            <v>202.63986</v>
          </cell>
          <cell r="K4550">
            <v>0.82710146938775508</v>
          </cell>
          <cell r="L4550">
            <v>0.13884009999999999</v>
          </cell>
          <cell r="M4550">
            <v>4.9115834999999999</v>
          </cell>
          <cell r="N4550">
            <v>0</v>
          </cell>
          <cell r="O4550">
            <v>0.20331579999999999</v>
          </cell>
          <cell r="P4550">
            <v>1.2312894999999999</v>
          </cell>
          <cell r="Q4550">
            <v>1.1648054999999999</v>
          </cell>
          <cell r="R4550">
            <v>0</v>
          </cell>
          <cell r="S4550">
            <v>0</v>
          </cell>
          <cell r="T4550">
            <v>0</v>
          </cell>
          <cell r="U4550">
            <v>8.1670675999999993</v>
          </cell>
          <cell r="V4550">
            <v>0</v>
          </cell>
          <cell r="W4550">
            <v>0</v>
          </cell>
          <cell r="X4550">
            <v>0.69666079999999997</v>
          </cell>
          <cell r="Y4550">
            <v>0</v>
          </cell>
          <cell r="Z4550">
            <v>0</v>
          </cell>
          <cell r="AA4550">
            <v>5.2289196000000002</v>
          </cell>
          <cell r="AB4550">
            <v>0.48431400000000002</v>
          </cell>
        </row>
        <row r="4551">
          <cell r="A4551">
            <v>71900100</v>
          </cell>
          <cell r="B4551" t="str">
            <v>Plantain, boiled, NS as to green or ripe</v>
          </cell>
          <cell r="I4551">
            <v>110</v>
          </cell>
          <cell r="J4551">
            <v>127.6</v>
          </cell>
          <cell r="K4551">
            <v>1.1599999999999999</v>
          </cell>
          <cell r="L4551">
            <v>0</v>
          </cell>
          <cell r="M4551">
            <v>7.5899999999999995E-2</v>
          </cell>
          <cell r="N4551">
            <v>0</v>
          </cell>
          <cell r="O4551">
            <v>2.2000000000000001E-3</v>
          </cell>
          <cell r="P4551">
            <v>2.5299999999999998</v>
          </cell>
          <cell r="Q4551">
            <v>3.6299999999999999E-2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5.4999999999999997E-3</v>
          </cell>
          <cell r="Y4551">
            <v>0</v>
          </cell>
          <cell r="Z4551">
            <v>0</v>
          </cell>
          <cell r="AA4551">
            <v>0</v>
          </cell>
          <cell r="AB4551">
            <v>0</v>
          </cell>
        </row>
        <row r="4552">
          <cell r="A4552">
            <v>71900200</v>
          </cell>
          <cell r="B4552" t="str">
            <v>Plantain, fried, NS as to green or ripe</v>
          </cell>
          <cell r="I4552">
            <v>110</v>
          </cell>
          <cell r="J4552">
            <v>193.61313000000001</v>
          </cell>
          <cell r="K4552">
            <v>1.7601193636363637</v>
          </cell>
          <cell r="L4552">
            <v>0</v>
          </cell>
          <cell r="M4552">
            <v>1.2102998</v>
          </cell>
          <cell r="N4552">
            <v>0</v>
          </cell>
          <cell r="O4552">
            <v>3.0860000000000002E-3</v>
          </cell>
          <cell r="P4552">
            <v>2.3510447999999999</v>
          </cell>
          <cell r="Q4552">
            <v>3.2753665000000001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4.1276999999999998E-3</v>
          </cell>
          <cell r="Y4552">
            <v>0</v>
          </cell>
          <cell r="Z4552">
            <v>0</v>
          </cell>
          <cell r="AA4552">
            <v>0</v>
          </cell>
          <cell r="AB4552">
            <v>3.1620500000000003E-2</v>
          </cell>
        </row>
        <row r="4553">
          <cell r="A4553">
            <v>71901010</v>
          </cell>
          <cell r="B4553" t="str">
            <v>Green plantains, boiled</v>
          </cell>
          <cell r="I4553">
            <v>110</v>
          </cell>
          <cell r="J4553">
            <v>127.6</v>
          </cell>
          <cell r="K4553">
            <v>1.1599999999999999</v>
          </cell>
          <cell r="L4553">
            <v>0</v>
          </cell>
          <cell r="M4553">
            <v>7.5899999999999995E-2</v>
          </cell>
          <cell r="N4553">
            <v>0</v>
          </cell>
          <cell r="O4553">
            <v>2.2000000000000001E-3</v>
          </cell>
          <cell r="P4553">
            <v>2.5299999999999998</v>
          </cell>
          <cell r="Q4553">
            <v>3.6299999999999999E-2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5.4999999999999997E-3</v>
          </cell>
          <cell r="Y4553">
            <v>0</v>
          </cell>
          <cell r="Z4553">
            <v>0</v>
          </cell>
          <cell r="AA4553">
            <v>0</v>
          </cell>
          <cell r="AB4553">
            <v>0</v>
          </cell>
        </row>
        <row r="4554">
          <cell r="A4554">
            <v>71901110</v>
          </cell>
          <cell r="B4554" t="str">
            <v>Fried green plantain, Puerto Rican style</v>
          </cell>
          <cell r="I4554">
            <v>110</v>
          </cell>
          <cell r="J4554">
            <v>139.45083</v>
          </cell>
          <cell r="K4554">
            <v>1.2677348181818182</v>
          </cell>
          <cell r="L4554">
            <v>2.442E-16</v>
          </cell>
          <cell r="M4554">
            <v>1.0076649</v>
          </cell>
          <cell r="N4554">
            <v>0</v>
          </cell>
          <cell r="O4554">
            <v>3.5796000000000001E-3</v>
          </cell>
          <cell r="P4554">
            <v>1.5137716000000001</v>
          </cell>
          <cell r="Q4554">
            <v>2.7967507999999999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0.85912909999999998</v>
          </cell>
          <cell r="Y4554">
            <v>0</v>
          </cell>
          <cell r="Z4554">
            <v>0</v>
          </cell>
          <cell r="AA4554">
            <v>0</v>
          </cell>
          <cell r="AB4554">
            <v>2.80988E-2</v>
          </cell>
        </row>
        <row r="4555">
          <cell r="A4555">
            <v>71905000</v>
          </cell>
          <cell r="B4555" t="str">
            <v>Ripe plantain, raw</v>
          </cell>
          <cell r="I4555">
            <v>110</v>
          </cell>
          <cell r="J4555">
            <v>134.19999999999999</v>
          </cell>
          <cell r="K4555">
            <v>1.22</v>
          </cell>
          <cell r="L4555">
            <v>0</v>
          </cell>
          <cell r="M4555">
            <v>0.1573</v>
          </cell>
          <cell r="N4555">
            <v>0</v>
          </cell>
          <cell r="O4555">
            <v>3.3E-3</v>
          </cell>
          <cell r="P4555">
            <v>2.5299999999999998</v>
          </cell>
          <cell r="Q4555">
            <v>7.5899999999999995E-2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4.4000000000000003E-3</v>
          </cell>
          <cell r="Y4555">
            <v>0</v>
          </cell>
          <cell r="Z4555">
            <v>0</v>
          </cell>
          <cell r="AA4555">
            <v>0</v>
          </cell>
          <cell r="AB4555">
            <v>0</v>
          </cell>
        </row>
        <row r="4556">
          <cell r="A4556">
            <v>71905010</v>
          </cell>
          <cell r="B4556" t="str">
            <v>Ripe plantain, boiled</v>
          </cell>
          <cell r="I4556">
            <v>110</v>
          </cell>
          <cell r="J4556">
            <v>126.8095</v>
          </cell>
          <cell r="K4556">
            <v>1.1528136363636363</v>
          </cell>
          <cell r="L4556">
            <v>0</v>
          </cell>
          <cell r="M4556">
            <v>7.5429800000000005E-2</v>
          </cell>
          <cell r="N4556">
            <v>0</v>
          </cell>
          <cell r="O4556">
            <v>2.3498999999999998E-3</v>
          </cell>
          <cell r="P4556">
            <v>2.5143263</v>
          </cell>
          <cell r="Q4556">
            <v>3.6075099999999999E-2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0.26958860000000001</v>
          </cell>
          <cell r="Y4556">
            <v>0</v>
          </cell>
          <cell r="Z4556">
            <v>0</v>
          </cell>
          <cell r="AA4556">
            <v>0</v>
          </cell>
          <cell r="AB4556">
            <v>0</v>
          </cell>
        </row>
        <row r="4557">
          <cell r="A4557">
            <v>71905110</v>
          </cell>
          <cell r="B4557" t="str">
            <v>Fried ripe plantain, Puerto Rican style (Platano maduro frito)</v>
          </cell>
          <cell r="I4557">
            <v>110</v>
          </cell>
          <cell r="J4557">
            <v>219.88154</v>
          </cell>
          <cell r="K4557">
            <v>1.9989230909090909</v>
          </cell>
          <cell r="L4557">
            <v>0</v>
          </cell>
          <cell r="M4557">
            <v>1.6758639</v>
          </cell>
          <cell r="N4557">
            <v>0</v>
          </cell>
          <cell r="O4557">
            <v>2.9914E-3</v>
          </cell>
          <cell r="P4557">
            <v>2.2719231</v>
          </cell>
          <cell r="Q4557">
            <v>4.6899506999999998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4.0073000000000001E-3</v>
          </cell>
          <cell r="Y4557">
            <v>0</v>
          </cell>
          <cell r="Z4557">
            <v>0</v>
          </cell>
          <cell r="AA4557">
            <v>0</v>
          </cell>
          <cell r="AB4557">
            <v>3.9760700000000003E-2</v>
          </cell>
        </row>
        <row r="4558">
          <cell r="A4558">
            <v>71905120</v>
          </cell>
          <cell r="B4558" t="str">
            <v>Plantain, ripe, rolled in flour, fried</v>
          </cell>
          <cell r="I4558">
            <v>110</v>
          </cell>
          <cell r="J4558">
            <v>229.21705</v>
          </cell>
          <cell r="K4558">
            <v>2.0837913636363639</v>
          </cell>
          <cell r="L4558">
            <v>0</v>
          </cell>
          <cell r="M4558">
            <v>1.6077876</v>
          </cell>
          <cell r="N4558">
            <v>0</v>
          </cell>
          <cell r="O4558">
            <v>3.6606E-3</v>
          </cell>
          <cell r="P4558">
            <v>2.3054443999999998</v>
          </cell>
          <cell r="Q4558">
            <v>4.4998975999999997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3.9157999999999997E-3</v>
          </cell>
          <cell r="Y4558">
            <v>0</v>
          </cell>
          <cell r="Z4558">
            <v>0</v>
          </cell>
          <cell r="AA4558">
            <v>0</v>
          </cell>
          <cell r="AB4558">
            <v>4.0016799999999998E-2</v>
          </cell>
        </row>
        <row r="4559">
          <cell r="A4559">
            <v>71905410</v>
          </cell>
          <cell r="B4559" t="str">
            <v>Plantain chips</v>
          </cell>
          <cell r="I4559">
            <v>30</v>
          </cell>
          <cell r="J4559">
            <v>159.30000000000001</v>
          </cell>
          <cell r="K4559">
            <v>5.3100000000000005</v>
          </cell>
          <cell r="L4559">
            <v>0</v>
          </cell>
          <cell r="M4559">
            <v>2.5011000000000001</v>
          </cell>
          <cell r="N4559">
            <v>0</v>
          </cell>
          <cell r="O4559">
            <v>2.7000000000000001E-3</v>
          </cell>
          <cell r="P4559">
            <v>1.05</v>
          </cell>
          <cell r="Q4559">
            <v>3.5217000000000001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6.0600000000000001E-2</v>
          </cell>
          <cell r="Y4559">
            <v>0</v>
          </cell>
          <cell r="Z4559">
            <v>0</v>
          </cell>
          <cell r="AA4559">
            <v>0</v>
          </cell>
          <cell r="AB4559">
            <v>5.5500000000000001E-2</v>
          </cell>
        </row>
        <row r="4560">
          <cell r="A4560">
            <v>71910110</v>
          </cell>
          <cell r="B4560" t="str">
            <v>Green banana, cooked in salt water</v>
          </cell>
          <cell r="I4560">
            <v>110</v>
          </cell>
          <cell r="J4560">
            <v>97.316102999999998</v>
          </cell>
          <cell r="K4560">
            <v>0.88469184545454549</v>
          </cell>
          <cell r="L4560">
            <v>2.8429422999999998</v>
          </cell>
          <cell r="M4560">
            <v>0.1224652</v>
          </cell>
          <cell r="N4560">
            <v>0</v>
          </cell>
          <cell r="O4560">
            <v>5.6246999999999998E-3</v>
          </cell>
          <cell r="P4560">
            <v>0</v>
          </cell>
          <cell r="Q4560">
            <v>7.9821100000000006E-2</v>
          </cell>
          <cell r="R4560">
            <v>0</v>
          </cell>
          <cell r="S4560">
            <v>0</v>
          </cell>
          <cell r="T4560">
            <v>109.34394</v>
          </cell>
          <cell r="U4560">
            <v>0</v>
          </cell>
          <cell r="V4560">
            <v>0</v>
          </cell>
          <cell r="W4560">
            <v>0</v>
          </cell>
          <cell r="X4560">
            <v>0.2553706</v>
          </cell>
          <cell r="Y4560">
            <v>0</v>
          </cell>
          <cell r="Z4560">
            <v>0</v>
          </cell>
          <cell r="AA4560">
            <v>0</v>
          </cell>
          <cell r="AB4560">
            <v>0</v>
          </cell>
        </row>
        <row r="4561">
          <cell r="A4561">
            <v>71910210</v>
          </cell>
          <cell r="B4561" t="str">
            <v>Green banana, fried</v>
          </cell>
          <cell r="I4561">
            <v>110</v>
          </cell>
          <cell r="J4561">
            <v>145.72791000000001</v>
          </cell>
          <cell r="K4561">
            <v>1.3247991818181819</v>
          </cell>
          <cell r="L4561">
            <v>2.7038958000000002</v>
          </cell>
          <cell r="M4561">
            <v>0.93761640000000002</v>
          </cell>
          <cell r="N4561">
            <v>0</v>
          </cell>
          <cell r="O4561">
            <v>5.2148000000000003E-3</v>
          </cell>
          <cell r="P4561">
            <v>0</v>
          </cell>
          <cell r="Q4561">
            <v>2.5489521000000002</v>
          </cell>
          <cell r="R4561">
            <v>0</v>
          </cell>
          <cell r="S4561">
            <v>0</v>
          </cell>
          <cell r="T4561">
            <v>103.99599000000001</v>
          </cell>
          <cell r="U4561">
            <v>0</v>
          </cell>
          <cell r="V4561">
            <v>0</v>
          </cell>
          <cell r="W4561">
            <v>0</v>
          </cell>
          <cell r="X4561">
            <v>1.07E-3</v>
          </cell>
          <cell r="Y4561">
            <v>0</v>
          </cell>
          <cell r="Z4561">
            <v>0</v>
          </cell>
          <cell r="AA4561">
            <v>0</v>
          </cell>
          <cell r="AB4561">
            <v>2.9858300000000001E-2</v>
          </cell>
        </row>
        <row r="4562">
          <cell r="A4562">
            <v>71930090</v>
          </cell>
          <cell r="B4562" t="str">
            <v>Cassava, cooked, NS as to fat added in cooking</v>
          </cell>
          <cell r="I4562">
            <v>110</v>
          </cell>
          <cell r="J4562">
            <v>191.37540999999999</v>
          </cell>
          <cell r="K4562">
            <v>1.7397764545454544</v>
          </cell>
          <cell r="L4562">
            <v>0</v>
          </cell>
          <cell r="M4562">
            <v>1.2875365999999999</v>
          </cell>
          <cell r="N4562">
            <v>0</v>
          </cell>
          <cell r="O4562">
            <v>1.7881500000000002E-2</v>
          </cell>
          <cell r="P4562">
            <v>1.9075145</v>
          </cell>
          <cell r="Q4562">
            <v>0.47193089999999999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0.28356429999999999</v>
          </cell>
          <cell r="Y4562">
            <v>0</v>
          </cell>
          <cell r="Z4562">
            <v>0</v>
          </cell>
          <cell r="AA4562">
            <v>0</v>
          </cell>
          <cell r="AB4562">
            <v>0.1163974</v>
          </cell>
        </row>
        <row r="4563">
          <cell r="A4563">
            <v>71930100</v>
          </cell>
          <cell r="B4563" t="str">
            <v>Cassava, cooked, fat not added in cooking</v>
          </cell>
          <cell r="I4563">
            <v>110</v>
          </cell>
          <cell r="J4563">
            <v>174.9503</v>
          </cell>
          <cell r="K4563">
            <v>1.5904572727272728</v>
          </cell>
          <cell r="L4563">
            <v>0</v>
          </cell>
          <cell r="M4563">
            <v>8.09145E-2</v>
          </cell>
          <cell r="N4563">
            <v>0</v>
          </cell>
          <cell r="O4563">
            <v>1.7652500000000002E-2</v>
          </cell>
          <cell r="P4563">
            <v>1.9681909</v>
          </cell>
          <cell r="Q4563">
            <v>5.24851E-2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0.26958530000000003</v>
          </cell>
          <cell r="Y4563">
            <v>0</v>
          </cell>
          <cell r="Z4563">
            <v>0</v>
          </cell>
          <cell r="AA4563">
            <v>0</v>
          </cell>
          <cell r="AB4563">
            <v>0</v>
          </cell>
        </row>
        <row r="4564">
          <cell r="A4564">
            <v>71930120</v>
          </cell>
          <cell r="B4564" t="str">
            <v>Cassava (yuca blanca), cooked, fat added in cooking, NS as to type of fat</v>
          </cell>
          <cell r="I4564">
            <v>110</v>
          </cell>
          <cell r="J4564">
            <v>191.37540999999999</v>
          </cell>
          <cell r="K4564">
            <v>1.7397764545454544</v>
          </cell>
          <cell r="L4564">
            <v>0</v>
          </cell>
          <cell r="M4564">
            <v>1.2875365999999999</v>
          </cell>
          <cell r="N4564">
            <v>0</v>
          </cell>
          <cell r="O4564">
            <v>1.7881500000000002E-2</v>
          </cell>
          <cell r="P4564">
            <v>1.9075145</v>
          </cell>
          <cell r="Q4564">
            <v>0.47193089999999999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0.28356429999999999</v>
          </cell>
          <cell r="Y4564">
            <v>0</v>
          </cell>
          <cell r="Z4564">
            <v>0</v>
          </cell>
          <cell r="AA4564">
            <v>0</v>
          </cell>
          <cell r="AB4564">
            <v>0.1163974</v>
          </cell>
        </row>
        <row r="4565">
          <cell r="A4565">
            <v>71930130</v>
          </cell>
          <cell r="B4565" t="str">
            <v>Cassava, cooked, made with oil</v>
          </cell>
          <cell r="I4565">
            <v>110</v>
          </cell>
          <cell r="J4565">
            <v>199.58875</v>
          </cell>
          <cell r="K4565">
            <v>1.8144431818181819</v>
          </cell>
          <cell r="L4565">
            <v>0</v>
          </cell>
          <cell r="M4565">
            <v>0.54221059999999999</v>
          </cell>
          <cell r="N4565">
            <v>0</v>
          </cell>
          <cell r="O4565">
            <v>1.7116800000000001E-2</v>
          </cell>
          <cell r="P4565">
            <v>1.9075145</v>
          </cell>
          <cell r="Q4565">
            <v>1.4476678000000001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0.2612913</v>
          </cell>
          <cell r="Y4565">
            <v>0</v>
          </cell>
          <cell r="Z4565">
            <v>0</v>
          </cell>
          <cell r="AA4565">
            <v>0</v>
          </cell>
          <cell r="AB4565">
            <v>1.2361199999999999E-2</v>
          </cell>
        </row>
        <row r="4566">
          <cell r="A4566">
            <v>71941120</v>
          </cell>
          <cell r="B4566" t="str">
            <v>Sweet potatoes, white, Puerto Rican, boiled</v>
          </cell>
          <cell r="I4566">
            <v>110</v>
          </cell>
          <cell r="J4566">
            <v>127.21834</v>
          </cell>
          <cell r="K4566">
            <v>1.1565303636363635</v>
          </cell>
          <cell r="L4566">
            <v>-4.8800000000000004E-16</v>
          </cell>
          <cell r="M4566">
            <v>3.1804600000000002E-2</v>
          </cell>
          <cell r="N4566">
            <v>0</v>
          </cell>
          <cell r="O4566">
            <v>1.5432899999999999E-2</v>
          </cell>
          <cell r="P4566">
            <v>4.2771685000000002</v>
          </cell>
          <cell r="Q4566">
            <v>6.5802600000000003E-2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0.13629250000000001</v>
          </cell>
          <cell r="Y4566">
            <v>0</v>
          </cell>
          <cell r="Z4566">
            <v>0</v>
          </cell>
          <cell r="AA4566">
            <v>0</v>
          </cell>
          <cell r="AB4566">
            <v>0</v>
          </cell>
        </row>
        <row r="4567">
          <cell r="A4567">
            <v>71945010</v>
          </cell>
          <cell r="B4567" t="str">
            <v>Yam, cooked, Puerto Rican</v>
          </cell>
          <cell r="I4567">
            <v>110</v>
          </cell>
          <cell r="J4567">
            <v>126.70560999999999</v>
          </cell>
          <cell r="K4567">
            <v>1.1518691818181817</v>
          </cell>
          <cell r="L4567">
            <v>0</v>
          </cell>
          <cell r="M4567">
            <v>3.16764E-2</v>
          </cell>
          <cell r="N4567">
            <v>0</v>
          </cell>
          <cell r="O4567">
            <v>1.5477100000000001E-2</v>
          </cell>
          <cell r="P4567">
            <v>4.2599299000000004</v>
          </cell>
          <cell r="Q4567">
            <v>6.5537399999999996E-2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0.3075734</v>
          </cell>
          <cell r="Y4567">
            <v>0</v>
          </cell>
          <cell r="Z4567">
            <v>0</v>
          </cell>
          <cell r="AA4567">
            <v>0</v>
          </cell>
          <cell r="AB4567">
            <v>0</v>
          </cell>
        </row>
        <row r="4568">
          <cell r="A4568">
            <v>71962010</v>
          </cell>
          <cell r="B4568" t="str">
            <v>Dasheen, boiled</v>
          </cell>
          <cell r="I4568">
            <v>110</v>
          </cell>
          <cell r="J4568">
            <v>155.26839000000001</v>
          </cell>
          <cell r="K4568">
            <v>1.4115308181818182</v>
          </cell>
          <cell r="L4568">
            <v>0</v>
          </cell>
          <cell r="M4568">
            <v>2.5149100000000001E-2</v>
          </cell>
          <cell r="N4568">
            <v>0</v>
          </cell>
          <cell r="O4568">
            <v>1.98394E-2</v>
          </cell>
          <cell r="P4568">
            <v>5.5765408000000001</v>
          </cell>
          <cell r="Q4568">
            <v>5.0298200000000001E-2</v>
          </cell>
          <cell r="R4568">
            <v>0</v>
          </cell>
          <cell r="S4568">
            <v>0</v>
          </cell>
          <cell r="T4568">
            <v>0</v>
          </cell>
          <cell r="U4568">
            <v>0</v>
          </cell>
          <cell r="V4568">
            <v>0</v>
          </cell>
          <cell r="W4568">
            <v>0</v>
          </cell>
          <cell r="X4568">
            <v>0.27067869999999999</v>
          </cell>
          <cell r="Y4568">
            <v>0</v>
          </cell>
          <cell r="Z4568">
            <v>0</v>
          </cell>
          <cell r="AA4568">
            <v>0</v>
          </cell>
          <cell r="AB4568">
            <v>0</v>
          </cell>
        </row>
        <row r="4569">
          <cell r="A4569">
            <v>71962020</v>
          </cell>
          <cell r="B4569" t="str">
            <v>Dasheen, fried</v>
          </cell>
          <cell r="I4569">
            <v>110</v>
          </cell>
          <cell r="J4569">
            <v>208.50358</v>
          </cell>
          <cell r="K4569">
            <v>1.8954870909090908</v>
          </cell>
          <cell r="L4569">
            <v>-9.770000000000001E-16</v>
          </cell>
          <cell r="M4569">
            <v>1.8198018</v>
          </cell>
          <cell r="N4569">
            <v>0</v>
          </cell>
          <cell r="O4569">
            <v>1.8622099999999999E-2</v>
          </cell>
          <cell r="P4569">
            <v>5.2053985999999997</v>
          </cell>
          <cell r="Q4569">
            <v>2.0674223999999999</v>
          </cell>
          <cell r="R4569">
            <v>0</v>
          </cell>
          <cell r="S4569">
            <v>0</v>
          </cell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>
            <v>0.3032994</v>
          </cell>
          <cell r="Y4569">
            <v>0</v>
          </cell>
          <cell r="Z4569">
            <v>0</v>
          </cell>
          <cell r="AA4569">
            <v>0</v>
          </cell>
          <cell r="AB4569">
            <v>0.946631</v>
          </cell>
        </row>
        <row r="4570">
          <cell r="A4570">
            <v>71962040</v>
          </cell>
          <cell r="B4570" t="str">
            <v>Taro, baked</v>
          </cell>
          <cell r="I4570">
            <v>110</v>
          </cell>
          <cell r="J4570">
            <v>122.07317</v>
          </cell>
          <cell r="K4570">
            <v>1.1097560909090909</v>
          </cell>
          <cell r="L4570">
            <v>0</v>
          </cell>
          <cell r="M4570">
            <v>4.4687499999999998E-2</v>
          </cell>
          <cell r="N4570">
            <v>0</v>
          </cell>
          <cell r="O4570">
            <v>4.7108799999999999E-2</v>
          </cell>
          <cell r="P4570">
            <v>4.46875</v>
          </cell>
          <cell r="Q4570">
            <v>9.0464900000000001E-2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>
            <v>0.40193259999999997</v>
          </cell>
          <cell r="Y4570">
            <v>0</v>
          </cell>
          <cell r="Z4570">
            <v>0</v>
          </cell>
          <cell r="AA4570">
            <v>0</v>
          </cell>
          <cell r="AB4570">
            <v>0</v>
          </cell>
        </row>
        <row r="4571">
          <cell r="A4571">
            <v>71970120</v>
          </cell>
          <cell r="B4571" t="str">
            <v>Starchy vegetables, including tannier, white sweet potato and yam, with green or ripe plantains, Puerto Rican style</v>
          </cell>
          <cell r="I4571">
            <v>110</v>
          </cell>
          <cell r="J4571">
            <v>148.57938999999999</v>
          </cell>
          <cell r="K4571">
            <v>1.3507217272727272</v>
          </cell>
          <cell r="L4571">
            <v>0</v>
          </cell>
          <cell r="M4571">
            <v>5.7190100000000001E-2</v>
          </cell>
          <cell r="N4571">
            <v>0</v>
          </cell>
          <cell r="O4571">
            <v>1.38861E-2</v>
          </cell>
          <cell r="P4571">
            <v>3.3575905000000001</v>
          </cell>
          <cell r="Q4571">
            <v>5.0839099999999998E-2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>
            <v>0.27080910000000002</v>
          </cell>
          <cell r="Y4571">
            <v>0</v>
          </cell>
          <cell r="Z4571">
            <v>0</v>
          </cell>
          <cell r="AA4571">
            <v>0</v>
          </cell>
          <cell r="AB4571">
            <v>0</v>
          </cell>
        </row>
        <row r="4572">
          <cell r="A4572">
            <v>71970130</v>
          </cell>
          <cell r="B4572" t="str">
            <v>Starchy vegetables, including tannier, white sweet potato and yam, no plantain, Puerto Rican style</v>
          </cell>
          <cell r="I4572">
            <v>110</v>
          </cell>
          <cell r="J4572">
            <v>155.66566</v>
          </cell>
          <cell r="K4572">
            <v>1.4151423636363636</v>
          </cell>
          <cell r="L4572">
            <v>4.8850000000000005E-16</v>
          </cell>
          <cell r="M4572">
            <v>5.1282399999999999E-2</v>
          </cell>
          <cell r="N4572">
            <v>0</v>
          </cell>
          <cell r="O4572">
            <v>1.76347E-2</v>
          </cell>
          <cell r="P4572">
            <v>3.6305128999999998</v>
          </cell>
          <cell r="Q4572">
            <v>5.5634500000000003E-2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0.27129579999999998</v>
          </cell>
          <cell r="Y4572">
            <v>0</v>
          </cell>
          <cell r="Z4572">
            <v>0</v>
          </cell>
          <cell r="AA4572">
            <v>0</v>
          </cell>
          <cell r="AB4572">
            <v>0</v>
          </cell>
        </row>
        <row r="4573">
          <cell r="A4573">
            <v>71970200</v>
          </cell>
          <cell r="B4573" t="str">
            <v>Fufu</v>
          </cell>
          <cell r="I4573">
            <v>110</v>
          </cell>
          <cell r="J4573">
            <v>171.1165</v>
          </cell>
          <cell r="K4573">
            <v>1.5556045454545455</v>
          </cell>
          <cell r="L4573">
            <v>0</v>
          </cell>
          <cell r="M4573">
            <v>0.56166479999999996</v>
          </cell>
          <cell r="N4573">
            <v>0</v>
          </cell>
          <cell r="O4573">
            <v>1.6099700000000002E-2</v>
          </cell>
          <cell r="P4573">
            <v>3.0399188000000001</v>
          </cell>
          <cell r="Q4573">
            <v>0.86835779999999996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3.6787800000000002E-2</v>
          </cell>
          <cell r="Y4573">
            <v>0</v>
          </cell>
          <cell r="Z4573">
            <v>0</v>
          </cell>
          <cell r="AA4573">
            <v>0</v>
          </cell>
          <cell r="AB4573">
            <v>0.49675770000000002</v>
          </cell>
        </row>
        <row r="4574">
          <cell r="A4574">
            <v>71980200</v>
          </cell>
          <cell r="B4574" t="str">
            <v>Taro chips</v>
          </cell>
          <cell r="I4574">
            <v>30</v>
          </cell>
          <cell r="J4574">
            <v>149.4</v>
          </cell>
          <cell r="K4574">
            <v>4.9800000000000004</v>
          </cell>
          <cell r="L4574">
            <v>0</v>
          </cell>
          <cell r="M4574">
            <v>1.929</v>
          </cell>
          <cell r="N4574">
            <v>0</v>
          </cell>
          <cell r="O4574">
            <v>1.7999999999999999E-2</v>
          </cell>
          <cell r="P4574">
            <v>2.16</v>
          </cell>
          <cell r="Q4574">
            <v>3.8639999999999999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0.1026</v>
          </cell>
          <cell r="Y4574">
            <v>0</v>
          </cell>
          <cell r="Z4574">
            <v>0</v>
          </cell>
          <cell r="AA4574">
            <v>0</v>
          </cell>
          <cell r="AB4574">
            <v>0</v>
          </cell>
        </row>
        <row r="4575">
          <cell r="A4575">
            <v>72101210</v>
          </cell>
          <cell r="B4575" t="str">
            <v>Beet greens, cooked, fat not added in cooking</v>
          </cell>
          <cell r="I4575">
            <v>85</v>
          </cell>
          <cell r="J4575">
            <v>22.791723999999999</v>
          </cell>
          <cell r="K4575">
            <v>0.26813792941176467</v>
          </cell>
          <cell r="L4575">
            <v>2.448</v>
          </cell>
          <cell r="M4575">
            <v>2.6168299999999999E-2</v>
          </cell>
          <cell r="N4575">
            <v>0</v>
          </cell>
          <cell r="O4575">
            <v>9.6372399999999997E-2</v>
          </cell>
          <cell r="P4575">
            <v>0</v>
          </cell>
          <cell r="Q4575">
            <v>5.9089700000000002E-2</v>
          </cell>
          <cell r="R4575">
            <v>0</v>
          </cell>
          <cell r="S4575">
            <v>0</v>
          </cell>
          <cell r="T4575">
            <v>0</v>
          </cell>
          <cell r="U4575">
            <v>84.413792999999998</v>
          </cell>
          <cell r="V4575">
            <v>0</v>
          </cell>
          <cell r="W4575">
            <v>0</v>
          </cell>
          <cell r="X4575">
            <v>0.4306393</v>
          </cell>
          <cell r="Y4575">
            <v>0</v>
          </cell>
          <cell r="Z4575">
            <v>0</v>
          </cell>
          <cell r="AA4575">
            <v>0</v>
          </cell>
          <cell r="AB4575">
            <v>0</v>
          </cell>
        </row>
        <row r="4576">
          <cell r="A4576">
            <v>72103020</v>
          </cell>
          <cell r="B4576" t="str">
            <v>Broccoli raab, cooked, fat not added in cooking</v>
          </cell>
          <cell r="I4576">
            <v>85</v>
          </cell>
          <cell r="J4576">
            <v>27.885964999999999</v>
          </cell>
          <cell r="K4576">
            <v>0.32807017647058823</v>
          </cell>
          <cell r="L4576">
            <v>2.3660819000000002</v>
          </cell>
          <cell r="M4576">
            <v>4.81667E-2</v>
          </cell>
          <cell r="N4576">
            <v>0</v>
          </cell>
          <cell r="O4576">
            <v>9.9832699999999996E-2</v>
          </cell>
          <cell r="P4576">
            <v>0</v>
          </cell>
          <cell r="Q4576">
            <v>0.12675439999999999</v>
          </cell>
          <cell r="R4576">
            <v>0</v>
          </cell>
          <cell r="S4576">
            <v>0</v>
          </cell>
          <cell r="T4576">
            <v>0</v>
          </cell>
          <cell r="U4576">
            <v>84.502923999999993</v>
          </cell>
          <cell r="V4576">
            <v>0</v>
          </cell>
          <cell r="W4576">
            <v>0</v>
          </cell>
          <cell r="X4576">
            <v>0.23997840000000001</v>
          </cell>
          <cell r="Y4576">
            <v>0</v>
          </cell>
          <cell r="Z4576">
            <v>0</v>
          </cell>
          <cell r="AA4576">
            <v>0</v>
          </cell>
          <cell r="AB4576">
            <v>0</v>
          </cell>
        </row>
        <row r="4577">
          <cell r="A4577">
            <v>72103040</v>
          </cell>
          <cell r="B4577" t="str">
            <v>Broccoli raab, cooked, made with oil</v>
          </cell>
          <cell r="I4577">
            <v>85</v>
          </cell>
          <cell r="J4577">
            <v>46.641463999999999</v>
          </cell>
          <cell r="K4577">
            <v>0.54872310588235296</v>
          </cell>
          <cell r="L4577">
            <v>2.3048614999999999</v>
          </cell>
          <cell r="M4577">
            <v>0.34770909999999999</v>
          </cell>
          <cell r="N4577">
            <v>0</v>
          </cell>
          <cell r="O4577">
            <v>9.72552E-2</v>
          </cell>
          <cell r="P4577">
            <v>0</v>
          </cell>
          <cell r="Q4577">
            <v>1.0293620000000001</v>
          </cell>
          <cell r="R4577">
            <v>0</v>
          </cell>
          <cell r="S4577">
            <v>0</v>
          </cell>
          <cell r="T4577">
            <v>0</v>
          </cell>
          <cell r="U4577">
            <v>82.316483000000005</v>
          </cell>
          <cell r="V4577">
            <v>0</v>
          </cell>
          <cell r="W4577">
            <v>0</v>
          </cell>
          <cell r="X4577">
            <v>0.23378009999999999</v>
          </cell>
          <cell r="Y4577">
            <v>0</v>
          </cell>
          <cell r="Z4577">
            <v>0</v>
          </cell>
          <cell r="AA4577">
            <v>0</v>
          </cell>
          <cell r="AB4577">
            <v>9.5639999999999996E-3</v>
          </cell>
        </row>
        <row r="4578">
          <cell r="A4578">
            <v>72104210</v>
          </cell>
          <cell r="B4578" t="str">
            <v>Chard, cooked, fat not added in cooking</v>
          </cell>
          <cell r="I4578">
            <v>85</v>
          </cell>
          <cell r="J4578">
            <v>16.903409</v>
          </cell>
          <cell r="K4578">
            <v>0.19886363529411766</v>
          </cell>
          <cell r="L4578">
            <v>1.774858</v>
          </cell>
          <cell r="M4578">
            <v>1.0142E-2</v>
          </cell>
          <cell r="N4578">
            <v>0</v>
          </cell>
          <cell r="O4578">
            <v>4.91358E-2</v>
          </cell>
          <cell r="P4578">
            <v>0</v>
          </cell>
          <cell r="Q4578">
            <v>2.36648E-2</v>
          </cell>
          <cell r="R4578">
            <v>0</v>
          </cell>
          <cell r="S4578">
            <v>0</v>
          </cell>
          <cell r="T4578">
            <v>0</v>
          </cell>
          <cell r="U4578">
            <v>84.517044999999996</v>
          </cell>
          <cell r="V4578">
            <v>0</v>
          </cell>
          <cell r="W4578">
            <v>0</v>
          </cell>
          <cell r="X4578">
            <v>0.33846900000000002</v>
          </cell>
          <cell r="Y4578">
            <v>0</v>
          </cell>
          <cell r="Z4578">
            <v>0</v>
          </cell>
          <cell r="AA4578">
            <v>0</v>
          </cell>
          <cell r="AB4578">
            <v>0</v>
          </cell>
        </row>
        <row r="4579">
          <cell r="A4579">
            <v>72104220</v>
          </cell>
          <cell r="B4579" t="str">
            <v>Chard, cooked, fat added in cooking</v>
          </cell>
          <cell r="I4579">
            <v>85</v>
          </cell>
          <cell r="J4579">
            <v>28.488824999999999</v>
          </cell>
          <cell r="K4579">
            <v>0.33516264705882354</v>
          </cell>
          <cell r="L4579">
            <v>1.7281202</v>
          </cell>
          <cell r="M4579">
            <v>0.28267249999999999</v>
          </cell>
          <cell r="N4579">
            <v>0</v>
          </cell>
          <cell r="O4579">
            <v>4.8311399999999997E-2</v>
          </cell>
          <cell r="P4579">
            <v>0</v>
          </cell>
          <cell r="Q4579">
            <v>0.62066359999999998</v>
          </cell>
          <cell r="R4579">
            <v>0</v>
          </cell>
          <cell r="S4579">
            <v>0</v>
          </cell>
          <cell r="T4579">
            <v>0</v>
          </cell>
          <cell r="U4579">
            <v>82.291436000000004</v>
          </cell>
          <cell r="V4579">
            <v>0</v>
          </cell>
          <cell r="W4579">
            <v>0</v>
          </cell>
          <cell r="X4579">
            <v>0.33672279999999999</v>
          </cell>
          <cell r="Y4579">
            <v>0</v>
          </cell>
          <cell r="Z4579">
            <v>0</v>
          </cell>
          <cell r="AA4579">
            <v>0</v>
          </cell>
          <cell r="AB4579">
            <v>7.6341099999999995E-2</v>
          </cell>
        </row>
        <row r="4580">
          <cell r="A4580">
            <v>72104230</v>
          </cell>
          <cell r="B4580" t="str">
            <v>Chard, cooked, made with oil</v>
          </cell>
          <cell r="I4580">
            <v>85</v>
          </cell>
          <cell r="J4580">
            <v>35.415781000000003</v>
          </cell>
          <cell r="K4580">
            <v>0.41665624705882354</v>
          </cell>
          <cell r="L4580">
            <v>1.7302067999999999</v>
          </cell>
          <cell r="M4580">
            <v>0.30234549999999999</v>
          </cell>
          <cell r="N4580">
            <v>0</v>
          </cell>
          <cell r="O4580">
            <v>4.7905000000000003E-2</v>
          </cell>
          <cell r="P4580">
            <v>0</v>
          </cell>
          <cell r="Q4580">
            <v>0.90386869999999997</v>
          </cell>
          <cell r="R4580">
            <v>0</v>
          </cell>
          <cell r="S4580">
            <v>0</v>
          </cell>
          <cell r="T4580">
            <v>0</v>
          </cell>
          <cell r="U4580">
            <v>82.390800999999996</v>
          </cell>
          <cell r="V4580">
            <v>0</v>
          </cell>
          <cell r="W4580">
            <v>0</v>
          </cell>
          <cell r="X4580">
            <v>0.3299647</v>
          </cell>
          <cell r="Y4580">
            <v>0</v>
          </cell>
          <cell r="Z4580">
            <v>0</v>
          </cell>
          <cell r="AA4580">
            <v>0</v>
          </cell>
          <cell r="AB4580">
            <v>7.5773999999999998E-3</v>
          </cell>
        </row>
        <row r="4581">
          <cell r="A4581">
            <v>72107100</v>
          </cell>
          <cell r="B4581" t="str">
            <v>Collards, raw</v>
          </cell>
          <cell r="I4581">
            <v>85</v>
          </cell>
          <cell r="J4581">
            <v>27.2</v>
          </cell>
          <cell r="K4581">
            <v>0.32</v>
          </cell>
          <cell r="L4581">
            <v>3.4</v>
          </cell>
          <cell r="M4581">
            <v>4.675E-2</v>
          </cell>
          <cell r="N4581">
            <v>0</v>
          </cell>
          <cell r="O4581">
            <v>0.19719999999999999</v>
          </cell>
          <cell r="P4581">
            <v>0</v>
          </cell>
          <cell r="Q4581">
            <v>0.17085</v>
          </cell>
          <cell r="R4581">
            <v>0</v>
          </cell>
          <cell r="S4581">
            <v>0</v>
          </cell>
          <cell r="T4581">
            <v>0</v>
          </cell>
          <cell r="U4581">
            <v>85</v>
          </cell>
          <cell r="V4581">
            <v>0</v>
          </cell>
          <cell r="W4581">
            <v>0</v>
          </cell>
          <cell r="X4581">
            <v>1.4449999999999999E-2</v>
          </cell>
          <cell r="Y4581">
            <v>0</v>
          </cell>
          <cell r="Z4581">
            <v>0</v>
          </cell>
          <cell r="AA4581">
            <v>0</v>
          </cell>
          <cell r="AB4581">
            <v>0</v>
          </cell>
        </row>
        <row r="4582">
          <cell r="A4582">
            <v>72107200</v>
          </cell>
          <cell r="B4582" t="str">
            <v>Collards, cooked, NS as to form, NS as to fat added in cooking</v>
          </cell>
          <cell r="I4582">
            <v>85</v>
          </cell>
          <cell r="J4582">
            <v>40.442360999999998</v>
          </cell>
          <cell r="K4582">
            <v>0.47579248235294114</v>
          </cell>
          <cell r="L4582">
            <v>3.3004818</v>
          </cell>
          <cell r="M4582">
            <v>0.77102490000000001</v>
          </cell>
          <cell r="N4582">
            <v>0</v>
          </cell>
          <cell r="O4582">
            <v>0.1169144</v>
          </cell>
          <cell r="P4582">
            <v>0</v>
          </cell>
          <cell r="Q4582">
            <v>0.39774320000000002</v>
          </cell>
          <cell r="R4582">
            <v>0</v>
          </cell>
          <cell r="S4582">
            <v>0</v>
          </cell>
          <cell r="T4582">
            <v>0</v>
          </cell>
          <cell r="U4582">
            <v>82.512045000000001</v>
          </cell>
          <cell r="V4582">
            <v>0</v>
          </cell>
          <cell r="W4582">
            <v>0</v>
          </cell>
          <cell r="X4582">
            <v>0.19419149999999999</v>
          </cell>
          <cell r="Y4582">
            <v>0</v>
          </cell>
          <cell r="Z4582">
            <v>0</v>
          </cell>
          <cell r="AA4582">
            <v>0</v>
          </cell>
          <cell r="AB4582">
            <v>7.04906E-2</v>
          </cell>
        </row>
        <row r="4583">
          <cell r="A4583">
            <v>72107201</v>
          </cell>
          <cell r="B4583" t="str">
            <v>Collards, cooked, from fresh, NS as to fat added in cooking</v>
          </cell>
          <cell r="I4583">
            <v>85</v>
          </cell>
          <cell r="J4583">
            <v>40.442360999999998</v>
          </cell>
          <cell r="K4583">
            <v>0.47579248235294114</v>
          </cell>
          <cell r="L4583">
            <v>3.3004818</v>
          </cell>
          <cell r="M4583">
            <v>0.77102490000000001</v>
          </cell>
          <cell r="N4583">
            <v>0</v>
          </cell>
          <cell r="O4583">
            <v>0.1169144</v>
          </cell>
          <cell r="P4583">
            <v>0</v>
          </cell>
          <cell r="Q4583">
            <v>0.39774320000000002</v>
          </cell>
          <cell r="R4583">
            <v>0</v>
          </cell>
          <cell r="S4583">
            <v>0</v>
          </cell>
          <cell r="T4583">
            <v>0</v>
          </cell>
          <cell r="U4583">
            <v>82.512045000000001</v>
          </cell>
          <cell r="V4583">
            <v>0</v>
          </cell>
          <cell r="W4583">
            <v>0</v>
          </cell>
          <cell r="X4583">
            <v>0.19419149999999999</v>
          </cell>
          <cell r="Y4583">
            <v>0</v>
          </cell>
          <cell r="Z4583">
            <v>0</v>
          </cell>
          <cell r="AA4583">
            <v>0</v>
          </cell>
          <cell r="AB4583">
            <v>7.04906E-2</v>
          </cell>
        </row>
        <row r="4584">
          <cell r="A4584">
            <v>72107203</v>
          </cell>
          <cell r="B4584" t="str">
            <v>Collards, cooked, from canned, NS as to fat added in cooking</v>
          </cell>
          <cell r="I4584">
            <v>130</v>
          </cell>
          <cell r="J4584">
            <v>61.413744999999999</v>
          </cell>
          <cell r="K4584">
            <v>0.47241342307692308</v>
          </cell>
          <cell r="L4584">
            <v>5.0119464999999996</v>
          </cell>
          <cell r="M4584">
            <v>1.1708398</v>
          </cell>
          <cell r="N4584">
            <v>0</v>
          </cell>
          <cell r="O4584">
            <v>0.177762</v>
          </cell>
          <cell r="P4584">
            <v>0</v>
          </cell>
          <cell r="Q4584">
            <v>0.603993</v>
          </cell>
          <cell r="R4584">
            <v>0</v>
          </cell>
          <cell r="S4584">
            <v>0</v>
          </cell>
          <cell r="T4584">
            <v>0</v>
          </cell>
          <cell r="U4584">
            <v>125.29866</v>
          </cell>
          <cell r="V4584">
            <v>0</v>
          </cell>
          <cell r="W4584">
            <v>0</v>
          </cell>
          <cell r="X4584">
            <v>0.65272410000000003</v>
          </cell>
          <cell r="Y4584">
            <v>0</v>
          </cell>
          <cell r="Z4584">
            <v>0</v>
          </cell>
          <cell r="AA4584">
            <v>0</v>
          </cell>
          <cell r="AB4584">
            <v>0.1070434</v>
          </cell>
        </row>
        <row r="4585">
          <cell r="A4585">
            <v>72107210</v>
          </cell>
          <cell r="B4585" t="str">
            <v>Collards, cooked, NS as to form, fat not added in cooking</v>
          </cell>
          <cell r="I4585">
            <v>85</v>
          </cell>
          <cell r="J4585">
            <v>27.903141000000002</v>
          </cell>
          <cell r="K4585">
            <v>0.32827224705882357</v>
          </cell>
          <cell r="L4585">
            <v>3.382199</v>
          </cell>
          <cell r="M4585">
            <v>3.97408E-2</v>
          </cell>
          <cell r="N4585">
            <v>0</v>
          </cell>
          <cell r="O4585">
            <v>0.1193293</v>
          </cell>
          <cell r="P4585">
            <v>0</v>
          </cell>
          <cell r="Q4585">
            <v>0.1462801</v>
          </cell>
          <cell r="R4585">
            <v>0</v>
          </cell>
          <cell r="S4585">
            <v>0</v>
          </cell>
          <cell r="T4585">
            <v>0</v>
          </cell>
          <cell r="U4585">
            <v>84.554974000000001</v>
          </cell>
          <cell r="V4585">
            <v>0</v>
          </cell>
          <cell r="W4585">
            <v>0</v>
          </cell>
          <cell r="X4585">
            <v>0.18516650000000001</v>
          </cell>
          <cell r="Y4585">
            <v>0</v>
          </cell>
          <cell r="Z4585">
            <v>0</v>
          </cell>
          <cell r="AA4585">
            <v>0</v>
          </cell>
          <cell r="AB4585">
            <v>0</v>
          </cell>
        </row>
        <row r="4586">
          <cell r="A4586">
            <v>72107211</v>
          </cell>
          <cell r="B4586" t="str">
            <v>Collards, cooked, from fresh, fat not added in cooking</v>
          </cell>
          <cell r="I4586">
            <v>85</v>
          </cell>
          <cell r="J4586">
            <v>27.903141000000002</v>
          </cell>
          <cell r="K4586">
            <v>0.32827224705882357</v>
          </cell>
          <cell r="L4586">
            <v>3.382199</v>
          </cell>
          <cell r="M4586">
            <v>3.97408E-2</v>
          </cell>
          <cell r="N4586">
            <v>0</v>
          </cell>
          <cell r="O4586">
            <v>0.1193293</v>
          </cell>
          <cell r="P4586">
            <v>0</v>
          </cell>
          <cell r="Q4586">
            <v>0.1462801</v>
          </cell>
          <cell r="R4586">
            <v>0</v>
          </cell>
          <cell r="S4586">
            <v>0</v>
          </cell>
          <cell r="T4586">
            <v>0</v>
          </cell>
          <cell r="U4586">
            <v>84.554974000000001</v>
          </cell>
          <cell r="V4586">
            <v>0</v>
          </cell>
          <cell r="W4586">
            <v>0</v>
          </cell>
          <cell r="X4586">
            <v>0.18516650000000001</v>
          </cell>
          <cell r="Y4586">
            <v>0</v>
          </cell>
          <cell r="Z4586">
            <v>0</v>
          </cell>
          <cell r="AA4586">
            <v>0</v>
          </cell>
          <cell r="AB4586">
            <v>0</v>
          </cell>
        </row>
        <row r="4587">
          <cell r="A4587">
            <v>72107212</v>
          </cell>
          <cell r="B4587" t="str">
            <v>Collards, cooked, from frozen, fat not added in cooking</v>
          </cell>
          <cell r="I4587">
            <v>85</v>
          </cell>
          <cell r="J4587">
            <v>30.421053000000001</v>
          </cell>
          <cell r="K4587">
            <v>0.35789474117647058</v>
          </cell>
          <cell r="L4587">
            <v>2.3660819000000002</v>
          </cell>
          <cell r="M4587">
            <v>5.0701799999999998E-2</v>
          </cell>
          <cell r="N4587">
            <v>0</v>
          </cell>
          <cell r="O4587">
            <v>0.17757539999999999</v>
          </cell>
          <cell r="P4587">
            <v>0</v>
          </cell>
          <cell r="Q4587">
            <v>0.17745610000000001</v>
          </cell>
          <cell r="R4587">
            <v>0</v>
          </cell>
          <cell r="S4587">
            <v>0</v>
          </cell>
          <cell r="T4587">
            <v>0</v>
          </cell>
          <cell r="U4587">
            <v>84.502923999999993</v>
          </cell>
          <cell r="V4587">
            <v>0</v>
          </cell>
          <cell r="W4587">
            <v>0</v>
          </cell>
          <cell r="X4587">
            <v>0.23490820000000001</v>
          </cell>
          <cell r="Y4587">
            <v>0</v>
          </cell>
          <cell r="Z4587">
            <v>0</v>
          </cell>
          <cell r="AA4587">
            <v>0</v>
          </cell>
          <cell r="AB4587">
            <v>0</v>
          </cell>
        </row>
        <row r="4588">
          <cell r="A4588">
            <v>72107213</v>
          </cell>
          <cell r="B4588" t="str">
            <v>Collards, cooked, from canned, fat not added in cooking</v>
          </cell>
          <cell r="I4588">
            <v>130</v>
          </cell>
          <cell r="J4588">
            <v>42.364865000000002</v>
          </cell>
          <cell r="K4588">
            <v>0.32588357692307696</v>
          </cell>
          <cell r="L4588">
            <v>5.1351351000000003</v>
          </cell>
          <cell r="M4588">
            <v>6.0337799999999997E-2</v>
          </cell>
          <cell r="N4588">
            <v>0</v>
          </cell>
          <cell r="O4588">
            <v>0.1814027</v>
          </cell>
          <cell r="P4588">
            <v>0</v>
          </cell>
          <cell r="Q4588">
            <v>0.2220946</v>
          </cell>
          <cell r="R4588">
            <v>0</v>
          </cell>
          <cell r="S4588">
            <v>0</v>
          </cell>
          <cell r="T4588">
            <v>0</v>
          </cell>
          <cell r="U4588">
            <v>128.37837999999999</v>
          </cell>
          <cell r="V4588">
            <v>0</v>
          </cell>
          <cell r="W4588">
            <v>0</v>
          </cell>
          <cell r="X4588">
            <v>0.64776489999999998</v>
          </cell>
          <cell r="Y4588">
            <v>0</v>
          </cell>
          <cell r="Z4588">
            <v>0</v>
          </cell>
          <cell r="AA4588">
            <v>0</v>
          </cell>
          <cell r="AB4588">
            <v>0</v>
          </cell>
        </row>
        <row r="4589">
          <cell r="A4589">
            <v>72107220</v>
          </cell>
          <cell r="B4589" t="str">
            <v>Collards, cooked, NS as to form, fat added in cooking, NS as to type of fat</v>
          </cell>
          <cell r="I4589">
            <v>85</v>
          </cell>
          <cell r="J4589">
            <v>40.442360999999998</v>
          </cell>
          <cell r="K4589">
            <v>0.47579248235294114</v>
          </cell>
          <cell r="L4589">
            <v>3.3004818</v>
          </cell>
          <cell r="M4589">
            <v>0.77102490000000001</v>
          </cell>
          <cell r="N4589">
            <v>0</v>
          </cell>
          <cell r="O4589">
            <v>0.1169144</v>
          </cell>
          <cell r="P4589">
            <v>0</v>
          </cell>
          <cell r="Q4589">
            <v>0.39774320000000002</v>
          </cell>
          <cell r="R4589">
            <v>0</v>
          </cell>
          <cell r="S4589">
            <v>0</v>
          </cell>
          <cell r="T4589">
            <v>0</v>
          </cell>
          <cell r="U4589">
            <v>82.512045000000001</v>
          </cell>
          <cell r="V4589">
            <v>0</v>
          </cell>
          <cell r="W4589">
            <v>0</v>
          </cell>
          <cell r="X4589">
            <v>0.19419149999999999</v>
          </cell>
          <cell r="Y4589">
            <v>0</v>
          </cell>
          <cell r="Z4589">
            <v>0</v>
          </cell>
          <cell r="AA4589">
            <v>0</v>
          </cell>
          <cell r="AB4589">
            <v>7.04906E-2</v>
          </cell>
        </row>
        <row r="4590">
          <cell r="A4590">
            <v>72107221</v>
          </cell>
          <cell r="B4590" t="str">
            <v>Collards, cooked, from fresh, fat added in cooking</v>
          </cell>
          <cell r="I4590">
            <v>85</v>
          </cell>
          <cell r="J4590">
            <v>38.333367000000003</v>
          </cell>
          <cell r="K4590">
            <v>0.45098078823529414</v>
          </cell>
          <cell r="L4590">
            <v>3.2999591000000001</v>
          </cell>
          <cell r="M4590">
            <v>0.29066910000000001</v>
          </cell>
          <cell r="N4590">
            <v>0</v>
          </cell>
          <cell r="O4590">
            <v>0.1168613</v>
          </cell>
          <cell r="P4590">
            <v>0</v>
          </cell>
          <cell r="Q4590">
            <v>0.69455279999999997</v>
          </cell>
          <cell r="R4590">
            <v>0</v>
          </cell>
          <cell r="S4590">
            <v>0</v>
          </cell>
          <cell r="T4590">
            <v>0</v>
          </cell>
          <cell r="U4590">
            <v>82.498977999999994</v>
          </cell>
          <cell r="V4590">
            <v>0</v>
          </cell>
          <cell r="W4590">
            <v>0</v>
          </cell>
          <cell r="X4590">
            <v>0.1872817</v>
          </cell>
          <cell r="Y4590">
            <v>0</v>
          </cell>
          <cell r="Z4590">
            <v>0</v>
          </cell>
          <cell r="AA4590">
            <v>0</v>
          </cell>
          <cell r="AB4590">
            <v>7.04906E-2</v>
          </cell>
        </row>
        <row r="4591">
          <cell r="A4591">
            <v>72107222</v>
          </cell>
          <cell r="B4591" t="str">
            <v>Collards, cooked, from frozen, fat added in cooking</v>
          </cell>
          <cell r="I4591">
            <v>85</v>
          </cell>
          <cell r="J4591">
            <v>41.969959000000003</v>
          </cell>
          <cell r="K4591">
            <v>0.49376422352941179</v>
          </cell>
          <cell r="L4591">
            <v>2.3020027000000001</v>
          </cell>
          <cell r="M4591">
            <v>0.32988669999999998</v>
          </cell>
          <cell r="N4591">
            <v>0</v>
          </cell>
          <cell r="O4591">
            <v>0.17324909999999999</v>
          </cell>
          <cell r="P4591">
            <v>0</v>
          </cell>
          <cell r="Q4591">
            <v>0.78727329999999995</v>
          </cell>
          <cell r="R4591">
            <v>0</v>
          </cell>
          <cell r="S4591">
            <v>0</v>
          </cell>
          <cell r="T4591">
            <v>0</v>
          </cell>
          <cell r="U4591">
            <v>82.214382999999998</v>
          </cell>
          <cell r="V4591">
            <v>0</v>
          </cell>
          <cell r="W4591">
            <v>0</v>
          </cell>
          <cell r="X4591">
            <v>0.23591699999999999</v>
          </cell>
          <cell r="Y4591">
            <v>0</v>
          </cell>
          <cell r="Z4591">
            <v>0</v>
          </cell>
          <cell r="AA4591">
            <v>0</v>
          </cell>
          <cell r="AB4591">
            <v>7.8513200000000005E-2</v>
          </cell>
        </row>
        <row r="4592">
          <cell r="A4592">
            <v>72107227</v>
          </cell>
          <cell r="B4592" t="str">
            <v>Collards, cooked, from fresh, made with oil</v>
          </cell>
          <cell r="I4592">
            <v>85</v>
          </cell>
          <cell r="J4592">
            <v>44.739933000000001</v>
          </cell>
          <cell r="K4592">
            <v>0.52635215294117643</v>
          </cell>
          <cell r="L4592">
            <v>3.3036381000000001</v>
          </cell>
          <cell r="M4592">
            <v>0.3088419</v>
          </cell>
          <cell r="N4592">
            <v>0</v>
          </cell>
          <cell r="O4592">
            <v>0.1165625</v>
          </cell>
          <cell r="P4592">
            <v>0</v>
          </cell>
          <cell r="Q4592">
            <v>0.95611570000000001</v>
          </cell>
          <cell r="R4592">
            <v>0</v>
          </cell>
          <cell r="S4592">
            <v>0</v>
          </cell>
          <cell r="T4592">
            <v>0</v>
          </cell>
          <cell r="U4592">
            <v>82.590952000000001</v>
          </cell>
          <cell r="V4592">
            <v>0</v>
          </cell>
          <cell r="W4592">
            <v>0</v>
          </cell>
          <cell r="X4592">
            <v>0.18087539999999999</v>
          </cell>
          <cell r="Y4592">
            <v>0</v>
          </cell>
          <cell r="Z4592">
            <v>0</v>
          </cell>
          <cell r="AA4592">
            <v>0</v>
          </cell>
          <cell r="AB4592">
            <v>4.8207100000000003E-2</v>
          </cell>
        </row>
        <row r="4593">
          <cell r="A4593">
            <v>72107228</v>
          </cell>
          <cell r="B4593" t="str">
            <v>Collards, cooked, from fresh, made with butter</v>
          </cell>
          <cell r="I4593">
            <v>85</v>
          </cell>
          <cell r="J4593">
            <v>41.953870000000002</v>
          </cell>
          <cell r="K4593">
            <v>0.49357494117647061</v>
          </cell>
          <cell r="L4593">
            <v>3.3004818</v>
          </cell>
          <cell r="M4593">
            <v>1.0937157</v>
          </cell>
          <cell r="N4593">
            <v>0</v>
          </cell>
          <cell r="O4593">
            <v>0.1169391</v>
          </cell>
          <cell r="P4593">
            <v>0</v>
          </cell>
          <cell r="Q4593">
            <v>0.20523939999999999</v>
          </cell>
          <cell r="R4593">
            <v>0</v>
          </cell>
          <cell r="S4593">
            <v>0</v>
          </cell>
          <cell r="T4593">
            <v>0</v>
          </cell>
          <cell r="U4593">
            <v>82.512045000000001</v>
          </cell>
          <cell r="V4593">
            <v>0</v>
          </cell>
          <cell r="W4593">
            <v>0</v>
          </cell>
          <cell r="X4593">
            <v>0.19389790000000001</v>
          </cell>
          <cell r="Y4593">
            <v>0</v>
          </cell>
          <cell r="Z4593">
            <v>0</v>
          </cell>
          <cell r="AA4593">
            <v>0</v>
          </cell>
          <cell r="AB4593">
            <v>6.7319699999999996E-2</v>
          </cell>
        </row>
        <row r="4594">
          <cell r="A4594">
            <v>72107231</v>
          </cell>
          <cell r="B4594" t="str">
            <v>Collards, cooked, from frozen, made with butter</v>
          </cell>
          <cell r="I4594">
            <v>85</v>
          </cell>
          <cell r="J4594">
            <v>46.003158999999997</v>
          </cell>
          <cell r="K4594">
            <v>0.54121363529411759</v>
          </cell>
          <cell r="L4594">
            <v>2.3024087999999998</v>
          </cell>
          <cell r="M4594">
            <v>1.2243362</v>
          </cell>
          <cell r="N4594">
            <v>0</v>
          </cell>
          <cell r="O4594">
            <v>0.17334569999999999</v>
          </cell>
          <cell r="P4594">
            <v>0</v>
          </cell>
          <cell r="Q4594">
            <v>0.24228669999999999</v>
          </cell>
          <cell r="R4594">
            <v>0</v>
          </cell>
          <cell r="S4594">
            <v>0</v>
          </cell>
          <cell r="T4594">
            <v>0</v>
          </cell>
          <cell r="U4594">
            <v>82.228887</v>
          </cell>
          <cell r="V4594">
            <v>0</v>
          </cell>
          <cell r="W4594">
            <v>0</v>
          </cell>
          <cell r="X4594">
            <v>0.2432947</v>
          </cell>
          <cell r="Y4594">
            <v>0</v>
          </cell>
          <cell r="Z4594">
            <v>0</v>
          </cell>
          <cell r="AA4594">
            <v>0</v>
          </cell>
          <cell r="AB4594">
            <v>7.4981400000000004E-2</v>
          </cell>
        </row>
        <row r="4595">
          <cell r="A4595">
            <v>72107233</v>
          </cell>
          <cell r="B4595" t="str">
            <v>Collards, cooked, from canned, made with oil</v>
          </cell>
          <cell r="I4595">
            <v>130</v>
          </cell>
          <cell r="J4595">
            <v>67.939362000000003</v>
          </cell>
          <cell r="K4595">
            <v>0.52261047692307694</v>
          </cell>
          <cell r="L4595">
            <v>5.0167054000000002</v>
          </cell>
          <cell r="M4595">
            <v>0.46898859999999998</v>
          </cell>
          <cell r="N4595">
            <v>0</v>
          </cell>
          <cell r="O4595">
            <v>0.17722660000000001</v>
          </cell>
          <cell r="P4595">
            <v>0</v>
          </cell>
          <cell r="Q4595">
            <v>1.4518994999999999</v>
          </cell>
          <cell r="R4595">
            <v>0</v>
          </cell>
          <cell r="S4595">
            <v>0</v>
          </cell>
          <cell r="T4595">
            <v>0</v>
          </cell>
          <cell r="U4595">
            <v>125.41764000000001</v>
          </cell>
          <cell r="V4595">
            <v>0</v>
          </cell>
          <cell r="W4595">
            <v>0</v>
          </cell>
          <cell r="X4595">
            <v>0.63284070000000003</v>
          </cell>
          <cell r="Y4595">
            <v>0</v>
          </cell>
          <cell r="Z4595">
            <v>0</v>
          </cell>
          <cell r="AA4595">
            <v>0</v>
          </cell>
          <cell r="AB4595">
            <v>7.3464000000000002E-2</v>
          </cell>
        </row>
        <row r="4596">
          <cell r="A4596">
            <v>72107234</v>
          </cell>
          <cell r="B4596" t="str">
            <v>Collards, cooked, from canned, made with butter</v>
          </cell>
          <cell r="I4596">
            <v>130</v>
          </cell>
          <cell r="J4596">
            <v>63.709048000000003</v>
          </cell>
          <cell r="K4596">
            <v>0.49006959999999999</v>
          </cell>
          <cell r="L4596">
            <v>5.0119464999999996</v>
          </cell>
          <cell r="M4596">
            <v>1.6608619</v>
          </cell>
          <cell r="N4596">
            <v>0</v>
          </cell>
          <cell r="O4596">
            <v>0.1777994</v>
          </cell>
          <cell r="P4596">
            <v>0</v>
          </cell>
          <cell r="Q4596">
            <v>0.3116662</v>
          </cell>
          <cell r="R4596">
            <v>0</v>
          </cell>
          <cell r="S4596">
            <v>0</v>
          </cell>
          <cell r="T4596">
            <v>0</v>
          </cell>
          <cell r="U4596">
            <v>125.29866</v>
          </cell>
          <cell r="V4596">
            <v>0</v>
          </cell>
          <cell r="W4596">
            <v>0</v>
          </cell>
          <cell r="X4596">
            <v>0.65227809999999997</v>
          </cell>
          <cell r="Y4596">
            <v>0</v>
          </cell>
          <cell r="Z4596">
            <v>0</v>
          </cell>
          <cell r="AA4596">
            <v>0</v>
          </cell>
          <cell r="AB4596">
            <v>0.10222829999999999</v>
          </cell>
        </row>
        <row r="4597">
          <cell r="A4597">
            <v>72113100</v>
          </cell>
          <cell r="B4597" t="str">
            <v>Dandelion greens, raw</v>
          </cell>
          <cell r="I4597">
            <v>85</v>
          </cell>
          <cell r="J4597">
            <v>38.25</v>
          </cell>
          <cell r="K4597">
            <v>0.45</v>
          </cell>
          <cell r="L4597">
            <v>2.9750000000000001</v>
          </cell>
          <cell r="M4597">
            <v>0.14449999999999999</v>
          </cell>
          <cell r="N4597">
            <v>0</v>
          </cell>
          <cell r="O4597">
            <v>0.15895000000000001</v>
          </cell>
          <cell r="P4597">
            <v>0</v>
          </cell>
          <cell r="Q4597">
            <v>0.2601</v>
          </cell>
          <cell r="R4597">
            <v>0</v>
          </cell>
          <cell r="S4597">
            <v>0</v>
          </cell>
          <cell r="T4597">
            <v>0</v>
          </cell>
          <cell r="U4597">
            <v>85</v>
          </cell>
          <cell r="V4597">
            <v>0</v>
          </cell>
          <cell r="W4597">
            <v>0</v>
          </cell>
          <cell r="X4597">
            <v>6.4600000000000005E-2</v>
          </cell>
          <cell r="Y4597">
            <v>0</v>
          </cell>
          <cell r="Z4597">
            <v>0</v>
          </cell>
          <cell r="AA4597">
            <v>0</v>
          </cell>
          <cell r="AB4597">
            <v>0</v>
          </cell>
        </row>
        <row r="4598">
          <cell r="A4598">
            <v>72116000</v>
          </cell>
          <cell r="B4598" t="str">
            <v>Romaine lettuce, raw</v>
          </cell>
          <cell r="I4598">
            <v>85</v>
          </cell>
          <cell r="J4598">
            <v>16.149999999999999</v>
          </cell>
          <cell r="K4598">
            <v>0.18999999999999997</v>
          </cell>
          <cell r="L4598">
            <v>2.6066666999999999</v>
          </cell>
          <cell r="M4598">
            <v>4.53333E-2</v>
          </cell>
          <cell r="N4598">
            <v>0</v>
          </cell>
          <cell r="O4598">
            <v>5.2416699999999997E-2</v>
          </cell>
          <cell r="P4598">
            <v>0</v>
          </cell>
          <cell r="Q4598">
            <v>0.1071</v>
          </cell>
          <cell r="R4598">
            <v>0</v>
          </cell>
          <cell r="S4598">
            <v>0</v>
          </cell>
          <cell r="T4598">
            <v>0</v>
          </cell>
          <cell r="U4598">
            <v>85</v>
          </cell>
          <cell r="V4598">
            <v>0</v>
          </cell>
          <cell r="W4598">
            <v>0</v>
          </cell>
          <cell r="X4598">
            <v>2.1250000000000002E-2</v>
          </cell>
          <cell r="Y4598">
            <v>0</v>
          </cell>
          <cell r="Z4598">
            <v>0</v>
          </cell>
          <cell r="AA4598">
            <v>0</v>
          </cell>
          <cell r="AB4598">
            <v>0</v>
          </cell>
        </row>
        <row r="4599">
          <cell r="A4599">
            <v>72116150</v>
          </cell>
          <cell r="B4599" t="str">
            <v>Caesar salad, with romaine, no dressing</v>
          </cell>
          <cell r="I4599">
            <v>85</v>
          </cell>
          <cell r="J4599">
            <v>60.319369000000002</v>
          </cell>
          <cell r="K4599">
            <v>0.70963963529411767</v>
          </cell>
          <cell r="L4599">
            <v>1.5437837999999999</v>
          </cell>
          <cell r="M4599">
            <v>1.4861905</v>
          </cell>
          <cell r="N4599">
            <v>0</v>
          </cell>
          <cell r="O4599">
            <v>0.11860179999999999</v>
          </cell>
          <cell r="P4599">
            <v>0.19144140000000001</v>
          </cell>
          <cell r="Q4599">
            <v>0.25186039999999998</v>
          </cell>
          <cell r="R4599">
            <v>0</v>
          </cell>
          <cell r="S4599">
            <v>0</v>
          </cell>
          <cell r="T4599">
            <v>0</v>
          </cell>
          <cell r="U4599">
            <v>73.513514000000001</v>
          </cell>
          <cell r="V4599">
            <v>0</v>
          </cell>
          <cell r="W4599">
            <v>0</v>
          </cell>
          <cell r="X4599">
            <v>0.15294640000000001</v>
          </cell>
          <cell r="Y4599">
            <v>0</v>
          </cell>
          <cell r="Z4599">
            <v>0</v>
          </cell>
          <cell r="AA4599">
            <v>0</v>
          </cell>
          <cell r="AB4599">
            <v>8.9580900000000005E-2</v>
          </cell>
        </row>
        <row r="4600">
          <cell r="A4600">
            <v>72116220</v>
          </cell>
          <cell r="B4600" t="str">
            <v>Escarole, cooked, fat added in cooking, NS as to type of fat</v>
          </cell>
          <cell r="I4600">
            <v>85</v>
          </cell>
          <cell r="J4600">
            <v>39.840659000000002</v>
          </cell>
          <cell r="K4600">
            <v>0.46871363529411769</v>
          </cell>
          <cell r="L4600">
            <v>2.2861492999999999</v>
          </cell>
          <cell r="M4600">
            <v>0.40998820000000002</v>
          </cell>
          <cell r="N4600">
            <v>0</v>
          </cell>
          <cell r="O4600">
            <v>3.7710199999999999E-2</v>
          </cell>
          <cell r="P4600">
            <v>0</v>
          </cell>
          <cell r="Q4600">
            <v>1.1976207999999999</v>
          </cell>
          <cell r="R4600">
            <v>0</v>
          </cell>
          <cell r="S4600">
            <v>0</v>
          </cell>
          <cell r="T4600">
            <v>0</v>
          </cell>
          <cell r="U4600">
            <v>81.648190999999997</v>
          </cell>
          <cell r="V4600">
            <v>0</v>
          </cell>
          <cell r="W4600">
            <v>0</v>
          </cell>
          <cell r="X4600">
            <v>0.24993580000000001</v>
          </cell>
          <cell r="Y4600">
            <v>0</v>
          </cell>
          <cell r="Z4600">
            <v>0</v>
          </cell>
          <cell r="AA4600">
            <v>0</v>
          </cell>
          <cell r="AB4600">
            <v>5.5386699999999997E-2</v>
          </cell>
        </row>
        <row r="4601">
          <cell r="A4601">
            <v>72116221</v>
          </cell>
          <cell r="B4601" t="str">
            <v>Escarole, cooked, made with oil</v>
          </cell>
          <cell r="I4601">
            <v>85</v>
          </cell>
          <cell r="J4601">
            <v>39.840659000000002</v>
          </cell>
          <cell r="K4601">
            <v>0.46871363529411769</v>
          </cell>
          <cell r="L4601">
            <v>2.2861492999999999</v>
          </cell>
          <cell r="M4601">
            <v>0.40998820000000002</v>
          </cell>
          <cell r="N4601">
            <v>0</v>
          </cell>
          <cell r="O4601">
            <v>3.7710199999999999E-2</v>
          </cell>
          <cell r="P4601">
            <v>0</v>
          </cell>
          <cell r="Q4601">
            <v>1.1976207999999999</v>
          </cell>
          <cell r="R4601">
            <v>0</v>
          </cell>
          <cell r="S4601">
            <v>0</v>
          </cell>
          <cell r="T4601">
            <v>0</v>
          </cell>
          <cell r="U4601">
            <v>81.648190999999997</v>
          </cell>
          <cell r="V4601">
            <v>0</v>
          </cell>
          <cell r="W4601">
            <v>0</v>
          </cell>
          <cell r="X4601">
            <v>0.24993580000000001</v>
          </cell>
          <cell r="Y4601">
            <v>0</v>
          </cell>
          <cell r="Z4601">
            <v>0</v>
          </cell>
          <cell r="AA4601">
            <v>0</v>
          </cell>
          <cell r="AB4601">
            <v>9.7339999999999996E-3</v>
          </cell>
        </row>
        <row r="4602">
          <cell r="A4602">
            <v>72118200</v>
          </cell>
          <cell r="B4602" t="str">
            <v>Greens, cooked, NS as to form, NS as to fat added in cooking</v>
          </cell>
          <cell r="I4602">
            <v>85</v>
          </cell>
          <cell r="J4602">
            <v>38.731986999999997</v>
          </cell>
          <cell r="K4602">
            <v>0.4556704352941176</v>
          </cell>
          <cell r="L4602">
            <v>2.6919963999999998</v>
          </cell>
          <cell r="M4602">
            <v>0.93560770000000004</v>
          </cell>
          <cell r="N4602">
            <v>0</v>
          </cell>
          <cell r="O4602">
            <v>9.9402199999999996E-2</v>
          </cell>
          <cell r="P4602">
            <v>0</v>
          </cell>
          <cell r="Q4602">
            <v>0.43699830000000001</v>
          </cell>
          <cell r="R4602">
            <v>0</v>
          </cell>
          <cell r="S4602">
            <v>0</v>
          </cell>
          <cell r="T4602">
            <v>0</v>
          </cell>
          <cell r="U4602">
            <v>81.961045999999996</v>
          </cell>
          <cell r="V4602">
            <v>0</v>
          </cell>
          <cell r="W4602">
            <v>0</v>
          </cell>
          <cell r="X4602">
            <v>0.23977290000000001</v>
          </cell>
          <cell r="Y4602">
            <v>0</v>
          </cell>
          <cell r="Z4602">
            <v>0</v>
          </cell>
          <cell r="AA4602">
            <v>0</v>
          </cell>
          <cell r="AB4602">
            <v>8.6101899999999995E-2</v>
          </cell>
        </row>
        <row r="4603">
          <cell r="A4603">
            <v>72118201</v>
          </cell>
          <cell r="B4603" t="str">
            <v>Greens, cooked, from fresh, NS as to fat added in cooking</v>
          </cell>
          <cell r="I4603">
            <v>85</v>
          </cell>
          <cell r="J4603">
            <v>38.731986999999997</v>
          </cell>
          <cell r="K4603">
            <v>0.4556704352941176</v>
          </cell>
          <cell r="L4603">
            <v>2.6919963999999998</v>
          </cell>
          <cell r="M4603">
            <v>0.93560770000000004</v>
          </cell>
          <cell r="N4603">
            <v>0</v>
          </cell>
          <cell r="O4603">
            <v>9.9402199999999996E-2</v>
          </cell>
          <cell r="P4603">
            <v>0</v>
          </cell>
          <cell r="Q4603">
            <v>0.43699830000000001</v>
          </cell>
          <cell r="R4603">
            <v>0</v>
          </cell>
          <cell r="S4603">
            <v>0</v>
          </cell>
          <cell r="T4603">
            <v>0</v>
          </cell>
          <cell r="U4603">
            <v>81.961045999999996</v>
          </cell>
          <cell r="V4603">
            <v>0</v>
          </cell>
          <cell r="W4603">
            <v>0</v>
          </cell>
          <cell r="X4603">
            <v>0.23977290000000001</v>
          </cell>
          <cell r="Y4603">
            <v>0</v>
          </cell>
          <cell r="Z4603">
            <v>0</v>
          </cell>
          <cell r="AA4603">
            <v>0</v>
          </cell>
          <cell r="AB4603">
            <v>8.6101899999999995E-2</v>
          </cell>
        </row>
        <row r="4604">
          <cell r="A4604">
            <v>72118210</v>
          </cell>
          <cell r="B4604" t="str">
            <v>Greens, cooked, NS as to form, fat not added in cooking</v>
          </cell>
          <cell r="I4604">
            <v>85</v>
          </cell>
          <cell r="J4604">
            <v>23.279294</v>
          </cell>
          <cell r="K4604">
            <v>0.27387404705882351</v>
          </cell>
          <cell r="L4604">
            <v>2.7738580000000002</v>
          </cell>
          <cell r="M4604">
            <v>4.2448800000000002E-2</v>
          </cell>
          <cell r="N4604">
            <v>0</v>
          </cell>
          <cell r="O4604">
            <v>0.1018357</v>
          </cell>
          <cell r="P4604">
            <v>0</v>
          </cell>
          <cell r="Q4604">
            <v>0.12934480000000001</v>
          </cell>
          <cell r="R4604">
            <v>0</v>
          </cell>
          <cell r="S4604">
            <v>0</v>
          </cell>
          <cell r="T4604">
            <v>0</v>
          </cell>
          <cell r="U4604">
            <v>84.453417999999999</v>
          </cell>
          <cell r="V4604">
            <v>0</v>
          </cell>
          <cell r="W4604">
            <v>0</v>
          </cell>
          <cell r="X4604">
            <v>0.23007440000000001</v>
          </cell>
          <cell r="Y4604">
            <v>0</v>
          </cell>
          <cell r="Z4604">
            <v>0</v>
          </cell>
          <cell r="AA4604">
            <v>0</v>
          </cell>
          <cell r="AB4604">
            <v>0</v>
          </cell>
        </row>
        <row r="4605">
          <cell r="A4605">
            <v>72118211</v>
          </cell>
          <cell r="B4605" t="str">
            <v>Greens, cooked, from fresh, fat not added in cooking</v>
          </cell>
          <cell r="I4605">
            <v>85</v>
          </cell>
          <cell r="J4605">
            <v>23.279294</v>
          </cell>
          <cell r="K4605">
            <v>0.27387404705882351</v>
          </cell>
          <cell r="L4605">
            <v>2.7738580000000002</v>
          </cell>
          <cell r="M4605">
            <v>4.2448800000000002E-2</v>
          </cell>
          <cell r="N4605">
            <v>0</v>
          </cell>
          <cell r="O4605">
            <v>0.1018357</v>
          </cell>
          <cell r="P4605">
            <v>0</v>
          </cell>
          <cell r="Q4605">
            <v>0.12934480000000001</v>
          </cell>
          <cell r="R4605">
            <v>0</v>
          </cell>
          <cell r="S4605">
            <v>0</v>
          </cell>
          <cell r="T4605">
            <v>0</v>
          </cell>
          <cell r="U4605">
            <v>84.453417999999999</v>
          </cell>
          <cell r="V4605">
            <v>0</v>
          </cell>
          <cell r="W4605">
            <v>0</v>
          </cell>
          <cell r="X4605">
            <v>0.23007440000000001</v>
          </cell>
          <cell r="Y4605">
            <v>0</v>
          </cell>
          <cell r="Z4605">
            <v>0</v>
          </cell>
          <cell r="AA4605">
            <v>0</v>
          </cell>
          <cell r="AB4605">
            <v>0</v>
          </cell>
        </row>
        <row r="4606">
          <cell r="A4606">
            <v>72118212</v>
          </cell>
          <cell r="B4606" t="str">
            <v>Greens, cooked, from frozen, fat not added in cooking</v>
          </cell>
          <cell r="I4606">
            <v>85</v>
          </cell>
          <cell r="J4606">
            <v>26.894044999999998</v>
          </cell>
          <cell r="K4606">
            <v>0.31640052941176466</v>
          </cell>
          <cell r="L4606">
            <v>2.3545031000000001</v>
          </cell>
          <cell r="M4606">
            <v>6.3023399999999993E-2</v>
          </cell>
          <cell r="N4606">
            <v>0</v>
          </cell>
          <cell r="O4606">
            <v>0.14313409999999999</v>
          </cell>
          <cell r="P4606">
            <v>0</v>
          </cell>
          <cell r="Q4606">
            <v>0.1713276</v>
          </cell>
          <cell r="R4606">
            <v>0</v>
          </cell>
          <cell r="S4606">
            <v>0</v>
          </cell>
          <cell r="T4606">
            <v>0</v>
          </cell>
          <cell r="U4606">
            <v>84.453417999999999</v>
          </cell>
          <cell r="V4606">
            <v>0</v>
          </cell>
          <cell r="W4606">
            <v>0</v>
          </cell>
          <cell r="X4606">
            <v>0.23534179999999999</v>
          </cell>
          <cell r="Y4606">
            <v>0</v>
          </cell>
          <cell r="Z4606">
            <v>0</v>
          </cell>
          <cell r="AA4606">
            <v>0</v>
          </cell>
          <cell r="AB4606">
            <v>0</v>
          </cell>
        </row>
        <row r="4607">
          <cell r="A4607">
            <v>72118221</v>
          </cell>
          <cell r="B4607" t="str">
            <v>Greens, cooked, from fresh, fat added in cooking</v>
          </cell>
          <cell r="I4607">
            <v>85</v>
          </cell>
          <cell r="J4607">
            <v>36.156343999999997</v>
          </cell>
          <cell r="K4607">
            <v>0.42536875294117643</v>
          </cell>
          <cell r="L4607">
            <v>2.6914756999999998</v>
          </cell>
          <cell r="M4607">
            <v>0.348858</v>
          </cell>
          <cell r="N4607">
            <v>0</v>
          </cell>
          <cell r="O4607">
            <v>9.9340700000000004E-2</v>
          </cell>
          <cell r="P4607">
            <v>0</v>
          </cell>
          <cell r="Q4607">
            <v>0.79952100000000004</v>
          </cell>
          <cell r="R4607">
            <v>0</v>
          </cell>
          <cell r="S4607">
            <v>0</v>
          </cell>
          <cell r="T4607">
            <v>0</v>
          </cell>
          <cell r="U4607">
            <v>81.945193000000003</v>
          </cell>
          <cell r="V4607">
            <v>0</v>
          </cell>
          <cell r="W4607">
            <v>0</v>
          </cell>
          <cell r="X4607">
            <v>0.23132420000000001</v>
          </cell>
          <cell r="Y4607">
            <v>0</v>
          </cell>
          <cell r="Z4607">
            <v>0</v>
          </cell>
          <cell r="AA4607">
            <v>0</v>
          </cell>
          <cell r="AB4607">
            <v>8.6101899999999995E-2</v>
          </cell>
        </row>
        <row r="4608">
          <cell r="A4608">
            <v>72118227</v>
          </cell>
          <cell r="B4608" t="str">
            <v>Greens, cooked, from fresh, made with oil</v>
          </cell>
          <cell r="I4608">
            <v>85</v>
          </cell>
          <cell r="J4608">
            <v>43.962617000000002</v>
          </cell>
          <cell r="K4608">
            <v>0.51720725882352947</v>
          </cell>
          <cell r="L4608">
            <v>2.6952253000000002</v>
          </cell>
          <cell r="M4608">
            <v>0.37085439999999997</v>
          </cell>
          <cell r="N4608">
            <v>0</v>
          </cell>
          <cell r="O4608">
            <v>9.8954799999999996E-2</v>
          </cell>
          <cell r="P4608">
            <v>0</v>
          </cell>
          <cell r="Q4608">
            <v>1.1183637</v>
          </cell>
          <cell r="R4608">
            <v>0</v>
          </cell>
          <cell r="S4608">
            <v>0</v>
          </cell>
          <cell r="T4608">
            <v>0</v>
          </cell>
          <cell r="U4608">
            <v>82.059359999999998</v>
          </cell>
          <cell r="V4608">
            <v>0</v>
          </cell>
          <cell r="W4608">
            <v>0</v>
          </cell>
          <cell r="X4608">
            <v>0.22337940000000001</v>
          </cell>
          <cell r="Y4608">
            <v>0</v>
          </cell>
          <cell r="Z4608">
            <v>0</v>
          </cell>
          <cell r="AA4608">
            <v>0</v>
          </cell>
          <cell r="AB4608">
            <v>1.7853399999999998E-2</v>
          </cell>
        </row>
        <row r="4609">
          <cell r="A4609">
            <v>72118230</v>
          </cell>
          <cell r="B4609" t="str">
            <v>Greens, cooked, from frozen, made with oil</v>
          </cell>
          <cell r="I4609">
            <v>85</v>
          </cell>
          <cell r="J4609">
            <v>47.474893999999999</v>
          </cell>
          <cell r="K4609">
            <v>0.55852816470588229</v>
          </cell>
          <cell r="L4609">
            <v>2.2877576999999998</v>
          </cell>
          <cell r="M4609">
            <v>0.39084580000000002</v>
          </cell>
          <cell r="N4609">
            <v>0</v>
          </cell>
          <cell r="O4609">
            <v>0.1390825</v>
          </cell>
          <cell r="P4609">
            <v>0</v>
          </cell>
          <cell r="Q4609">
            <v>1.1591564000000001</v>
          </cell>
          <cell r="R4609">
            <v>0</v>
          </cell>
          <cell r="S4609">
            <v>0</v>
          </cell>
          <cell r="T4609">
            <v>0</v>
          </cell>
          <cell r="U4609">
            <v>82.059359999999998</v>
          </cell>
          <cell r="V4609">
            <v>0</v>
          </cell>
          <cell r="W4609">
            <v>0</v>
          </cell>
          <cell r="X4609">
            <v>0.22849749999999999</v>
          </cell>
          <cell r="Y4609">
            <v>0</v>
          </cell>
          <cell r="Z4609">
            <v>0</v>
          </cell>
          <cell r="AA4609">
            <v>0</v>
          </cell>
          <cell r="AB4609">
            <v>8.5398999999999996E-3</v>
          </cell>
        </row>
        <row r="4610">
          <cell r="A4610">
            <v>72118233</v>
          </cell>
          <cell r="B4610" t="str">
            <v>Greens, cooked, from canned, made with oil</v>
          </cell>
          <cell r="I4610">
            <v>130</v>
          </cell>
          <cell r="J4610">
            <v>67.236942999999997</v>
          </cell>
          <cell r="K4610">
            <v>0.51720725384615385</v>
          </cell>
          <cell r="L4610">
            <v>4.1221093</v>
          </cell>
          <cell r="M4610">
            <v>0.56718919999999995</v>
          </cell>
          <cell r="N4610">
            <v>0</v>
          </cell>
          <cell r="O4610">
            <v>0.15134259999999999</v>
          </cell>
          <cell r="P4610">
            <v>0</v>
          </cell>
          <cell r="Q4610">
            <v>1.7104386</v>
          </cell>
          <cell r="R4610">
            <v>0</v>
          </cell>
          <cell r="S4610">
            <v>0</v>
          </cell>
          <cell r="T4610">
            <v>0</v>
          </cell>
          <cell r="U4610">
            <v>125.50255</v>
          </cell>
          <cell r="V4610">
            <v>0</v>
          </cell>
          <cell r="W4610">
            <v>0</v>
          </cell>
          <cell r="X4610">
            <v>0.34163900000000003</v>
          </cell>
          <cell r="Y4610">
            <v>0</v>
          </cell>
          <cell r="Z4610">
            <v>0</v>
          </cell>
          <cell r="AA4610">
            <v>0</v>
          </cell>
          <cell r="AB4610">
            <v>2.8330899999999999E-2</v>
          </cell>
        </row>
        <row r="4611">
          <cell r="A4611">
            <v>72118305</v>
          </cell>
          <cell r="B4611" t="str">
            <v>Chamnamul (Korean leaf vegetable), cooked, fat not added in cooking</v>
          </cell>
          <cell r="I4611">
            <v>85</v>
          </cell>
          <cell r="J4611">
            <v>37.311886000000001</v>
          </cell>
          <cell r="K4611">
            <v>0.43896336470588238</v>
          </cell>
          <cell r="L4611">
            <v>1.5777569</v>
          </cell>
          <cell r="M4611">
            <v>0.14939269999999999</v>
          </cell>
          <cell r="N4611">
            <v>0</v>
          </cell>
          <cell r="O4611">
            <v>8.7926599999999994E-2</v>
          </cell>
          <cell r="P4611">
            <v>0.23092480000000001</v>
          </cell>
          <cell r="Q4611">
            <v>0.4465498</v>
          </cell>
          <cell r="R4611">
            <v>0</v>
          </cell>
          <cell r="S4611">
            <v>0</v>
          </cell>
          <cell r="T4611">
            <v>0</v>
          </cell>
          <cell r="U4611">
            <v>71.737647999999993</v>
          </cell>
          <cell r="V4611">
            <v>0</v>
          </cell>
          <cell r="W4611">
            <v>0</v>
          </cell>
          <cell r="X4611">
            <v>0.46931240000000002</v>
          </cell>
          <cell r="Y4611">
            <v>1.4130773000000001</v>
          </cell>
          <cell r="Z4611">
            <v>0</v>
          </cell>
          <cell r="AA4611">
            <v>0</v>
          </cell>
          <cell r="AB4611">
            <v>0</v>
          </cell>
        </row>
        <row r="4612">
          <cell r="A4612">
            <v>72119190</v>
          </cell>
          <cell r="B4612" t="str">
            <v>Kale, raw</v>
          </cell>
          <cell r="I4612">
            <v>85</v>
          </cell>
          <cell r="J4612">
            <v>41.65</v>
          </cell>
          <cell r="K4612">
            <v>0.49</v>
          </cell>
          <cell r="L4612">
            <v>3.06</v>
          </cell>
          <cell r="M4612">
            <v>7.7350000000000002E-2</v>
          </cell>
          <cell r="N4612">
            <v>0</v>
          </cell>
          <cell r="O4612">
            <v>0.1275</v>
          </cell>
          <cell r="P4612">
            <v>0</v>
          </cell>
          <cell r="Q4612">
            <v>0.2873</v>
          </cell>
          <cell r="R4612">
            <v>0</v>
          </cell>
          <cell r="S4612">
            <v>0</v>
          </cell>
          <cell r="T4612">
            <v>0</v>
          </cell>
          <cell r="U4612">
            <v>85</v>
          </cell>
          <cell r="V4612">
            <v>0</v>
          </cell>
          <cell r="W4612">
            <v>0</v>
          </cell>
          <cell r="X4612">
            <v>3.2300000000000002E-2</v>
          </cell>
          <cell r="Y4612">
            <v>0</v>
          </cell>
          <cell r="Z4612">
            <v>0</v>
          </cell>
          <cell r="AA4612">
            <v>0</v>
          </cell>
          <cell r="AB4612">
            <v>0</v>
          </cell>
        </row>
        <row r="4613">
          <cell r="A4613">
            <v>72119200</v>
          </cell>
          <cell r="B4613" t="str">
            <v>Kale, cooked, NS as to form, NS as to fat added in cooking</v>
          </cell>
          <cell r="I4613">
            <v>85</v>
          </cell>
          <cell r="J4613">
            <v>41.849882999999998</v>
          </cell>
          <cell r="K4613">
            <v>0.49235156470588232</v>
          </cell>
          <cell r="L4613">
            <v>1.6282445000000001</v>
          </cell>
          <cell r="M4613">
            <v>1.0982725</v>
          </cell>
          <cell r="N4613">
            <v>0</v>
          </cell>
          <cell r="O4613">
            <v>5.9442300000000003E-2</v>
          </cell>
          <cell r="P4613">
            <v>0</v>
          </cell>
          <cell r="Q4613">
            <v>0.52484649999999999</v>
          </cell>
          <cell r="R4613">
            <v>0</v>
          </cell>
          <cell r="S4613">
            <v>0</v>
          </cell>
          <cell r="T4613">
            <v>0</v>
          </cell>
          <cell r="U4613">
            <v>81.412226000000004</v>
          </cell>
          <cell r="V4613">
            <v>0</v>
          </cell>
          <cell r="W4613">
            <v>0</v>
          </cell>
          <cell r="X4613">
            <v>0.2809121</v>
          </cell>
          <cell r="Y4613">
            <v>0</v>
          </cell>
          <cell r="Z4613">
            <v>0</v>
          </cell>
          <cell r="AA4613">
            <v>0</v>
          </cell>
          <cell r="AB4613">
            <v>0.1016514</v>
          </cell>
        </row>
        <row r="4614">
          <cell r="A4614">
            <v>72119201</v>
          </cell>
          <cell r="B4614" t="str">
            <v>Kale, cooked, from fresh, NS as to fat added in cooking</v>
          </cell>
          <cell r="I4614">
            <v>85</v>
          </cell>
          <cell r="J4614">
            <v>41.849882999999998</v>
          </cell>
          <cell r="K4614">
            <v>0.49235156470588232</v>
          </cell>
          <cell r="L4614">
            <v>1.6282445000000001</v>
          </cell>
          <cell r="M4614">
            <v>1.0982725</v>
          </cell>
          <cell r="N4614">
            <v>0</v>
          </cell>
          <cell r="O4614">
            <v>5.9442300000000003E-2</v>
          </cell>
          <cell r="P4614">
            <v>0</v>
          </cell>
          <cell r="Q4614">
            <v>0.52484649999999999</v>
          </cell>
          <cell r="R4614">
            <v>0</v>
          </cell>
          <cell r="S4614">
            <v>0</v>
          </cell>
          <cell r="T4614">
            <v>0</v>
          </cell>
          <cell r="U4614">
            <v>81.412226000000004</v>
          </cell>
          <cell r="V4614">
            <v>0</v>
          </cell>
          <cell r="W4614">
            <v>0</v>
          </cell>
          <cell r="X4614">
            <v>0.2809121</v>
          </cell>
          <cell r="Y4614">
            <v>0</v>
          </cell>
          <cell r="Z4614">
            <v>0</v>
          </cell>
          <cell r="AA4614">
            <v>0</v>
          </cell>
          <cell r="AB4614">
            <v>0.1016514</v>
          </cell>
        </row>
        <row r="4615">
          <cell r="A4615">
            <v>72119210</v>
          </cell>
          <cell r="B4615" t="str">
            <v>Kale, cooked, NS as to form, fat not added in cooking</v>
          </cell>
          <cell r="I4615">
            <v>85</v>
          </cell>
          <cell r="J4615">
            <v>23.618321000000002</v>
          </cell>
          <cell r="K4615">
            <v>0.27786260000000002</v>
          </cell>
          <cell r="L4615">
            <v>1.6870229000000001</v>
          </cell>
          <cell r="M4615">
            <v>4.3862600000000002E-2</v>
          </cell>
          <cell r="N4615">
            <v>0</v>
          </cell>
          <cell r="O4615">
            <v>6.0888499999999998E-2</v>
          </cell>
          <cell r="P4615">
            <v>0</v>
          </cell>
          <cell r="Q4615">
            <v>0.16279769999999999</v>
          </cell>
          <cell r="R4615">
            <v>0</v>
          </cell>
          <cell r="S4615">
            <v>0</v>
          </cell>
          <cell r="T4615">
            <v>0</v>
          </cell>
          <cell r="U4615">
            <v>84.351145000000002</v>
          </cell>
          <cell r="V4615">
            <v>0</v>
          </cell>
          <cell r="W4615">
            <v>0</v>
          </cell>
          <cell r="X4615">
            <v>0.27088400000000001</v>
          </cell>
          <cell r="Y4615">
            <v>0</v>
          </cell>
          <cell r="Z4615">
            <v>0</v>
          </cell>
          <cell r="AA4615">
            <v>0</v>
          </cell>
          <cell r="AB4615">
            <v>0</v>
          </cell>
        </row>
        <row r="4616">
          <cell r="A4616">
            <v>72119211</v>
          </cell>
          <cell r="B4616" t="str">
            <v>Kale, cooked, from fresh, fat not added in cooking</v>
          </cell>
          <cell r="I4616">
            <v>85</v>
          </cell>
          <cell r="J4616">
            <v>23.618321000000002</v>
          </cell>
          <cell r="K4616">
            <v>0.27786260000000002</v>
          </cell>
          <cell r="L4616">
            <v>1.6870229000000001</v>
          </cell>
          <cell r="M4616">
            <v>4.3862600000000002E-2</v>
          </cell>
          <cell r="N4616">
            <v>0</v>
          </cell>
          <cell r="O4616">
            <v>6.0888499999999998E-2</v>
          </cell>
          <cell r="P4616">
            <v>0</v>
          </cell>
          <cell r="Q4616">
            <v>0.16279769999999999</v>
          </cell>
          <cell r="R4616">
            <v>0</v>
          </cell>
          <cell r="S4616">
            <v>0</v>
          </cell>
          <cell r="T4616">
            <v>0</v>
          </cell>
          <cell r="U4616">
            <v>84.351145000000002</v>
          </cell>
          <cell r="V4616">
            <v>0</v>
          </cell>
          <cell r="W4616">
            <v>0</v>
          </cell>
          <cell r="X4616">
            <v>0.27088400000000001</v>
          </cell>
          <cell r="Y4616">
            <v>0</v>
          </cell>
          <cell r="Z4616">
            <v>0</v>
          </cell>
          <cell r="AA4616">
            <v>0</v>
          </cell>
          <cell r="AB4616">
            <v>0</v>
          </cell>
        </row>
        <row r="4617">
          <cell r="A4617">
            <v>72119212</v>
          </cell>
          <cell r="B4617" t="str">
            <v>Kale, cooked, from frozen, fat not added in cooking</v>
          </cell>
          <cell r="I4617">
            <v>85</v>
          </cell>
          <cell r="J4617">
            <v>25.305344000000002</v>
          </cell>
          <cell r="K4617">
            <v>0.29770992941176472</v>
          </cell>
          <cell r="L4617">
            <v>1.6870229000000001</v>
          </cell>
          <cell r="M4617">
            <v>5.31412E-2</v>
          </cell>
          <cell r="N4617">
            <v>0</v>
          </cell>
          <cell r="O4617">
            <v>0.11656030000000001</v>
          </cell>
          <cell r="P4617">
            <v>0</v>
          </cell>
          <cell r="Q4617">
            <v>0.19822519999999999</v>
          </cell>
          <cell r="R4617">
            <v>0</v>
          </cell>
          <cell r="S4617">
            <v>0</v>
          </cell>
          <cell r="T4617">
            <v>0</v>
          </cell>
          <cell r="U4617">
            <v>84.351145000000002</v>
          </cell>
          <cell r="V4617">
            <v>0</v>
          </cell>
          <cell r="W4617">
            <v>0</v>
          </cell>
          <cell r="X4617">
            <v>0.26413589999999998</v>
          </cell>
          <cell r="Y4617">
            <v>0</v>
          </cell>
          <cell r="Z4617">
            <v>0</v>
          </cell>
          <cell r="AA4617">
            <v>0</v>
          </cell>
          <cell r="AB4617">
            <v>0</v>
          </cell>
        </row>
        <row r="4618">
          <cell r="A4618">
            <v>72119213</v>
          </cell>
          <cell r="B4618" t="str">
            <v>Kale, cooked, from canned, fat not added in cooking</v>
          </cell>
          <cell r="I4618">
            <v>130</v>
          </cell>
          <cell r="J4618">
            <v>36.122137000000002</v>
          </cell>
          <cell r="K4618">
            <v>0.27786259230769234</v>
          </cell>
          <cell r="L4618">
            <v>2.5801527000000002</v>
          </cell>
          <cell r="M4618">
            <v>6.7084000000000005E-2</v>
          </cell>
          <cell r="N4618">
            <v>0</v>
          </cell>
          <cell r="O4618">
            <v>9.3123700000000004E-2</v>
          </cell>
          <cell r="P4618">
            <v>0</v>
          </cell>
          <cell r="Q4618">
            <v>0.2489847</v>
          </cell>
          <cell r="R4618">
            <v>0</v>
          </cell>
          <cell r="S4618">
            <v>0</v>
          </cell>
          <cell r="T4618">
            <v>0</v>
          </cell>
          <cell r="U4618">
            <v>129.00763000000001</v>
          </cell>
          <cell r="V4618">
            <v>0</v>
          </cell>
          <cell r="W4618">
            <v>0</v>
          </cell>
          <cell r="X4618">
            <v>0.41429310000000003</v>
          </cell>
          <cell r="Y4618">
            <v>0</v>
          </cell>
          <cell r="Z4618">
            <v>0</v>
          </cell>
          <cell r="AA4618">
            <v>0</v>
          </cell>
          <cell r="AB4618">
            <v>0</v>
          </cell>
        </row>
        <row r="4619">
          <cell r="A4619">
            <v>72119221</v>
          </cell>
          <cell r="B4619" t="str">
            <v>Kale, cooked, from fresh, fat added in cooking</v>
          </cell>
          <cell r="I4619">
            <v>85</v>
          </cell>
          <cell r="J4619">
            <v>38.877214000000002</v>
          </cell>
          <cell r="K4619">
            <v>0.45737898823529416</v>
          </cell>
          <cell r="L4619">
            <v>1.6307556000000001</v>
          </cell>
          <cell r="M4619">
            <v>0.40626390000000001</v>
          </cell>
          <cell r="N4619">
            <v>0</v>
          </cell>
          <cell r="O4619">
            <v>5.9447800000000002E-2</v>
          </cell>
          <cell r="P4619">
            <v>0</v>
          </cell>
          <cell r="Q4619">
            <v>0.95449130000000004</v>
          </cell>
          <cell r="R4619">
            <v>0</v>
          </cell>
          <cell r="S4619">
            <v>0</v>
          </cell>
          <cell r="T4619">
            <v>0</v>
          </cell>
          <cell r="U4619">
            <v>81.537779999999998</v>
          </cell>
          <cell r="V4619">
            <v>0</v>
          </cell>
          <cell r="W4619">
            <v>0</v>
          </cell>
          <cell r="X4619">
            <v>0.21306549999999999</v>
          </cell>
          <cell r="Y4619">
            <v>0</v>
          </cell>
          <cell r="Z4619">
            <v>0</v>
          </cell>
          <cell r="AA4619">
            <v>0</v>
          </cell>
          <cell r="AB4619">
            <v>0.1016514</v>
          </cell>
        </row>
        <row r="4620">
          <cell r="A4620">
            <v>72119222</v>
          </cell>
          <cell r="B4620" t="str">
            <v>Kale, cooked, from frozen, fat added in cooking</v>
          </cell>
          <cell r="I4620">
            <v>85</v>
          </cell>
          <cell r="J4620">
            <v>40.436357999999998</v>
          </cell>
          <cell r="K4620">
            <v>0.47572185882352941</v>
          </cell>
          <cell r="L4620">
            <v>1.6278727</v>
          </cell>
          <cell r="M4620">
            <v>0.41449900000000001</v>
          </cell>
          <cell r="N4620">
            <v>0</v>
          </cell>
          <cell r="O4620">
            <v>0.11309859999999999</v>
          </cell>
          <cell r="P4620">
            <v>0</v>
          </cell>
          <cell r="Q4620">
            <v>0.98698920000000001</v>
          </cell>
          <cell r="R4620">
            <v>0</v>
          </cell>
          <cell r="S4620">
            <v>0</v>
          </cell>
          <cell r="T4620">
            <v>0</v>
          </cell>
          <cell r="U4620">
            <v>81.393636000000001</v>
          </cell>
          <cell r="V4620">
            <v>0</v>
          </cell>
          <cell r="W4620">
            <v>0</v>
          </cell>
          <cell r="X4620">
            <v>0.26441710000000002</v>
          </cell>
          <cell r="Y4620">
            <v>0</v>
          </cell>
          <cell r="Z4620">
            <v>0</v>
          </cell>
          <cell r="AA4620">
            <v>0</v>
          </cell>
          <cell r="AB4620">
            <v>0.1016514</v>
          </cell>
        </row>
        <row r="4621">
          <cell r="A4621">
            <v>72119224</v>
          </cell>
          <cell r="B4621" t="str">
            <v>Kale, cooked, NS as to form, made with oil</v>
          </cell>
          <cell r="I4621">
            <v>85</v>
          </cell>
          <cell r="J4621">
            <v>49.682282000000001</v>
          </cell>
          <cell r="K4621">
            <v>0.58449743529411768</v>
          </cell>
          <cell r="L4621">
            <v>1.6304909000000001</v>
          </cell>
          <cell r="M4621">
            <v>0.44091540000000001</v>
          </cell>
          <cell r="N4621">
            <v>0</v>
          </cell>
          <cell r="O4621">
            <v>0.1126615</v>
          </cell>
          <cell r="P4621">
            <v>0</v>
          </cell>
          <cell r="Q4621">
            <v>1.3648077000000001</v>
          </cell>
          <cell r="R4621">
            <v>0</v>
          </cell>
          <cell r="S4621">
            <v>0</v>
          </cell>
          <cell r="T4621">
            <v>0</v>
          </cell>
          <cell r="U4621">
            <v>81.524546000000001</v>
          </cell>
          <cell r="V4621">
            <v>0</v>
          </cell>
          <cell r="W4621">
            <v>0</v>
          </cell>
          <cell r="X4621">
            <v>0.255299</v>
          </cell>
          <cell r="Y4621">
            <v>0</v>
          </cell>
          <cell r="Z4621">
            <v>0</v>
          </cell>
          <cell r="AA4621">
            <v>0</v>
          </cell>
          <cell r="AB4621">
            <v>1.0093100000000001E-2</v>
          </cell>
        </row>
        <row r="4622">
          <cell r="A4622">
            <v>72119227</v>
          </cell>
          <cell r="B4622" t="str">
            <v>Kale, cooked, from fresh, made with oil</v>
          </cell>
          <cell r="I4622">
            <v>85</v>
          </cell>
          <cell r="J4622">
            <v>48.051791000000001</v>
          </cell>
          <cell r="K4622">
            <v>0.56531518823529414</v>
          </cell>
          <cell r="L4622">
            <v>1.6304909000000001</v>
          </cell>
          <cell r="M4622">
            <v>0.43194769999999999</v>
          </cell>
          <cell r="N4622">
            <v>0</v>
          </cell>
          <cell r="O4622">
            <v>5.8855299999999999E-2</v>
          </cell>
          <cell r="P4622">
            <v>0</v>
          </cell>
          <cell r="Q4622">
            <v>1.3305674000000001</v>
          </cell>
          <cell r="R4622">
            <v>0</v>
          </cell>
          <cell r="S4622">
            <v>0</v>
          </cell>
          <cell r="T4622">
            <v>0</v>
          </cell>
          <cell r="U4622">
            <v>81.524546000000001</v>
          </cell>
          <cell r="V4622">
            <v>0</v>
          </cell>
          <cell r="W4622">
            <v>0</v>
          </cell>
          <cell r="X4622">
            <v>0.26182090000000002</v>
          </cell>
          <cell r="Y4622">
            <v>0</v>
          </cell>
          <cell r="Z4622">
            <v>0</v>
          </cell>
          <cell r="AA4622">
            <v>0</v>
          </cell>
          <cell r="AB4622">
            <v>1.0093100000000001E-2</v>
          </cell>
        </row>
        <row r="4623">
          <cell r="A4623">
            <v>72119228</v>
          </cell>
          <cell r="B4623" t="str">
            <v>Kale, cooked, from fresh, made with butter</v>
          </cell>
          <cell r="I4623">
            <v>85</v>
          </cell>
          <cell r="J4623">
            <v>44.029567</v>
          </cell>
          <cell r="K4623">
            <v>0.51799490588235297</v>
          </cell>
          <cell r="L4623">
            <v>1.6282445000000001</v>
          </cell>
          <cell r="M4623">
            <v>1.5636112</v>
          </cell>
          <cell r="N4623">
            <v>0</v>
          </cell>
          <cell r="O4623">
            <v>5.94779E-2</v>
          </cell>
          <cell r="P4623">
            <v>0</v>
          </cell>
          <cell r="Q4623">
            <v>0.24724479999999999</v>
          </cell>
          <cell r="R4623">
            <v>0</v>
          </cell>
          <cell r="S4623">
            <v>0</v>
          </cell>
          <cell r="T4623">
            <v>0</v>
          </cell>
          <cell r="U4623">
            <v>81.412226000000004</v>
          </cell>
          <cell r="V4623">
            <v>0</v>
          </cell>
          <cell r="W4623">
            <v>0</v>
          </cell>
          <cell r="X4623">
            <v>0.28048859999999998</v>
          </cell>
          <cell r="Y4623">
            <v>0</v>
          </cell>
          <cell r="Z4623">
            <v>0</v>
          </cell>
          <cell r="AA4623">
            <v>0</v>
          </cell>
          <cell r="AB4623">
            <v>9.7078800000000007E-2</v>
          </cell>
        </row>
        <row r="4624">
          <cell r="A4624">
            <v>72119230</v>
          </cell>
          <cell r="B4624" t="str">
            <v>Kale, cooked, from frozen, made with oil</v>
          </cell>
          <cell r="I4624">
            <v>85</v>
          </cell>
          <cell r="J4624">
            <v>49.682282000000001</v>
          </cell>
          <cell r="K4624">
            <v>0.58449743529411768</v>
          </cell>
          <cell r="L4624">
            <v>1.6304909000000001</v>
          </cell>
          <cell r="M4624">
            <v>0.44091540000000001</v>
          </cell>
          <cell r="N4624">
            <v>0</v>
          </cell>
          <cell r="O4624">
            <v>0.1126615</v>
          </cell>
          <cell r="P4624">
            <v>0</v>
          </cell>
          <cell r="Q4624">
            <v>1.3648077000000001</v>
          </cell>
          <cell r="R4624">
            <v>0</v>
          </cell>
          <cell r="S4624">
            <v>0</v>
          </cell>
          <cell r="T4624">
            <v>0</v>
          </cell>
          <cell r="U4624">
            <v>81.524546000000001</v>
          </cell>
          <cell r="V4624">
            <v>0</v>
          </cell>
          <cell r="W4624">
            <v>0</v>
          </cell>
          <cell r="X4624">
            <v>0.255299</v>
          </cell>
          <cell r="Y4624">
            <v>0</v>
          </cell>
          <cell r="Z4624">
            <v>0</v>
          </cell>
          <cell r="AA4624">
            <v>0</v>
          </cell>
          <cell r="AB4624">
            <v>1.1287800000000001E-2</v>
          </cell>
        </row>
        <row r="4625">
          <cell r="A4625">
            <v>72119231</v>
          </cell>
          <cell r="B4625" t="str">
            <v>Kale, cooked, from frozen, made with butter</v>
          </cell>
          <cell r="I4625">
            <v>85</v>
          </cell>
          <cell r="J4625">
            <v>45.657811000000002</v>
          </cell>
          <cell r="K4625">
            <v>0.53715071764705891</v>
          </cell>
          <cell r="L4625">
            <v>1.6282445000000001</v>
          </cell>
          <cell r="M4625">
            <v>1.5725665</v>
          </cell>
          <cell r="N4625">
            <v>0</v>
          </cell>
          <cell r="O4625">
            <v>0.1132099</v>
          </cell>
          <cell r="P4625">
            <v>0</v>
          </cell>
          <cell r="Q4625">
            <v>0.28143800000000002</v>
          </cell>
          <cell r="R4625">
            <v>0</v>
          </cell>
          <cell r="S4625">
            <v>0</v>
          </cell>
          <cell r="T4625">
            <v>0</v>
          </cell>
          <cell r="U4625">
            <v>81.412226000000004</v>
          </cell>
          <cell r="V4625">
            <v>0</v>
          </cell>
          <cell r="W4625">
            <v>0</v>
          </cell>
          <cell r="X4625">
            <v>0.27397559999999999</v>
          </cell>
          <cell r="Y4625">
            <v>0</v>
          </cell>
          <cell r="Z4625">
            <v>0</v>
          </cell>
          <cell r="AA4625">
            <v>0</v>
          </cell>
          <cell r="AB4625">
            <v>9.7078800000000007E-2</v>
          </cell>
        </row>
        <row r="4626">
          <cell r="A4626">
            <v>72121210</v>
          </cell>
          <cell r="B4626" t="str">
            <v>Mustard cabbage, cooked, fat not added in cooking</v>
          </cell>
          <cell r="I4626">
            <v>85</v>
          </cell>
          <cell r="J4626">
            <v>10.142723</v>
          </cell>
          <cell r="K4626">
            <v>0.11932615294117647</v>
          </cell>
          <cell r="L4626">
            <v>0.84522699999999995</v>
          </cell>
          <cell r="M4626">
            <v>1.77498E-2</v>
          </cell>
          <cell r="N4626">
            <v>0</v>
          </cell>
          <cell r="O4626">
            <v>7.8720700000000005E-2</v>
          </cell>
          <cell r="P4626">
            <v>0</v>
          </cell>
          <cell r="Q4626">
            <v>6.5082500000000001E-2</v>
          </cell>
          <cell r="R4626">
            <v>0</v>
          </cell>
          <cell r="S4626">
            <v>0</v>
          </cell>
          <cell r="T4626">
            <v>0</v>
          </cell>
          <cell r="U4626">
            <v>84.522694999999999</v>
          </cell>
          <cell r="V4626">
            <v>0</v>
          </cell>
          <cell r="W4626">
            <v>0</v>
          </cell>
          <cell r="X4626">
            <v>0.21373139999999999</v>
          </cell>
          <cell r="Y4626">
            <v>0</v>
          </cell>
          <cell r="Z4626">
            <v>0</v>
          </cell>
          <cell r="AA4626">
            <v>0</v>
          </cell>
          <cell r="AB4626">
            <v>0</v>
          </cell>
        </row>
        <row r="4627">
          <cell r="A4627">
            <v>72122100</v>
          </cell>
          <cell r="B4627" t="str">
            <v>Mustard greens, raw</v>
          </cell>
          <cell r="I4627">
            <v>85</v>
          </cell>
          <cell r="J4627">
            <v>22.95</v>
          </cell>
          <cell r="K4627">
            <v>0.27</v>
          </cell>
          <cell r="L4627">
            <v>2.72</v>
          </cell>
          <cell r="M4627">
            <v>8.5000000000000006E-3</v>
          </cell>
          <cell r="N4627">
            <v>0</v>
          </cell>
          <cell r="O4627">
            <v>9.7750000000000004E-2</v>
          </cell>
          <cell r="P4627">
            <v>0</v>
          </cell>
          <cell r="Q4627">
            <v>3.2300000000000002E-2</v>
          </cell>
          <cell r="R4627">
            <v>0</v>
          </cell>
          <cell r="S4627">
            <v>0</v>
          </cell>
          <cell r="T4627">
            <v>0</v>
          </cell>
          <cell r="U4627">
            <v>85</v>
          </cell>
          <cell r="V4627">
            <v>0</v>
          </cell>
          <cell r="W4627">
            <v>0</v>
          </cell>
          <cell r="X4627">
            <v>1.7000000000000001E-2</v>
          </cell>
          <cell r="Y4627">
            <v>0</v>
          </cell>
          <cell r="Z4627">
            <v>0</v>
          </cell>
          <cell r="AA4627">
            <v>0</v>
          </cell>
          <cell r="AB4627">
            <v>0</v>
          </cell>
        </row>
        <row r="4628">
          <cell r="A4628">
            <v>72122200</v>
          </cell>
          <cell r="B4628" t="str">
            <v>Mustard greens, cooked, NS as to form, NS as to fat added in cooking</v>
          </cell>
          <cell r="I4628">
            <v>85</v>
          </cell>
          <cell r="J4628">
            <v>38.978121999999999</v>
          </cell>
          <cell r="K4628">
            <v>0.4585661411764706</v>
          </cell>
          <cell r="L4628">
            <v>1.6331684</v>
          </cell>
          <cell r="M4628">
            <v>0.99327810000000005</v>
          </cell>
          <cell r="N4628">
            <v>0</v>
          </cell>
          <cell r="O4628">
            <v>9.7125799999999998E-2</v>
          </cell>
          <cell r="P4628">
            <v>0</v>
          </cell>
          <cell r="Q4628">
            <v>0.38005050000000001</v>
          </cell>
          <cell r="R4628">
            <v>0</v>
          </cell>
          <cell r="S4628">
            <v>0</v>
          </cell>
          <cell r="T4628">
            <v>0</v>
          </cell>
          <cell r="U4628">
            <v>81.658421000000004</v>
          </cell>
          <cell r="V4628">
            <v>0</v>
          </cell>
          <cell r="W4628">
            <v>0</v>
          </cell>
          <cell r="X4628">
            <v>0.25154510000000002</v>
          </cell>
          <cell r="Y4628">
            <v>0</v>
          </cell>
          <cell r="Z4628">
            <v>0</v>
          </cell>
          <cell r="AA4628">
            <v>0</v>
          </cell>
          <cell r="AB4628">
            <v>9.4676099999999999E-2</v>
          </cell>
        </row>
        <row r="4629">
          <cell r="A4629">
            <v>72122201</v>
          </cell>
          <cell r="B4629" t="str">
            <v>Mustard greens, cooked, from fresh, NS as to fat added in cooking</v>
          </cell>
          <cell r="I4629">
            <v>85</v>
          </cell>
          <cell r="J4629">
            <v>38.978121999999999</v>
          </cell>
          <cell r="K4629">
            <v>0.4585661411764706</v>
          </cell>
          <cell r="L4629">
            <v>1.6331684</v>
          </cell>
          <cell r="M4629">
            <v>0.99327810000000005</v>
          </cell>
          <cell r="N4629">
            <v>0</v>
          </cell>
          <cell r="O4629">
            <v>9.7125799999999998E-2</v>
          </cell>
          <cell r="P4629">
            <v>0</v>
          </cell>
          <cell r="Q4629">
            <v>0.38005050000000001</v>
          </cell>
          <cell r="R4629">
            <v>0</v>
          </cell>
          <cell r="S4629">
            <v>0</v>
          </cell>
          <cell r="T4629">
            <v>0</v>
          </cell>
          <cell r="U4629">
            <v>81.658421000000004</v>
          </cell>
          <cell r="V4629">
            <v>0</v>
          </cell>
          <cell r="W4629">
            <v>0</v>
          </cell>
          <cell r="X4629">
            <v>0.25154510000000002</v>
          </cell>
          <cell r="Y4629">
            <v>0</v>
          </cell>
          <cell r="Z4629">
            <v>0</v>
          </cell>
          <cell r="AA4629">
            <v>0</v>
          </cell>
          <cell r="AB4629">
            <v>9.4676099999999999E-2</v>
          </cell>
        </row>
        <row r="4630">
          <cell r="A4630">
            <v>72122211</v>
          </cell>
          <cell r="B4630" t="str">
            <v>Mustard greens, cooked, from fresh, fat not added in cooking</v>
          </cell>
          <cell r="I4630">
            <v>85</v>
          </cell>
          <cell r="J4630">
            <v>21.943262000000001</v>
          </cell>
          <cell r="K4630">
            <v>0.25815602352941175</v>
          </cell>
          <cell r="L4630">
            <v>1.6879432999999999</v>
          </cell>
          <cell r="M4630">
            <v>1.01277E-2</v>
          </cell>
          <cell r="N4630">
            <v>0</v>
          </cell>
          <cell r="O4630">
            <v>9.9733299999999997E-2</v>
          </cell>
          <cell r="P4630">
            <v>0</v>
          </cell>
          <cell r="Q4630">
            <v>3.8822700000000002E-2</v>
          </cell>
          <cell r="R4630">
            <v>0</v>
          </cell>
          <cell r="S4630">
            <v>0</v>
          </cell>
          <cell r="T4630">
            <v>0</v>
          </cell>
          <cell r="U4630">
            <v>84.397163000000006</v>
          </cell>
          <cell r="V4630">
            <v>0</v>
          </cell>
          <cell r="W4630">
            <v>0</v>
          </cell>
          <cell r="X4630">
            <v>0.24124329999999999</v>
          </cell>
          <cell r="Y4630">
            <v>0</v>
          </cell>
          <cell r="Z4630">
            <v>0</v>
          </cell>
          <cell r="AA4630">
            <v>0</v>
          </cell>
          <cell r="AB4630">
            <v>0</v>
          </cell>
        </row>
        <row r="4631">
          <cell r="A4631">
            <v>72122213</v>
          </cell>
          <cell r="B4631" t="str">
            <v>Mustard greens, cooked, from canned, fat not added in cooking</v>
          </cell>
          <cell r="I4631">
            <v>130</v>
          </cell>
          <cell r="J4631">
            <v>33.560284000000003</v>
          </cell>
          <cell r="K4631">
            <v>0.25815603076923077</v>
          </cell>
          <cell r="L4631">
            <v>2.5815603</v>
          </cell>
          <cell r="M4631">
            <v>1.54894E-2</v>
          </cell>
          <cell r="N4631">
            <v>0</v>
          </cell>
          <cell r="O4631">
            <v>0.15253330000000001</v>
          </cell>
          <cell r="P4631">
            <v>0</v>
          </cell>
          <cell r="Q4631">
            <v>5.9375900000000002E-2</v>
          </cell>
          <cell r="R4631">
            <v>0</v>
          </cell>
          <cell r="S4631">
            <v>0</v>
          </cell>
          <cell r="T4631">
            <v>0</v>
          </cell>
          <cell r="U4631">
            <v>129.07801000000001</v>
          </cell>
          <cell r="V4631">
            <v>0</v>
          </cell>
          <cell r="W4631">
            <v>0</v>
          </cell>
          <cell r="X4631">
            <v>0.36896030000000002</v>
          </cell>
          <cell r="Y4631">
            <v>0</v>
          </cell>
          <cell r="Z4631">
            <v>0</v>
          </cell>
          <cell r="AA4631">
            <v>0</v>
          </cell>
          <cell r="AB4631">
            <v>0</v>
          </cell>
        </row>
        <row r="4632">
          <cell r="A4632">
            <v>72122221</v>
          </cell>
          <cell r="B4632" t="str">
            <v>Mustard greens, cooked, from fresh, fat added in cooking</v>
          </cell>
          <cell r="I4632">
            <v>85</v>
          </cell>
          <cell r="J4632">
            <v>36.145992999999997</v>
          </cell>
          <cell r="K4632">
            <v>0.42524697647058818</v>
          </cell>
          <cell r="L4632">
            <v>1.6328210999999999</v>
          </cell>
          <cell r="M4632">
            <v>0.34809879999999999</v>
          </cell>
          <cell r="N4632">
            <v>0</v>
          </cell>
          <cell r="O4632">
            <v>9.7058599999999995E-2</v>
          </cell>
          <cell r="P4632">
            <v>0</v>
          </cell>
          <cell r="Q4632">
            <v>0.77867839999999999</v>
          </cell>
          <cell r="R4632">
            <v>0</v>
          </cell>
          <cell r="S4632">
            <v>0</v>
          </cell>
          <cell r="T4632">
            <v>0</v>
          </cell>
          <cell r="U4632">
            <v>81.641053999999997</v>
          </cell>
          <cell r="V4632">
            <v>0</v>
          </cell>
          <cell r="W4632">
            <v>0</v>
          </cell>
          <cell r="X4632">
            <v>0.24225279999999999</v>
          </cell>
          <cell r="Y4632">
            <v>0</v>
          </cell>
          <cell r="Z4632">
            <v>0</v>
          </cell>
          <cell r="AA4632">
            <v>0</v>
          </cell>
          <cell r="AB4632">
            <v>9.4676099999999999E-2</v>
          </cell>
        </row>
        <row r="4633">
          <cell r="A4633">
            <v>72122222</v>
          </cell>
          <cell r="B4633" t="str">
            <v>Mustard greens, cooked, from frozen, fat added in cooking</v>
          </cell>
          <cell r="I4633">
            <v>85</v>
          </cell>
          <cell r="J4633">
            <v>29.514253</v>
          </cell>
          <cell r="K4633">
            <v>0.34722650588235293</v>
          </cell>
          <cell r="L4633">
            <v>2.2919877</v>
          </cell>
          <cell r="M4633">
            <v>0.32722380000000001</v>
          </cell>
          <cell r="N4633">
            <v>0</v>
          </cell>
          <cell r="O4633">
            <v>8.3351099999999997E-2</v>
          </cell>
          <cell r="P4633">
            <v>0</v>
          </cell>
          <cell r="Q4633">
            <v>0.73201499999999997</v>
          </cell>
          <cell r="R4633">
            <v>0</v>
          </cell>
          <cell r="S4633">
            <v>0</v>
          </cell>
          <cell r="T4633">
            <v>0</v>
          </cell>
          <cell r="U4633">
            <v>81.856702999999996</v>
          </cell>
          <cell r="V4633">
            <v>0</v>
          </cell>
          <cell r="W4633">
            <v>0</v>
          </cell>
          <cell r="X4633">
            <v>0.2402881</v>
          </cell>
          <cell r="Y4633">
            <v>0</v>
          </cell>
          <cell r="Z4633">
            <v>0</v>
          </cell>
          <cell r="AA4633">
            <v>0</v>
          </cell>
          <cell r="AB4633">
            <v>8.8596499999999995E-2</v>
          </cell>
        </row>
        <row r="4634">
          <cell r="A4634">
            <v>72122225</v>
          </cell>
          <cell r="B4634" t="str">
            <v>Mustard greens, cooked, NS as to form, made with butter</v>
          </cell>
          <cell r="I4634">
            <v>85</v>
          </cell>
          <cell r="J4634">
            <v>41.008234999999999</v>
          </cell>
          <cell r="K4634">
            <v>0.48244982352941174</v>
          </cell>
          <cell r="L4634">
            <v>1.6331684</v>
          </cell>
          <cell r="M4634">
            <v>1.426685</v>
          </cell>
          <cell r="N4634">
            <v>0</v>
          </cell>
          <cell r="O4634">
            <v>9.7158900000000006E-2</v>
          </cell>
          <cell r="P4634">
            <v>0</v>
          </cell>
          <cell r="Q4634">
            <v>0.1214981</v>
          </cell>
          <cell r="R4634">
            <v>0</v>
          </cell>
          <cell r="S4634">
            <v>0</v>
          </cell>
          <cell r="T4634">
            <v>0</v>
          </cell>
          <cell r="U4634">
            <v>81.658421000000004</v>
          </cell>
          <cell r="V4634">
            <v>0</v>
          </cell>
          <cell r="W4634">
            <v>0</v>
          </cell>
          <cell r="X4634">
            <v>0.2511507</v>
          </cell>
          <cell r="Y4634">
            <v>0</v>
          </cell>
          <cell r="Z4634">
            <v>0</v>
          </cell>
          <cell r="AA4634">
            <v>0</v>
          </cell>
          <cell r="AB4634">
            <v>9.0417200000000003E-2</v>
          </cell>
        </row>
        <row r="4635">
          <cell r="A4635">
            <v>72122227</v>
          </cell>
          <cell r="B4635" t="str">
            <v>Mustard greens, cooked, from fresh, made with oil</v>
          </cell>
          <cell r="I4635">
            <v>85</v>
          </cell>
          <cell r="J4635">
            <v>44.750216000000002</v>
          </cell>
          <cell r="K4635">
            <v>0.52647312941176472</v>
          </cell>
          <cell r="L4635">
            <v>1.6352667999999999</v>
          </cell>
          <cell r="M4635">
            <v>0.37260070000000001</v>
          </cell>
          <cell r="N4635">
            <v>0</v>
          </cell>
          <cell r="O4635">
            <v>9.6627500000000005E-2</v>
          </cell>
          <cell r="P4635">
            <v>0</v>
          </cell>
          <cell r="Q4635">
            <v>1.1302254</v>
          </cell>
          <cell r="R4635">
            <v>0</v>
          </cell>
          <cell r="S4635">
            <v>0</v>
          </cell>
          <cell r="T4635">
            <v>0</v>
          </cell>
          <cell r="U4635">
            <v>81.763339999999999</v>
          </cell>
          <cell r="V4635">
            <v>0</v>
          </cell>
          <cell r="W4635">
            <v>0</v>
          </cell>
          <cell r="X4635">
            <v>0.23372789999999999</v>
          </cell>
          <cell r="Y4635">
            <v>0</v>
          </cell>
          <cell r="Z4635">
            <v>0</v>
          </cell>
          <cell r="AA4635">
            <v>0</v>
          </cell>
          <cell r="AB4635">
            <v>1.5267899999999999E-2</v>
          </cell>
        </row>
        <row r="4636">
          <cell r="A4636">
            <v>72122228</v>
          </cell>
          <cell r="B4636" t="str">
            <v>Mustard greens, cooked, from fresh, made with butter</v>
          </cell>
          <cell r="I4636">
            <v>85</v>
          </cell>
          <cell r="J4636">
            <v>41.008234999999999</v>
          </cell>
          <cell r="K4636">
            <v>0.48244982352941174</v>
          </cell>
          <cell r="L4636">
            <v>1.6331684</v>
          </cell>
          <cell r="M4636">
            <v>1.426685</v>
          </cell>
          <cell r="N4636">
            <v>0</v>
          </cell>
          <cell r="O4636">
            <v>9.7158900000000006E-2</v>
          </cell>
          <cell r="P4636">
            <v>0</v>
          </cell>
          <cell r="Q4636">
            <v>0.1214981</v>
          </cell>
          <cell r="R4636">
            <v>0</v>
          </cell>
          <cell r="S4636">
            <v>0</v>
          </cell>
          <cell r="T4636">
            <v>0</v>
          </cell>
          <cell r="U4636">
            <v>81.658421000000004</v>
          </cell>
          <cell r="V4636">
            <v>0</v>
          </cell>
          <cell r="W4636">
            <v>0</v>
          </cell>
          <cell r="X4636">
            <v>0.2511507</v>
          </cell>
          <cell r="Y4636">
            <v>0</v>
          </cell>
          <cell r="Z4636">
            <v>0</v>
          </cell>
          <cell r="AA4636">
            <v>0</v>
          </cell>
          <cell r="AB4636">
            <v>9.0417200000000003E-2</v>
          </cell>
        </row>
        <row r="4637">
          <cell r="A4637">
            <v>72122229</v>
          </cell>
          <cell r="B4637" t="str">
            <v>Mustard greens, cooked, from fresh, made with margarine</v>
          </cell>
          <cell r="I4637">
            <v>85</v>
          </cell>
          <cell r="J4637">
            <v>36.053134999999997</v>
          </cell>
          <cell r="K4637">
            <v>0.42415452941176468</v>
          </cell>
          <cell r="L4637">
            <v>1.6326978999999999</v>
          </cell>
          <cell r="M4637">
            <v>0.34602880000000003</v>
          </cell>
          <cell r="N4637">
            <v>0</v>
          </cell>
          <cell r="O4637">
            <v>9.7053299999999995E-2</v>
          </cell>
          <cell r="P4637">
            <v>0</v>
          </cell>
          <cell r="Q4637">
            <v>0.77414229999999995</v>
          </cell>
          <cell r="R4637">
            <v>0</v>
          </cell>
          <cell r="S4637">
            <v>0</v>
          </cell>
          <cell r="T4637">
            <v>0</v>
          </cell>
          <cell r="U4637">
            <v>81.634893000000005</v>
          </cell>
          <cell r="V4637">
            <v>0</v>
          </cell>
          <cell r="W4637">
            <v>0</v>
          </cell>
          <cell r="X4637">
            <v>0.25211210000000001</v>
          </cell>
          <cell r="Y4637">
            <v>0</v>
          </cell>
          <cell r="Z4637">
            <v>0</v>
          </cell>
          <cell r="AA4637">
            <v>0</v>
          </cell>
          <cell r="AB4637">
            <v>0.1019325</v>
          </cell>
        </row>
        <row r="4638">
          <cell r="A4638">
            <v>72124100</v>
          </cell>
          <cell r="B4638" t="str">
            <v>Radicchio, raw</v>
          </cell>
          <cell r="I4638">
            <v>85</v>
          </cell>
          <cell r="J4638">
            <v>19.55</v>
          </cell>
          <cell r="K4638">
            <v>0.23</v>
          </cell>
          <cell r="L4638">
            <v>0.76500000000000001</v>
          </cell>
          <cell r="M4638">
            <v>5.0999999999999997E-2</v>
          </cell>
          <cell r="N4638">
            <v>0</v>
          </cell>
          <cell r="O4638">
            <v>1.6150000000000001E-2</v>
          </cell>
          <cell r="P4638">
            <v>0</v>
          </cell>
          <cell r="Q4638">
            <v>9.35E-2</v>
          </cell>
          <cell r="R4638">
            <v>0</v>
          </cell>
          <cell r="S4638">
            <v>0</v>
          </cell>
          <cell r="T4638">
            <v>0</v>
          </cell>
          <cell r="U4638">
            <v>85</v>
          </cell>
          <cell r="V4638">
            <v>0</v>
          </cell>
          <cell r="W4638">
            <v>0</v>
          </cell>
          <cell r="X4638">
            <v>1.8700000000000001E-2</v>
          </cell>
          <cell r="Y4638">
            <v>0</v>
          </cell>
          <cell r="Z4638">
            <v>0</v>
          </cell>
          <cell r="AA4638">
            <v>0</v>
          </cell>
          <cell r="AB4638">
            <v>0</v>
          </cell>
        </row>
        <row r="4639">
          <cell r="A4639">
            <v>72125100</v>
          </cell>
          <cell r="B4639" t="str">
            <v>Spinach, raw</v>
          </cell>
          <cell r="I4639">
            <v>85</v>
          </cell>
          <cell r="J4639">
            <v>19.55</v>
          </cell>
          <cell r="K4639">
            <v>0.23</v>
          </cell>
          <cell r="L4639">
            <v>1.87</v>
          </cell>
          <cell r="M4639">
            <v>5.355E-2</v>
          </cell>
          <cell r="N4639">
            <v>0</v>
          </cell>
          <cell r="O4639">
            <v>8.4150000000000003E-2</v>
          </cell>
          <cell r="P4639">
            <v>0</v>
          </cell>
          <cell r="Q4639">
            <v>0.14025000000000001</v>
          </cell>
          <cell r="R4639">
            <v>0</v>
          </cell>
          <cell r="S4639">
            <v>0</v>
          </cell>
          <cell r="T4639">
            <v>0</v>
          </cell>
          <cell r="U4639">
            <v>85</v>
          </cell>
          <cell r="V4639">
            <v>0</v>
          </cell>
          <cell r="W4639">
            <v>0</v>
          </cell>
          <cell r="X4639">
            <v>6.7150000000000001E-2</v>
          </cell>
          <cell r="Y4639">
            <v>0</v>
          </cell>
          <cell r="Z4639">
            <v>0</v>
          </cell>
          <cell r="AA4639">
            <v>0</v>
          </cell>
          <cell r="AB4639">
            <v>0</v>
          </cell>
        </row>
        <row r="4640">
          <cell r="A4640">
            <v>72125200</v>
          </cell>
          <cell r="B4640" t="str">
            <v>Spinach, cooked, NS as to form, NS as to fat added in cooking</v>
          </cell>
          <cell r="I4640">
            <v>85</v>
          </cell>
          <cell r="J4640">
            <v>41.267480999999997</v>
          </cell>
          <cell r="K4640">
            <v>0.48549977647058817</v>
          </cell>
          <cell r="L4640">
            <v>3.0529457</v>
          </cell>
          <cell r="M4640">
            <v>0.86178809999999995</v>
          </cell>
          <cell r="N4640">
            <v>0</v>
          </cell>
          <cell r="O4640">
            <v>0.12681590000000001</v>
          </cell>
          <cell r="P4640">
            <v>0</v>
          </cell>
          <cell r="Q4640">
            <v>0.56111710000000004</v>
          </cell>
          <cell r="R4640">
            <v>0</v>
          </cell>
          <cell r="S4640">
            <v>0</v>
          </cell>
          <cell r="T4640">
            <v>0</v>
          </cell>
          <cell r="U4640">
            <v>82.512045000000001</v>
          </cell>
          <cell r="V4640">
            <v>0</v>
          </cell>
          <cell r="W4640">
            <v>0</v>
          </cell>
          <cell r="X4640">
            <v>0.26185140000000001</v>
          </cell>
          <cell r="Y4640">
            <v>0</v>
          </cell>
          <cell r="Z4640">
            <v>0</v>
          </cell>
          <cell r="AA4640">
            <v>0</v>
          </cell>
          <cell r="AB4640">
            <v>7.04906E-2</v>
          </cell>
        </row>
        <row r="4641">
          <cell r="A4641">
            <v>72125201</v>
          </cell>
          <cell r="B4641" t="str">
            <v>Spinach, cooked, from fresh, NS as to fat added in cooking</v>
          </cell>
          <cell r="I4641">
            <v>85</v>
          </cell>
          <cell r="J4641">
            <v>32.871780000000001</v>
          </cell>
          <cell r="K4641">
            <v>0.38672682352941179</v>
          </cell>
          <cell r="L4641">
            <v>1.9770741000000001</v>
          </cell>
          <cell r="M4641">
            <v>0.80709220000000004</v>
          </cell>
          <cell r="N4641">
            <v>0</v>
          </cell>
          <cell r="O4641">
            <v>0.1126375</v>
          </cell>
          <cell r="P4641">
            <v>0</v>
          </cell>
          <cell r="Q4641">
            <v>0.35851909999999998</v>
          </cell>
          <cell r="R4641">
            <v>0</v>
          </cell>
          <cell r="S4641">
            <v>0</v>
          </cell>
          <cell r="T4641">
            <v>0</v>
          </cell>
          <cell r="U4641">
            <v>82.378089000000003</v>
          </cell>
          <cell r="V4641">
            <v>0</v>
          </cell>
          <cell r="W4641">
            <v>0</v>
          </cell>
          <cell r="X4641">
            <v>0.24926860000000001</v>
          </cell>
          <cell r="Y4641">
            <v>0</v>
          </cell>
          <cell r="Z4641">
            <v>0</v>
          </cell>
          <cell r="AA4641">
            <v>0</v>
          </cell>
          <cell r="AB4641">
            <v>7.4285900000000002E-2</v>
          </cell>
        </row>
        <row r="4642">
          <cell r="A4642">
            <v>72125210</v>
          </cell>
          <cell r="B4642" t="str">
            <v>Spinach, cooked, NS as to form, fat not added in cooking</v>
          </cell>
          <cell r="I4642">
            <v>85</v>
          </cell>
          <cell r="J4642">
            <v>28.748691000000001</v>
          </cell>
          <cell r="K4642">
            <v>0.33821989411764708</v>
          </cell>
          <cell r="L4642">
            <v>3.1285340000000001</v>
          </cell>
          <cell r="M4642">
            <v>0.13275129999999999</v>
          </cell>
          <cell r="N4642">
            <v>0</v>
          </cell>
          <cell r="O4642">
            <v>0.1294759</v>
          </cell>
          <cell r="P4642">
            <v>0</v>
          </cell>
          <cell r="Q4642">
            <v>0.31369900000000001</v>
          </cell>
          <cell r="R4642">
            <v>0</v>
          </cell>
          <cell r="S4642">
            <v>0</v>
          </cell>
          <cell r="T4642">
            <v>0</v>
          </cell>
          <cell r="U4642">
            <v>84.554974000000001</v>
          </cell>
          <cell r="V4642">
            <v>0</v>
          </cell>
          <cell r="W4642">
            <v>0</v>
          </cell>
          <cell r="X4642">
            <v>0.25450159999999999</v>
          </cell>
          <cell r="Y4642">
            <v>0</v>
          </cell>
          <cell r="Z4642">
            <v>0</v>
          </cell>
          <cell r="AA4642">
            <v>0</v>
          </cell>
          <cell r="AB4642">
            <v>0</v>
          </cell>
        </row>
        <row r="4643">
          <cell r="A4643">
            <v>72125211</v>
          </cell>
          <cell r="B4643" t="str">
            <v>Spinach, cooked, from fresh, fat not added in cooking</v>
          </cell>
          <cell r="I4643">
            <v>85</v>
          </cell>
          <cell r="J4643">
            <v>19.441989</v>
          </cell>
          <cell r="K4643">
            <v>0.22872928235294118</v>
          </cell>
          <cell r="L4643">
            <v>2.0287293000000002</v>
          </cell>
          <cell r="M4643">
            <v>3.6348100000000001E-2</v>
          </cell>
          <cell r="N4643">
            <v>0</v>
          </cell>
          <cell r="O4643">
            <v>0.115074</v>
          </cell>
          <cell r="P4643">
            <v>0</v>
          </cell>
          <cell r="Q4643">
            <v>9.2138100000000001E-2</v>
          </cell>
          <cell r="R4643">
            <v>0</v>
          </cell>
          <cell r="S4643">
            <v>0</v>
          </cell>
          <cell r="T4643">
            <v>0</v>
          </cell>
          <cell r="U4643">
            <v>84.530387000000005</v>
          </cell>
          <cell r="V4643">
            <v>0</v>
          </cell>
          <cell r="W4643">
            <v>0</v>
          </cell>
          <cell r="X4643">
            <v>0.24118400000000001</v>
          </cell>
          <cell r="Y4643">
            <v>0</v>
          </cell>
          <cell r="Z4643">
            <v>0</v>
          </cell>
          <cell r="AA4643">
            <v>0</v>
          </cell>
          <cell r="AB4643">
            <v>0</v>
          </cell>
        </row>
        <row r="4644">
          <cell r="A4644">
            <v>72125212</v>
          </cell>
          <cell r="B4644" t="str">
            <v>Spinach, cooked, from frozen, fat not added in cooking</v>
          </cell>
          <cell r="I4644">
            <v>85</v>
          </cell>
          <cell r="J4644">
            <v>28.748691000000001</v>
          </cell>
          <cell r="K4644">
            <v>0.33821989411764708</v>
          </cell>
          <cell r="L4644">
            <v>3.1285340000000001</v>
          </cell>
          <cell r="M4644">
            <v>0.13275129999999999</v>
          </cell>
          <cell r="N4644">
            <v>0</v>
          </cell>
          <cell r="O4644">
            <v>0.1294759</v>
          </cell>
          <cell r="P4644">
            <v>0</v>
          </cell>
          <cell r="Q4644">
            <v>0.31369900000000001</v>
          </cell>
          <cell r="R4644">
            <v>0</v>
          </cell>
          <cell r="S4644">
            <v>0</v>
          </cell>
          <cell r="T4644">
            <v>0</v>
          </cell>
          <cell r="U4644">
            <v>84.554974000000001</v>
          </cell>
          <cell r="V4644">
            <v>0</v>
          </cell>
          <cell r="W4644">
            <v>0</v>
          </cell>
          <cell r="X4644">
            <v>0.25450159999999999</v>
          </cell>
          <cell r="Y4644">
            <v>0</v>
          </cell>
          <cell r="Z4644">
            <v>0</v>
          </cell>
          <cell r="AA4644">
            <v>0</v>
          </cell>
          <cell r="AB4644">
            <v>0</v>
          </cell>
        </row>
        <row r="4645">
          <cell r="A4645">
            <v>72125213</v>
          </cell>
          <cell r="B4645" t="str">
            <v>Spinach, cooked, from canned, fat not added in cooking</v>
          </cell>
          <cell r="I4645">
            <v>130</v>
          </cell>
          <cell r="J4645">
            <v>29.844215999999999</v>
          </cell>
          <cell r="K4645">
            <v>0.22957089230769231</v>
          </cell>
          <cell r="L4645">
            <v>3.1141790999999999</v>
          </cell>
          <cell r="M4645">
            <v>0.1051035</v>
          </cell>
          <cell r="N4645">
            <v>0</v>
          </cell>
          <cell r="O4645">
            <v>0.1648502</v>
          </cell>
          <cell r="P4645">
            <v>0</v>
          </cell>
          <cell r="Q4645">
            <v>0.27378819999999998</v>
          </cell>
          <cell r="R4645">
            <v>0</v>
          </cell>
          <cell r="S4645">
            <v>0</v>
          </cell>
          <cell r="T4645">
            <v>0</v>
          </cell>
          <cell r="U4645">
            <v>129.75746000000001</v>
          </cell>
          <cell r="V4645">
            <v>0</v>
          </cell>
          <cell r="W4645">
            <v>0</v>
          </cell>
          <cell r="X4645">
            <v>0.51182159999999999</v>
          </cell>
          <cell r="Y4645">
            <v>0</v>
          </cell>
          <cell r="Z4645">
            <v>0</v>
          </cell>
          <cell r="AA4645">
            <v>0</v>
          </cell>
          <cell r="AB4645">
            <v>0</v>
          </cell>
        </row>
        <row r="4646">
          <cell r="A4646">
            <v>72125214</v>
          </cell>
          <cell r="B4646" t="str">
            <v>Spinach, cooked, NS as to form, made with oil</v>
          </cell>
          <cell r="I4646">
            <v>85</v>
          </cell>
          <cell r="J4646">
            <v>41.267480999999997</v>
          </cell>
          <cell r="K4646">
            <v>0.48549977647058817</v>
          </cell>
          <cell r="L4646">
            <v>3.0529457</v>
          </cell>
          <cell r="M4646">
            <v>0.86178809999999995</v>
          </cell>
          <cell r="N4646">
            <v>0</v>
          </cell>
          <cell r="O4646">
            <v>0.12681590000000001</v>
          </cell>
          <cell r="P4646">
            <v>0</v>
          </cell>
          <cell r="Q4646">
            <v>0.56111710000000004</v>
          </cell>
          <cell r="R4646">
            <v>0</v>
          </cell>
          <cell r="S4646">
            <v>0</v>
          </cell>
          <cell r="T4646">
            <v>0</v>
          </cell>
          <cell r="U4646">
            <v>82.512045000000001</v>
          </cell>
          <cell r="V4646">
            <v>0</v>
          </cell>
          <cell r="W4646">
            <v>0</v>
          </cell>
          <cell r="X4646">
            <v>0.26185140000000001</v>
          </cell>
          <cell r="Y4646">
            <v>0</v>
          </cell>
          <cell r="Z4646">
            <v>0</v>
          </cell>
          <cell r="AA4646">
            <v>0</v>
          </cell>
          <cell r="AB4646">
            <v>7.04906E-2</v>
          </cell>
        </row>
        <row r="4647">
          <cell r="A4647">
            <v>72125217</v>
          </cell>
          <cell r="B4647" t="str">
            <v>Spinach, cooked, from fresh, made with oil</v>
          </cell>
          <cell r="I4647">
            <v>85</v>
          </cell>
          <cell r="J4647">
            <v>37.393343999999999</v>
          </cell>
          <cell r="K4647">
            <v>0.43992169411764703</v>
          </cell>
          <cell r="L4647">
            <v>1.9790667</v>
          </cell>
          <cell r="M4647">
            <v>0.32003569999999998</v>
          </cell>
          <cell r="N4647">
            <v>0</v>
          </cell>
          <cell r="O4647">
            <v>0.1122623</v>
          </cell>
          <cell r="P4647">
            <v>0</v>
          </cell>
          <cell r="Q4647">
            <v>0.94694610000000001</v>
          </cell>
          <cell r="R4647">
            <v>0</v>
          </cell>
          <cell r="S4647">
            <v>0</v>
          </cell>
          <cell r="T4647">
            <v>0</v>
          </cell>
          <cell r="U4647">
            <v>82.461113999999995</v>
          </cell>
          <cell r="V4647">
            <v>0</v>
          </cell>
          <cell r="W4647">
            <v>0</v>
          </cell>
          <cell r="X4647">
            <v>0.23529030000000001</v>
          </cell>
          <cell r="Y4647">
            <v>0</v>
          </cell>
          <cell r="Z4647">
            <v>0</v>
          </cell>
          <cell r="AA4647">
            <v>0</v>
          </cell>
          <cell r="AB4647">
            <v>7.3731999999999999E-3</v>
          </cell>
        </row>
        <row r="4648">
          <cell r="A4648">
            <v>72125218</v>
          </cell>
          <cell r="B4648" t="str">
            <v>Spinach, cooked, from fresh, made with butter</v>
          </cell>
          <cell r="I4648">
            <v>85</v>
          </cell>
          <cell r="J4648">
            <v>34.464672</v>
          </cell>
          <cell r="K4648">
            <v>0.4054667294117647</v>
          </cell>
          <cell r="L4648">
            <v>1.9770741000000001</v>
          </cell>
          <cell r="M4648">
            <v>1.1471572999999999</v>
          </cell>
          <cell r="N4648">
            <v>0</v>
          </cell>
          <cell r="O4648">
            <v>0.1126635</v>
          </cell>
          <cell r="P4648">
            <v>0</v>
          </cell>
          <cell r="Q4648">
            <v>0.15565039999999999</v>
          </cell>
          <cell r="R4648">
            <v>0</v>
          </cell>
          <cell r="S4648">
            <v>0</v>
          </cell>
          <cell r="T4648">
            <v>0</v>
          </cell>
          <cell r="U4648">
            <v>82.378089000000003</v>
          </cell>
          <cell r="V4648">
            <v>0</v>
          </cell>
          <cell r="W4648">
            <v>0</v>
          </cell>
          <cell r="X4648">
            <v>0.24895919999999999</v>
          </cell>
          <cell r="Y4648">
            <v>0</v>
          </cell>
          <cell r="Z4648">
            <v>0</v>
          </cell>
          <cell r="AA4648">
            <v>0</v>
          </cell>
          <cell r="AB4648">
            <v>7.0944300000000002E-2</v>
          </cell>
        </row>
        <row r="4649">
          <cell r="A4649">
            <v>72125220</v>
          </cell>
          <cell r="B4649" t="str">
            <v>Spinach, cooked, NS as to form, fat added in cooking, NS as to type of fat</v>
          </cell>
          <cell r="I4649">
            <v>85</v>
          </cell>
          <cell r="J4649">
            <v>41.267480999999997</v>
          </cell>
          <cell r="K4649">
            <v>0.48549977647058817</v>
          </cell>
          <cell r="L4649">
            <v>3.0529457</v>
          </cell>
          <cell r="M4649">
            <v>0.86178809999999995</v>
          </cell>
          <cell r="N4649">
            <v>0</v>
          </cell>
          <cell r="O4649">
            <v>0.12681590000000001</v>
          </cell>
          <cell r="P4649">
            <v>0</v>
          </cell>
          <cell r="Q4649">
            <v>0.56111710000000004</v>
          </cell>
          <cell r="R4649">
            <v>0</v>
          </cell>
          <cell r="S4649">
            <v>0</v>
          </cell>
          <cell r="T4649">
            <v>0</v>
          </cell>
          <cell r="U4649">
            <v>82.512045000000001</v>
          </cell>
          <cell r="V4649">
            <v>0</v>
          </cell>
          <cell r="W4649">
            <v>0</v>
          </cell>
          <cell r="X4649">
            <v>0.26185140000000001</v>
          </cell>
          <cell r="Y4649">
            <v>0</v>
          </cell>
          <cell r="Z4649">
            <v>0</v>
          </cell>
          <cell r="AA4649">
            <v>0</v>
          </cell>
          <cell r="AB4649">
            <v>7.04906E-2</v>
          </cell>
        </row>
        <row r="4650">
          <cell r="A4650">
            <v>72125221</v>
          </cell>
          <cell r="B4650" t="str">
            <v>Spinach, cooked, from fresh, fat added in cooking</v>
          </cell>
          <cell r="I4650">
            <v>85</v>
          </cell>
          <cell r="J4650">
            <v>30.650517000000001</v>
          </cell>
          <cell r="K4650">
            <v>0.36059431764705885</v>
          </cell>
          <cell r="L4650">
            <v>1.9767442</v>
          </cell>
          <cell r="M4650">
            <v>0.30087140000000001</v>
          </cell>
          <cell r="N4650">
            <v>0</v>
          </cell>
          <cell r="O4650">
            <v>0.11258219999999999</v>
          </cell>
          <cell r="P4650">
            <v>0</v>
          </cell>
          <cell r="Q4650">
            <v>0.6713133</v>
          </cell>
          <cell r="R4650">
            <v>0</v>
          </cell>
          <cell r="S4650">
            <v>0</v>
          </cell>
          <cell r="T4650">
            <v>0</v>
          </cell>
          <cell r="U4650">
            <v>82.364340999999996</v>
          </cell>
          <cell r="V4650">
            <v>0</v>
          </cell>
          <cell r="W4650">
            <v>0</v>
          </cell>
          <cell r="X4650">
            <v>0.24197759999999999</v>
          </cell>
          <cell r="Y4650">
            <v>0</v>
          </cell>
          <cell r="Z4650">
            <v>0</v>
          </cell>
          <cell r="AA4650">
            <v>0</v>
          </cell>
          <cell r="AB4650">
            <v>7.4285900000000002E-2</v>
          </cell>
        </row>
        <row r="4651">
          <cell r="A4651">
            <v>72125222</v>
          </cell>
          <cell r="B4651" t="str">
            <v>Spinach, cooked, from frozen, fat added in cooking</v>
          </cell>
          <cell r="I4651">
            <v>85</v>
          </cell>
          <cell r="J4651">
            <v>39.158357000000002</v>
          </cell>
          <cell r="K4651">
            <v>0.4606865529411765</v>
          </cell>
          <cell r="L4651">
            <v>3.0524621999999999</v>
          </cell>
          <cell r="M4651">
            <v>0.38141799999999998</v>
          </cell>
          <cell r="N4651">
            <v>0</v>
          </cell>
          <cell r="O4651">
            <v>0.12676119999999999</v>
          </cell>
          <cell r="P4651">
            <v>0</v>
          </cell>
          <cell r="Q4651">
            <v>0.85790080000000002</v>
          </cell>
          <cell r="R4651">
            <v>0</v>
          </cell>
          <cell r="S4651">
            <v>0</v>
          </cell>
          <cell r="T4651">
            <v>0</v>
          </cell>
          <cell r="U4651">
            <v>82.498977999999994</v>
          </cell>
          <cell r="V4651">
            <v>0</v>
          </cell>
          <cell r="W4651">
            <v>0</v>
          </cell>
          <cell r="X4651">
            <v>0.25493090000000002</v>
          </cell>
          <cell r="Y4651">
            <v>0</v>
          </cell>
          <cell r="Z4651">
            <v>0</v>
          </cell>
          <cell r="AA4651">
            <v>0</v>
          </cell>
          <cell r="AB4651">
            <v>7.04906E-2</v>
          </cell>
        </row>
        <row r="4652">
          <cell r="A4652">
            <v>72125224</v>
          </cell>
          <cell r="B4652" t="str">
            <v>Spinach, cooked, from frozen, made with oil</v>
          </cell>
          <cell r="I4652">
            <v>85</v>
          </cell>
          <cell r="J4652">
            <v>45.565842000000004</v>
          </cell>
          <cell r="K4652">
            <v>0.53606872941176475</v>
          </cell>
          <cell r="L4652">
            <v>3.0558651999999999</v>
          </cell>
          <cell r="M4652">
            <v>0.39969189999999999</v>
          </cell>
          <cell r="N4652">
            <v>0</v>
          </cell>
          <cell r="O4652">
            <v>0.12647340000000001</v>
          </cell>
          <cell r="P4652">
            <v>0</v>
          </cell>
          <cell r="Q4652">
            <v>1.1196457</v>
          </cell>
          <cell r="R4652">
            <v>0</v>
          </cell>
          <cell r="S4652">
            <v>0</v>
          </cell>
          <cell r="T4652">
            <v>0</v>
          </cell>
          <cell r="U4652">
            <v>82.590952000000001</v>
          </cell>
          <cell r="V4652">
            <v>0</v>
          </cell>
          <cell r="W4652">
            <v>0</v>
          </cell>
          <cell r="X4652">
            <v>0.24859990000000001</v>
          </cell>
          <cell r="Y4652">
            <v>0</v>
          </cell>
          <cell r="Z4652">
            <v>0</v>
          </cell>
          <cell r="AA4652">
            <v>0</v>
          </cell>
          <cell r="AB4652">
            <v>6.9960999999999999E-3</v>
          </cell>
        </row>
        <row r="4653">
          <cell r="A4653">
            <v>72125227</v>
          </cell>
          <cell r="B4653" t="str">
            <v>Spinach, cooked, from canned, made with oil</v>
          </cell>
          <cell r="I4653">
            <v>130</v>
          </cell>
          <cell r="J4653">
            <v>53.108649</v>
          </cell>
          <cell r="K4653">
            <v>0.40852806923076923</v>
          </cell>
          <cell r="L4653">
            <v>3.0495747999999998</v>
          </cell>
          <cell r="M4653">
            <v>0.47176309999999999</v>
          </cell>
          <cell r="N4653">
            <v>0</v>
          </cell>
          <cell r="O4653">
            <v>0.1614371</v>
          </cell>
          <cell r="P4653">
            <v>0</v>
          </cell>
          <cell r="Q4653">
            <v>1.378946</v>
          </cell>
          <cell r="R4653">
            <v>0</v>
          </cell>
          <cell r="S4653">
            <v>0</v>
          </cell>
          <cell r="T4653">
            <v>0</v>
          </cell>
          <cell r="U4653">
            <v>127.06562</v>
          </cell>
          <cell r="V4653">
            <v>0</v>
          </cell>
          <cell r="W4653">
            <v>0</v>
          </cell>
          <cell r="X4653">
            <v>0.50121729999999998</v>
          </cell>
          <cell r="Y4653">
            <v>0</v>
          </cell>
          <cell r="Z4653">
            <v>0</v>
          </cell>
          <cell r="AA4653">
            <v>0</v>
          </cell>
          <cell r="AB4653">
            <v>9.5563999999999996E-3</v>
          </cell>
        </row>
        <row r="4654">
          <cell r="A4654">
            <v>72125228</v>
          </cell>
          <cell r="B4654" t="str">
            <v>Spinach, cooked, from canned, made with butter</v>
          </cell>
          <cell r="I4654">
            <v>130</v>
          </cell>
          <cell r="J4654">
            <v>49.315703999999997</v>
          </cell>
          <cell r="K4654">
            <v>0.37935156923076918</v>
          </cell>
          <cell r="L4654">
            <v>3.0469723000000002</v>
          </cell>
          <cell r="M4654">
            <v>1.543973</v>
          </cell>
          <cell r="N4654">
            <v>0</v>
          </cell>
          <cell r="O4654">
            <v>0.1619659</v>
          </cell>
          <cell r="P4654">
            <v>0</v>
          </cell>
          <cell r="Q4654">
            <v>0.3532515</v>
          </cell>
          <cell r="R4654">
            <v>0</v>
          </cell>
          <cell r="S4654">
            <v>0</v>
          </cell>
          <cell r="T4654">
            <v>0</v>
          </cell>
          <cell r="U4654">
            <v>126.95717999999999</v>
          </cell>
          <cell r="V4654">
            <v>0</v>
          </cell>
          <cell r="W4654">
            <v>0</v>
          </cell>
          <cell r="X4654">
            <v>0.51881549999999999</v>
          </cell>
          <cell r="Y4654">
            <v>0</v>
          </cell>
          <cell r="Z4654">
            <v>0</v>
          </cell>
          <cell r="AA4654">
            <v>0</v>
          </cell>
          <cell r="AB4654">
            <v>9.1964799999999999E-2</v>
          </cell>
        </row>
        <row r="4655">
          <cell r="A4655">
            <v>72125230</v>
          </cell>
          <cell r="B4655" t="str">
            <v>Spinach, NS as to form, creamed</v>
          </cell>
          <cell r="I4655">
            <v>110</v>
          </cell>
          <cell r="J4655">
            <v>86.615409</v>
          </cell>
          <cell r="K4655">
            <v>0.78741280909090905</v>
          </cell>
          <cell r="L4655">
            <v>2.4518072000000002</v>
          </cell>
          <cell r="M4655">
            <v>1.3482498000000001</v>
          </cell>
          <cell r="N4655">
            <v>0</v>
          </cell>
          <cell r="O4655">
            <v>0.15286159999999999</v>
          </cell>
          <cell r="P4655">
            <v>8.7190900000000002E-2</v>
          </cell>
          <cell r="Q4655">
            <v>1.4935446999999999</v>
          </cell>
          <cell r="R4655">
            <v>0</v>
          </cell>
          <cell r="S4655">
            <v>0</v>
          </cell>
          <cell r="T4655">
            <v>0</v>
          </cell>
          <cell r="U4655">
            <v>66.265060000000005</v>
          </cell>
          <cell r="V4655">
            <v>0</v>
          </cell>
          <cell r="W4655">
            <v>0</v>
          </cell>
          <cell r="X4655">
            <v>0.27267439999999998</v>
          </cell>
          <cell r="Y4655">
            <v>0</v>
          </cell>
          <cell r="Z4655">
            <v>0</v>
          </cell>
          <cell r="AA4655">
            <v>0</v>
          </cell>
          <cell r="AB4655">
            <v>0.28351710000000002</v>
          </cell>
        </row>
        <row r="4656">
          <cell r="A4656">
            <v>72125231</v>
          </cell>
          <cell r="B4656" t="str">
            <v>Spinach, from fresh, creamed</v>
          </cell>
          <cell r="I4656">
            <v>110</v>
          </cell>
          <cell r="J4656">
            <v>81.095285000000004</v>
          </cell>
          <cell r="K4656">
            <v>0.73722986363636367</v>
          </cell>
          <cell r="L4656">
            <v>1.5559921000000001</v>
          </cell>
          <cell r="M4656">
            <v>1.3128324</v>
          </cell>
          <cell r="N4656">
            <v>0</v>
          </cell>
          <cell r="O4656">
            <v>0.1413345</v>
          </cell>
          <cell r="P4656">
            <v>9.0045799999999995E-2</v>
          </cell>
          <cell r="Q4656">
            <v>1.359224</v>
          </cell>
          <cell r="R4656">
            <v>0</v>
          </cell>
          <cell r="S4656">
            <v>0</v>
          </cell>
          <cell r="T4656">
            <v>0</v>
          </cell>
          <cell r="U4656">
            <v>64.833005999999997</v>
          </cell>
          <cell r="V4656">
            <v>0</v>
          </cell>
          <cell r="W4656">
            <v>0</v>
          </cell>
          <cell r="X4656">
            <v>0.26060420000000001</v>
          </cell>
          <cell r="Y4656">
            <v>0</v>
          </cell>
          <cell r="Z4656">
            <v>0</v>
          </cell>
          <cell r="AA4656">
            <v>0</v>
          </cell>
          <cell r="AB4656">
            <v>0.28641919999999998</v>
          </cell>
        </row>
        <row r="4657">
          <cell r="A4657">
            <v>72125232</v>
          </cell>
          <cell r="B4657" t="str">
            <v>Spinach, from frozen, creamed</v>
          </cell>
          <cell r="I4657">
            <v>110</v>
          </cell>
          <cell r="J4657">
            <v>86.615409</v>
          </cell>
          <cell r="K4657">
            <v>0.78741280909090905</v>
          </cell>
          <cell r="L4657">
            <v>2.4518072000000002</v>
          </cell>
          <cell r="M4657">
            <v>1.3482498000000001</v>
          </cell>
          <cell r="N4657">
            <v>0</v>
          </cell>
          <cell r="O4657">
            <v>0.15286159999999999</v>
          </cell>
          <cell r="P4657">
            <v>8.7190900000000002E-2</v>
          </cell>
          <cell r="Q4657">
            <v>1.4935446999999999</v>
          </cell>
          <cell r="R4657">
            <v>0</v>
          </cell>
          <cell r="S4657">
            <v>0</v>
          </cell>
          <cell r="T4657">
            <v>0</v>
          </cell>
          <cell r="U4657">
            <v>66.265060000000005</v>
          </cell>
          <cell r="V4657">
            <v>0</v>
          </cell>
          <cell r="W4657">
            <v>0</v>
          </cell>
          <cell r="X4657">
            <v>0.27267439999999998</v>
          </cell>
          <cell r="Y4657">
            <v>0</v>
          </cell>
          <cell r="Z4657">
            <v>0</v>
          </cell>
          <cell r="AA4657">
            <v>0</v>
          </cell>
          <cell r="AB4657">
            <v>0.2764219</v>
          </cell>
        </row>
        <row r="4658">
          <cell r="A4658">
            <v>72125240</v>
          </cell>
          <cell r="B4658" t="str">
            <v>Spinach souffle</v>
          </cell>
          <cell r="I4658">
            <v>110</v>
          </cell>
          <cell r="J4658">
            <v>138.85029</v>
          </cell>
          <cell r="K4658">
            <v>1.2622753636363637</v>
          </cell>
          <cell r="L4658">
            <v>1.0185922000000001</v>
          </cell>
          <cell r="M4658">
            <v>4.9691536000000003</v>
          </cell>
          <cell r="N4658">
            <v>0</v>
          </cell>
          <cell r="O4658">
            <v>0.1093804</v>
          </cell>
          <cell r="P4658">
            <v>0.1375306</v>
          </cell>
          <cell r="Q4658">
            <v>0.72495880000000001</v>
          </cell>
          <cell r="R4658">
            <v>0</v>
          </cell>
          <cell r="S4658">
            <v>0</v>
          </cell>
          <cell r="T4658">
            <v>0</v>
          </cell>
          <cell r="U4658">
            <v>28.527923000000001</v>
          </cell>
          <cell r="V4658">
            <v>0</v>
          </cell>
          <cell r="W4658">
            <v>0</v>
          </cell>
          <cell r="X4658">
            <v>0.18761520000000001</v>
          </cell>
          <cell r="Y4658">
            <v>0</v>
          </cell>
          <cell r="Z4658">
            <v>0</v>
          </cell>
          <cell r="AA4658">
            <v>0</v>
          </cell>
          <cell r="AB4658">
            <v>0.31882260000000001</v>
          </cell>
        </row>
        <row r="4659">
          <cell r="A4659">
            <v>72125250</v>
          </cell>
          <cell r="B4659" t="str">
            <v>Spinach, cooked, NS as to form, with cheese sauce</v>
          </cell>
          <cell r="I4659">
            <v>110</v>
          </cell>
          <cell r="J4659">
            <v>90.853695999999999</v>
          </cell>
          <cell r="K4659">
            <v>0.82594269090909089</v>
          </cell>
          <cell r="L4659">
            <v>2.8493838999999999</v>
          </cell>
          <cell r="M4659">
            <v>2.7582673999999998</v>
          </cell>
          <cell r="N4659">
            <v>0</v>
          </cell>
          <cell r="O4659">
            <v>0.2199583</v>
          </cell>
          <cell r="P4659">
            <v>3.2827500000000003E-2</v>
          </cell>
          <cell r="Q4659">
            <v>0.74430859999999999</v>
          </cell>
          <cell r="R4659">
            <v>0</v>
          </cell>
          <cell r="S4659">
            <v>0</v>
          </cell>
          <cell r="T4659">
            <v>0</v>
          </cell>
          <cell r="U4659">
            <v>77.010375999999994</v>
          </cell>
          <cell r="V4659">
            <v>0</v>
          </cell>
          <cell r="W4659">
            <v>0</v>
          </cell>
          <cell r="X4659">
            <v>0.2993768</v>
          </cell>
          <cell r="Y4659">
            <v>0</v>
          </cell>
          <cell r="Z4659">
            <v>0</v>
          </cell>
          <cell r="AA4659">
            <v>0</v>
          </cell>
          <cell r="AB4659">
            <v>0.20997440000000001</v>
          </cell>
        </row>
        <row r="4660">
          <cell r="A4660">
            <v>72125253</v>
          </cell>
          <cell r="B4660" t="str">
            <v>Spinach, cooked, from canned, with cheese sauce</v>
          </cell>
          <cell r="I4660">
            <v>110</v>
          </cell>
          <cell r="J4660">
            <v>63.440600000000003</v>
          </cell>
          <cell r="K4660">
            <v>0.57673272727272729</v>
          </cell>
          <cell r="L4660">
            <v>1.8975900999999999</v>
          </cell>
          <cell r="M4660">
            <v>0.94267500000000004</v>
          </cell>
          <cell r="N4660">
            <v>0</v>
          </cell>
          <cell r="O4660">
            <v>0.13677700000000001</v>
          </cell>
          <cell r="P4660">
            <v>6.1571899999999999E-2</v>
          </cell>
          <cell r="Q4660">
            <v>1.0479240000000001</v>
          </cell>
          <cell r="R4660">
            <v>0</v>
          </cell>
          <cell r="S4660">
            <v>0</v>
          </cell>
          <cell r="T4660">
            <v>0</v>
          </cell>
          <cell r="U4660">
            <v>79.066252000000006</v>
          </cell>
          <cell r="V4660">
            <v>0</v>
          </cell>
          <cell r="W4660">
            <v>0</v>
          </cell>
          <cell r="X4660">
            <v>0.42085509999999998</v>
          </cell>
          <cell r="Y4660">
            <v>0</v>
          </cell>
          <cell r="Z4660">
            <v>0</v>
          </cell>
          <cell r="AA4660">
            <v>0</v>
          </cell>
          <cell r="AB4660">
            <v>0.21226900000000001</v>
          </cell>
        </row>
        <row r="4661">
          <cell r="A4661">
            <v>72125260</v>
          </cell>
          <cell r="B4661" t="str">
            <v>Spinach and cheese casserole</v>
          </cell>
          <cell r="I4661">
            <v>200</v>
          </cell>
          <cell r="J4661">
            <v>250.89729</v>
          </cell>
          <cell r="K4661">
            <v>1.2544864499999999</v>
          </cell>
          <cell r="L4661">
            <v>3.7985525</v>
          </cell>
          <cell r="M4661">
            <v>7.6153589999999998</v>
          </cell>
          <cell r="N4661">
            <v>0</v>
          </cell>
          <cell r="O4661">
            <v>0.45770319999999998</v>
          </cell>
          <cell r="P4661">
            <v>0.71411780000000002</v>
          </cell>
          <cell r="Q4661">
            <v>1.2120872</v>
          </cell>
          <cell r="R4661">
            <v>0</v>
          </cell>
          <cell r="S4661">
            <v>0</v>
          </cell>
          <cell r="T4661">
            <v>0</v>
          </cell>
          <cell r="U4661">
            <v>130.98456999999999</v>
          </cell>
          <cell r="V4661">
            <v>0</v>
          </cell>
          <cell r="W4661">
            <v>0</v>
          </cell>
          <cell r="X4661">
            <v>0.58698910000000004</v>
          </cell>
          <cell r="Y4661">
            <v>0</v>
          </cell>
          <cell r="Z4661">
            <v>0</v>
          </cell>
          <cell r="AA4661">
            <v>0</v>
          </cell>
          <cell r="AB4661">
            <v>0.37641160000000001</v>
          </cell>
        </row>
        <row r="4662">
          <cell r="A4662">
            <v>72125310</v>
          </cell>
          <cell r="B4662" t="str">
            <v>Palak Paneer</v>
          </cell>
          <cell r="I4662">
            <v>200</v>
          </cell>
          <cell r="J4662">
            <v>192.24015</v>
          </cell>
          <cell r="K4662">
            <v>0.96120075000000005</v>
          </cell>
          <cell r="L4662">
            <v>2.2377741000000002</v>
          </cell>
          <cell r="M4662">
            <v>2.9720165000000001</v>
          </cell>
          <cell r="N4662">
            <v>0</v>
          </cell>
          <cell r="O4662">
            <v>0.14384459999999999</v>
          </cell>
          <cell r="P4662">
            <v>0.15057599999999999</v>
          </cell>
          <cell r="Q4662">
            <v>4.2240302999999999</v>
          </cell>
          <cell r="R4662">
            <v>0</v>
          </cell>
          <cell r="S4662">
            <v>0</v>
          </cell>
          <cell r="T4662">
            <v>0</v>
          </cell>
          <cell r="U4662">
            <v>118.22716</v>
          </cell>
          <cell r="V4662">
            <v>0</v>
          </cell>
          <cell r="W4662">
            <v>0</v>
          </cell>
          <cell r="X4662">
            <v>0.47962719999999998</v>
          </cell>
          <cell r="Y4662">
            <v>0</v>
          </cell>
          <cell r="Z4662">
            <v>0</v>
          </cell>
          <cell r="AA4662">
            <v>0</v>
          </cell>
          <cell r="AB4662">
            <v>0.29299019999999998</v>
          </cell>
        </row>
        <row r="4663">
          <cell r="A4663">
            <v>72125500</v>
          </cell>
          <cell r="B4663" t="str">
            <v>Channa Saag</v>
          </cell>
          <cell r="I4663">
            <v>245</v>
          </cell>
          <cell r="J4663">
            <v>200.15414999999999</v>
          </cell>
          <cell r="K4663">
            <v>0.81695571428571423</v>
          </cell>
          <cell r="L4663">
            <v>7.8404191000000001</v>
          </cell>
          <cell r="M4663">
            <v>1.3036227</v>
          </cell>
          <cell r="N4663">
            <v>0</v>
          </cell>
          <cell r="O4663">
            <v>0.25058720000000001</v>
          </cell>
          <cell r="P4663">
            <v>0.3099268</v>
          </cell>
          <cell r="Q4663">
            <v>4.0153131000000002</v>
          </cell>
          <cell r="R4663">
            <v>0</v>
          </cell>
          <cell r="S4663">
            <v>46.660783000000002</v>
          </cell>
          <cell r="T4663">
            <v>0</v>
          </cell>
          <cell r="U4663">
            <v>187.96485999999999</v>
          </cell>
          <cell r="V4663">
            <v>0</v>
          </cell>
          <cell r="W4663">
            <v>0</v>
          </cell>
          <cell r="X4663">
            <v>0.57902439999999999</v>
          </cell>
          <cell r="Y4663">
            <v>0</v>
          </cell>
          <cell r="Z4663">
            <v>0</v>
          </cell>
          <cell r="AA4663">
            <v>0</v>
          </cell>
          <cell r="AB4663">
            <v>9.5564999999999997E-2</v>
          </cell>
        </row>
        <row r="4664">
          <cell r="A4664">
            <v>72126000</v>
          </cell>
          <cell r="B4664" t="str">
            <v>Taro leaves, cooked, fat not added in cooking</v>
          </cell>
          <cell r="I4664">
            <v>85</v>
          </cell>
          <cell r="J4664">
            <v>35.487077999999997</v>
          </cell>
          <cell r="K4664">
            <v>0.41749503529411763</v>
          </cell>
          <cell r="L4664">
            <v>3.1262425</v>
          </cell>
          <cell r="M4664">
            <v>0.12758449999999999</v>
          </cell>
          <cell r="N4664">
            <v>0</v>
          </cell>
          <cell r="O4664">
            <v>9.0529200000000004E-2</v>
          </cell>
          <cell r="P4664">
            <v>0</v>
          </cell>
          <cell r="Q4664">
            <v>0.2593936</v>
          </cell>
          <cell r="R4664">
            <v>0</v>
          </cell>
          <cell r="S4664">
            <v>0</v>
          </cell>
          <cell r="T4664">
            <v>0</v>
          </cell>
          <cell r="U4664">
            <v>84.493042000000003</v>
          </cell>
          <cell r="V4664">
            <v>0</v>
          </cell>
          <cell r="W4664">
            <v>0</v>
          </cell>
          <cell r="X4664">
            <v>0.1990217</v>
          </cell>
          <cell r="Y4664">
            <v>0</v>
          </cell>
          <cell r="Z4664">
            <v>0</v>
          </cell>
          <cell r="AA4664">
            <v>0</v>
          </cell>
          <cell r="AB4664">
            <v>0</v>
          </cell>
        </row>
        <row r="4665">
          <cell r="A4665">
            <v>72126001</v>
          </cell>
          <cell r="B4665" t="str">
            <v>Taro leaves, cooked, fat added in cooking</v>
          </cell>
          <cell r="I4665">
            <v>85</v>
          </cell>
          <cell r="J4665">
            <v>51.252870999999999</v>
          </cell>
          <cell r="K4665">
            <v>0.60297495294117642</v>
          </cell>
          <cell r="L4665">
            <v>3.0298650999999999</v>
          </cell>
          <cell r="M4665">
            <v>1.0579685999999999</v>
          </cell>
          <cell r="N4665">
            <v>0</v>
          </cell>
          <cell r="O4665">
            <v>8.8335800000000006E-2</v>
          </cell>
          <cell r="P4665">
            <v>0</v>
          </cell>
          <cell r="Q4665">
            <v>0.57676450000000001</v>
          </cell>
          <cell r="R4665">
            <v>0</v>
          </cell>
          <cell r="S4665">
            <v>0</v>
          </cell>
          <cell r="T4665">
            <v>0</v>
          </cell>
          <cell r="U4665">
            <v>81.888247000000007</v>
          </cell>
          <cell r="V4665">
            <v>0</v>
          </cell>
          <cell r="W4665">
            <v>0</v>
          </cell>
          <cell r="X4665">
            <v>0.2101102</v>
          </cell>
          <cell r="Y4665">
            <v>0</v>
          </cell>
          <cell r="Z4665">
            <v>0</v>
          </cell>
          <cell r="AA4665">
            <v>0</v>
          </cell>
          <cell r="AB4665">
            <v>8.9943400000000007E-2</v>
          </cell>
        </row>
        <row r="4666">
          <cell r="A4666">
            <v>72128201</v>
          </cell>
          <cell r="B4666" t="str">
            <v>Turnip greens, cooked, from fresh, NS as to fat added in cooking</v>
          </cell>
          <cell r="I4666">
            <v>85</v>
          </cell>
          <cell r="J4666">
            <v>30.866987000000002</v>
          </cell>
          <cell r="K4666">
            <v>0.3631410235294118</v>
          </cell>
          <cell r="L4666">
            <v>2.8605768999999999</v>
          </cell>
          <cell r="M4666">
            <v>0.37258330000000001</v>
          </cell>
          <cell r="N4666">
            <v>0</v>
          </cell>
          <cell r="O4666">
            <v>0.112674</v>
          </cell>
          <cell r="P4666">
            <v>0</v>
          </cell>
          <cell r="Q4666">
            <v>0.79570350000000001</v>
          </cell>
          <cell r="R4666">
            <v>0</v>
          </cell>
          <cell r="S4666">
            <v>0</v>
          </cell>
          <cell r="T4666">
            <v>0</v>
          </cell>
          <cell r="U4666">
            <v>81.730768999999995</v>
          </cell>
          <cell r="V4666">
            <v>0</v>
          </cell>
          <cell r="W4666">
            <v>0</v>
          </cell>
          <cell r="X4666">
            <v>0.25233290000000003</v>
          </cell>
          <cell r="Y4666">
            <v>0</v>
          </cell>
          <cell r="Z4666">
            <v>0</v>
          </cell>
          <cell r="AA4666">
            <v>0</v>
          </cell>
          <cell r="AB4666">
            <v>9.2146800000000001E-2</v>
          </cell>
        </row>
        <row r="4667">
          <cell r="A4667">
            <v>72128203</v>
          </cell>
          <cell r="B4667" t="str">
            <v>Turnip greens, cooked, from canned, NS as to fat added in cooking</v>
          </cell>
          <cell r="I4667">
            <v>130</v>
          </cell>
          <cell r="J4667">
            <v>50.172179</v>
          </cell>
          <cell r="K4667">
            <v>0.38593983846153845</v>
          </cell>
          <cell r="L4667">
            <v>1.6253363999999999</v>
          </cell>
          <cell r="M4667">
            <v>1.5514794999999999</v>
          </cell>
          <cell r="N4667">
            <v>0</v>
          </cell>
          <cell r="O4667">
            <v>0.1486751</v>
          </cell>
          <cell r="P4667">
            <v>0</v>
          </cell>
          <cell r="Q4667">
            <v>0.65984229999999999</v>
          </cell>
          <cell r="R4667">
            <v>0</v>
          </cell>
          <cell r="S4667">
            <v>0</v>
          </cell>
          <cell r="T4667">
            <v>0</v>
          </cell>
          <cell r="U4667">
            <v>125.02588</v>
          </cell>
          <cell r="V4667">
            <v>0</v>
          </cell>
          <cell r="W4667">
            <v>0</v>
          </cell>
          <cell r="X4667">
            <v>0.3997561</v>
          </cell>
          <cell r="Y4667">
            <v>0</v>
          </cell>
          <cell r="Z4667">
            <v>0</v>
          </cell>
          <cell r="AA4667">
            <v>0</v>
          </cell>
          <cell r="AB4667">
            <v>0.14093040000000001</v>
          </cell>
        </row>
        <row r="4668">
          <cell r="A4668">
            <v>72128210</v>
          </cell>
          <cell r="B4668" t="str">
            <v>Turnip greens, cooked, NS as to form, fat not added in cooking</v>
          </cell>
          <cell r="I4668">
            <v>85</v>
          </cell>
          <cell r="J4668">
            <v>16.887416999999999</v>
          </cell>
          <cell r="K4668">
            <v>0.19867549411764704</v>
          </cell>
          <cell r="L4668">
            <v>2.955298</v>
          </cell>
          <cell r="M4668">
            <v>4.4751699999999998E-2</v>
          </cell>
          <cell r="N4668">
            <v>0</v>
          </cell>
          <cell r="O4668">
            <v>0.1158139</v>
          </cell>
          <cell r="P4668">
            <v>0</v>
          </cell>
          <cell r="Q4668">
            <v>7.6837699999999995E-2</v>
          </cell>
          <cell r="R4668">
            <v>0</v>
          </cell>
          <cell r="S4668">
            <v>0</v>
          </cell>
          <cell r="T4668">
            <v>0</v>
          </cell>
          <cell r="U4668">
            <v>84.437085999999994</v>
          </cell>
          <cell r="V4668">
            <v>0</v>
          </cell>
          <cell r="W4668">
            <v>0</v>
          </cell>
          <cell r="X4668">
            <v>0.24266090000000001</v>
          </cell>
          <cell r="Y4668">
            <v>0</v>
          </cell>
          <cell r="Z4668">
            <v>0</v>
          </cell>
          <cell r="AA4668">
            <v>0</v>
          </cell>
          <cell r="AB4668">
            <v>0</v>
          </cell>
        </row>
        <row r="4669">
          <cell r="A4669">
            <v>72128211</v>
          </cell>
          <cell r="B4669" t="str">
            <v>Turnip greens, cooked, from fresh, fat not added in cooking</v>
          </cell>
          <cell r="I4669">
            <v>85</v>
          </cell>
          <cell r="J4669">
            <v>16.882759</v>
          </cell>
          <cell r="K4669">
            <v>0.19862069411764707</v>
          </cell>
          <cell r="L4669">
            <v>2.9544828000000001</v>
          </cell>
          <cell r="M4669">
            <v>4.4739300000000003E-2</v>
          </cell>
          <cell r="N4669">
            <v>0</v>
          </cell>
          <cell r="O4669">
            <v>0.1157876</v>
          </cell>
          <cell r="P4669">
            <v>0</v>
          </cell>
          <cell r="Q4669">
            <v>7.6816599999999999E-2</v>
          </cell>
          <cell r="R4669">
            <v>0</v>
          </cell>
          <cell r="S4669">
            <v>0</v>
          </cell>
          <cell r="T4669">
            <v>0</v>
          </cell>
          <cell r="U4669">
            <v>84.413792999999998</v>
          </cell>
          <cell r="V4669">
            <v>0</v>
          </cell>
          <cell r="W4669">
            <v>0</v>
          </cell>
          <cell r="X4669">
            <v>0.25168210000000002</v>
          </cell>
          <cell r="Y4669">
            <v>0</v>
          </cell>
          <cell r="Z4669">
            <v>0</v>
          </cell>
          <cell r="AA4669">
            <v>0</v>
          </cell>
          <cell r="AB4669">
            <v>0</v>
          </cell>
        </row>
        <row r="4670">
          <cell r="A4670">
            <v>72128213</v>
          </cell>
          <cell r="B4670" t="str">
            <v>Turnip greens, cooked, from canned, fat not added in cooking</v>
          </cell>
          <cell r="I4670">
            <v>130</v>
          </cell>
          <cell r="J4670">
            <v>24.529655000000002</v>
          </cell>
          <cell r="K4670">
            <v>0.18868965384615385</v>
          </cell>
          <cell r="L4670">
            <v>1.6783448000000001</v>
          </cell>
          <cell r="M4670">
            <v>9.0372400000000006E-2</v>
          </cell>
          <cell r="N4670">
            <v>0</v>
          </cell>
          <cell r="O4670">
            <v>0.1525572</v>
          </cell>
          <cell r="P4670">
            <v>0</v>
          </cell>
          <cell r="Q4670">
            <v>0.15492410000000001</v>
          </cell>
          <cell r="R4670">
            <v>0</v>
          </cell>
          <cell r="S4670">
            <v>0</v>
          </cell>
          <cell r="T4670">
            <v>0</v>
          </cell>
          <cell r="U4670">
            <v>129.10345000000001</v>
          </cell>
          <cell r="V4670">
            <v>0</v>
          </cell>
          <cell r="W4670">
            <v>0</v>
          </cell>
          <cell r="X4670">
            <v>0.38492549999999998</v>
          </cell>
          <cell r="Y4670">
            <v>0</v>
          </cell>
          <cell r="Z4670">
            <v>0</v>
          </cell>
          <cell r="AA4670">
            <v>0</v>
          </cell>
          <cell r="AB4670">
            <v>0</v>
          </cell>
        </row>
        <row r="4671">
          <cell r="A4671">
            <v>72128220</v>
          </cell>
          <cell r="B4671" t="str">
            <v>Turnip greens, cooked, NS as to form, fat added in cooking</v>
          </cell>
          <cell r="I4671">
            <v>85</v>
          </cell>
          <cell r="J4671">
            <v>30.866987000000002</v>
          </cell>
          <cell r="K4671">
            <v>0.3631410235294118</v>
          </cell>
          <cell r="L4671">
            <v>2.8605768999999999</v>
          </cell>
          <cell r="M4671">
            <v>0.37258330000000001</v>
          </cell>
          <cell r="N4671">
            <v>0</v>
          </cell>
          <cell r="O4671">
            <v>0.112674</v>
          </cell>
          <cell r="P4671">
            <v>0</v>
          </cell>
          <cell r="Q4671">
            <v>0.79570350000000001</v>
          </cell>
          <cell r="R4671">
            <v>0</v>
          </cell>
          <cell r="S4671">
            <v>0</v>
          </cell>
          <cell r="T4671">
            <v>0</v>
          </cell>
          <cell r="U4671">
            <v>81.730768999999995</v>
          </cell>
          <cell r="V4671">
            <v>0</v>
          </cell>
          <cell r="W4671">
            <v>0</v>
          </cell>
          <cell r="X4671">
            <v>0.25233290000000003</v>
          </cell>
          <cell r="Y4671">
            <v>0</v>
          </cell>
          <cell r="Z4671">
            <v>0</v>
          </cell>
          <cell r="AA4671">
            <v>0</v>
          </cell>
          <cell r="AB4671">
            <v>8.1288700000000005E-2</v>
          </cell>
        </row>
        <row r="4672">
          <cell r="A4672">
            <v>72128221</v>
          </cell>
          <cell r="B4672" t="str">
            <v>Turnip greens, cooked, from fresh, fat added in cooking, NS as to type of fat</v>
          </cell>
          <cell r="I4672">
            <v>85</v>
          </cell>
          <cell r="J4672">
            <v>33.622363</v>
          </cell>
          <cell r="K4672">
            <v>0.39555721176470587</v>
          </cell>
          <cell r="L4672">
            <v>2.8611692</v>
          </cell>
          <cell r="M4672">
            <v>1.0005318000000001</v>
          </cell>
          <cell r="N4672">
            <v>0</v>
          </cell>
          <cell r="O4672">
            <v>0.1127427</v>
          </cell>
          <cell r="P4672">
            <v>0</v>
          </cell>
          <cell r="Q4672">
            <v>0.40772849999999999</v>
          </cell>
          <cell r="R4672">
            <v>0</v>
          </cell>
          <cell r="S4672">
            <v>0</v>
          </cell>
          <cell r="T4672">
            <v>0</v>
          </cell>
          <cell r="U4672">
            <v>81.747691000000003</v>
          </cell>
          <cell r="V4672">
            <v>0</v>
          </cell>
          <cell r="W4672">
            <v>0</v>
          </cell>
          <cell r="X4672">
            <v>0.26137899999999997</v>
          </cell>
          <cell r="Y4672">
            <v>0</v>
          </cell>
          <cell r="Z4672">
            <v>0</v>
          </cell>
          <cell r="AA4672">
            <v>0</v>
          </cell>
          <cell r="AB4672">
            <v>9.2146800000000001E-2</v>
          </cell>
        </row>
        <row r="4673">
          <cell r="A4673">
            <v>72128222</v>
          </cell>
          <cell r="B4673" t="str">
            <v>Turnip greens, cooked, from frozen, fat added in cooking</v>
          </cell>
          <cell r="I4673">
            <v>85</v>
          </cell>
          <cell r="J4673">
            <v>36.623703999999996</v>
          </cell>
          <cell r="K4673">
            <v>0.43086710588235289</v>
          </cell>
          <cell r="L4673">
            <v>2.7919415999999999</v>
          </cell>
          <cell r="M4673">
            <v>0.37176890000000001</v>
          </cell>
          <cell r="N4673">
            <v>0</v>
          </cell>
          <cell r="O4673">
            <v>0.1254363</v>
          </cell>
          <cell r="P4673">
            <v>0</v>
          </cell>
          <cell r="Q4673">
            <v>0.77594339999999995</v>
          </cell>
          <cell r="R4673">
            <v>0</v>
          </cell>
          <cell r="S4673">
            <v>0</v>
          </cell>
          <cell r="T4673">
            <v>0</v>
          </cell>
          <cell r="U4673">
            <v>82.115927999999997</v>
          </cell>
          <cell r="V4673">
            <v>0</v>
          </cell>
          <cell r="W4673">
            <v>0</v>
          </cell>
          <cell r="X4673">
            <v>0.21401249999999999</v>
          </cell>
          <cell r="Y4673">
            <v>0</v>
          </cell>
          <cell r="Z4673">
            <v>0</v>
          </cell>
          <cell r="AA4673">
            <v>0</v>
          </cell>
          <cell r="AB4673">
            <v>8.1288700000000005E-2</v>
          </cell>
        </row>
        <row r="4674">
          <cell r="A4674">
            <v>72128223</v>
          </cell>
          <cell r="B4674" t="str">
            <v>Turnip greens, cooked, from canned, fat added in cooking</v>
          </cell>
          <cell r="I4674">
            <v>130</v>
          </cell>
          <cell r="J4674">
            <v>47.208333000000003</v>
          </cell>
          <cell r="K4674">
            <v>0.36314102307692309</v>
          </cell>
          <cell r="L4674">
            <v>4.375</v>
          </cell>
          <cell r="M4674">
            <v>0.56983329999999999</v>
          </cell>
          <cell r="N4674">
            <v>0</v>
          </cell>
          <cell r="O4674">
            <v>0.17232500000000001</v>
          </cell>
          <cell r="P4674">
            <v>0</v>
          </cell>
          <cell r="Q4674">
            <v>1.2169582999999999</v>
          </cell>
          <cell r="R4674">
            <v>0</v>
          </cell>
          <cell r="S4674">
            <v>0</v>
          </cell>
          <cell r="T4674">
            <v>0</v>
          </cell>
          <cell r="U4674">
            <v>125</v>
          </cell>
          <cell r="V4674">
            <v>0</v>
          </cell>
          <cell r="W4674">
            <v>0</v>
          </cell>
          <cell r="X4674">
            <v>0.38592080000000001</v>
          </cell>
          <cell r="Y4674">
            <v>0</v>
          </cell>
          <cell r="Z4674">
            <v>0</v>
          </cell>
          <cell r="AA4674">
            <v>0</v>
          </cell>
          <cell r="AB4674">
            <v>0.14093040000000001</v>
          </cell>
        </row>
        <row r="4675">
          <cell r="A4675">
            <v>72128227</v>
          </cell>
          <cell r="B4675" t="str">
            <v>Turnip greens, cooked, from fresh, made with oil</v>
          </cell>
          <cell r="I4675">
            <v>85</v>
          </cell>
          <cell r="J4675">
            <v>39.233364999999999</v>
          </cell>
          <cell r="K4675">
            <v>0.46156900000000001</v>
          </cell>
          <cell r="L4675">
            <v>2.8647469999999999</v>
          </cell>
          <cell r="M4675">
            <v>0.39646559999999997</v>
          </cell>
          <cell r="N4675">
            <v>0</v>
          </cell>
          <cell r="O4675">
            <v>0.1122773</v>
          </cell>
          <cell r="P4675">
            <v>0</v>
          </cell>
          <cell r="Q4675">
            <v>1.1378721000000001</v>
          </cell>
          <cell r="R4675">
            <v>0</v>
          </cell>
          <cell r="S4675">
            <v>0</v>
          </cell>
          <cell r="T4675">
            <v>0</v>
          </cell>
          <cell r="U4675">
            <v>81.849914999999996</v>
          </cell>
          <cell r="V4675">
            <v>0</v>
          </cell>
          <cell r="W4675">
            <v>0</v>
          </cell>
          <cell r="X4675">
            <v>0.24405070000000001</v>
          </cell>
          <cell r="Y4675">
            <v>0</v>
          </cell>
          <cell r="Z4675">
            <v>0</v>
          </cell>
          <cell r="AA4675">
            <v>0</v>
          </cell>
          <cell r="AB4675">
            <v>9.1482000000000004E-3</v>
          </cell>
        </row>
        <row r="4676">
          <cell r="A4676">
            <v>72128228</v>
          </cell>
          <cell r="B4676" t="str">
            <v>Turnip greens, cooked, from fresh, made with butter</v>
          </cell>
          <cell r="I4676">
            <v>85</v>
          </cell>
          <cell r="J4676">
            <v>35.598241000000002</v>
          </cell>
          <cell r="K4676">
            <v>0.41880283529411766</v>
          </cell>
          <cell r="L4676">
            <v>2.8611692</v>
          </cell>
          <cell r="M4676">
            <v>1.4223603</v>
          </cell>
          <cell r="N4676">
            <v>0</v>
          </cell>
          <cell r="O4676">
            <v>0.1127749</v>
          </cell>
          <cell r="P4676">
            <v>0</v>
          </cell>
          <cell r="Q4676">
            <v>0.15608330000000001</v>
          </cell>
          <cell r="R4676">
            <v>0</v>
          </cell>
          <cell r="S4676">
            <v>0</v>
          </cell>
          <cell r="T4676">
            <v>0</v>
          </cell>
          <cell r="U4676">
            <v>81.747691000000003</v>
          </cell>
          <cell r="V4676">
            <v>0</v>
          </cell>
          <cell r="W4676">
            <v>0</v>
          </cell>
          <cell r="X4676">
            <v>0.26099509999999998</v>
          </cell>
          <cell r="Y4676">
            <v>0</v>
          </cell>
          <cell r="Z4676">
            <v>0</v>
          </cell>
          <cell r="AA4676">
            <v>0</v>
          </cell>
          <cell r="AB4676">
            <v>8.8001700000000002E-2</v>
          </cell>
        </row>
        <row r="4677">
          <cell r="A4677">
            <v>72128237</v>
          </cell>
          <cell r="B4677" t="str">
            <v>Turnip greens, canned, reduced sodium, cooked, fat not added in cooking</v>
          </cell>
          <cell r="I4677">
            <v>85</v>
          </cell>
          <cell r="J4677">
            <v>16.149999999999999</v>
          </cell>
          <cell r="K4677">
            <v>0.18999999999999997</v>
          </cell>
          <cell r="L4677">
            <v>1.105</v>
          </cell>
          <cell r="M4677">
            <v>5.9499999999999997E-2</v>
          </cell>
          <cell r="N4677">
            <v>0</v>
          </cell>
          <cell r="O4677">
            <v>0.1003</v>
          </cell>
          <cell r="P4677">
            <v>0</v>
          </cell>
          <cell r="Q4677">
            <v>0.10199999999999999</v>
          </cell>
          <cell r="R4677">
            <v>0</v>
          </cell>
          <cell r="S4677">
            <v>0</v>
          </cell>
          <cell r="T4677">
            <v>0</v>
          </cell>
          <cell r="U4677">
            <v>85</v>
          </cell>
          <cell r="V4677">
            <v>0</v>
          </cell>
          <cell r="W4677">
            <v>0</v>
          </cell>
          <cell r="X4677">
            <v>2.4649999999999998E-2</v>
          </cell>
          <cell r="Y4677">
            <v>0</v>
          </cell>
          <cell r="Z4677">
            <v>0</v>
          </cell>
          <cell r="AA4677">
            <v>0</v>
          </cell>
          <cell r="AB4677">
            <v>0</v>
          </cell>
        </row>
        <row r="4678">
          <cell r="A4678">
            <v>72128510</v>
          </cell>
          <cell r="B4678" t="str">
            <v>Turnip greens, canned, low sodium, cooked, fat not added in cooking</v>
          </cell>
          <cell r="I4678">
            <v>130</v>
          </cell>
          <cell r="J4678">
            <v>24.7</v>
          </cell>
          <cell r="K4678">
            <v>0.19</v>
          </cell>
          <cell r="L4678">
            <v>1.69</v>
          </cell>
          <cell r="M4678">
            <v>9.0999999999999998E-2</v>
          </cell>
          <cell r="N4678">
            <v>0</v>
          </cell>
          <cell r="O4678">
            <v>0.15340000000000001</v>
          </cell>
          <cell r="P4678">
            <v>0</v>
          </cell>
          <cell r="Q4678">
            <v>0.156</v>
          </cell>
          <cell r="R4678">
            <v>0</v>
          </cell>
          <cell r="S4678">
            <v>0</v>
          </cell>
          <cell r="T4678">
            <v>0</v>
          </cell>
          <cell r="U4678">
            <v>130</v>
          </cell>
          <cell r="V4678">
            <v>0</v>
          </cell>
          <cell r="W4678">
            <v>0</v>
          </cell>
          <cell r="X4678">
            <v>3.7699999999999997E-2</v>
          </cell>
          <cell r="Y4678">
            <v>0</v>
          </cell>
          <cell r="Z4678">
            <v>0</v>
          </cell>
          <cell r="AA4678">
            <v>0</v>
          </cell>
          <cell r="AB4678">
            <v>0</v>
          </cell>
        </row>
        <row r="4679">
          <cell r="A4679">
            <v>72130200</v>
          </cell>
          <cell r="B4679" t="str">
            <v>Watercress, cooked, fat not added in cooking</v>
          </cell>
          <cell r="I4679">
            <v>85</v>
          </cell>
          <cell r="J4679">
            <v>9.2942345999999993</v>
          </cell>
          <cell r="K4679">
            <v>0.10934393647058822</v>
          </cell>
          <cell r="L4679">
            <v>0.42246519999999999</v>
          </cell>
          <cell r="M4679">
            <v>2.2813099999999999E-2</v>
          </cell>
          <cell r="N4679">
            <v>0</v>
          </cell>
          <cell r="O4679">
            <v>0.1015133</v>
          </cell>
          <cell r="P4679">
            <v>0</v>
          </cell>
          <cell r="Q4679">
            <v>2.9572600000000001E-2</v>
          </cell>
          <cell r="R4679">
            <v>0</v>
          </cell>
          <cell r="S4679">
            <v>0</v>
          </cell>
          <cell r="T4679">
            <v>0</v>
          </cell>
          <cell r="U4679">
            <v>84.493042000000003</v>
          </cell>
          <cell r="V4679">
            <v>0</v>
          </cell>
          <cell r="W4679">
            <v>0</v>
          </cell>
          <cell r="X4679">
            <v>0.231129</v>
          </cell>
          <cell r="Y4679">
            <v>0</v>
          </cell>
          <cell r="Z4679">
            <v>0</v>
          </cell>
          <cell r="AA4679">
            <v>0</v>
          </cell>
          <cell r="AB4679">
            <v>0</v>
          </cell>
        </row>
        <row r="4680">
          <cell r="A4680">
            <v>72133200</v>
          </cell>
          <cell r="B4680" t="str">
            <v>Sweet potato leaves, squash leaves, pumpkin leaves, chrysanthemum leaves, bean leaves, or swamp cabbage, cooked, fat not added in cooking</v>
          </cell>
          <cell r="I4680">
            <v>85</v>
          </cell>
          <cell r="J4680">
            <v>34.313845999999998</v>
          </cell>
          <cell r="K4680">
            <v>0.40369230588235294</v>
          </cell>
          <cell r="L4680">
            <v>1.5901538</v>
          </cell>
          <cell r="M4680">
            <v>5.4399999999999997E-2</v>
          </cell>
          <cell r="N4680">
            <v>0</v>
          </cell>
          <cell r="O4680">
            <v>2.79323E-2</v>
          </cell>
          <cell r="P4680">
            <v>0</v>
          </cell>
          <cell r="Q4680">
            <v>0.1121477</v>
          </cell>
          <cell r="R4680">
            <v>0</v>
          </cell>
          <cell r="S4680">
            <v>0</v>
          </cell>
          <cell r="T4680">
            <v>0</v>
          </cell>
          <cell r="U4680">
            <v>83.692307999999997</v>
          </cell>
          <cell r="V4680">
            <v>0</v>
          </cell>
          <cell r="W4680">
            <v>0</v>
          </cell>
          <cell r="X4680">
            <v>0.51269379999999998</v>
          </cell>
          <cell r="Y4680">
            <v>0</v>
          </cell>
          <cell r="Z4680">
            <v>0</v>
          </cell>
          <cell r="AA4680">
            <v>0</v>
          </cell>
          <cell r="AB4680">
            <v>0</v>
          </cell>
        </row>
        <row r="4681">
          <cell r="A4681">
            <v>72133201</v>
          </cell>
          <cell r="B4681" t="str">
            <v>Sweet potato leaves, squash leaves, pumpkin leaves, chrysanthemum leaves, bean leaves, or swamp cabbage, cooked, fat added in cooking</v>
          </cell>
          <cell r="I4681">
            <v>85</v>
          </cell>
          <cell r="J4681">
            <v>69.076607999999993</v>
          </cell>
          <cell r="K4681">
            <v>0.81266597647058814</v>
          </cell>
          <cell r="L4681">
            <v>1.4823101000000001</v>
          </cell>
          <cell r="M4681">
            <v>2.1061169</v>
          </cell>
          <cell r="N4681">
            <v>0</v>
          </cell>
          <cell r="O4681">
            <v>2.73523E-2</v>
          </cell>
          <cell r="P4681">
            <v>0</v>
          </cell>
          <cell r="Q4681">
            <v>0.82031849999999995</v>
          </cell>
          <cell r="R4681">
            <v>0</v>
          </cell>
          <cell r="S4681">
            <v>0</v>
          </cell>
          <cell r="T4681">
            <v>0</v>
          </cell>
          <cell r="U4681">
            <v>78.016319999999993</v>
          </cell>
          <cell r="V4681">
            <v>0</v>
          </cell>
          <cell r="W4681">
            <v>0</v>
          </cell>
          <cell r="X4681">
            <v>0.51581429999999995</v>
          </cell>
          <cell r="Y4681">
            <v>0</v>
          </cell>
          <cell r="Z4681">
            <v>0</v>
          </cell>
          <cell r="AA4681">
            <v>0</v>
          </cell>
          <cell r="AB4681">
            <v>0.19786670000000001</v>
          </cell>
        </row>
        <row r="4682">
          <cell r="A4682">
            <v>72201100</v>
          </cell>
          <cell r="B4682" t="str">
            <v>Broccoli, raw</v>
          </cell>
          <cell r="I4682">
            <v>85</v>
          </cell>
          <cell r="J4682">
            <v>28.9</v>
          </cell>
          <cell r="K4682">
            <v>0.33999999999999997</v>
          </cell>
          <cell r="L4682">
            <v>2.21</v>
          </cell>
          <cell r="M4682">
            <v>3.3149999999999999E-2</v>
          </cell>
          <cell r="N4682">
            <v>0</v>
          </cell>
          <cell r="O4682">
            <v>3.9949999999999999E-2</v>
          </cell>
          <cell r="P4682">
            <v>0</v>
          </cell>
          <cell r="Q4682">
            <v>3.2300000000000002E-2</v>
          </cell>
          <cell r="R4682">
            <v>0</v>
          </cell>
          <cell r="S4682">
            <v>0</v>
          </cell>
          <cell r="T4682">
            <v>0</v>
          </cell>
          <cell r="U4682">
            <v>85</v>
          </cell>
          <cell r="V4682">
            <v>0</v>
          </cell>
          <cell r="W4682">
            <v>0</v>
          </cell>
          <cell r="X4682">
            <v>2.8049999999999999E-2</v>
          </cell>
          <cell r="Y4682">
            <v>0</v>
          </cell>
          <cell r="Z4682">
            <v>0</v>
          </cell>
          <cell r="AA4682">
            <v>0</v>
          </cell>
          <cell r="AB4682">
            <v>0</v>
          </cell>
        </row>
        <row r="4683">
          <cell r="A4683">
            <v>72201200</v>
          </cell>
          <cell r="B4683" t="str">
            <v>Broccoli, cooked, NS as to form, NS as to fat added in cooking</v>
          </cell>
          <cell r="I4683">
            <v>85</v>
          </cell>
          <cell r="J4683">
            <v>36.712589000000001</v>
          </cell>
          <cell r="K4683">
            <v>0.43191281176470592</v>
          </cell>
          <cell r="L4683">
            <v>2.473001</v>
          </cell>
          <cell r="M4683">
            <v>0.77023870000000005</v>
          </cell>
          <cell r="N4683">
            <v>0</v>
          </cell>
          <cell r="O4683">
            <v>2.7793600000000002E-2</v>
          </cell>
          <cell r="P4683">
            <v>0</v>
          </cell>
          <cell r="Q4683">
            <v>0.3083998</v>
          </cell>
          <cell r="R4683">
            <v>0</v>
          </cell>
          <cell r="S4683">
            <v>0</v>
          </cell>
          <cell r="T4683">
            <v>0</v>
          </cell>
          <cell r="U4683">
            <v>82.433364999999995</v>
          </cell>
          <cell r="V4683">
            <v>0</v>
          </cell>
          <cell r="W4683">
            <v>0</v>
          </cell>
          <cell r="X4683">
            <v>0.1966321</v>
          </cell>
          <cell r="Y4683">
            <v>0</v>
          </cell>
          <cell r="Z4683">
            <v>0</v>
          </cell>
          <cell r="AA4683">
            <v>0</v>
          </cell>
          <cell r="AB4683">
            <v>7.2719800000000001E-2</v>
          </cell>
        </row>
        <row r="4684">
          <cell r="A4684">
            <v>72201201</v>
          </cell>
          <cell r="B4684" t="str">
            <v>Broccoli, cooked, from fresh, NS as to fat added in cooking</v>
          </cell>
          <cell r="I4684">
            <v>85</v>
          </cell>
          <cell r="J4684">
            <v>44.687365</v>
          </cell>
          <cell r="K4684">
            <v>0.52573370588235291</v>
          </cell>
          <cell r="L4684">
            <v>2.7056372</v>
          </cell>
          <cell r="M4684">
            <v>0.95095390000000002</v>
          </cell>
          <cell r="N4684">
            <v>0</v>
          </cell>
          <cell r="O4684">
            <v>3.3488400000000001E-2</v>
          </cell>
          <cell r="P4684">
            <v>0</v>
          </cell>
          <cell r="Q4684">
            <v>0.44798640000000001</v>
          </cell>
          <cell r="R4684">
            <v>0</v>
          </cell>
          <cell r="S4684">
            <v>0</v>
          </cell>
          <cell r="T4684">
            <v>0</v>
          </cell>
          <cell r="U4684">
            <v>81.989006000000003</v>
          </cell>
          <cell r="V4684">
            <v>0</v>
          </cell>
          <cell r="W4684">
            <v>0</v>
          </cell>
          <cell r="X4684">
            <v>0.25365280000000001</v>
          </cell>
          <cell r="Y4684">
            <v>0</v>
          </cell>
          <cell r="Z4684">
            <v>0</v>
          </cell>
          <cell r="AA4684">
            <v>0</v>
          </cell>
          <cell r="AB4684">
            <v>8.5309700000000002E-2</v>
          </cell>
        </row>
        <row r="4685">
          <cell r="A4685">
            <v>72201202</v>
          </cell>
          <cell r="B4685" t="str">
            <v>Broccoli, cooked, from frozen, NS as to fat added in cooking</v>
          </cell>
          <cell r="I4685">
            <v>85</v>
          </cell>
          <cell r="J4685">
            <v>36.712589000000001</v>
          </cell>
          <cell r="K4685">
            <v>0.43191281176470592</v>
          </cell>
          <cell r="L4685">
            <v>2.473001</v>
          </cell>
          <cell r="M4685">
            <v>0.77023870000000005</v>
          </cell>
          <cell r="N4685">
            <v>0</v>
          </cell>
          <cell r="O4685">
            <v>2.7793600000000002E-2</v>
          </cell>
          <cell r="P4685">
            <v>0</v>
          </cell>
          <cell r="Q4685">
            <v>0.3083998</v>
          </cell>
          <cell r="R4685">
            <v>0</v>
          </cell>
          <cell r="S4685">
            <v>0</v>
          </cell>
          <cell r="T4685">
            <v>0</v>
          </cell>
          <cell r="U4685">
            <v>82.433364999999995</v>
          </cell>
          <cell r="V4685">
            <v>0</v>
          </cell>
          <cell r="W4685">
            <v>0</v>
          </cell>
          <cell r="X4685">
            <v>0.1966321</v>
          </cell>
          <cell r="Y4685">
            <v>0</v>
          </cell>
          <cell r="Z4685">
            <v>0</v>
          </cell>
          <cell r="AA4685">
            <v>0</v>
          </cell>
          <cell r="AB4685">
            <v>7.2719800000000001E-2</v>
          </cell>
        </row>
        <row r="4686">
          <cell r="A4686">
            <v>72201210</v>
          </cell>
          <cell r="B4686" t="str">
            <v>Broccoli, cooked, NS as to form, fat not added in cooking</v>
          </cell>
          <cell r="I4686">
            <v>85</v>
          </cell>
          <cell r="J4686">
            <v>23.671351000000001</v>
          </cell>
          <cell r="K4686">
            <v>0.27848648235294121</v>
          </cell>
          <cell r="L4686">
            <v>2.5362162000000001</v>
          </cell>
          <cell r="M4686">
            <v>1.52173E-2</v>
          </cell>
          <cell r="N4686">
            <v>0</v>
          </cell>
          <cell r="O4686">
            <v>2.8008600000000002E-2</v>
          </cell>
          <cell r="P4686">
            <v>0</v>
          </cell>
          <cell r="Q4686">
            <v>4.6497299999999998E-2</v>
          </cell>
          <cell r="R4686">
            <v>0</v>
          </cell>
          <cell r="S4686">
            <v>0</v>
          </cell>
          <cell r="T4686">
            <v>0</v>
          </cell>
          <cell r="U4686">
            <v>84.540541000000005</v>
          </cell>
          <cell r="V4686">
            <v>0</v>
          </cell>
          <cell r="W4686">
            <v>0</v>
          </cell>
          <cell r="X4686">
            <v>0.18737680000000001</v>
          </cell>
          <cell r="Y4686">
            <v>0</v>
          </cell>
          <cell r="Z4686">
            <v>0</v>
          </cell>
          <cell r="AA4686">
            <v>0</v>
          </cell>
          <cell r="AB4686">
            <v>0</v>
          </cell>
        </row>
        <row r="4687">
          <cell r="A4687">
            <v>72201211</v>
          </cell>
          <cell r="B4687" t="str">
            <v>Broccoli, cooked, from fresh, fat not added in cooking</v>
          </cell>
          <cell r="I4687">
            <v>85</v>
          </cell>
          <cell r="J4687">
            <v>29.560510000000001</v>
          </cell>
          <cell r="K4687">
            <v>0.34777070588235293</v>
          </cell>
          <cell r="L4687">
            <v>2.7871337999999999</v>
          </cell>
          <cell r="M4687">
            <v>6.6722299999999998E-2</v>
          </cell>
          <cell r="N4687">
            <v>0</v>
          </cell>
          <cell r="O4687">
            <v>3.3913400000000003E-2</v>
          </cell>
          <cell r="P4687">
            <v>0</v>
          </cell>
          <cell r="Q4687">
            <v>0.1435796</v>
          </cell>
          <cell r="R4687">
            <v>0</v>
          </cell>
          <cell r="S4687">
            <v>0</v>
          </cell>
          <cell r="T4687">
            <v>0</v>
          </cell>
          <cell r="U4687">
            <v>84.458599000000007</v>
          </cell>
          <cell r="V4687">
            <v>0</v>
          </cell>
          <cell r="W4687">
            <v>0</v>
          </cell>
          <cell r="X4687">
            <v>0.2444643</v>
          </cell>
          <cell r="Y4687">
            <v>0</v>
          </cell>
          <cell r="Z4687">
            <v>0</v>
          </cell>
          <cell r="AA4687">
            <v>0</v>
          </cell>
          <cell r="AB4687">
            <v>0</v>
          </cell>
        </row>
        <row r="4688">
          <cell r="A4688">
            <v>72201212</v>
          </cell>
          <cell r="B4688" t="str">
            <v>Broccoli, cooked, from frozen, fat not added in cooking</v>
          </cell>
          <cell r="I4688">
            <v>85</v>
          </cell>
          <cell r="J4688">
            <v>23.671351000000001</v>
          </cell>
          <cell r="K4688">
            <v>0.27848648235294121</v>
          </cell>
          <cell r="L4688">
            <v>2.5362162000000001</v>
          </cell>
          <cell r="M4688">
            <v>1.52173E-2</v>
          </cell>
          <cell r="N4688">
            <v>0</v>
          </cell>
          <cell r="O4688">
            <v>2.8008600000000002E-2</v>
          </cell>
          <cell r="P4688">
            <v>0</v>
          </cell>
          <cell r="Q4688">
            <v>4.6497299999999998E-2</v>
          </cell>
          <cell r="R4688">
            <v>0</v>
          </cell>
          <cell r="S4688">
            <v>0</v>
          </cell>
          <cell r="T4688">
            <v>0</v>
          </cell>
          <cell r="U4688">
            <v>84.540541000000005</v>
          </cell>
          <cell r="V4688">
            <v>0</v>
          </cell>
          <cell r="W4688">
            <v>0</v>
          </cell>
          <cell r="X4688">
            <v>0.18737680000000001</v>
          </cell>
          <cell r="Y4688">
            <v>0</v>
          </cell>
          <cell r="Z4688">
            <v>0</v>
          </cell>
          <cell r="AA4688">
            <v>0</v>
          </cell>
          <cell r="AB4688">
            <v>0</v>
          </cell>
        </row>
        <row r="4689">
          <cell r="A4689">
            <v>72201213</v>
          </cell>
          <cell r="B4689" t="str">
            <v>Broccoli, cooked, NS as to form, made with oil</v>
          </cell>
          <cell r="I4689">
            <v>85</v>
          </cell>
          <cell r="J4689">
            <v>41.142522</v>
          </cell>
          <cell r="K4689">
            <v>0.48402967058823532</v>
          </cell>
          <cell r="L4689">
            <v>2.4754407999999999</v>
          </cell>
          <cell r="M4689">
            <v>0.29342439999999997</v>
          </cell>
          <cell r="N4689">
            <v>0</v>
          </cell>
          <cell r="O4689">
            <v>2.7342600000000002E-2</v>
          </cell>
          <cell r="P4689">
            <v>0</v>
          </cell>
          <cell r="Q4689">
            <v>0.88435949999999997</v>
          </cell>
          <cell r="R4689">
            <v>0</v>
          </cell>
          <cell r="S4689">
            <v>0</v>
          </cell>
          <cell r="T4689">
            <v>0</v>
          </cell>
          <cell r="U4689">
            <v>82.514692999999994</v>
          </cell>
          <cell r="V4689">
            <v>0</v>
          </cell>
          <cell r="W4689">
            <v>0</v>
          </cell>
          <cell r="X4689">
            <v>0.1828968</v>
          </cell>
          <cell r="Y4689">
            <v>0</v>
          </cell>
          <cell r="Z4689">
            <v>0</v>
          </cell>
          <cell r="AA4689">
            <v>0</v>
          </cell>
          <cell r="AB4689">
            <v>7.2176000000000002E-3</v>
          </cell>
        </row>
        <row r="4690">
          <cell r="A4690">
            <v>72201214</v>
          </cell>
          <cell r="B4690" t="str">
            <v>Broccoli, cooked, NS as to form, made with butter</v>
          </cell>
          <cell r="I4690">
            <v>85</v>
          </cell>
          <cell r="J4690">
            <v>38.271898999999998</v>
          </cell>
          <cell r="K4690">
            <v>0.45025763529411761</v>
          </cell>
          <cell r="L4690">
            <v>2.473001</v>
          </cell>
          <cell r="M4690">
            <v>1.1031344000000001</v>
          </cell>
          <cell r="N4690">
            <v>0</v>
          </cell>
          <cell r="O4690">
            <v>2.7819E-2</v>
          </cell>
          <cell r="P4690">
            <v>0</v>
          </cell>
          <cell r="Q4690">
            <v>0.10980819999999999</v>
          </cell>
          <cell r="R4690">
            <v>0</v>
          </cell>
          <cell r="S4690">
            <v>0</v>
          </cell>
          <cell r="T4690">
            <v>0</v>
          </cell>
          <cell r="U4690">
            <v>82.433364999999995</v>
          </cell>
          <cell r="V4690">
            <v>0</v>
          </cell>
          <cell r="W4690">
            <v>0</v>
          </cell>
          <cell r="X4690">
            <v>0.19632920000000001</v>
          </cell>
          <cell r="Y4690">
            <v>0</v>
          </cell>
          <cell r="Z4690">
            <v>0</v>
          </cell>
          <cell r="AA4690">
            <v>0</v>
          </cell>
          <cell r="AB4690">
            <v>6.9448599999999999E-2</v>
          </cell>
        </row>
        <row r="4691">
          <cell r="A4691">
            <v>72201220</v>
          </cell>
          <cell r="B4691" t="str">
            <v>Broccoli, cooked, NS as to form, fat added in cooking, NS as to type of fat</v>
          </cell>
          <cell r="I4691">
            <v>85</v>
          </cell>
          <cell r="J4691">
            <v>36.712589000000001</v>
          </cell>
          <cell r="K4691">
            <v>0.43191281176470592</v>
          </cell>
          <cell r="L4691">
            <v>2.473001</v>
          </cell>
          <cell r="M4691">
            <v>0.77023870000000005</v>
          </cell>
          <cell r="N4691">
            <v>0</v>
          </cell>
          <cell r="O4691">
            <v>2.7793600000000002E-2</v>
          </cell>
          <cell r="P4691">
            <v>0</v>
          </cell>
          <cell r="Q4691">
            <v>0.3083998</v>
          </cell>
          <cell r="R4691">
            <v>0</v>
          </cell>
          <cell r="S4691">
            <v>0</v>
          </cell>
          <cell r="T4691">
            <v>0</v>
          </cell>
          <cell r="U4691">
            <v>82.433364999999995</v>
          </cell>
          <cell r="V4691">
            <v>0</v>
          </cell>
          <cell r="W4691">
            <v>0</v>
          </cell>
          <cell r="X4691">
            <v>0.1966321</v>
          </cell>
          <cell r="Y4691">
            <v>0</v>
          </cell>
          <cell r="Z4691">
            <v>0</v>
          </cell>
          <cell r="AA4691">
            <v>0</v>
          </cell>
          <cell r="AB4691">
            <v>7.2719800000000001E-2</v>
          </cell>
        </row>
        <row r="4692">
          <cell r="A4692">
            <v>72201221</v>
          </cell>
          <cell r="B4692" t="str">
            <v>Broccoli, cooked, from fresh, fat added in cooking, NS as to type of fat</v>
          </cell>
          <cell r="I4692">
            <v>85</v>
          </cell>
          <cell r="J4692">
            <v>44.687365</v>
          </cell>
          <cell r="K4692">
            <v>0.52573370588235291</v>
          </cell>
          <cell r="L4692">
            <v>2.7056372</v>
          </cell>
          <cell r="M4692">
            <v>0.95095390000000002</v>
          </cell>
          <cell r="N4692">
            <v>0</v>
          </cell>
          <cell r="O4692">
            <v>3.3488400000000001E-2</v>
          </cell>
          <cell r="P4692">
            <v>0</v>
          </cell>
          <cell r="Q4692">
            <v>0.44798640000000001</v>
          </cell>
          <cell r="R4692">
            <v>0</v>
          </cell>
          <cell r="S4692">
            <v>0</v>
          </cell>
          <cell r="T4692">
            <v>0</v>
          </cell>
          <cell r="U4692">
            <v>81.989006000000003</v>
          </cell>
          <cell r="V4692">
            <v>0</v>
          </cell>
          <cell r="W4692">
            <v>0</v>
          </cell>
          <cell r="X4692">
            <v>0.25365280000000001</v>
          </cell>
          <cell r="Y4692">
            <v>0</v>
          </cell>
          <cell r="Z4692">
            <v>0</v>
          </cell>
          <cell r="AA4692">
            <v>0</v>
          </cell>
          <cell r="AB4692">
            <v>8.5309700000000002E-2</v>
          </cell>
        </row>
        <row r="4693">
          <cell r="A4693">
            <v>72201222</v>
          </cell>
          <cell r="B4693" t="str">
            <v>Broccoli, cooked, from frozen, fat added in cooking, NS as to type of fat</v>
          </cell>
          <cell r="I4693">
            <v>85</v>
          </cell>
          <cell r="J4693">
            <v>36.712589000000001</v>
          </cell>
          <cell r="K4693">
            <v>0.43191281176470592</v>
          </cell>
          <cell r="L4693">
            <v>2.473001</v>
          </cell>
          <cell r="M4693">
            <v>0.77023870000000005</v>
          </cell>
          <cell r="N4693">
            <v>0</v>
          </cell>
          <cell r="O4693">
            <v>2.7793600000000002E-2</v>
          </cell>
          <cell r="P4693">
            <v>0</v>
          </cell>
          <cell r="Q4693">
            <v>0.3083998</v>
          </cell>
          <cell r="R4693">
            <v>0</v>
          </cell>
          <cell r="S4693">
            <v>0</v>
          </cell>
          <cell r="T4693">
            <v>0</v>
          </cell>
          <cell r="U4693">
            <v>82.433364999999995</v>
          </cell>
          <cell r="V4693">
            <v>0</v>
          </cell>
          <cell r="W4693">
            <v>0</v>
          </cell>
          <cell r="X4693">
            <v>0.1966321</v>
          </cell>
          <cell r="Y4693">
            <v>0</v>
          </cell>
          <cell r="Z4693">
            <v>0</v>
          </cell>
          <cell r="AA4693">
            <v>0</v>
          </cell>
          <cell r="AB4693">
            <v>7.2719800000000001E-2</v>
          </cell>
        </row>
        <row r="4694">
          <cell r="A4694">
            <v>72201223</v>
          </cell>
          <cell r="B4694" t="str">
            <v>Broccoli, cooked, from fresh, made with oil</v>
          </cell>
          <cell r="I4694">
            <v>85</v>
          </cell>
          <cell r="J4694">
            <v>49.894368</v>
          </cell>
          <cell r="K4694">
            <v>0.58699256470588235</v>
          </cell>
          <cell r="L4694">
            <v>2.7087691999999999</v>
          </cell>
          <cell r="M4694">
            <v>0.39170280000000002</v>
          </cell>
          <cell r="N4694">
            <v>0</v>
          </cell>
          <cell r="O4694">
            <v>3.2965800000000003E-2</v>
          </cell>
          <cell r="P4694">
            <v>0</v>
          </cell>
          <cell r="Q4694">
            <v>1.1239385</v>
          </cell>
          <cell r="R4694">
            <v>0</v>
          </cell>
          <cell r="S4694">
            <v>0</v>
          </cell>
          <cell r="T4694">
            <v>0</v>
          </cell>
          <cell r="U4694">
            <v>82.083916000000002</v>
          </cell>
          <cell r="V4694">
            <v>0</v>
          </cell>
          <cell r="W4694">
            <v>0</v>
          </cell>
          <cell r="X4694">
            <v>0.2376028</v>
          </cell>
          <cell r="Y4694">
            <v>0</v>
          </cell>
          <cell r="Z4694">
            <v>0</v>
          </cell>
          <cell r="AA4694">
            <v>0</v>
          </cell>
          <cell r="AB4694">
            <v>8.4685999999999997E-3</v>
          </cell>
        </row>
        <row r="4695">
          <cell r="A4695">
            <v>72201224</v>
          </cell>
          <cell r="B4695" t="str">
            <v>Broccoli, cooked, from fresh, made with butter</v>
          </cell>
          <cell r="I4695">
            <v>85</v>
          </cell>
          <cell r="J4695">
            <v>46.516635999999998</v>
          </cell>
          <cell r="K4695">
            <v>0.54725454117647054</v>
          </cell>
          <cell r="L4695">
            <v>2.7056372</v>
          </cell>
          <cell r="M4695">
            <v>1.3414835000000001</v>
          </cell>
          <cell r="N4695">
            <v>0</v>
          </cell>
          <cell r="O4695">
            <v>3.3518199999999998E-2</v>
          </cell>
          <cell r="P4695">
            <v>0</v>
          </cell>
          <cell r="Q4695">
            <v>0.2150127</v>
          </cell>
          <cell r="R4695">
            <v>0</v>
          </cell>
          <cell r="S4695">
            <v>0</v>
          </cell>
          <cell r="T4695">
            <v>0</v>
          </cell>
          <cell r="U4695">
            <v>81.989006000000003</v>
          </cell>
          <cell r="V4695">
            <v>0</v>
          </cell>
          <cell r="W4695">
            <v>0</v>
          </cell>
          <cell r="X4695">
            <v>0.25329740000000001</v>
          </cell>
          <cell r="Y4695">
            <v>0</v>
          </cell>
          <cell r="Z4695">
            <v>0</v>
          </cell>
          <cell r="AA4695">
            <v>0</v>
          </cell>
          <cell r="AB4695">
            <v>8.1472199999999995E-2</v>
          </cell>
        </row>
        <row r="4696">
          <cell r="A4696">
            <v>72201225</v>
          </cell>
          <cell r="B4696" t="str">
            <v>Broccoli, cooked, from fresh, made with margarine</v>
          </cell>
          <cell r="I4696">
            <v>85</v>
          </cell>
          <cell r="J4696">
            <v>42.050192000000003</v>
          </cell>
          <cell r="K4696">
            <v>0.49470814117647061</v>
          </cell>
          <cell r="L4696">
            <v>2.7049348000000002</v>
          </cell>
          <cell r="M4696">
            <v>0.3677319</v>
          </cell>
          <cell r="N4696">
            <v>0</v>
          </cell>
          <cell r="O4696">
            <v>3.34396E-2</v>
          </cell>
          <cell r="P4696">
            <v>0</v>
          </cell>
          <cell r="Q4696">
            <v>0.80308279999999999</v>
          </cell>
          <cell r="R4696">
            <v>0</v>
          </cell>
          <cell r="S4696">
            <v>0</v>
          </cell>
          <cell r="T4696">
            <v>0</v>
          </cell>
          <cell r="U4696">
            <v>81.96772</v>
          </cell>
          <cell r="V4696">
            <v>0</v>
          </cell>
          <cell r="W4696">
            <v>0</v>
          </cell>
          <cell r="X4696">
            <v>0.25416319999999998</v>
          </cell>
          <cell r="Y4696">
            <v>0</v>
          </cell>
          <cell r="Z4696">
            <v>0</v>
          </cell>
          <cell r="AA4696">
            <v>0</v>
          </cell>
          <cell r="AB4696">
            <v>9.1850799999999996E-2</v>
          </cell>
        </row>
        <row r="4697">
          <cell r="A4697">
            <v>72201226</v>
          </cell>
          <cell r="B4697" t="str">
            <v>Broccoli, cooked, from frozen, made with oil</v>
          </cell>
          <cell r="I4697">
            <v>85</v>
          </cell>
          <cell r="J4697">
            <v>41.142522</v>
          </cell>
          <cell r="K4697">
            <v>0.48402967058823532</v>
          </cell>
          <cell r="L4697">
            <v>2.4754407999999999</v>
          </cell>
          <cell r="M4697">
            <v>0.29342439999999997</v>
          </cell>
          <cell r="N4697">
            <v>0</v>
          </cell>
          <cell r="O4697">
            <v>2.7342600000000002E-2</v>
          </cell>
          <cell r="P4697">
            <v>0</v>
          </cell>
          <cell r="Q4697">
            <v>0.88435949999999997</v>
          </cell>
          <cell r="R4697">
            <v>0</v>
          </cell>
          <cell r="S4697">
            <v>0</v>
          </cell>
          <cell r="T4697">
            <v>0</v>
          </cell>
          <cell r="U4697">
            <v>82.514692999999994</v>
          </cell>
          <cell r="V4697">
            <v>0</v>
          </cell>
          <cell r="W4697">
            <v>0</v>
          </cell>
          <cell r="X4697">
            <v>0.1828968</v>
          </cell>
          <cell r="Y4697">
            <v>0</v>
          </cell>
          <cell r="Z4697">
            <v>0</v>
          </cell>
          <cell r="AA4697">
            <v>0</v>
          </cell>
          <cell r="AB4697">
            <v>7.2176000000000002E-3</v>
          </cell>
        </row>
        <row r="4698">
          <cell r="A4698">
            <v>72201227</v>
          </cell>
          <cell r="B4698" t="str">
            <v>Broccoli, cooked, from frozen, made with butter</v>
          </cell>
          <cell r="I4698">
            <v>85</v>
          </cell>
          <cell r="J4698">
            <v>38.271898999999998</v>
          </cell>
          <cell r="K4698">
            <v>0.45025763529411761</v>
          </cell>
          <cell r="L4698">
            <v>2.473001</v>
          </cell>
          <cell r="M4698">
            <v>1.1031344000000001</v>
          </cell>
          <cell r="N4698">
            <v>0</v>
          </cell>
          <cell r="O4698">
            <v>2.7819E-2</v>
          </cell>
          <cell r="P4698">
            <v>0</v>
          </cell>
          <cell r="Q4698">
            <v>0.10980819999999999</v>
          </cell>
          <cell r="R4698">
            <v>0</v>
          </cell>
          <cell r="S4698">
            <v>0</v>
          </cell>
          <cell r="T4698">
            <v>0</v>
          </cell>
          <cell r="U4698">
            <v>82.433364999999995</v>
          </cell>
          <cell r="V4698">
            <v>0</v>
          </cell>
          <cell r="W4698">
            <v>0</v>
          </cell>
          <cell r="X4698">
            <v>0.19632920000000001</v>
          </cell>
          <cell r="Y4698">
            <v>0</v>
          </cell>
          <cell r="Z4698">
            <v>0</v>
          </cell>
          <cell r="AA4698">
            <v>0</v>
          </cell>
          <cell r="AB4698">
            <v>6.9448599999999999E-2</v>
          </cell>
        </row>
        <row r="4699">
          <cell r="A4699">
            <v>72201228</v>
          </cell>
          <cell r="B4699" t="str">
            <v>Broccoli, cooked, from frozen, made with margarine</v>
          </cell>
          <cell r="I4699">
            <v>85</v>
          </cell>
          <cell r="J4699">
            <v>34.466285999999997</v>
          </cell>
          <cell r="K4699">
            <v>0.40548571764705876</v>
          </cell>
          <cell r="L4699">
            <v>2.4724536000000001</v>
          </cell>
          <cell r="M4699">
            <v>0.27310899999999999</v>
          </cell>
          <cell r="N4699">
            <v>0</v>
          </cell>
          <cell r="O4699">
            <v>2.7753300000000002E-2</v>
          </cell>
          <cell r="P4699">
            <v>0</v>
          </cell>
          <cell r="Q4699">
            <v>0.61113399999999996</v>
          </cell>
          <cell r="R4699">
            <v>0</v>
          </cell>
          <cell r="S4699">
            <v>0</v>
          </cell>
          <cell r="T4699">
            <v>0</v>
          </cell>
          <cell r="U4699">
            <v>82.415120999999999</v>
          </cell>
          <cell r="V4699">
            <v>0</v>
          </cell>
          <cell r="W4699">
            <v>0</v>
          </cell>
          <cell r="X4699">
            <v>0.1970798</v>
          </cell>
          <cell r="Y4699">
            <v>0</v>
          </cell>
          <cell r="Z4699">
            <v>0</v>
          </cell>
          <cell r="AA4699">
            <v>0</v>
          </cell>
          <cell r="AB4699">
            <v>7.8298599999999996E-2</v>
          </cell>
        </row>
        <row r="4700">
          <cell r="A4700">
            <v>72201230</v>
          </cell>
          <cell r="B4700" t="str">
            <v>Broccoli, cooked, NS as to form, with cheese sauce</v>
          </cell>
          <cell r="I4700">
            <v>110</v>
          </cell>
          <cell r="J4700">
            <v>87.450756999999996</v>
          </cell>
          <cell r="K4700">
            <v>0.7950068818181818</v>
          </cell>
          <cell r="L4700">
            <v>2.2885658000000002</v>
          </cell>
          <cell r="M4700">
            <v>2.7090285999999999</v>
          </cell>
          <cell r="N4700">
            <v>0</v>
          </cell>
          <cell r="O4700">
            <v>0.12955030000000001</v>
          </cell>
          <cell r="P4700">
            <v>3.3548599999999998E-2</v>
          </cell>
          <cell r="Q4700">
            <v>0.51063150000000002</v>
          </cell>
          <cell r="R4700">
            <v>0</v>
          </cell>
          <cell r="S4700">
            <v>0</v>
          </cell>
          <cell r="T4700">
            <v>0</v>
          </cell>
          <cell r="U4700">
            <v>76.285527999999999</v>
          </cell>
          <cell r="V4700">
            <v>0</v>
          </cell>
          <cell r="W4700">
            <v>0</v>
          </cell>
          <cell r="X4700">
            <v>0.23806169999999999</v>
          </cell>
          <cell r="Y4700">
            <v>0</v>
          </cell>
          <cell r="Z4700">
            <v>0</v>
          </cell>
          <cell r="AA4700">
            <v>0</v>
          </cell>
          <cell r="AB4700">
            <v>0.27241929999999998</v>
          </cell>
        </row>
        <row r="4701">
          <cell r="A4701">
            <v>72201231</v>
          </cell>
          <cell r="B4701" t="str">
            <v>Broccoli, cooked, from fresh, with cheese sauce</v>
          </cell>
          <cell r="I4701">
            <v>110</v>
          </cell>
          <cell r="J4701">
            <v>99.232352000000006</v>
          </cell>
          <cell r="K4701">
            <v>0.90211229090909095</v>
          </cell>
          <cell r="L4701">
            <v>2.3854215999999999</v>
          </cell>
          <cell r="M4701">
            <v>3.0721975000000001</v>
          </cell>
          <cell r="N4701">
            <v>0</v>
          </cell>
          <cell r="O4701">
            <v>0.14567430000000001</v>
          </cell>
          <cell r="P4701">
            <v>3.7529199999999999E-2</v>
          </cell>
          <cell r="Q4701">
            <v>0.64716759999999995</v>
          </cell>
          <cell r="R4701">
            <v>0</v>
          </cell>
          <cell r="S4701">
            <v>0</v>
          </cell>
          <cell r="T4701">
            <v>0</v>
          </cell>
          <cell r="U4701">
            <v>72.285501999999994</v>
          </cell>
          <cell r="V4701">
            <v>0</v>
          </cell>
          <cell r="W4701">
            <v>0</v>
          </cell>
          <cell r="X4701">
            <v>0.28649269999999999</v>
          </cell>
          <cell r="Y4701">
            <v>0</v>
          </cell>
          <cell r="Z4701">
            <v>0</v>
          </cell>
          <cell r="AA4701">
            <v>0</v>
          </cell>
          <cell r="AB4701">
            <v>0.2782461</v>
          </cell>
        </row>
        <row r="4702">
          <cell r="A4702">
            <v>72201232</v>
          </cell>
          <cell r="B4702" t="str">
            <v>Broccoli, cooked, from frozen, with cheese sauce</v>
          </cell>
          <cell r="I4702">
            <v>110</v>
          </cell>
          <cell r="J4702">
            <v>87.486309000000006</v>
          </cell>
          <cell r="K4702">
            <v>0.79533008181818188</v>
          </cell>
          <cell r="L4702">
            <v>2.2879363000000001</v>
          </cell>
          <cell r="M4702">
            <v>2.7107142999999998</v>
          </cell>
          <cell r="N4702">
            <v>0</v>
          </cell>
          <cell r="O4702">
            <v>0.12960869999999999</v>
          </cell>
          <cell r="P4702">
            <v>3.3569700000000001E-2</v>
          </cell>
          <cell r="Q4702">
            <v>0.51091370000000003</v>
          </cell>
          <cell r="R4702">
            <v>0</v>
          </cell>
          <cell r="S4702">
            <v>0</v>
          </cell>
          <cell r="T4702">
            <v>0</v>
          </cell>
          <cell r="U4702">
            <v>76.264544999999998</v>
          </cell>
          <cell r="V4702">
            <v>0</v>
          </cell>
          <cell r="W4702">
            <v>0</v>
          </cell>
          <cell r="X4702">
            <v>0.23814540000000001</v>
          </cell>
          <cell r="Y4702">
            <v>0</v>
          </cell>
          <cell r="Z4702">
            <v>0</v>
          </cell>
          <cell r="AA4702">
            <v>0</v>
          </cell>
          <cell r="AB4702">
            <v>0.2469104</v>
          </cell>
        </row>
        <row r="4703">
          <cell r="A4703">
            <v>72201250</v>
          </cell>
          <cell r="B4703" t="str">
            <v>Broccoli, cooked, NS as to form, with cream sauce</v>
          </cell>
          <cell r="I4703">
            <v>110</v>
          </cell>
          <cell r="J4703">
            <v>71.494452999999993</v>
          </cell>
          <cell r="K4703">
            <v>0.64994957272727272</v>
          </cell>
          <cell r="L4703">
            <v>2.2679988999999998</v>
          </cell>
          <cell r="M4703">
            <v>0.99069459999999998</v>
          </cell>
          <cell r="N4703">
            <v>0</v>
          </cell>
          <cell r="O4703">
            <v>6.5385499999999999E-2</v>
          </cell>
          <cell r="P4703">
            <v>6.8471400000000002E-2</v>
          </cell>
          <cell r="Q4703">
            <v>1.0214053999999999</v>
          </cell>
          <cell r="R4703">
            <v>0</v>
          </cell>
          <cell r="S4703">
            <v>0</v>
          </cell>
          <cell r="T4703">
            <v>0</v>
          </cell>
          <cell r="U4703">
            <v>75.599963000000002</v>
          </cell>
          <cell r="V4703">
            <v>0</v>
          </cell>
          <cell r="W4703">
            <v>0</v>
          </cell>
          <cell r="X4703">
            <v>0.1932082</v>
          </cell>
          <cell r="Y4703">
            <v>0</v>
          </cell>
          <cell r="Z4703">
            <v>0</v>
          </cell>
          <cell r="AA4703">
            <v>0</v>
          </cell>
          <cell r="AB4703">
            <v>0.2954543</v>
          </cell>
        </row>
        <row r="4704">
          <cell r="A4704">
            <v>72201251</v>
          </cell>
          <cell r="B4704" t="str">
            <v>Broccoli, cooked, from fresh, with cream sauce</v>
          </cell>
          <cell r="I4704">
            <v>110</v>
          </cell>
          <cell r="J4704">
            <v>93.171642000000006</v>
          </cell>
          <cell r="K4704">
            <v>0.84701492727272731</v>
          </cell>
          <cell r="L4704">
            <v>2.0123666999999998</v>
          </cell>
          <cell r="M4704">
            <v>1.44272</v>
          </cell>
          <cell r="N4704">
            <v>0</v>
          </cell>
          <cell r="O4704">
            <v>8.2087999999999994E-2</v>
          </cell>
          <cell r="P4704">
            <v>9.7725699999999999E-2</v>
          </cell>
          <cell r="Q4704">
            <v>1.5021215000000001</v>
          </cell>
          <cell r="R4704">
            <v>0</v>
          </cell>
          <cell r="S4704">
            <v>0</v>
          </cell>
          <cell r="T4704">
            <v>0</v>
          </cell>
          <cell r="U4704">
            <v>60.980809999999998</v>
          </cell>
          <cell r="V4704">
            <v>0</v>
          </cell>
          <cell r="W4704">
            <v>0</v>
          </cell>
          <cell r="X4704">
            <v>0.258579</v>
          </cell>
          <cell r="Y4704">
            <v>0</v>
          </cell>
          <cell r="Z4704">
            <v>0</v>
          </cell>
          <cell r="AA4704">
            <v>0</v>
          </cell>
          <cell r="AB4704">
            <v>0.3388833</v>
          </cell>
        </row>
        <row r="4705">
          <cell r="A4705">
            <v>72201252</v>
          </cell>
          <cell r="B4705" t="str">
            <v>Broccoli, cooked, from frozen, with cream sauce</v>
          </cell>
          <cell r="I4705">
            <v>110</v>
          </cell>
          <cell r="J4705">
            <v>83.644795999999999</v>
          </cell>
          <cell r="K4705">
            <v>0.76040723636363639</v>
          </cell>
          <cell r="L4705">
            <v>1.9625081</v>
          </cell>
          <cell r="M4705">
            <v>1.2801169999999999</v>
          </cell>
          <cell r="N4705">
            <v>0</v>
          </cell>
          <cell r="O4705">
            <v>7.40619E-2</v>
          </cell>
          <cell r="P4705">
            <v>8.8881699999999994E-2</v>
          </cell>
          <cell r="Q4705">
            <v>1.3078765000000001</v>
          </cell>
          <cell r="R4705">
            <v>0</v>
          </cell>
          <cell r="S4705">
            <v>0</v>
          </cell>
          <cell r="T4705">
            <v>0</v>
          </cell>
          <cell r="U4705">
            <v>65.416936000000007</v>
          </cell>
          <cell r="V4705">
            <v>0</v>
          </cell>
          <cell r="W4705">
            <v>0</v>
          </cell>
          <cell r="X4705">
            <v>0.21963450000000001</v>
          </cell>
          <cell r="Y4705">
            <v>0</v>
          </cell>
          <cell r="Z4705">
            <v>0</v>
          </cell>
          <cell r="AA4705">
            <v>0</v>
          </cell>
          <cell r="AB4705">
            <v>0.30599710000000002</v>
          </cell>
        </row>
        <row r="4706">
          <cell r="A4706">
            <v>72202010</v>
          </cell>
          <cell r="B4706" t="str">
            <v>Broccoli casserole with noodles</v>
          </cell>
          <cell r="I4706">
            <v>228</v>
          </cell>
          <cell r="J4706">
            <v>234.2799</v>
          </cell>
          <cell r="K4706">
            <v>1.0275434210526315</v>
          </cell>
          <cell r="L4706">
            <v>3.5432831</v>
          </cell>
          <cell r="M4706">
            <v>2.7698743000000001</v>
          </cell>
          <cell r="N4706">
            <v>0</v>
          </cell>
          <cell r="O4706">
            <v>0.1006457</v>
          </cell>
          <cell r="P4706">
            <v>1.3950608</v>
          </cell>
          <cell r="Q4706">
            <v>1.5387693</v>
          </cell>
          <cell r="R4706">
            <v>0</v>
          </cell>
          <cell r="S4706">
            <v>0</v>
          </cell>
          <cell r="T4706">
            <v>0</v>
          </cell>
          <cell r="U4706">
            <v>118.10944000000001</v>
          </cell>
          <cell r="V4706">
            <v>0</v>
          </cell>
          <cell r="W4706">
            <v>0</v>
          </cell>
          <cell r="X4706">
            <v>0.2483638</v>
          </cell>
          <cell r="Y4706">
            <v>0</v>
          </cell>
          <cell r="Z4706">
            <v>0</v>
          </cell>
          <cell r="AA4706">
            <v>0</v>
          </cell>
          <cell r="AB4706">
            <v>0.56831120000000002</v>
          </cell>
        </row>
        <row r="4707">
          <cell r="A4707">
            <v>72202020</v>
          </cell>
          <cell r="B4707" t="str">
            <v>Broccoli casserole with rice</v>
          </cell>
          <cell r="I4707">
            <v>228</v>
          </cell>
          <cell r="J4707">
            <v>241.71418</v>
          </cell>
          <cell r="K4707">
            <v>1.0601499122807017</v>
          </cell>
          <cell r="L4707">
            <v>3.4385617000000002</v>
          </cell>
          <cell r="M4707">
            <v>3.8337127</v>
          </cell>
          <cell r="N4707">
            <v>0</v>
          </cell>
          <cell r="O4707">
            <v>0.1798951</v>
          </cell>
          <cell r="P4707">
            <v>0.86884189999999994</v>
          </cell>
          <cell r="Q4707">
            <v>1.3114553</v>
          </cell>
          <cell r="R4707">
            <v>0</v>
          </cell>
          <cell r="S4707">
            <v>0</v>
          </cell>
          <cell r="T4707">
            <v>0</v>
          </cell>
          <cell r="U4707">
            <v>117.52705</v>
          </cell>
          <cell r="V4707">
            <v>0</v>
          </cell>
          <cell r="W4707">
            <v>0</v>
          </cell>
          <cell r="X4707">
            <v>0.42458410000000002</v>
          </cell>
          <cell r="Y4707">
            <v>0</v>
          </cell>
          <cell r="Z4707">
            <v>0</v>
          </cell>
          <cell r="AA4707">
            <v>0</v>
          </cell>
          <cell r="AB4707">
            <v>0.37416919999999998</v>
          </cell>
        </row>
        <row r="4708">
          <cell r="A4708">
            <v>72202030</v>
          </cell>
          <cell r="B4708" t="str">
            <v>Broccoli, batter-dipped and fried</v>
          </cell>
          <cell r="I4708">
            <v>85</v>
          </cell>
          <cell r="J4708">
            <v>114.30649</v>
          </cell>
          <cell r="K4708">
            <v>1.3447822352941177</v>
          </cell>
          <cell r="L4708">
            <v>1.5793136000000001</v>
          </cell>
          <cell r="M4708">
            <v>1.4890968</v>
          </cell>
          <cell r="N4708">
            <v>0</v>
          </cell>
          <cell r="O4708">
            <v>5.9034900000000001E-2</v>
          </cell>
          <cell r="P4708">
            <v>0.15601319999999999</v>
          </cell>
          <cell r="Q4708">
            <v>2.7309606999999998</v>
          </cell>
          <cell r="R4708">
            <v>0</v>
          </cell>
          <cell r="S4708">
            <v>0</v>
          </cell>
          <cell r="T4708">
            <v>0</v>
          </cell>
          <cell r="U4708">
            <v>60.742829999999998</v>
          </cell>
          <cell r="V4708">
            <v>0</v>
          </cell>
          <cell r="W4708">
            <v>0</v>
          </cell>
          <cell r="X4708">
            <v>0.1238606</v>
          </cell>
          <cell r="Y4708">
            <v>0</v>
          </cell>
          <cell r="Z4708">
            <v>0</v>
          </cell>
          <cell r="AA4708">
            <v>0</v>
          </cell>
          <cell r="AB4708">
            <v>1.0042864</v>
          </cell>
        </row>
        <row r="4709">
          <cell r="A4709">
            <v>72203010</v>
          </cell>
          <cell r="B4709" t="str">
            <v>Broccoli, chinese, cooked, NS as to form, NS as to fat added in cooking</v>
          </cell>
          <cell r="I4709">
            <v>85</v>
          </cell>
          <cell r="J4709">
            <v>45.149769999999997</v>
          </cell>
          <cell r="K4709">
            <v>0.53117376470588229</v>
          </cell>
          <cell r="L4709">
            <v>1.9951136</v>
          </cell>
          <cell r="M4709">
            <v>1.6168894</v>
          </cell>
          <cell r="N4709">
            <v>0</v>
          </cell>
          <cell r="O4709">
            <v>8.1000000000000003E-2</v>
          </cell>
          <cell r="P4709">
            <v>0</v>
          </cell>
          <cell r="Q4709">
            <v>0.79585170000000005</v>
          </cell>
          <cell r="R4709">
            <v>0</v>
          </cell>
          <cell r="S4709">
            <v>0</v>
          </cell>
          <cell r="T4709">
            <v>0</v>
          </cell>
          <cell r="U4709">
            <v>79.804542999999995</v>
          </cell>
          <cell r="V4709">
            <v>0</v>
          </cell>
          <cell r="W4709">
            <v>0</v>
          </cell>
          <cell r="X4709">
            <v>0.38525979999999999</v>
          </cell>
          <cell r="Y4709">
            <v>0</v>
          </cell>
          <cell r="Z4709">
            <v>0</v>
          </cell>
          <cell r="AA4709">
            <v>0</v>
          </cell>
          <cell r="AB4709">
            <v>0.14720150000000001</v>
          </cell>
        </row>
        <row r="4710">
          <cell r="A4710">
            <v>72203050</v>
          </cell>
          <cell r="B4710" t="str">
            <v>Broccoli, chinese cooked, from fresh, fat not added in cooking</v>
          </cell>
          <cell r="I4710">
            <v>85</v>
          </cell>
          <cell r="J4710">
            <v>18.489888000000001</v>
          </cell>
          <cell r="K4710">
            <v>0.21752809411764706</v>
          </cell>
          <cell r="L4710">
            <v>2.1011236000000002</v>
          </cell>
          <cell r="M4710">
            <v>9.2449400000000001E-2</v>
          </cell>
          <cell r="N4710">
            <v>0</v>
          </cell>
          <cell r="O4710">
            <v>8.4274199999999994E-2</v>
          </cell>
          <cell r="P4710">
            <v>0</v>
          </cell>
          <cell r="Q4710">
            <v>0.27734829999999999</v>
          </cell>
          <cell r="R4710">
            <v>0</v>
          </cell>
          <cell r="S4710">
            <v>0</v>
          </cell>
          <cell r="T4710">
            <v>0</v>
          </cell>
          <cell r="U4710">
            <v>84.044944000000001</v>
          </cell>
          <cell r="V4710">
            <v>0</v>
          </cell>
          <cell r="W4710">
            <v>0</v>
          </cell>
          <cell r="X4710">
            <v>0.37604379999999998</v>
          </cell>
          <cell r="Y4710">
            <v>0</v>
          </cell>
          <cell r="Z4710">
            <v>0</v>
          </cell>
          <cell r="AA4710">
            <v>0</v>
          </cell>
          <cell r="AB4710">
            <v>0</v>
          </cell>
        </row>
        <row r="4711">
          <cell r="A4711">
            <v>72203120</v>
          </cell>
          <cell r="B4711" t="str">
            <v>Broccoli, chinese, cooked, from fresh, made with oil</v>
          </cell>
          <cell r="I4711">
            <v>85</v>
          </cell>
          <cell r="J4711">
            <v>54.142907999999998</v>
          </cell>
          <cell r="K4711">
            <v>0.63697538823529409</v>
          </cell>
          <cell r="L4711">
            <v>1.9991019999999999</v>
          </cell>
          <cell r="M4711">
            <v>0.65242409999999995</v>
          </cell>
          <cell r="N4711">
            <v>0</v>
          </cell>
          <cell r="O4711">
            <v>8.01925E-2</v>
          </cell>
          <cell r="P4711">
            <v>0</v>
          </cell>
          <cell r="Q4711">
            <v>1.9638800999999999</v>
          </cell>
          <cell r="R4711">
            <v>0</v>
          </cell>
          <cell r="S4711">
            <v>0</v>
          </cell>
          <cell r="T4711">
            <v>0</v>
          </cell>
          <cell r="U4711">
            <v>79.964079999999996</v>
          </cell>
          <cell r="V4711">
            <v>0</v>
          </cell>
          <cell r="W4711">
            <v>0</v>
          </cell>
          <cell r="X4711">
            <v>0.3578054</v>
          </cell>
          <cell r="Y4711">
            <v>0</v>
          </cell>
          <cell r="Z4711">
            <v>0</v>
          </cell>
          <cell r="AA4711">
            <v>0</v>
          </cell>
          <cell r="AB4711">
            <v>3.2530000000000003E-2</v>
          </cell>
        </row>
        <row r="4712">
          <cell r="A4712">
            <v>72302000</v>
          </cell>
          <cell r="B4712" t="str">
            <v>Broccoli soup, prepared with milk, home recipe, canned or ready-to-serve</v>
          </cell>
          <cell r="I4712">
            <v>245</v>
          </cell>
          <cell r="J4712">
            <v>168.71924999999999</v>
          </cell>
          <cell r="K4712">
            <v>0.68864999999999998</v>
          </cell>
          <cell r="L4712">
            <v>1.7651484</v>
          </cell>
          <cell r="M4712">
            <v>3.4687223</v>
          </cell>
          <cell r="N4712">
            <v>0</v>
          </cell>
          <cell r="O4712">
            <v>0.1955345</v>
          </cell>
          <cell r="P4712">
            <v>0.43985160000000001</v>
          </cell>
          <cell r="Q4712">
            <v>2.2068865</v>
          </cell>
          <cell r="R4712">
            <v>0</v>
          </cell>
          <cell r="S4712">
            <v>0</v>
          </cell>
          <cell r="T4712">
            <v>0</v>
          </cell>
          <cell r="U4712">
            <v>54.022500000000001</v>
          </cell>
          <cell r="V4712">
            <v>0</v>
          </cell>
          <cell r="W4712">
            <v>0</v>
          </cell>
          <cell r="X4712">
            <v>0.86428649999999996</v>
          </cell>
          <cell r="Y4712">
            <v>0</v>
          </cell>
          <cell r="Z4712">
            <v>0</v>
          </cell>
          <cell r="AA4712">
            <v>0</v>
          </cell>
          <cell r="AB4712">
            <v>0.35180159999999999</v>
          </cell>
        </row>
        <row r="4713">
          <cell r="A4713">
            <v>72302020</v>
          </cell>
          <cell r="B4713" t="str">
            <v>Broccoli soup, prepared with water, home recipe, canned, or ready-to-serve</v>
          </cell>
          <cell r="I4713">
            <v>245</v>
          </cell>
          <cell r="J4713">
            <v>108.12599</v>
          </cell>
          <cell r="K4713">
            <v>0.44133057142857146</v>
          </cell>
          <cell r="L4713">
            <v>1.7908366</v>
          </cell>
          <cell r="M4713">
            <v>1.9885238999999999</v>
          </cell>
          <cell r="N4713">
            <v>0</v>
          </cell>
          <cell r="O4713">
            <v>5.4577399999999998E-2</v>
          </cell>
          <cell r="P4713">
            <v>0.44625280000000001</v>
          </cell>
          <cell r="Q4713">
            <v>2.1128067000000001</v>
          </cell>
          <cell r="R4713">
            <v>0</v>
          </cell>
          <cell r="S4713">
            <v>0</v>
          </cell>
          <cell r="T4713">
            <v>0</v>
          </cell>
          <cell r="U4713">
            <v>54.808689999999999</v>
          </cell>
          <cell r="V4713">
            <v>0</v>
          </cell>
          <cell r="W4713">
            <v>0</v>
          </cell>
          <cell r="X4713">
            <v>0.82633760000000001</v>
          </cell>
          <cell r="Y4713">
            <v>0</v>
          </cell>
          <cell r="Z4713">
            <v>0</v>
          </cell>
          <cell r="AA4713">
            <v>0</v>
          </cell>
          <cell r="AB4713">
            <v>0.2252644</v>
          </cell>
        </row>
        <row r="4714">
          <cell r="A4714">
            <v>72302100</v>
          </cell>
          <cell r="B4714" t="str">
            <v>Broccoli cheese soup, prepared with milk, home recipe, canned, or ready-to-serve</v>
          </cell>
          <cell r="I4714">
            <v>245</v>
          </cell>
          <cell r="J4714">
            <v>168.71924999999999</v>
          </cell>
          <cell r="K4714">
            <v>0.68864999999999998</v>
          </cell>
          <cell r="L4714">
            <v>1.7651484</v>
          </cell>
          <cell r="M4714">
            <v>3.4687223</v>
          </cell>
          <cell r="N4714">
            <v>0</v>
          </cell>
          <cell r="O4714">
            <v>0.1955345</v>
          </cell>
          <cell r="P4714">
            <v>0.43985160000000001</v>
          </cell>
          <cell r="Q4714">
            <v>2.2068865</v>
          </cell>
          <cell r="R4714">
            <v>0</v>
          </cell>
          <cell r="S4714">
            <v>0</v>
          </cell>
          <cell r="T4714">
            <v>0</v>
          </cell>
          <cell r="U4714">
            <v>54.022500000000001</v>
          </cell>
          <cell r="V4714">
            <v>0</v>
          </cell>
          <cell r="W4714">
            <v>0</v>
          </cell>
          <cell r="X4714">
            <v>0.86428649999999996</v>
          </cell>
          <cell r="Y4714">
            <v>0</v>
          </cell>
          <cell r="Z4714">
            <v>0</v>
          </cell>
          <cell r="AA4714">
            <v>0</v>
          </cell>
          <cell r="AB4714">
            <v>0.31099179999999998</v>
          </cell>
        </row>
        <row r="4715">
          <cell r="A4715">
            <v>72307000</v>
          </cell>
          <cell r="B4715" t="str">
            <v>Spinach soup</v>
          </cell>
          <cell r="I4715">
            <v>245</v>
          </cell>
          <cell r="J4715">
            <v>66.730748000000006</v>
          </cell>
          <cell r="K4715">
            <v>0.27237040000000001</v>
          </cell>
          <cell r="L4715">
            <v>1.7556874</v>
          </cell>
          <cell r="M4715">
            <v>0.98943550000000002</v>
          </cell>
          <cell r="N4715">
            <v>0</v>
          </cell>
          <cell r="O4715">
            <v>0.15752430000000001</v>
          </cell>
          <cell r="P4715">
            <v>0</v>
          </cell>
          <cell r="Q4715">
            <v>0.30719449999999998</v>
          </cell>
          <cell r="R4715">
            <v>0</v>
          </cell>
          <cell r="S4715">
            <v>0</v>
          </cell>
          <cell r="T4715">
            <v>0</v>
          </cell>
          <cell r="U4715">
            <v>79.160184999999998</v>
          </cell>
          <cell r="V4715">
            <v>0</v>
          </cell>
          <cell r="W4715">
            <v>0</v>
          </cell>
          <cell r="X4715">
            <v>0.40542519999999999</v>
          </cell>
          <cell r="Y4715">
            <v>0</v>
          </cell>
          <cell r="Z4715">
            <v>0</v>
          </cell>
          <cell r="AA4715">
            <v>0</v>
          </cell>
          <cell r="AB4715">
            <v>0.4003601</v>
          </cell>
        </row>
        <row r="4716">
          <cell r="A4716">
            <v>72308000</v>
          </cell>
          <cell r="B4716" t="str">
            <v>Dark-green leafy vegetable soup with meat, Asian style</v>
          </cell>
          <cell r="I4716">
            <v>245</v>
          </cell>
          <cell r="J4716">
            <v>160.52178000000001</v>
          </cell>
          <cell r="K4716">
            <v>0.65519093877551027</v>
          </cell>
          <cell r="L4716">
            <v>1.0918946</v>
          </cell>
          <cell r="M4716">
            <v>1.8636360999999999</v>
          </cell>
          <cell r="N4716">
            <v>0</v>
          </cell>
          <cell r="O4716">
            <v>5.8365599999999997E-2</v>
          </cell>
          <cell r="P4716">
            <v>1.0029904999999999</v>
          </cell>
          <cell r="Q4716">
            <v>1.6799546000000001</v>
          </cell>
          <cell r="R4716">
            <v>0</v>
          </cell>
          <cell r="S4716">
            <v>0</v>
          </cell>
          <cell r="T4716">
            <v>0</v>
          </cell>
          <cell r="U4716">
            <v>45.812255</v>
          </cell>
          <cell r="V4716">
            <v>0</v>
          </cell>
          <cell r="W4716">
            <v>0</v>
          </cell>
          <cell r="X4716">
            <v>0.56175010000000003</v>
          </cell>
          <cell r="Y4716">
            <v>0</v>
          </cell>
          <cell r="Z4716">
            <v>37.415165000000002</v>
          </cell>
          <cell r="AA4716">
            <v>0</v>
          </cell>
          <cell r="AB4716">
            <v>8.4847000000000006E-2</v>
          </cell>
        </row>
        <row r="4717">
          <cell r="A4717">
            <v>72308500</v>
          </cell>
          <cell r="B4717" t="str">
            <v>Dark-green leafy vegetable soup, meatless, Asian style</v>
          </cell>
          <cell r="I4717">
            <v>245</v>
          </cell>
          <cell r="J4717">
            <v>99.370153999999999</v>
          </cell>
          <cell r="K4717">
            <v>0.40559246530612247</v>
          </cell>
          <cell r="L4717">
            <v>1.2886981</v>
          </cell>
          <cell r="M4717">
            <v>0.70696820000000005</v>
          </cell>
          <cell r="N4717">
            <v>0</v>
          </cell>
          <cell r="O4717">
            <v>6.0936799999999999E-2</v>
          </cell>
          <cell r="P4717">
            <v>1.1837698000000001</v>
          </cell>
          <cell r="Q4717">
            <v>1.673638</v>
          </cell>
          <cell r="R4717">
            <v>0</v>
          </cell>
          <cell r="S4717">
            <v>0</v>
          </cell>
          <cell r="T4717">
            <v>0</v>
          </cell>
          <cell r="U4717">
            <v>54.069473000000002</v>
          </cell>
          <cell r="V4717">
            <v>0</v>
          </cell>
          <cell r="W4717">
            <v>0</v>
          </cell>
          <cell r="X4717">
            <v>0.64092059999999995</v>
          </cell>
          <cell r="Y4717">
            <v>0</v>
          </cell>
          <cell r="Z4717">
            <v>0</v>
          </cell>
          <cell r="AA4717">
            <v>0</v>
          </cell>
          <cell r="AB4717">
            <v>8.2903699999999997E-2</v>
          </cell>
        </row>
        <row r="4718">
          <cell r="A4718">
            <v>73101010</v>
          </cell>
          <cell r="B4718" t="str">
            <v>Carrots, raw</v>
          </cell>
          <cell r="I4718">
            <v>85</v>
          </cell>
          <cell r="J4718">
            <v>34.85</v>
          </cell>
          <cell r="K4718">
            <v>0.41000000000000003</v>
          </cell>
          <cell r="L4718">
            <v>2.38</v>
          </cell>
          <cell r="M4718">
            <v>3.1449999999999999E-2</v>
          </cell>
          <cell r="N4718">
            <v>0</v>
          </cell>
          <cell r="O4718">
            <v>2.8049999999999999E-2</v>
          </cell>
          <cell r="P4718">
            <v>0</v>
          </cell>
          <cell r="Q4718">
            <v>9.9449999999999997E-2</v>
          </cell>
          <cell r="R4718">
            <v>0</v>
          </cell>
          <cell r="S4718">
            <v>0</v>
          </cell>
          <cell r="T4718">
            <v>0</v>
          </cell>
          <cell r="U4718">
            <v>85</v>
          </cell>
          <cell r="V4718">
            <v>0</v>
          </cell>
          <cell r="W4718">
            <v>0</v>
          </cell>
          <cell r="X4718">
            <v>5.8650000000000001E-2</v>
          </cell>
          <cell r="Y4718">
            <v>0</v>
          </cell>
          <cell r="Z4718">
            <v>0</v>
          </cell>
          <cell r="AA4718">
            <v>0</v>
          </cell>
          <cell r="AB4718">
            <v>0</v>
          </cell>
        </row>
        <row r="4719">
          <cell r="A4719">
            <v>73101110</v>
          </cell>
          <cell r="B4719" t="str">
            <v>Carrots, raw, salad</v>
          </cell>
          <cell r="I4719">
            <v>100</v>
          </cell>
          <cell r="J4719">
            <v>207.77538000000001</v>
          </cell>
          <cell r="K4719">
            <v>2.0777538</v>
          </cell>
          <cell r="L4719">
            <v>2.2498119999999999</v>
          </cell>
          <cell r="M4719">
            <v>2.4521071000000001</v>
          </cell>
          <cell r="N4719">
            <v>0</v>
          </cell>
          <cell r="O4719">
            <v>3.0120299999999999E-2</v>
          </cell>
          <cell r="P4719">
            <v>7.9699199999999998E-2</v>
          </cell>
          <cell r="Q4719">
            <v>9.319312</v>
          </cell>
          <cell r="R4719">
            <v>0</v>
          </cell>
          <cell r="S4719">
            <v>0</v>
          </cell>
          <cell r="T4719">
            <v>16.541353000000001</v>
          </cell>
          <cell r="U4719">
            <v>62.030074999999997</v>
          </cell>
          <cell r="V4719">
            <v>0</v>
          </cell>
          <cell r="W4719">
            <v>0</v>
          </cell>
          <cell r="X4719">
            <v>0.1756711</v>
          </cell>
          <cell r="Y4719">
            <v>0</v>
          </cell>
          <cell r="Z4719">
            <v>0</v>
          </cell>
          <cell r="AA4719">
            <v>0</v>
          </cell>
          <cell r="AB4719">
            <v>3.8665400000000003E-2</v>
          </cell>
        </row>
        <row r="4720">
          <cell r="A4720">
            <v>73101210</v>
          </cell>
          <cell r="B4720" t="str">
            <v>Carrots, raw, salad with apples</v>
          </cell>
          <cell r="I4720">
            <v>100</v>
          </cell>
          <cell r="J4720">
            <v>176.45402000000001</v>
          </cell>
          <cell r="K4720">
            <v>1.7645402000000001</v>
          </cell>
          <cell r="L4720">
            <v>2.0663792999999999</v>
          </cell>
          <cell r="M4720">
            <v>2.4943792999999999</v>
          </cell>
          <cell r="N4720">
            <v>0</v>
          </cell>
          <cell r="O4720">
            <v>2.4471300000000001E-2</v>
          </cell>
          <cell r="P4720">
            <v>8.1226099999999996E-2</v>
          </cell>
          <cell r="Q4720">
            <v>9.4988103000000006</v>
          </cell>
          <cell r="R4720">
            <v>0</v>
          </cell>
          <cell r="S4720">
            <v>0</v>
          </cell>
          <cell r="T4720">
            <v>14.942529</v>
          </cell>
          <cell r="U4720">
            <v>63.218390999999997</v>
          </cell>
          <cell r="V4720">
            <v>0</v>
          </cell>
          <cell r="W4720">
            <v>0</v>
          </cell>
          <cell r="X4720">
            <v>0.17762839999999999</v>
          </cell>
          <cell r="Y4720">
            <v>0</v>
          </cell>
          <cell r="Z4720">
            <v>0</v>
          </cell>
          <cell r="AA4720">
            <v>0</v>
          </cell>
          <cell r="AB4720">
            <v>3.9406099999999999E-2</v>
          </cell>
        </row>
        <row r="4721">
          <cell r="A4721">
            <v>73102200</v>
          </cell>
          <cell r="B4721" t="str">
            <v>Carrots, cooked, NS as to form, NS as to fat added in cooking</v>
          </cell>
          <cell r="I4721">
            <v>85</v>
          </cell>
          <cell r="J4721">
            <v>47.307653000000002</v>
          </cell>
          <cell r="K4721">
            <v>0.55656062352941182</v>
          </cell>
          <cell r="L4721">
            <v>2.6990884999999998</v>
          </cell>
          <cell r="M4721">
            <v>1.0427369</v>
          </cell>
          <cell r="N4721">
            <v>0</v>
          </cell>
          <cell r="O4721">
            <v>2.9365200000000001E-2</v>
          </cell>
          <cell r="P4721">
            <v>0</v>
          </cell>
          <cell r="Q4721">
            <v>0.60212469999999996</v>
          </cell>
          <cell r="R4721">
            <v>0</v>
          </cell>
          <cell r="S4721">
            <v>0</v>
          </cell>
          <cell r="T4721">
            <v>0</v>
          </cell>
          <cell r="U4721">
            <v>81.790560999999997</v>
          </cell>
          <cell r="V4721">
            <v>0</v>
          </cell>
          <cell r="W4721">
            <v>0</v>
          </cell>
          <cell r="X4721">
            <v>0.28279569999999998</v>
          </cell>
          <cell r="Y4721">
            <v>0</v>
          </cell>
          <cell r="Z4721">
            <v>0</v>
          </cell>
          <cell r="AA4721">
            <v>0</v>
          </cell>
          <cell r="AB4721">
            <v>9.0932200000000005E-2</v>
          </cell>
        </row>
        <row r="4722">
          <cell r="A4722">
            <v>73102201</v>
          </cell>
          <cell r="B4722" t="str">
            <v>Carrots, cooked, from fresh, NS as to fat added in cooking</v>
          </cell>
          <cell r="I4722">
            <v>85</v>
          </cell>
          <cell r="J4722">
            <v>44.761620000000001</v>
          </cell>
          <cell r="K4722">
            <v>0.52660729411764706</v>
          </cell>
          <cell r="L4722">
            <v>2.4592211000000002</v>
          </cell>
          <cell r="M4722">
            <v>0.91518010000000005</v>
          </cell>
          <cell r="N4722">
            <v>0</v>
          </cell>
          <cell r="O4722">
            <v>2.5288499999999998E-2</v>
          </cell>
          <cell r="P4722">
            <v>0</v>
          </cell>
          <cell r="Q4722">
            <v>0.38309609999999999</v>
          </cell>
          <cell r="R4722">
            <v>0</v>
          </cell>
          <cell r="S4722">
            <v>0</v>
          </cell>
          <cell r="T4722">
            <v>0</v>
          </cell>
          <cell r="U4722">
            <v>81.974037999999993</v>
          </cell>
          <cell r="V4722">
            <v>0</v>
          </cell>
          <cell r="W4722">
            <v>0</v>
          </cell>
          <cell r="X4722">
            <v>0.26867609999999997</v>
          </cell>
          <cell r="Y4722">
            <v>0</v>
          </cell>
          <cell r="Z4722">
            <v>0</v>
          </cell>
          <cell r="AA4722">
            <v>0</v>
          </cell>
          <cell r="AB4722">
            <v>8.5733799999999999E-2</v>
          </cell>
        </row>
        <row r="4723">
          <cell r="A4723">
            <v>73102203</v>
          </cell>
          <cell r="B4723" t="str">
            <v>Carrots, cooked, from canned, NS as to fat added in cooking</v>
          </cell>
          <cell r="I4723">
            <v>130</v>
          </cell>
          <cell r="J4723">
            <v>53.520690000000002</v>
          </cell>
          <cell r="K4723">
            <v>0.41169761538461541</v>
          </cell>
          <cell r="L4723">
            <v>1.887931</v>
          </cell>
          <cell r="M4723">
            <v>0.54542069999999998</v>
          </cell>
          <cell r="N4723">
            <v>0</v>
          </cell>
          <cell r="O4723">
            <v>3.2334500000000002E-2</v>
          </cell>
          <cell r="P4723">
            <v>0</v>
          </cell>
          <cell r="Q4723">
            <v>1.2113931</v>
          </cell>
          <cell r="R4723">
            <v>0</v>
          </cell>
          <cell r="S4723">
            <v>0</v>
          </cell>
          <cell r="T4723">
            <v>0</v>
          </cell>
          <cell r="U4723">
            <v>125.86207</v>
          </cell>
          <cell r="V4723">
            <v>0</v>
          </cell>
          <cell r="W4723">
            <v>0</v>
          </cell>
          <cell r="X4723">
            <v>0.33108969999999999</v>
          </cell>
          <cell r="Y4723">
            <v>0</v>
          </cell>
          <cell r="Z4723">
            <v>0</v>
          </cell>
          <cell r="AA4723">
            <v>0</v>
          </cell>
          <cell r="AB4723">
            <v>0.1396249</v>
          </cell>
        </row>
        <row r="4724">
          <cell r="A4724">
            <v>73102210</v>
          </cell>
          <cell r="B4724" t="str">
            <v>Carrots, cooked, NS as to form, fat not added in cooking</v>
          </cell>
          <cell r="I4724">
            <v>85</v>
          </cell>
          <cell r="J4724">
            <v>31.236053999999999</v>
          </cell>
          <cell r="K4724">
            <v>0.36748298823529413</v>
          </cell>
          <cell r="L4724">
            <v>2.7859183999999999</v>
          </cell>
          <cell r="M4724">
            <v>0.1013061</v>
          </cell>
          <cell r="N4724">
            <v>0</v>
          </cell>
          <cell r="O4724">
            <v>2.9686400000000002E-2</v>
          </cell>
          <cell r="P4724">
            <v>0</v>
          </cell>
          <cell r="Q4724">
            <v>0.28196870000000002</v>
          </cell>
          <cell r="R4724">
            <v>0</v>
          </cell>
          <cell r="S4724">
            <v>0</v>
          </cell>
          <cell r="T4724">
            <v>0</v>
          </cell>
          <cell r="U4724">
            <v>84.421768999999998</v>
          </cell>
          <cell r="V4724">
            <v>0</v>
          </cell>
          <cell r="W4724">
            <v>0</v>
          </cell>
          <cell r="X4724">
            <v>0.27391969999999999</v>
          </cell>
          <cell r="Y4724">
            <v>0</v>
          </cell>
          <cell r="Z4724">
            <v>0</v>
          </cell>
          <cell r="AA4724">
            <v>0</v>
          </cell>
          <cell r="AB4724">
            <v>0</v>
          </cell>
        </row>
        <row r="4725">
          <cell r="A4725">
            <v>73102211</v>
          </cell>
          <cell r="B4725" t="str">
            <v>Carrots, cooked, from fresh, fat not added in cooking</v>
          </cell>
          <cell r="I4725">
            <v>85</v>
          </cell>
          <cell r="J4725">
            <v>29.559539000000001</v>
          </cell>
          <cell r="K4725">
            <v>0.34775928235294118</v>
          </cell>
          <cell r="L4725">
            <v>2.5336748</v>
          </cell>
          <cell r="M4725">
            <v>2.53367E-2</v>
          </cell>
          <cell r="N4725">
            <v>0</v>
          </cell>
          <cell r="O4725">
            <v>2.5467299999999998E-2</v>
          </cell>
          <cell r="P4725">
            <v>0</v>
          </cell>
          <cell r="Q4725">
            <v>7.5165700000000002E-2</v>
          </cell>
          <cell r="R4725">
            <v>0</v>
          </cell>
          <cell r="S4725">
            <v>0</v>
          </cell>
          <cell r="T4725">
            <v>0</v>
          </cell>
          <cell r="U4725">
            <v>84.455826000000002</v>
          </cell>
          <cell r="V4725">
            <v>0</v>
          </cell>
          <cell r="W4725">
            <v>0</v>
          </cell>
          <cell r="X4725">
            <v>0.2598954</v>
          </cell>
          <cell r="Y4725">
            <v>0</v>
          </cell>
          <cell r="Z4725">
            <v>0</v>
          </cell>
          <cell r="AA4725">
            <v>0</v>
          </cell>
          <cell r="AB4725">
            <v>0</v>
          </cell>
        </row>
        <row r="4726">
          <cell r="A4726">
            <v>73102212</v>
          </cell>
          <cell r="B4726" t="str">
            <v>Carrots, cooked, from frozen, fat not added in cooking</v>
          </cell>
          <cell r="I4726">
            <v>85</v>
          </cell>
          <cell r="J4726">
            <v>31.236053999999999</v>
          </cell>
          <cell r="K4726">
            <v>0.36748298823529413</v>
          </cell>
          <cell r="L4726">
            <v>2.7859183999999999</v>
          </cell>
          <cell r="M4726">
            <v>0.1013061</v>
          </cell>
          <cell r="N4726">
            <v>0</v>
          </cell>
          <cell r="O4726">
            <v>2.9686400000000002E-2</v>
          </cell>
          <cell r="P4726">
            <v>0</v>
          </cell>
          <cell r="Q4726">
            <v>0.28196870000000002</v>
          </cell>
          <cell r="R4726">
            <v>0</v>
          </cell>
          <cell r="S4726">
            <v>0</v>
          </cell>
          <cell r="T4726">
            <v>0</v>
          </cell>
          <cell r="U4726">
            <v>84.421768999999998</v>
          </cell>
          <cell r="V4726">
            <v>0</v>
          </cell>
          <cell r="W4726">
            <v>0</v>
          </cell>
          <cell r="X4726">
            <v>0.27391969999999999</v>
          </cell>
          <cell r="Y4726">
            <v>0</v>
          </cell>
          <cell r="Z4726">
            <v>0</v>
          </cell>
          <cell r="AA4726">
            <v>0</v>
          </cell>
          <cell r="AB4726">
            <v>0</v>
          </cell>
        </row>
        <row r="4727">
          <cell r="A4727">
            <v>73102213</v>
          </cell>
          <cell r="B4727" t="str">
            <v>Carrots, cooked, from canned, fat not added in cooking</v>
          </cell>
          <cell r="I4727">
            <v>130</v>
          </cell>
          <cell r="J4727">
            <v>32.411202000000003</v>
          </cell>
          <cell r="K4727">
            <v>0.24931693846153849</v>
          </cell>
          <cell r="L4727">
            <v>1.9446721</v>
          </cell>
          <cell r="M4727">
            <v>4.6672100000000001E-2</v>
          </cell>
          <cell r="N4727">
            <v>0</v>
          </cell>
          <cell r="O4727">
            <v>3.2496400000000002E-2</v>
          </cell>
          <cell r="P4727">
            <v>0</v>
          </cell>
          <cell r="Q4727">
            <v>0.1192732</v>
          </cell>
          <cell r="R4727">
            <v>0</v>
          </cell>
          <cell r="S4727">
            <v>0</v>
          </cell>
          <cell r="T4727">
            <v>0</v>
          </cell>
          <cell r="U4727">
            <v>129.64481000000001</v>
          </cell>
          <cell r="V4727">
            <v>0</v>
          </cell>
          <cell r="W4727">
            <v>0</v>
          </cell>
          <cell r="X4727">
            <v>0.45140550000000002</v>
          </cell>
          <cell r="Y4727">
            <v>0</v>
          </cell>
          <cell r="Z4727">
            <v>0</v>
          </cell>
          <cell r="AA4727">
            <v>0</v>
          </cell>
          <cell r="AB4727">
            <v>0</v>
          </cell>
        </row>
        <row r="4728">
          <cell r="A4728">
            <v>73102214</v>
          </cell>
          <cell r="B4728" t="str">
            <v>Carrots, cooked, NS as to form, made with oil</v>
          </cell>
          <cell r="I4728">
            <v>85</v>
          </cell>
          <cell r="J4728">
            <v>52.861490000000003</v>
          </cell>
          <cell r="K4728">
            <v>0.62189988235294125</v>
          </cell>
          <cell r="L4728">
            <v>2.7024191000000002</v>
          </cell>
          <cell r="M4728">
            <v>0.44669500000000001</v>
          </cell>
          <cell r="N4728">
            <v>0</v>
          </cell>
          <cell r="O4728">
            <v>2.8802999999999999E-2</v>
          </cell>
          <cell r="P4728">
            <v>0</v>
          </cell>
          <cell r="Q4728">
            <v>1.322872</v>
          </cell>
          <cell r="R4728">
            <v>0</v>
          </cell>
          <cell r="S4728">
            <v>0</v>
          </cell>
          <cell r="T4728">
            <v>0</v>
          </cell>
          <cell r="U4728">
            <v>81.891489000000007</v>
          </cell>
          <cell r="V4728">
            <v>0</v>
          </cell>
          <cell r="W4728">
            <v>0</v>
          </cell>
          <cell r="X4728">
            <v>0.26572259999999998</v>
          </cell>
          <cell r="Y4728">
            <v>0</v>
          </cell>
          <cell r="Z4728">
            <v>0</v>
          </cell>
          <cell r="AA4728">
            <v>0</v>
          </cell>
          <cell r="AB4728">
            <v>1.5384399999999999E-2</v>
          </cell>
        </row>
        <row r="4729">
          <cell r="A4729">
            <v>73102215</v>
          </cell>
          <cell r="B4729" t="str">
            <v>Carrots, cooked, NS as to form, made with butter</v>
          </cell>
          <cell r="I4729">
            <v>85</v>
          </cell>
          <cell r="J4729">
            <v>49.257486</v>
          </cell>
          <cell r="K4729">
            <v>0.57949983529411764</v>
          </cell>
          <cell r="L4729">
            <v>2.6990884999999998</v>
          </cell>
          <cell r="M4729">
            <v>1.4590050999999999</v>
          </cell>
          <cell r="N4729">
            <v>0</v>
          </cell>
          <cell r="O4729">
            <v>2.9397E-2</v>
          </cell>
          <cell r="P4729">
            <v>0</v>
          </cell>
          <cell r="Q4729">
            <v>0.35379650000000001</v>
          </cell>
          <cell r="R4729">
            <v>0</v>
          </cell>
          <cell r="S4729">
            <v>0</v>
          </cell>
          <cell r="T4729">
            <v>0</v>
          </cell>
          <cell r="U4729">
            <v>81.790560999999997</v>
          </cell>
          <cell r="V4729">
            <v>0</v>
          </cell>
          <cell r="W4729">
            <v>0</v>
          </cell>
          <cell r="X4729">
            <v>0.28241690000000003</v>
          </cell>
          <cell r="Y4729">
            <v>0</v>
          </cell>
          <cell r="Z4729">
            <v>0</v>
          </cell>
          <cell r="AA4729">
            <v>0</v>
          </cell>
          <cell r="AB4729">
            <v>8.6841799999999997E-2</v>
          </cell>
        </row>
        <row r="4730">
          <cell r="A4730">
            <v>73102217</v>
          </cell>
          <cell r="B4730" t="str">
            <v>Carrots, cooked, from fresh, made with oil</v>
          </cell>
          <cell r="I4730">
            <v>85</v>
          </cell>
          <cell r="J4730">
            <v>49.994624000000002</v>
          </cell>
          <cell r="K4730">
            <v>0.58817204705882353</v>
          </cell>
          <cell r="L4730">
            <v>2.4620820999999999</v>
          </cell>
          <cell r="M4730">
            <v>0.35310409999999998</v>
          </cell>
          <cell r="N4730">
            <v>0</v>
          </cell>
          <cell r="O4730">
            <v>2.47537E-2</v>
          </cell>
          <cell r="P4730">
            <v>0</v>
          </cell>
          <cell r="Q4730">
            <v>1.0623368</v>
          </cell>
          <cell r="R4730">
            <v>0</v>
          </cell>
          <cell r="S4730">
            <v>0</v>
          </cell>
          <cell r="T4730">
            <v>0</v>
          </cell>
          <cell r="U4730">
            <v>82.069402999999994</v>
          </cell>
          <cell r="V4730">
            <v>0</v>
          </cell>
          <cell r="W4730">
            <v>0</v>
          </cell>
          <cell r="X4730">
            <v>0.2525637</v>
          </cell>
          <cell r="Y4730">
            <v>0</v>
          </cell>
          <cell r="Z4730">
            <v>0</v>
          </cell>
          <cell r="AA4730">
            <v>0</v>
          </cell>
          <cell r="AB4730">
            <v>1.1593300000000001E-2</v>
          </cell>
        </row>
        <row r="4731">
          <cell r="A4731">
            <v>73102218</v>
          </cell>
          <cell r="B4731" t="str">
            <v>Carrots, cooked, from fresh, made with butter</v>
          </cell>
          <cell r="I4731">
            <v>85</v>
          </cell>
          <cell r="J4731">
            <v>46.599984999999997</v>
          </cell>
          <cell r="K4731">
            <v>0.54823511764705879</v>
          </cell>
          <cell r="L4731">
            <v>2.4592211000000002</v>
          </cell>
          <cell r="M4731">
            <v>1.3076511</v>
          </cell>
          <cell r="N4731">
            <v>0</v>
          </cell>
          <cell r="O4731">
            <v>2.5318400000000001E-2</v>
          </cell>
          <cell r="P4731">
            <v>0</v>
          </cell>
          <cell r="Q4731">
            <v>0.14896429999999999</v>
          </cell>
          <cell r="R4731">
            <v>0</v>
          </cell>
          <cell r="S4731">
            <v>0</v>
          </cell>
          <cell r="T4731">
            <v>0</v>
          </cell>
          <cell r="U4731">
            <v>81.974037999999993</v>
          </cell>
          <cell r="V4731">
            <v>0</v>
          </cell>
          <cell r="W4731">
            <v>0</v>
          </cell>
          <cell r="X4731">
            <v>0.26831890000000003</v>
          </cell>
          <cell r="Y4731">
            <v>0</v>
          </cell>
          <cell r="Z4731">
            <v>0</v>
          </cell>
          <cell r="AA4731">
            <v>0</v>
          </cell>
          <cell r="AB4731">
            <v>8.1877199999999997E-2</v>
          </cell>
        </row>
        <row r="4732">
          <cell r="A4732">
            <v>73102219</v>
          </cell>
          <cell r="B4732" t="str">
            <v>Carrots, cooked, from fresh, made with margarine</v>
          </cell>
          <cell r="I4732">
            <v>85</v>
          </cell>
          <cell r="J4732">
            <v>42.111322000000001</v>
          </cell>
          <cell r="K4732">
            <v>0.49542731764705883</v>
          </cell>
          <cell r="L4732">
            <v>2.4585794999999999</v>
          </cell>
          <cell r="M4732">
            <v>0.329069</v>
          </cell>
          <cell r="N4732">
            <v>0</v>
          </cell>
          <cell r="O4732">
            <v>2.5241599999999999E-2</v>
          </cell>
          <cell r="P4732">
            <v>0</v>
          </cell>
          <cell r="Q4732">
            <v>0.73997420000000003</v>
          </cell>
          <cell r="R4732">
            <v>0</v>
          </cell>
          <cell r="S4732">
            <v>0</v>
          </cell>
          <cell r="T4732">
            <v>0</v>
          </cell>
          <cell r="U4732">
            <v>81.952650000000006</v>
          </cell>
          <cell r="V4732">
            <v>0</v>
          </cell>
          <cell r="W4732">
            <v>0</v>
          </cell>
          <cell r="X4732">
            <v>0.26918510000000001</v>
          </cell>
          <cell r="Y4732">
            <v>0</v>
          </cell>
          <cell r="Z4732">
            <v>0</v>
          </cell>
          <cell r="AA4732">
            <v>0</v>
          </cell>
          <cell r="AB4732">
            <v>9.2307299999999995E-2</v>
          </cell>
        </row>
        <row r="4733">
          <cell r="A4733">
            <v>73102220</v>
          </cell>
          <cell r="B4733" t="str">
            <v>Carrots, cooked, NS as to form, fat added in cooking, NS as to type of fat</v>
          </cell>
          <cell r="I4733">
            <v>85</v>
          </cell>
          <cell r="J4733">
            <v>47.307653000000002</v>
          </cell>
          <cell r="K4733">
            <v>0.55656062352941182</v>
          </cell>
          <cell r="L4733">
            <v>2.6990884999999998</v>
          </cell>
          <cell r="M4733">
            <v>1.0427369</v>
          </cell>
          <cell r="N4733">
            <v>0</v>
          </cell>
          <cell r="O4733">
            <v>2.9365200000000001E-2</v>
          </cell>
          <cell r="P4733">
            <v>0</v>
          </cell>
          <cell r="Q4733">
            <v>0.60212469999999996</v>
          </cell>
          <cell r="R4733">
            <v>0</v>
          </cell>
          <cell r="S4733">
            <v>0</v>
          </cell>
          <cell r="T4733">
            <v>0</v>
          </cell>
          <cell r="U4733">
            <v>81.790560999999997</v>
          </cell>
          <cell r="V4733">
            <v>0</v>
          </cell>
          <cell r="W4733">
            <v>0</v>
          </cell>
          <cell r="X4733">
            <v>0.28279569999999998</v>
          </cell>
          <cell r="Y4733">
            <v>0</v>
          </cell>
          <cell r="Z4733">
            <v>0</v>
          </cell>
          <cell r="AA4733">
            <v>0</v>
          </cell>
          <cell r="AB4733">
            <v>9.0932200000000005E-2</v>
          </cell>
        </row>
        <row r="4734">
          <cell r="A4734">
            <v>73102221</v>
          </cell>
          <cell r="B4734" t="str">
            <v>Carrots, cooked, from fresh, fat added in cooking, NS as to type of fat</v>
          </cell>
          <cell r="I4734">
            <v>85</v>
          </cell>
          <cell r="J4734">
            <v>44.761620000000001</v>
          </cell>
          <cell r="K4734">
            <v>0.52660729411764706</v>
          </cell>
          <cell r="L4734">
            <v>2.4592211000000002</v>
          </cell>
          <cell r="M4734">
            <v>0.91518010000000005</v>
          </cell>
          <cell r="N4734">
            <v>0</v>
          </cell>
          <cell r="O4734">
            <v>2.5288499999999998E-2</v>
          </cell>
          <cell r="P4734">
            <v>0</v>
          </cell>
          <cell r="Q4734">
            <v>0.38309609999999999</v>
          </cell>
          <cell r="R4734">
            <v>0</v>
          </cell>
          <cell r="S4734">
            <v>0</v>
          </cell>
          <cell r="T4734">
            <v>0</v>
          </cell>
          <cell r="U4734">
            <v>81.974037999999993</v>
          </cell>
          <cell r="V4734">
            <v>0</v>
          </cell>
          <cell r="W4734">
            <v>0</v>
          </cell>
          <cell r="X4734">
            <v>0.26867609999999997</v>
          </cell>
          <cell r="Y4734">
            <v>0</v>
          </cell>
          <cell r="Z4734">
            <v>0</v>
          </cell>
          <cell r="AA4734">
            <v>0</v>
          </cell>
          <cell r="AB4734">
            <v>8.5733799999999999E-2</v>
          </cell>
        </row>
        <row r="4735">
          <cell r="A4735">
            <v>73102222</v>
          </cell>
          <cell r="B4735" t="str">
            <v>Carrots, cooked, from frozen, fat added in cooking</v>
          </cell>
          <cell r="I4735">
            <v>85</v>
          </cell>
          <cell r="J4735">
            <v>44.585793000000002</v>
          </cell>
          <cell r="K4735">
            <v>0.52453874117647059</v>
          </cell>
          <cell r="L4735">
            <v>2.6985372000000001</v>
          </cell>
          <cell r="M4735">
            <v>0.42305540000000003</v>
          </cell>
          <cell r="N4735">
            <v>0</v>
          </cell>
          <cell r="O4735">
            <v>2.93145E-2</v>
          </cell>
          <cell r="P4735">
            <v>0</v>
          </cell>
          <cell r="Q4735">
            <v>0.98494700000000002</v>
          </cell>
          <cell r="R4735">
            <v>0</v>
          </cell>
          <cell r="S4735">
            <v>0</v>
          </cell>
          <cell r="T4735">
            <v>0</v>
          </cell>
          <cell r="U4735">
            <v>81.773853000000003</v>
          </cell>
          <cell r="V4735">
            <v>0</v>
          </cell>
          <cell r="W4735">
            <v>0</v>
          </cell>
          <cell r="X4735">
            <v>0.27386440000000001</v>
          </cell>
          <cell r="Y4735">
            <v>0</v>
          </cell>
          <cell r="Z4735">
            <v>0</v>
          </cell>
          <cell r="AA4735">
            <v>0</v>
          </cell>
          <cell r="AB4735">
            <v>9.0932200000000005E-2</v>
          </cell>
        </row>
        <row r="4736">
          <cell r="A4736">
            <v>73102223</v>
          </cell>
          <cell r="B4736" t="str">
            <v>Carrots, cooked, from canned, fat added in cooking</v>
          </cell>
          <cell r="I4736">
            <v>130</v>
          </cell>
          <cell r="J4736">
            <v>53.520690000000002</v>
          </cell>
          <cell r="K4736">
            <v>0.41169761538461541</v>
          </cell>
          <cell r="L4736">
            <v>1.887931</v>
          </cell>
          <cell r="M4736">
            <v>0.54542069999999998</v>
          </cell>
          <cell r="N4736">
            <v>0</v>
          </cell>
          <cell r="O4736">
            <v>3.2334500000000002E-2</v>
          </cell>
          <cell r="P4736">
            <v>0</v>
          </cell>
          <cell r="Q4736">
            <v>1.2113931</v>
          </cell>
          <cell r="R4736">
            <v>0</v>
          </cell>
          <cell r="S4736">
            <v>0</v>
          </cell>
          <cell r="T4736">
            <v>0</v>
          </cell>
          <cell r="U4736">
            <v>125.86207</v>
          </cell>
          <cell r="V4736">
            <v>0</v>
          </cell>
          <cell r="W4736">
            <v>0</v>
          </cell>
          <cell r="X4736">
            <v>0.33108969999999999</v>
          </cell>
          <cell r="Y4736">
            <v>0</v>
          </cell>
          <cell r="Z4736">
            <v>0</v>
          </cell>
          <cell r="AA4736">
            <v>0</v>
          </cell>
          <cell r="AB4736">
            <v>0.1396249</v>
          </cell>
        </row>
        <row r="4737">
          <cell r="A4737">
            <v>73102224</v>
          </cell>
          <cell r="B4737" t="str">
            <v>Carrots, cooked, from frozen, made with oil</v>
          </cell>
          <cell r="I4737">
            <v>85</v>
          </cell>
          <cell r="J4737">
            <v>52.861490000000003</v>
          </cell>
          <cell r="K4737">
            <v>0.62189988235294125</v>
          </cell>
          <cell r="L4737">
            <v>2.7024191000000002</v>
          </cell>
          <cell r="M4737">
            <v>0.44669500000000001</v>
          </cell>
          <cell r="N4737">
            <v>0</v>
          </cell>
          <cell r="O4737">
            <v>2.8802999999999999E-2</v>
          </cell>
          <cell r="P4737">
            <v>0</v>
          </cell>
          <cell r="Q4737">
            <v>1.322872</v>
          </cell>
          <cell r="R4737">
            <v>0</v>
          </cell>
          <cell r="S4737">
            <v>0</v>
          </cell>
          <cell r="T4737">
            <v>0</v>
          </cell>
          <cell r="U4737">
            <v>81.891489000000007</v>
          </cell>
          <cell r="V4737">
            <v>0</v>
          </cell>
          <cell r="W4737">
            <v>0</v>
          </cell>
          <cell r="X4737">
            <v>0.26572259999999998</v>
          </cell>
          <cell r="Y4737">
            <v>0</v>
          </cell>
          <cell r="Z4737">
            <v>0</v>
          </cell>
          <cell r="AA4737">
            <v>0</v>
          </cell>
          <cell r="AB4737">
            <v>1.73279E-2</v>
          </cell>
        </row>
        <row r="4738">
          <cell r="A4738">
            <v>73102225</v>
          </cell>
          <cell r="B4738" t="str">
            <v>Carrots, cooked, from frozen, made with butter</v>
          </cell>
          <cell r="I4738">
            <v>85</v>
          </cell>
          <cell r="J4738">
            <v>49.257486</v>
          </cell>
          <cell r="K4738">
            <v>0.57949983529411764</v>
          </cell>
          <cell r="L4738">
            <v>2.6990884999999998</v>
          </cell>
          <cell r="M4738">
            <v>1.4590050999999999</v>
          </cell>
          <cell r="N4738">
            <v>0</v>
          </cell>
          <cell r="O4738">
            <v>2.9397E-2</v>
          </cell>
          <cell r="P4738">
            <v>0</v>
          </cell>
          <cell r="Q4738">
            <v>0.35379650000000001</v>
          </cell>
          <cell r="R4738">
            <v>0</v>
          </cell>
          <cell r="S4738">
            <v>0</v>
          </cell>
          <cell r="T4738">
            <v>0</v>
          </cell>
          <cell r="U4738">
            <v>81.790560999999997</v>
          </cell>
          <cell r="V4738">
            <v>0</v>
          </cell>
          <cell r="W4738">
            <v>0</v>
          </cell>
          <cell r="X4738">
            <v>0.28241690000000003</v>
          </cell>
          <cell r="Y4738">
            <v>0</v>
          </cell>
          <cell r="Z4738">
            <v>0</v>
          </cell>
          <cell r="AA4738">
            <v>0</v>
          </cell>
          <cell r="AB4738">
            <v>8.6841799999999997E-2</v>
          </cell>
        </row>
        <row r="4739">
          <cell r="A4739">
            <v>73102228</v>
          </cell>
          <cell r="B4739" t="str">
            <v>Carrots, cooked, from canned, made with butter</v>
          </cell>
          <cell r="I4739">
            <v>130</v>
          </cell>
          <cell r="J4739">
            <v>60.563498000000003</v>
          </cell>
          <cell r="K4739">
            <v>0.46587306153846159</v>
          </cell>
          <cell r="L4739">
            <v>1.8838211</v>
          </cell>
          <cell r="M4739">
            <v>2.1347844999999999</v>
          </cell>
          <cell r="N4739">
            <v>0</v>
          </cell>
          <cell r="O4739">
            <v>3.2455900000000003E-2</v>
          </cell>
          <cell r="P4739">
            <v>0</v>
          </cell>
          <cell r="Q4739">
            <v>0.2393257</v>
          </cell>
          <cell r="R4739">
            <v>0</v>
          </cell>
          <cell r="S4739">
            <v>0</v>
          </cell>
          <cell r="T4739">
            <v>0</v>
          </cell>
          <cell r="U4739">
            <v>125.58807</v>
          </cell>
          <cell r="V4739">
            <v>0</v>
          </cell>
          <cell r="W4739">
            <v>0</v>
          </cell>
          <cell r="X4739">
            <v>0.46343669999999998</v>
          </cell>
          <cell r="Y4739">
            <v>0</v>
          </cell>
          <cell r="Z4739">
            <v>0</v>
          </cell>
          <cell r="AA4739">
            <v>0</v>
          </cell>
          <cell r="AB4739">
            <v>0.13334409999999999</v>
          </cell>
        </row>
        <row r="4740">
          <cell r="A4740">
            <v>73102229</v>
          </cell>
          <cell r="B4740" t="str">
            <v>Carrots, cooked, from canned, made with margarine</v>
          </cell>
          <cell r="I4740">
            <v>130</v>
          </cell>
          <cell r="J4740">
            <v>53.256417999999996</v>
          </cell>
          <cell r="K4740">
            <v>0.40966475384615381</v>
          </cell>
          <cell r="L4740">
            <v>1.8832977</v>
          </cell>
          <cell r="M4740">
            <v>0.54106799999999999</v>
          </cell>
          <cell r="N4740">
            <v>0</v>
          </cell>
          <cell r="O4740">
            <v>3.2332399999999997E-2</v>
          </cell>
          <cell r="P4740">
            <v>0</v>
          </cell>
          <cell r="Q4740">
            <v>1.2018171</v>
          </cell>
          <cell r="R4740">
            <v>0</v>
          </cell>
          <cell r="S4740">
            <v>0</v>
          </cell>
          <cell r="T4740">
            <v>0</v>
          </cell>
          <cell r="U4740">
            <v>125.55318</v>
          </cell>
          <cell r="V4740">
            <v>0</v>
          </cell>
          <cell r="W4740">
            <v>0</v>
          </cell>
          <cell r="X4740">
            <v>0.46483259999999998</v>
          </cell>
          <cell r="Y4740">
            <v>0</v>
          </cell>
          <cell r="Z4740">
            <v>0</v>
          </cell>
          <cell r="AA4740">
            <v>0</v>
          </cell>
          <cell r="AB4740">
            <v>0.15032799999999999</v>
          </cell>
        </row>
        <row r="4741">
          <cell r="A4741">
            <v>73102230</v>
          </cell>
          <cell r="B4741" t="str">
            <v>Carrots, cooked, NS as to form, creamed</v>
          </cell>
          <cell r="I4741">
            <v>110</v>
          </cell>
          <cell r="J4741">
            <v>96.369564999999994</v>
          </cell>
          <cell r="K4741">
            <v>0.87608695454545449</v>
          </cell>
          <cell r="L4741">
            <v>1.9527634</v>
          </cell>
          <cell r="M4741">
            <v>1.5169381</v>
          </cell>
          <cell r="N4741">
            <v>0</v>
          </cell>
          <cell r="O4741">
            <v>8.0532599999999996E-2</v>
          </cell>
          <cell r="P4741">
            <v>0.1013265</v>
          </cell>
          <cell r="Q4741">
            <v>1.6476249000000001</v>
          </cell>
          <cell r="R4741">
            <v>0</v>
          </cell>
          <cell r="S4741">
            <v>0</v>
          </cell>
          <cell r="T4741">
            <v>0</v>
          </cell>
          <cell r="U4741">
            <v>59.17465</v>
          </cell>
          <cell r="V4741">
            <v>0</v>
          </cell>
          <cell r="W4741">
            <v>0</v>
          </cell>
          <cell r="X4741">
            <v>0.27709620000000001</v>
          </cell>
          <cell r="Y4741">
            <v>0</v>
          </cell>
          <cell r="Z4741">
            <v>0</v>
          </cell>
          <cell r="AA4741">
            <v>0</v>
          </cell>
          <cell r="AB4741">
            <v>0.34933619999999999</v>
          </cell>
        </row>
        <row r="4742">
          <cell r="A4742">
            <v>73102241</v>
          </cell>
          <cell r="B4742" t="str">
            <v>Carrots, cooked, from fresh, glazed</v>
          </cell>
          <cell r="I4742">
            <v>110</v>
          </cell>
          <cell r="J4742">
            <v>88.462048999999993</v>
          </cell>
          <cell r="K4742">
            <v>0.80420044545454539</v>
          </cell>
          <cell r="L4742">
            <v>2.9320067000000001</v>
          </cell>
          <cell r="M4742">
            <v>1.5590472</v>
          </cell>
          <cell r="N4742">
            <v>0</v>
          </cell>
          <cell r="O4742">
            <v>3.7372700000000002E-2</v>
          </cell>
          <cell r="P4742">
            <v>0</v>
          </cell>
          <cell r="Q4742">
            <v>0.1776027</v>
          </cell>
          <cell r="R4742">
            <v>0</v>
          </cell>
          <cell r="S4742">
            <v>0</v>
          </cell>
          <cell r="T4742">
            <v>0</v>
          </cell>
          <cell r="U4742">
            <v>97.733557000000005</v>
          </cell>
          <cell r="V4742">
            <v>0</v>
          </cell>
          <cell r="W4742">
            <v>0</v>
          </cell>
          <cell r="X4742">
            <v>0.32232769999999999</v>
          </cell>
          <cell r="Y4742">
            <v>0</v>
          </cell>
          <cell r="Z4742">
            <v>0</v>
          </cell>
          <cell r="AA4742">
            <v>0</v>
          </cell>
          <cell r="AB4742">
            <v>0.16703100000000001</v>
          </cell>
        </row>
        <row r="4743">
          <cell r="A4743">
            <v>73102242</v>
          </cell>
          <cell r="B4743" t="str">
            <v>Carrots, cooked, from frozen, glazed</v>
          </cell>
          <cell r="I4743">
            <v>110</v>
          </cell>
          <cell r="J4743">
            <v>93.180779999999999</v>
          </cell>
          <cell r="K4743">
            <v>0.84709800000000002</v>
          </cell>
          <cell r="L4743">
            <v>3.2027025</v>
          </cell>
          <cell r="M4743">
            <v>1.731236</v>
          </cell>
          <cell r="N4743">
            <v>0</v>
          </cell>
          <cell r="O4743">
            <v>4.2468400000000003E-2</v>
          </cell>
          <cell r="P4743">
            <v>0</v>
          </cell>
          <cell r="Q4743">
            <v>0.41981030000000003</v>
          </cell>
          <cell r="R4743">
            <v>0</v>
          </cell>
          <cell r="S4743">
            <v>0</v>
          </cell>
          <cell r="T4743">
            <v>0</v>
          </cell>
          <cell r="U4743">
            <v>97.051590000000004</v>
          </cell>
          <cell r="V4743">
            <v>0</v>
          </cell>
          <cell r="W4743">
            <v>0</v>
          </cell>
          <cell r="X4743">
            <v>0.33767140000000001</v>
          </cell>
          <cell r="Y4743">
            <v>0</v>
          </cell>
          <cell r="Z4743">
            <v>0</v>
          </cell>
          <cell r="AA4743">
            <v>0</v>
          </cell>
          <cell r="AB4743">
            <v>0.1405285</v>
          </cell>
        </row>
        <row r="4744">
          <cell r="A4744">
            <v>73103000</v>
          </cell>
          <cell r="B4744" t="str">
            <v>Carrots, canned, low sodium, NS as to fat added in cooking</v>
          </cell>
          <cell r="I4744">
            <v>130</v>
          </cell>
          <cell r="J4744">
            <v>45.111775000000002</v>
          </cell>
          <cell r="K4744">
            <v>0.34701365384615385</v>
          </cell>
          <cell r="L4744">
            <v>2.2958653</v>
          </cell>
          <cell r="M4744">
            <v>0.90485210000000005</v>
          </cell>
          <cell r="N4744">
            <v>0</v>
          </cell>
          <cell r="O4744">
            <v>4.00989E-2</v>
          </cell>
          <cell r="P4744">
            <v>0</v>
          </cell>
          <cell r="Q4744">
            <v>0.391179</v>
          </cell>
          <cell r="R4744">
            <v>0</v>
          </cell>
          <cell r="S4744">
            <v>0</v>
          </cell>
          <cell r="T4744">
            <v>0</v>
          </cell>
          <cell r="U4744">
            <v>127.54807</v>
          </cell>
          <cell r="V4744">
            <v>0</v>
          </cell>
          <cell r="W4744">
            <v>0</v>
          </cell>
          <cell r="X4744">
            <v>5.9482899999999998E-2</v>
          </cell>
          <cell r="Y4744">
            <v>0</v>
          </cell>
          <cell r="Z4744">
            <v>0</v>
          </cell>
          <cell r="AA4744">
            <v>0</v>
          </cell>
          <cell r="AB4744">
            <v>8.4160100000000002E-2</v>
          </cell>
        </row>
        <row r="4745">
          <cell r="A4745">
            <v>73103010</v>
          </cell>
          <cell r="B4745" t="str">
            <v>Carrots, canned, low sodium, fat not added in cooking</v>
          </cell>
          <cell r="I4745">
            <v>130</v>
          </cell>
          <cell r="J4745">
            <v>29.9</v>
          </cell>
          <cell r="K4745">
            <v>0.22999999999999998</v>
          </cell>
          <cell r="L4745">
            <v>2.34</v>
          </cell>
          <cell r="M4745">
            <v>3.1199999999999999E-2</v>
          </cell>
          <cell r="N4745">
            <v>0</v>
          </cell>
          <cell r="O4745">
            <v>4.0300000000000002E-2</v>
          </cell>
          <cell r="P4745">
            <v>0</v>
          </cell>
          <cell r="Q4745">
            <v>8.8400000000000006E-2</v>
          </cell>
          <cell r="R4745">
            <v>0</v>
          </cell>
          <cell r="S4745">
            <v>0</v>
          </cell>
          <cell r="T4745">
            <v>0</v>
          </cell>
          <cell r="U4745">
            <v>130</v>
          </cell>
          <cell r="V4745">
            <v>0</v>
          </cell>
          <cell r="W4745">
            <v>0</v>
          </cell>
          <cell r="X4745">
            <v>4.4200000000000003E-2</v>
          </cell>
          <cell r="Y4745">
            <v>0</v>
          </cell>
          <cell r="Z4745">
            <v>0</v>
          </cell>
          <cell r="AA4745">
            <v>0</v>
          </cell>
          <cell r="AB4745">
            <v>0</v>
          </cell>
        </row>
        <row r="4746">
          <cell r="A4746">
            <v>73103023</v>
          </cell>
          <cell r="B4746" t="str">
            <v>Carrots, canned, low sodium, made with margarine</v>
          </cell>
          <cell r="I4746">
            <v>130</v>
          </cell>
          <cell r="J4746">
            <v>42.513790999999998</v>
          </cell>
          <cell r="K4746">
            <v>0.32702916153846151</v>
          </cell>
          <cell r="L4746">
            <v>2.2954807000000002</v>
          </cell>
          <cell r="M4746">
            <v>0.3295285</v>
          </cell>
          <cell r="N4746">
            <v>0</v>
          </cell>
          <cell r="O4746">
            <v>4.0052699999999997E-2</v>
          </cell>
          <cell r="P4746">
            <v>0</v>
          </cell>
          <cell r="Q4746">
            <v>0.7415718</v>
          </cell>
          <cell r="R4746">
            <v>0</v>
          </cell>
          <cell r="S4746">
            <v>0</v>
          </cell>
          <cell r="T4746">
            <v>0</v>
          </cell>
          <cell r="U4746">
            <v>127.52670999999999</v>
          </cell>
          <cell r="V4746">
            <v>0</v>
          </cell>
          <cell r="W4746">
            <v>0</v>
          </cell>
          <cell r="X4746">
            <v>6.0041400000000002E-2</v>
          </cell>
          <cell r="Y4746">
            <v>0</v>
          </cell>
          <cell r="Z4746">
            <v>0</v>
          </cell>
          <cell r="AA4746">
            <v>0</v>
          </cell>
          <cell r="AB4746">
            <v>9.0621400000000005E-2</v>
          </cell>
        </row>
        <row r="4747">
          <cell r="A4747">
            <v>73105010</v>
          </cell>
          <cell r="B4747" t="str">
            <v>Carrot juice, 100%</v>
          </cell>
          <cell r="I4747">
            <v>240</v>
          </cell>
          <cell r="J4747">
            <v>96</v>
          </cell>
          <cell r="K4747">
            <v>0.4</v>
          </cell>
          <cell r="L4747">
            <v>0</v>
          </cell>
          <cell r="M4747">
            <v>6.4799999999999996E-2</v>
          </cell>
          <cell r="N4747">
            <v>0</v>
          </cell>
          <cell r="O4747">
            <v>5.7599999999999998E-2</v>
          </cell>
          <cell r="P4747">
            <v>1.92</v>
          </cell>
          <cell r="Q4747">
            <v>0.1704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0.15840000000000001</v>
          </cell>
          <cell r="Y4747">
            <v>0</v>
          </cell>
          <cell r="Z4747">
            <v>0</v>
          </cell>
          <cell r="AA4747">
            <v>0</v>
          </cell>
          <cell r="AB4747">
            <v>0</v>
          </cell>
        </row>
        <row r="4748">
          <cell r="A4748">
            <v>73111200</v>
          </cell>
          <cell r="B4748" t="str">
            <v>Peas and carrots, cooked, NS as to form, NS as to fat added in cooking</v>
          </cell>
          <cell r="I4748">
            <v>85</v>
          </cell>
          <cell r="J4748">
            <v>54.994858000000001</v>
          </cell>
          <cell r="K4748">
            <v>0.64699832941176472</v>
          </cell>
          <cell r="L4748">
            <v>1.1151395</v>
          </cell>
          <cell r="M4748">
            <v>0.92798139999999996</v>
          </cell>
          <cell r="N4748">
            <v>0</v>
          </cell>
          <cell r="O4748">
            <v>1.95503E-2</v>
          </cell>
          <cell r="P4748">
            <v>1.4287725</v>
          </cell>
          <cell r="Q4748">
            <v>0.46610059999999998</v>
          </cell>
          <cell r="R4748">
            <v>0</v>
          </cell>
          <cell r="S4748">
            <v>0</v>
          </cell>
          <cell r="T4748">
            <v>0</v>
          </cell>
          <cell r="U4748">
            <v>35.972242999999999</v>
          </cell>
          <cell r="V4748">
            <v>0</v>
          </cell>
          <cell r="W4748">
            <v>0</v>
          </cell>
          <cell r="X4748">
            <v>0.27052850000000001</v>
          </cell>
          <cell r="Y4748">
            <v>0</v>
          </cell>
          <cell r="Z4748">
            <v>0</v>
          </cell>
          <cell r="AA4748">
            <v>0</v>
          </cell>
          <cell r="AB4748">
            <v>8.3250599999999994E-2</v>
          </cell>
        </row>
        <row r="4749">
          <cell r="A4749">
            <v>73111203</v>
          </cell>
          <cell r="B4749" t="str">
            <v>Peas and carrots, cooked, from canned, NS as to fat added in cooking</v>
          </cell>
          <cell r="I4749">
            <v>130</v>
          </cell>
          <cell r="J4749">
            <v>84.852664000000004</v>
          </cell>
          <cell r="K4749">
            <v>0.65271279999999998</v>
          </cell>
          <cell r="L4749">
            <v>0.87262229999999996</v>
          </cell>
          <cell r="M4749">
            <v>1.4615142999999999</v>
          </cell>
          <cell r="N4749">
            <v>0</v>
          </cell>
          <cell r="O4749">
            <v>3.1059099999999999E-2</v>
          </cell>
          <cell r="P4749">
            <v>3.3191522999999998</v>
          </cell>
          <cell r="Q4749">
            <v>0.77547109999999997</v>
          </cell>
          <cell r="R4749">
            <v>0</v>
          </cell>
          <cell r="S4749">
            <v>0</v>
          </cell>
          <cell r="T4749">
            <v>0</v>
          </cell>
          <cell r="U4749">
            <v>58.174818999999999</v>
          </cell>
          <cell r="V4749">
            <v>0</v>
          </cell>
          <cell r="W4749">
            <v>0</v>
          </cell>
          <cell r="X4749">
            <v>0.47402569999999999</v>
          </cell>
          <cell r="Y4749">
            <v>0</v>
          </cell>
          <cell r="Z4749">
            <v>0</v>
          </cell>
          <cell r="AA4749">
            <v>0</v>
          </cell>
          <cell r="AB4749">
            <v>0.12935389999999999</v>
          </cell>
        </row>
        <row r="4750">
          <cell r="A4750">
            <v>73111211</v>
          </cell>
          <cell r="B4750" t="str">
            <v>Peas and carrots, cooked, from fresh, fat not added in cooking</v>
          </cell>
          <cell r="I4750">
            <v>85</v>
          </cell>
          <cell r="J4750">
            <v>50.571247999999997</v>
          </cell>
          <cell r="K4750">
            <v>0.59495585882352942</v>
          </cell>
          <cell r="L4750">
            <v>1.2476670999999999</v>
          </cell>
          <cell r="M4750">
            <v>2.9198000000000002E-2</v>
          </cell>
          <cell r="N4750">
            <v>0</v>
          </cell>
          <cell r="O4750">
            <v>2.4181600000000001E-2</v>
          </cell>
          <cell r="P4750">
            <v>2.3581337000000002</v>
          </cell>
          <cell r="Q4750">
            <v>8.0746799999999994E-2</v>
          </cell>
          <cell r="R4750">
            <v>0</v>
          </cell>
          <cell r="S4750">
            <v>0</v>
          </cell>
          <cell r="T4750">
            <v>0</v>
          </cell>
          <cell r="U4750">
            <v>41.588903000000002</v>
          </cell>
          <cell r="V4750">
            <v>0</v>
          </cell>
          <cell r="W4750">
            <v>0</v>
          </cell>
          <cell r="X4750">
            <v>0.23312720000000001</v>
          </cell>
          <cell r="Y4750">
            <v>0</v>
          </cell>
          <cell r="Z4750">
            <v>0</v>
          </cell>
          <cell r="AA4750">
            <v>0</v>
          </cell>
          <cell r="AB4750">
            <v>0</v>
          </cell>
        </row>
        <row r="4751">
          <cell r="A4751">
            <v>73111212</v>
          </cell>
          <cell r="B4751" t="str">
            <v>Peas and carrots, cooked, from frozen, fat not added in cooking</v>
          </cell>
          <cell r="I4751">
            <v>85</v>
          </cell>
          <cell r="J4751">
            <v>40.546584000000003</v>
          </cell>
          <cell r="K4751">
            <v>0.4770186352941177</v>
          </cell>
          <cell r="L4751">
            <v>1.1478942000000001</v>
          </cell>
          <cell r="M4751">
            <v>6.5043500000000004E-2</v>
          </cell>
          <cell r="N4751">
            <v>0</v>
          </cell>
          <cell r="O4751">
            <v>1.9555300000000001E-2</v>
          </cell>
          <cell r="P4751">
            <v>1.4707394</v>
          </cell>
          <cell r="Q4751">
            <v>0.16978879999999999</v>
          </cell>
          <cell r="R4751">
            <v>0</v>
          </cell>
          <cell r="S4751">
            <v>0</v>
          </cell>
          <cell r="T4751">
            <v>0</v>
          </cell>
          <cell r="U4751">
            <v>37.028843999999999</v>
          </cell>
          <cell r="V4751">
            <v>0</v>
          </cell>
          <cell r="W4751">
            <v>0</v>
          </cell>
          <cell r="X4751">
            <v>0.26206400000000002</v>
          </cell>
          <cell r="Y4751">
            <v>0</v>
          </cell>
          <cell r="Z4751">
            <v>0</v>
          </cell>
          <cell r="AA4751">
            <v>0</v>
          </cell>
          <cell r="AB4751">
            <v>0</v>
          </cell>
        </row>
        <row r="4752">
          <cell r="A4752">
            <v>73111221</v>
          </cell>
          <cell r="B4752" t="str">
            <v>Peas and carrots, cooked, from fresh, fat added in cooking</v>
          </cell>
          <cell r="I4752">
            <v>85</v>
          </cell>
          <cell r="J4752">
            <v>66.309942000000007</v>
          </cell>
          <cell r="K4752">
            <v>0.78011696470588243</v>
          </cell>
          <cell r="L4752">
            <v>0.9692982</v>
          </cell>
          <cell r="M4752">
            <v>0.32946199999999998</v>
          </cell>
          <cell r="N4752">
            <v>0</v>
          </cell>
          <cell r="O4752">
            <v>2.37553E-2</v>
          </cell>
          <cell r="P4752">
            <v>2.7339180999999999</v>
          </cell>
          <cell r="Q4752">
            <v>0.73751169999999999</v>
          </cell>
          <cell r="R4752">
            <v>0</v>
          </cell>
          <cell r="S4752">
            <v>0</v>
          </cell>
          <cell r="T4752">
            <v>0</v>
          </cell>
          <cell r="U4752">
            <v>32.309941999999999</v>
          </cell>
          <cell r="V4752">
            <v>0</v>
          </cell>
          <cell r="W4752">
            <v>0</v>
          </cell>
          <cell r="X4752">
            <v>0.2288066</v>
          </cell>
          <cell r="Y4752">
            <v>0</v>
          </cell>
          <cell r="Z4752">
            <v>0</v>
          </cell>
          <cell r="AA4752">
            <v>0</v>
          </cell>
          <cell r="AB4752">
            <v>8.4473999999999994E-2</v>
          </cell>
        </row>
        <row r="4753">
          <cell r="A4753">
            <v>73111223</v>
          </cell>
          <cell r="B4753" t="str">
            <v>Peas and carrots, cooked, from canned, fat added in cooking</v>
          </cell>
          <cell r="I4753">
            <v>130</v>
          </cell>
          <cell r="J4753">
            <v>86.202905999999999</v>
          </cell>
          <cell r="K4753">
            <v>0.66309927692307691</v>
          </cell>
          <cell r="L4753">
            <v>0.68934620000000002</v>
          </cell>
          <cell r="M4753">
            <v>0.58784239999999999</v>
          </cell>
          <cell r="N4753">
            <v>0</v>
          </cell>
          <cell r="O4753">
            <v>3.0743599999999999E-2</v>
          </cell>
          <cell r="P4753">
            <v>3.9330508000000002</v>
          </cell>
          <cell r="Q4753">
            <v>1.3433785</v>
          </cell>
          <cell r="R4753">
            <v>0</v>
          </cell>
          <cell r="S4753">
            <v>0</v>
          </cell>
          <cell r="T4753">
            <v>0</v>
          </cell>
          <cell r="U4753">
            <v>45.956415999999997</v>
          </cell>
          <cell r="V4753">
            <v>0</v>
          </cell>
          <cell r="W4753">
            <v>0</v>
          </cell>
          <cell r="X4753">
            <v>0.35453489999999999</v>
          </cell>
          <cell r="Y4753">
            <v>0</v>
          </cell>
          <cell r="Z4753">
            <v>0</v>
          </cell>
          <cell r="AA4753">
            <v>0</v>
          </cell>
          <cell r="AB4753">
            <v>0.12935389999999999</v>
          </cell>
        </row>
        <row r="4754">
          <cell r="A4754">
            <v>73111224</v>
          </cell>
          <cell r="B4754" t="str">
            <v>Peas and carrots, cooked, NS as to form, made with oil</v>
          </cell>
          <cell r="I4754">
            <v>85</v>
          </cell>
          <cell r="J4754">
            <v>60.087687000000003</v>
          </cell>
          <cell r="K4754">
            <v>0.70691396470588241</v>
          </cell>
          <cell r="L4754">
            <v>1.1163992</v>
          </cell>
          <cell r="M4754">
            <v>0.38221749999999999</v>
          </cell>
          <cell r="N4754">
            <v>0</v>
          </cell>
          <cell r="O4754">
            <v>1.9024599999999999E-2</v>
          </cell>
          <cell r="P4754">
            <v>1.4303865</v>
          </cell>
          <cell r="Q4754">
            <v>1.1257401</v>
          </cell>
          <cell r="R4754">
            <v>0</v>
          </cell>
          <cell r="S4754">
            <v>0</v>
          </cell>
          <cell r="T4754">
            <v>0</v>
          </cell>
          <cell r="U4754">
            <v>36.012878000000001</v>
          </cell>
          <cell r="V4754">
            <v>0</v>
          </cell>
          <cell r="W4754">
            <v>0</v>
          </cell>
          <cell r="X4754">
            <v>0.25488529999999998</v>
          </cell>
          <cell r="Y4754">
            <v>0</v>
          </cell>
          <cell r="Z4754">
            <v>0</v>
          </cell>
          <cell r="AA4754">
            <v>0</v>
          </cell>
          <cell r="AB4754">
            <v>1.0020299999999999E-2</v>
          </cell>
        </row>
        <row r="4755">
          <cell r="A4755">
            <v>73111227</v>
          </cell>
          <cell r="B4755" t="str">
            <v>Peas and carrots, cooked, from fresh, made with oil</v>
          </cell>
          <cell r="I4755">
            <v>85</v>
          </cell>
          <cell r="J4755">
            <v>60.087687000000003</v>
          </cell>
          <cell r="K4755">
            <v>0.70691396470588241</v>
          </cell>
          <cell r="L4755">
            <v>1.1163992</v>
          </cell>
          <cell r="M4755">
            <v>0.38221749999999999</v>
          </cell>
          <cell r="N4755">
            <v>0</v>
          </cell>
          <cell r="O4755">
            <v>1.9024599999999999E-2</v>
          </cell>
          <cell r="P4755">
            <v>1.4303865</v>
          </cell>
          <cell r="Q4755">
            <v>1.1257401</v>
          </cell>
          <cell r="R4755">
            <v>0</v>
          </cell>
          <cell r="S4755">
            <v>0</v>
          </cell>
          <cell r="T4755">
            <v>0</v>
          </cell>
          <cell r="U4755">
            <v>36.012878000000001</v>
          </cell>
          <cell r="V4755">
            <v>0</v>
          </cell>
          <cell r="W4755">
            <v>0</v>
          </cell>
          <cell r="X4755">
            <v>0.25488529999999998</v>
          </cell>
          <cell r="Y4755">
            <v>0</v>
          </cell>
          <cell r="Z4755">
            <v>0</v>
          </cell>
          <cell r="AA4755">
            <v>0</v>
          </cell>
          <cell r="AB4755">
            <v>9.9687000000000005E-3</v>
          </cell>
        </row>
        <row r="4756">
          <cell r="A4756">
            <v>73111232</v>
          </cell>
          <cell r="B4756" t="str">
            <v>Peas and carrots, cooked, from frozen, made with margarine</v>
          </cell>
          <cell r="I4756">
            <v>85</v>
          </cell>
          <cell r="J4756">
            <v>52.418706999999998</v>
          </cell>
          <cell r="K4756">
            <v>0.61669067058823523</v>
          </cell>
          <cell r="L4756">
            <v>1.114857</v>
          </cell>
          <cell r="M4756">
            <v>0.3588382</v>
          </cell>
          <cell r="N4756">
            <v>0</v>
          </cell>
          <cell r="O4756">
            <v>1.9506200000000001E-2</v>
          </cell>
          <cell r="P4756">
            <v>1.4284105</v>
          </cell>
          <cell r="Q4756">
            <v>0.81262409999999996</v>
          </cell>
          <cell r="R4756">
            <v>0</v>
          </cell>
          <cell r="S4756">
            <v>0</v>
          </cell>
          <cell r="T4756">
            <v>0</v>
          </cell>
          <cell r="U4756">
            <v>35.963129000000002</v>
          </cell>
          <cell r="V4756">
            <v>0</v>
          </cell>
          <cell r="W4756">
            <v>0</v>
          </cell>
          <cell r="X4756">
            <v>0.27102229999999999</v>
          </cell>
          <cell r="Y4756">
            <v>0</v>
          </cell>
          <cell r="Z4756">
            <v>0</v>
          </cell>
          <cell r="AA4756">
            <v>0</v>
          </cell>
          <cell r="AB4756">
            <v>8.9634500000000006E-2</v>
          </cell>
        </row>
        <row r="4757">
          <cell r="A4757">
            <v>73111234</v>
          </cell>
          <cell r="B4757" t="str">
            <v>Peas and carrots, cooked, from canned, made with butter</v>
          </cell>
          <cell r="I4757">
            <v>130</v>
          </cell>
          <cell r="J4757">
            <v>87.626362999999998</v>
          </cell>
          <cell r="K4757">
            <v>0.67404894615384614</v>
          </cell>
          <cell r="L4757">
            <v>0.87262229999999996</v>
          </cell>
          <cell r="M4757">
            <v>2.0536688999999999</v>
          </cell>
          <cell r="N4757">
            <v>0</v>
          </cell>
          <cell r="O4757">
            <v>3.1104400000000001E-2</v>
          </cell>
          <cell r="P4757">
            <v>3.3191522999999998</v>
          </cell>
          <cell r="Q4757">
            <v>0.42221649999999999</v>
          </cell>
          <cell r="R4757">
            <v>0</v>
          </cell>
          <cell r="S4757">
            <v>0</v>
          </cell>
          <cell r="T4757">
            <v>0</v>
          </cell>
          <cell r="U4757">
            <v>58.174818999999999</v>
          </cell>
          <cell r="V4757">
            <v>0</v>
          </cell>
          <cell r="W4757">
            <v>0</v>
          </cell>
          <cell r="X4757">
            <v>0.47348679999999999</v>
          </cell>
          <cell r="Y4757">
            <v>0</v>
          </cell>
          <cell r="Z4757">
            <v>0</v>
          </cell>
          <cell r="AA4757">
            <v>0</v>
          </cell>
          <cell r="AB4757">
            <v>0.12353509999999999</v>
          </cell>
        </row>
        <row r="4758">
          <cell r="A4758">
            <v>73111235</v>
          </cell>
          <cell r="B4758" t="str">
            <v>Peas and carrots, cooked, from canned, made with margarine</v>
          </cell>
          <cell r="I4758">
            <v>130</v>
          </cell>
          <cell r="J4758">
            <v>80.849697000000006</v>
          </cell>
          <cell r="K4758">
            <v>0.62192074615384618</v>
          </cell>
          <cell r="L4758">
            <v>0.87239770000000005</v>
          </cell>
          <cell r="M4758">
            <v>0.57717909999999994</v>
          </cell>
          <cell r="N4758">
            <v>0</v>
          </cell>
          <cell r="O4758">
            <v>3.0990400000000001E-2</v>
          </cell>
          <cell r="P4758">
            <v>3.318298</v>
          </cell>
          <cell r="Q4758">
            <v>1.3138768000000001</v>
          </cell>
          <cell r="R4758">
            <v>0</v>
          </cell>
          <cell r="S4758">
            <v>0</v>
          </cell>
          <cell r="T4758">
            <v>0</v>
          </cell>
          <cell r="U4758">
            <v>58.159844999999997</v>
          </cell>
          <cell r="V4758">
            <v>0</v>
          </cell>
          <cell r="W4758">
            <v>0</v>
          </cell>
          <cell r="X4758">
            <v>0.47477750000000002</v>
          </cell>
          <cell r="Y4758">
            <v>0</v>
          </cell>
          <cell r="Z4758">
            <v>0</v>
          </cell>
          <cell r="AA4758">
            <v>0</v>
          </cell>
          <cell r="AB4758">
            <v>0.13927249999999999</v>
          </cell>
        </row>
        <row r="4759">
          <cell r="A4759">
            <v>73201000</v>
          </cell>
          <cell r="B4759" t="str">
            <v>Pumpkin, cooked, NS as to form, NS as to fat added in cooking</v>
          </cell>
          <cell r="I4759">
            <v>130</v>
          </cell>
          <cell r="J4759">
            <v>41.181635</v>
          </cell>
          <cell r="K4759">
            <v>0.31678180769230768</v>
          </cell>
          <cell r="L4759">
            <v>1.3973253999999999</v>
          </cell>
          <cell r="M4759">
            <v>0.92124159999999999</v>
          </cell>
          <cell r="N4759">
            <v>0</v>
          </cell>
          <cell r="O4759">
            <v>1.9737899999999999E-2</v>
          </cell>
          <cell r="P4759">
            <v>0</v>
          </cell>
          <cell r="Q4759">
            <v>0.30952750000000001</v>
          </cell>
          <cell r="R4759">
            <v>0</v>
          </cell>
          <cell r="S4759">
            <v>0</v>
          </cell>
          <cell r="T4759">
            <v>0</v>
          </cell>
          <cell r="U4759">
            <v>127.02958</v>
          </cell>
          <cell r="V4759">
            <v>0</v>
          </cell>
          <cell r="W4759">
            <v>0</v>
          </cell>
          <cell r="X4759">
            <v>0.21834239999999999</v>
          </cell>
          <cell r="Y4759">
            <v>0</v>
          </cell>
          <cell r="Z4759">
            <v>0</v>
          </cell>
          <cell r="AA4759">
            <v>0</v>
          </cell>
          <cell r="AB4759">
            <v>8.4160100000000002E-2</v>
          </cell>
        </row>
        <row r="4760">
          <cell r="A4760">
            <v>73201011</v>
          </cell>
          <cell r="B4760" t="str">
            <v>Pumpkin, cooked, from fresh, fat not added in cooking</v>
          </cell>
          <cell r="I4760">
            <v>130</v>
          </cell>
          <cell r="J4760">
            <v>25.894309</v>
          </cell>
          <cell r="K4760">
            <v>0.1991869923076923</v>
          </cell>
          <cell r="L4760">
            <v>1.4241870000000001</v>
          </cell>
          <cell r="M4760">
            <v>4.7904500000000003E-2</v>
          </cell>
          <cell r="N4760">
            <v>0</v>
          </cell>
          <cell r="O4760">
            <v>1.9547599999999998E-2</v>
          </cell>
          <cell r="P4760">
            <v>0</v>
          </cell>
          <cell r="Q4760">
            <v>5.1789000000000002E-3</v>
          </cell>
          <cell r="R4760">
            <v>0</v>
          </cell>
          <cell r="S4760">
            <v>0</v>
          </cell>
          <cell r="T4760">
            <v>0</v>
          </cell>
          <cell r="U4760">
            <v>129.47154</v>
          </cell>
          <cell r="V4760">
            <v>0</v>
          </cell>
          <cell r="W4760">
            <v>0</v>
          </cell>
          <cell r="X4760">
            <v>0.2061134</v>
          </cell>
          <cell r="Y4760">
            <v>0</v>
          </cell>
          <cell r="Z4760">
            <v>0</v>
          </cell>
          <cell r="AA4760">
            <v>0</v>
          </cell>
          <cell r="AB4760">
            <v>0</v>
          </cell>
        </row>
        <row r="4761">
          <cell r="A4761">
            <v>73201013</v>
          </cell>
          <cell r="B4761" t="str">
            <v>Pumpkin, cooked, from canned, fat not added in cooking</v>
          </cell>
          <cell r="I4761">
            <v>130</v>
          </cell>
          <cell r="J4761">
            <v>44.020325</v>
          </cell>
          <cell r="K4761">
            <v>0.33861788461538461</v>
          </cell>
          <cell r="L4761">
            <v>3.7546748000000001</v>
          </cell>
          <cell r="M4761">
            <v>0.18902849999999999</v>
          </cell>
          <cell r="N4761">
            <v>0</v>
          </cell>
          <cell r="O4761">
            <v>3.3789399999999997E-2</v>
          </cell>
          <cell r="P4761">
            <v>0</v>
          </cell>
          <cell r="Q4761">
            <v>1.9420699999999999E-2</v>
          </cell>
          <cell r="R4761">
            <v>0</v>
          </cell>
          <cell r="S4761">
            <v>0</v>
          </cell>
          <cell r="T4761">
            <v>0</v>
          </cell>
          <cell r="U4761">
            <v>129.47154</v>
          </cell>
          <cell r="V4761">
            <v>0</v>
          </cell>
          <cell r="W4761">
            <v>0</v>
          </cell>
          <cell r="X4761">
            <v>0.21129229999999999</v>
          </cell>
          <cell r="Y4761">
            <v>0</v>
          </cell>
          <cell r="Z4761">
            <v>0</v>
          </cell>
          <cell r="AA4761">
            <v>0</v>
          </cell>
          <cell r="AB4761">
            <v>0</v>
          </cell>
        </row>
        <row r="4762">
          <cell r="A4762">
            <v>73201021</v>
          </cell>
          <cell r="B4762" t="str">
            <v>Pumpkin, cooked, from fresh, fat added in cooking</v>
          </cell>
          <cell r="I4762">
            <v>130</v>
          </cell>
          <cell r="J4762">
            <v>38.666134999999997</v>
          </cell>
          <cell r="K4762">
            <v>0.29743180769230765</v>
          </cell>
          <cell r="L4762">
            <v>1.3971526999999999</v>
          </cell>
          <cell r="M4762">
            <v>0.34774739999999998</v>
          </cell>
          <cell r="N4762">
            <v>0</v>
          </cell>
          <cell r="O4762">
            <v>1.9694099999999999E-2</v>
          </cell>
          <cell r="P4762">
            <v>0</v>
          </cell>
          <cell r="Q4762">
            <v>0.66394350000000002</v>
          </cell>
          <cell r="R4762">
            <v>0</v>
          </cell>
          <cell r="S4762">
            <v>0</v>
          </cell>
          <cell r="T4762">
            <v>0</v>
          </cell>
          <cell r="U4762">
            <v>127.01388</v>
          </cell>
          <cell r="V4762">
            <v>0</v>
          </cell>
          <cell r="W4762">
            <v>0</v>
          </cell>
          <cell r="X4762">
            <v>0.21010210000000001</v>
          </cell>
          <cell r="Y4762">
            <v>0</v>
          </cell>
          <cell r="Z4762">
            <v>0</v>
          </cell>
          <cell r="AA4762">
            <v>0</v>
          </cell>
          <cell r="AB4762">
            <v>8.4160100000000002E-2</v>
          </cell>
        </row>
        <row r="4763">
          <cell r="A4763">
            <v>73201024</v>
          </cell>
          <cell r="B4763" t="str">
            <v>Pumpkin, cooked, NS as to form, made with oil</v>
          </cell>
          <cell r="I4763">
            <v>130</v>
          </cell>
          <cell r="J4763">
            <v>46.296084999999998</v>
          </cell>
          <cell r="K4763">
            <v>0.35612373076923076</v>
          </cell>
          <cell r="L4763">
            <v>1.3983683</v>
          </cell>
          <cell r="M4763">
            <v>0.3693555</v>
          </cell>
          <cell r="N4763">
            <v>0</v>
          </cell>
          <cell r="O4763">
            <v>1.91991E-2</v>
          </cell>
          <cell r="P4763">
            <v>0</v>
          </cell>
          <cell r="Q4763">
            <v>0.97581640000000003</v>
          </cell>
          <cell r="R4763">
            <v>0</v>
          </cell>
          <cell r="S4763">
            <v>0</v>
          </cell>
          <cell r="T4763">
            <v>0</v>
          </cell>
          <cell r="U4763">
            <v>127.12439000000001</v>
          </cell>
          <cell r="V4763">
            <v>0</v>
          </cell>
          <cell r="W4763">
            <v>0</v>
          </cell>
          <cell r="X4763">
            <v>0.2023886</v>
          </cell>
          <cell r="Y4763">
            <v>0</v>
          </cell>
          <cell r="Z4763">
            <v>0</v>
          </cell>
          <cell r="AA4763">
            <v>0</v>
          </cell>
          <cell r="AB4763">
            <v>8.3511000000000002E-3</v>
          </cell>
        </row>
        <row r="4764">
          <cell r="A4764">
            <v>73201027</v>
          </cell>
          <cell r="B4764" t="str">
            <v>Pumpkin, cooked, from fresh, made with oil</v>
          </cell>
          <cell r="I4764">
            <v>130</v>
          </cell>
          <cell r="J4764">
            <v>46.296084999999998</v>
          </cell>
          <cell r="K4764">
            <v>0.35612373076923076</v>
          </cell>
          <cell r="L4764">
            <v>1.3983683</v>
          </cell>
          <cell r="M4764">
            <v>0.3693555</v>
          </cell>
          <cell r="N4764">
            <v>0</v>
          </cell>
          <cell r="O4764">
            <v>1.91991E-2</v>
          </cell>
          <cell r="P4764">
            <v>0</v>
          </cell>
          <cell r="Q4764">
            <v>0.97581640000000003</v>
          </cell>
          <cell r="R4764">
            <v>0</v>
          </cell>
          <cell r="S4764">
            <v>0</v>
          </cell>
          <cell r="T4764">
            <v>0</v>
          </cell>
          <cell r="U4764">
            <v>127.12439000000001</v>
          </cell>
          <cell r="V4764">
            <v>0</v>
          </cell>
          <cell r="W4764">
            <v>0</v>
          </cell>
          <cell r="X4764">
            <v>0.2023886</v>
          </cell>
          <cell r="Y4764">
            <v>0</v>
          </cell>
          <cell r="Z4764">
            <v>0</v>
          </cell>
          <cell r="AA4764">
            <v>0</v>
          </cell>
          <cell r="AB4764">
            <v>8.3511000000000002E-3</v>
          </cell>
        </row>
        <row r="4765">
          <cell r="A4765">
            <v>73210010</v>
          </cell>
          <cell r="B4765" t="str">
            <v>Calabaza, cooked</v>
          </cell>
          <cell r="I4765">
            <v>130</v>
          </cell>
          <cell r="J4765">
            <v>58.965777000000003</v>
          </cell>
          <cell r="K4765">
            <v>0.45358290000000001</v>
          </cell>
          <cell r="L4765">
            <v>3.6838579</v>
          </cell>
          <cell r="M4765">
            <v>1.0597038000000001</v>
          </cell>
          <cell r="N4765">
            <v>0</v>
          </cell>
          <cell r="O4765">
            <v>3.3711199999999997E-2</v>
          </cell>
          <cell r="P4765">
            <v>0</v>
          </cell>
          <cell r="Q4765">
            <v>0.32350079999999998</v>
          </cell>
          <cell r="R4765">
            <v>0</v>
          </cell>
          <cell r="S4765">
            <v>0</v>
          </cell>
          <cell r="T4765">
            <v>0</v>
          </cell>
          <cell r="U4765">
            <v>127.02958</v>
          </cell>
          <cell r="V4765">
            <v>0</v>
          </cell>
          <cell r="W4765">
            <v>0</v>
          </cell>
          <cell r="X4765">
            <v>0.2234236</v>
          </cell>
          <cell r="Y4765">
            <v>0</v>
          </cell>
          <cell r="Z4765">
            <v>0</v>
          </cell>
          <cell r="AA4765">
            <v>0</v>
          </cell>
          <cell r="AB4765">
            <v>8.4160100000000002E-2</v>
          </cell>
        </row>
        <row r="4766">
          <cell r="A4766">
            <v>73211110</v>
          </cell>
          <cell r="B4766" t="str">
            <v>Sweet potato and pumpkin casserole, Puerto Rican style</v>
          </cell>
          <cell r="I4766">
            <v>266</v>
          </cell>
          <cell r="J4766">
            <v>371.28883999999999</v>
          </cell>
          <cell r="K4766">
            <v>1.3958227067669173</v>
          </cell>
          <cell r="L4766">
            <v>3.0631531000000001</v>
          </cell>
          <cell r="M4766">
            <v>6.2392810000000001</v>
          </cell>
          <cell r="N4766">
            <v>0</v>
          </cell>
          <cell r="O4766">
            <v>5.7754300000000001E-2</v>
          </cell>
          <cell r="P4766">
            <v>0.5907654</v>
          </cell>
          <cell r="Q4766">
            <v>1.6883093</v>
          </cell>
          <cell r="R4766">
            <v>0</v>
          </cell>
          <cell r="S4766">
            <v>0</v>
          </cell>
          <cell r="T4766">
            <v>0</v>
          </cell>
          <cell r="U4766">
            <v>175.03731999999999</v>
          </cell>
          <cell r="V4766">
            <v>0</v>
          </cell>
          <cell r="W4766">
            <v>0</v>
          </cell>
          <cell r="X4766">
            <v>0.33891009999999999</v>
          </cell>
          <cell r="Y4766">
            <v>0</v>
          </cell>
          <cell r="Z4766">
            <v>0</v>
          </cell>
          <cell r="AA4766">
            <v>0</v>
          </cell>
          <cell r="AB4766">
            <v>0.81566000000000005</v>
          </cell>
        </row>
        <row r="4767">
          <cell r="A4767">
            <v>73301000</v>
          </cell>
          <cell r="B4767" t="str">
            <v>Squash, winter type, mashed, NS as to fat or sugar added in cooking</v>
          </cell>
          <cell r="I4767">
            <v>130</v>
          </cell>
          <cell r="J4767">
            <v>65.562548000000007</v>
          </cell>
          <cell r="K4767">
            <v>0.50432729230769235</v>
          </cell>
          <cell r="L4767">
            <v>3.5410409</v>
          </cell>
          <cell r="M4767">
            <v>1.1312419</v>
          </cell>
          <cell r="N4767">
            <v>0</v>
          </cell>
          <cell r="O4767">
            <v>2.86357E-2</v>
          </cell>
          <cell r="P4767">
            <v>0</v>
          </cell>
          <cell r="Q4767">
            <v>0.54814019999999997</v>
          </cell>
          <cell r="R4767">
            <v>0</v>
          </cell>
          <cell r="S4767">
            <v>0</v>
          </cell>
          <cell r="T4767">
            <v>0</v>
          </cell>
          <cell r="U4767">
            <v>126.46575</v>
          </cell>
          <cell r="V4767">
            <v>0</v>
          </cell>
          <cell r="W4767">
            <v>0</v>
          </cell>
          <cell r="X4767">
            <v>0.25954080000000002</v>
          </cell>
          <cell r="Y4767">
            <v>0</v>
          </cell>
          <cell r="Z4767">
            <v>0</v>
          </cell>
          <cell r="AA4767">
            <v>0</v>
          </cell>
          <cell r="AB4767">
            <v>0.1001351</v>
          </cell>
        </row>
        <row r="4768">
          <cell r="A4768">
            <v>73301010</v>
          </cell>
          <cell r="B4768" t="str">
            <v>Squash, winter type, mashed, no fat or sugar added in cooking</v>
          </cell>
          <cell r="I4768">
            <v>130</v>
          </cell>
          <cell r="J4768">
            <v>47.875801000000003</v>
          </cell>
          <cell r="K4768">
            <v>0.36827539230769235</v>
          </cell>
          <cell r="L4768">
            <v>3.6230335999999999</v>
          </cell>
          <cell r="M4768">
            <v>9.3163700000000002E-2</v>
          </cell>
          <cell r="N4768">
            <v>0</v>
          </cell>
          <cell r="O4768">
            <v>2.8612100000000001E-2</v>
          </cell>
          <cell r="P4768">
            <v>0</v>
          </cell>
          <cell r="Q4768">
            <v>0.1902093</v>
          </cell>
          <cell r="R4768">
            <v>0</v>
          </cell>
          <cell r="S4768">
            <v>0</v>
          </cell>
          <cell r="T4768">
            <v>0</v>
          </cell>
          <cell r="U4768">
            <v>129.39406</v>
          </cell>
          <cell r="V4768">
            <v>0</v>
          </cell>
          <cell r="W4768">
            <v>0</v>
          </cell>
          <cell r="X4768">
            <v>0.2361453</v>
          </cell>
          <cell r="Y4768">
            <v>0</v>
          </cell>
          <cell r="Z4768">
            <v>0</v>
          </cell>
          <cell r="AA4768">
            <v>0</v>
          </cell>
          <cell r="AB4768">
            <v>0</v>
          </cell>
        </row>
        <row r="4769">
          <cell r="A4769">
            <v>73301020</v>
          </cell>
          <cell r="B4769" t="str">
            <v>Squash, winter type, mashed, fat added in cooking, no sugar added in cooking</v>
          </cell>
          <cell r="I4769">
            <v>130</v>
          </cell>
          <cell r="J4769">
            <v>64.964099000000004</v>
          </cell>
          <cell r="K4769">
            <v>0.49972383846153851</v>
          </cell>
          <cell r="L4769">
            <v>3.5376832999999999</v>
          </cell>
          <cell r="M4769">
            <v>1.0156786</v>
          </cell>
          <cell r="N4769">
            <v>0</v>
          </cell>
          <cell r="O4769">
            <v>2.8629399999999999E-2</v>
          </cell>
          <cell r="P4769">
            <v>0</v>
          </cell>
          <cell r="Q4769">
            <v>0.61592080000000005</v>
          </cell>
          <cell r="R4769">
            <v>0</v>
          </cell>
          <cell r="S4769">
            <v>0</v>
          </cell>
          <cell r="T4769">
            <v>0</v>
          </cell>
          <cell r="U4769">
            <v>126.34583000000001</v>
          </cell>
          <cell r="V4769">
            <v>0</v>
          </cell>
          <cell r="W4769">
            <v>0</v>
          </cell>
          <cell r="X4769">
            <v>0.30659150000000002</v>
          </cell>
          <cell r="Y4769">
            <v>0</v>
          </cell>
          <cell r="Z4769">
            <v>0</v>
          </cell>
          <cell r="AA4769">
            <v>0</v>
          </cell>
          <cell r="AB4769">
            <v>0.1001351</v>
          </cell>
        </row>
        <row r="4770">
          <cell r="A4770">
            <v>73302010</v>
          </cell>
          <cell r="B4770" t="str">
            <v>Squash, winter type, raw</v>
          </cell>
          <cell r="I4770">
            <v>130</v>
          </cell>
          <cell r="J4770">
            <v>44.2</v>
          </cell>
          <cell r="K4770">
            <v>0.34</v>
          </cell>
          <cell r="L4770">
            <v>1.95</v>
          </cell>
          <cell r="M4770">
            <v>3.5099999999999999E-2</v>
          </cell>
          <cell r="N4770">
            <v>0</v>
          </cell>
          <cell r="O4770">
            <v>3.6400000000000002E-2</v>
          </cell>
          <cell r="P4770">
            <v>0</v>
          </cell>
          <cell r="Q4770">
            <v>7.2800000000000004E-2</v>
          </cell>
          <cell r="R4770">
            <v>0</v>
          </cell>
          <cell r="S4770">
            <v>0</v>
          </cell>
          <cell r="T4770">
            <v>0</v>
          </cell>
          <cell r="U4770">
            <v>130</v>
          </cell>
          <cell r="V4770">
            <v>0</v>
          </cell>
          <cell r="W4770">
            <v>0</v>
          </cell>
          <cell r="X4770">
            <v>5.1999999999999998E-3</v>
          </cell>
          <cell r="Y4770">
            <v>0</v>
          </cell>
          <cell r="Z4770">
            <v>0</v>
          </cell>
          <cell r="AA4770">
            <v>0</v>
          </cell>
          <cell r="AB4770">
            <v>0</v>
          </cell>
        </row>
        <row r="4771">
          <cell r="A4771">
            <v>73303000</v>
          </cell>
          <cell r="B4771" t="str">
            <v>Squash, winter type, baked, NS as to fat or sugar added in cooking</v>
          </cell>
          <cell r="I4771">
            <v>130</v>
          </cell>
          <cell r="J4771">
            <v>65.562548000000007</v>
          </cell>
          <cell r="K4771">
            <v>0.50432729230769235</v>
          </cell>
          <cell r="L4771">
            <v>3.5410409</v>
          </cell>
          <cell r="M4771">
            <v>1.1312419</v>
          </cell>
          <cell r="N4771">
            <v>0</v>
          </cell>
          <cell r="O4771">
            <v>2.86357E-2</v>
          </cell>
          <cell r="P4771">
            <v>0</v>
          </cell>
          <cell r="Q4771">
            <v>0.54814019999999997</v>
          </cell>
          <cell r="R4771">
            <v>0</v>
          </cell>
          <cell r="S4771">
            <v>0</v>
          </cell>
          <cell r="T4771">
            <v>0</v>
          </cell>
          <cell r="U4771">
            <v>126.46575</v>
          </cell>
          <cell r="V4771">
            <v>0</v>
          </cell>
          <cell r="W4771">
            <v>0</v>
          </cell>
          <cell r="X4771">
            <v>0.25954080000000002</v>
          </cell>
          <cell r="Y4771">
            <v>0</v>
          </cell>
          <cell r="Z4771">
            <v>0</v>
          </cell>
          <cell r="AA4771">
            <v>0</v>
          </cell>
          <cell r="AB4771">
            <v>0.1001351</v>
          </cell>
        </row>
        <row r="4772">
          <cell r="A4772">
            <v>73303010</v>
          </cell>
          <cell r="B4772" t="str">
            <v>Squash, winter type, baked, no fat or sugar added in cooking</v>
          </cell>
          <cell r="I4772">
            <v>130</v>
          </cell>
          <cell r="J4772">
            <v>47.866504999999997</v>
          </cell>
          <cell r="K4772">
            <v>0.36820388461538461</v>
          </cell>
          <cell r="L4772">
            <v>3.6223301000000001</v>
          </cell>
          <cell r="M4772">
            <v>9.3145599999999995E-2</v>
          </cell>
          <cell r="N4772">
            <v>0</v>
          </cell>
          <cell r="O4772">
            <v>2.8612599999999998E-2</v>
          </cell>
          <cell r="P4772">
            <v>0</v>
          </cell>
          <cell r="Q4772">
            <v>0.19017229999999999</v>
          </cell>
          <cell r="R4772">
            <v>0</v>
          </cell>
          <cell r="S4772">
            <v>0</v>
          </cell>
          <cell r="T4772">
            <v>0</v>
          </cell>
          <cell r="U4772">
            <v>129.36893000000001</v>
          </cell>
          <cell r="V4772">
            <v>0</v>
          </cell>
          <cell r="W4772">
            <v>0</v>
          </cell>
          <cell r="X4772">
            <v>0.24588299999999999</v>
          </cell>
          <cell r="Y4772">
            <v>0</v>
          </cell>
          <cell r="Z4772">
            <v>0</v>
          </cell>
          <cell r="AA4772">
            <v>0</v>
          </cell>
          <cell r="AB4772">
            <v>0</v>
          </cell>
        </row>
        <row r="4773">
          <cell r="A4773">
            <v>73303020</v>
          </cell>
          <cell r="B4773" t="str">
            <v>Squash, winter type, baked, fat added in cooking, no sugar added in cooking</v>
          </cell>
          <cell r="I4773">
            <v>130</v>
          </cell>
          <cell r="J4773">
            <v>65.038100999999997</v>
          </cell>
          <cell r="K4773">
            <v>0.50029308461538458</v>
          </cell>
          <cell r="L4773">
            <v>3.5417130999999999</v>
          </cell>
          <cell r="M4773">
            <v>1.0168356000000001</v>
          </cell>
          <cell r="N4773">
            <v>0</v>
          </cell>
          <cell r="O4773">
            <v>2.86264E-2</v>
          </cell>
          <cell r="P4773">
            <v>0</v>
          </cell>
          <cell r="Q4773">
            <v>0.61662240000000001</v>
          </cell>
          <cell r="R4773">
            <v>0</v>
          </cell>
          <cell r="S4773">
            <v>0</v>
          </cell>
          <cell r="T4773">
            <v>0</v>
          </cell>
          <cell r="U4773">
            <v>126.48976</v>
          </cell>
          <cell r="V4773">
            <v>0</v>
          </cell>
          <cell r="W4773">
            <v>0</v>
          </cell>
          <cell r="X4773">
            <v>0.24954580000000001</v>
          </cell>
          <cell r="Y4773">
            <v>0</v>
          </cell>
          <cell r="Z4773">
            <v>0</v>
          </cell>
          <cell r="AA4773">
            <v>0</v>
          </cell>
          <cell r="AB4773">
            <v>0.1001351</v>
          </cell>
        </row>
        <row r="4774">
          <cell r="A4774">
            <v>73303021</v>
          </cell>
          <cell r="B4774" t="str">
            <v>Squash, winter type, baked, no sugar added in cooking, made with oil</v>
          </cell>
          <cell r="I4774">
            <v>130</v>
          </cell>
          <cell r="J4774">
            <v>71.670326000000003</v>
          </cell>
          <cell r="K4774">
            <v>0.55131019999999997</v>
          </cell>
          <cell r="L4774">
            <v>3.5441859999999998</v>
          </cell>
          <cell r="M4774">
            <v>0.4746918</v>
          </cell>
          <cell r="N4774">
            <v>0</v>
          </cell>
          <cell r="O4774">
            <v>2.80024E-2</v>
          </cell>
          <cell r="P4774">
            <v>0</v>
          </cell>
          <cell r="Q4774">
            <v>1.3412264</v>
          </cell>
          <cell r="R4774">
            <v>0</v>
          </cell>
          <cell r="S4774">
            <v>0</v>
          </cell>
          <cell r="T4774">
            <v>0</v>
          </cell>
          <cell r="U4774">
            <v>126.57807</v>
          </cell>
          <cell r="V4774">
            <v>0</v>
          </cell>
          <cell r="W4774">
            <v>0</v>
          </cell>
          <cell r="X4774">
            <v>0.24059259999999999</v>
          </cell>
          <cell r="Y4774">
            <v>0</v>
          </cell>
          <cell r="Z4774">
            <v>0</v>
          </cell>
          <cell r="AA4774">
            <v>0</v>
          </cell>
          <cell r="AB4774">
            <v>1.41564E-2</v>
          </cell>
        </row>
        <row r="4775">
          <cell r="A4775">
            <v>73303040</v>
          </cell>
          <cell r="B4775" t="str">
            <v>Squash, winter type, baked, no fat added in cooking, sugar added in cooking</v>
          </cell>
          <cell r="I4775">
            <v>130</v>
          </cell>
          <cell r="J4775">
            <v>75.781570000000002</v>
          </cell>
          <cell r="K4775">
            <v>0.58293515384615391</v>
          </cell>
          <cell r="L4775">
            <v>3.3956769000000002</v>
          </cell>
          <cell r="M4775">
            <v>8.7317400000000003E-2</v>
          </cell>
          <cell r="N4775">
            <v>0</v>
          </cell>
          <cell r="O4775">
            <v>3.3573699999999998E-2</v>
          </cell>
          <cell r="P4775">
            <v>0</v>
          </cell>
          <cell r="Q4775">
            <v>0.17827299999999999</v>
          </cell>
          <cell r="R4775">
            <v>0</v>
          </cell>
          <cell r="S4775">
            <v>0</v>
          </cell>
          <cell r="T4775">
            <v>0</v>
          </cell>
          <cell r="U4775">
            <v>121.27418</v>
          </cell>
          <cell r="V4775">
            <v>0</v>
          </cell>
          <cell r="W4775">
            <v>0</v>
          </cell>
          <cell r="X4775">
            <v>0.23277539999999999</v>
          </cell>
          <cell r="Y4775">
            <v>0</v>
          </cell>
          <cell r="Z4775">
            <v>0</v>
          </cell>
          <cell r="AA4775">
            <v>0</v>
          </cell>
          <cell r="AB4775">
            <v>3.1143999999999998E-3</v>
          </cell>
        </row>
        <row r="4776">
          <cell r="A4776">
            <v>73304010</v>
          </cell>
          <cell r="B4776" t="str">
            <v>Squash fritter or cake</v>
          </cell>
          <cell r="I4776">
            <v>130</v>
          </cell>
          <cell r="J4776">
            <v>303.28674000000001</v>
          </cell>
          <cell r="K4776">
            <v>2.332974923076923</v>
          </cell>
          <cell r="L4776">
            <v>1.4639983999999999</v>
          </cell>
          <cell r="M4776">
            <v>4.6656947000000004</v>
          </cell>
          <cell r="N4776">
            <v>0</v>
          </cell>
          <cell r="O4776">
            <v>0.11107259999999999</v>
          </cell>
          <cell r="P4776">
            <v>0.86314690000000005</v>
          </cell>
          <cell r="Q4776">
            <v>4.9540689999999996</v>
          </cell>
          <cell r="R4776">
            <v>0</v>
          </cell>
          <cell r="S4776">
            <v>0</v>
          </cell>
          <cell r="T4776">
            <v>0</v>
          </cell>
          <cell r="U4776">
            <v>52.285657999999998</v>
          </cell>
          <cell r="V4776">
            <v>0</v>
          </cell>
          <cell r="W4776">
            <v>0</v>
          </cell>
          <cell r="X4776">
            <v>0.29948039999999998</v>
          </cell>
          <cell r="Y4776">
            <v>0</v>
          </cell>
          <cell r="Z4776">
            <v>0</v>
          </cell>
          <cell r="AA4776">
            <v>0</v>
          </cell>
          <cell r="AB4776">
            <v>2.1115368000000001</v>
          </cell>
        </row>
        <row r="4777">
          <cell r="A4777">
            <v>73305020</v>
          </cell>
          <cell r="B4777" t="str">
            <v>Squash, winter, souffle</v>
          </cell>
          <cell r="I4777">
            <v>130</v>
          </cell>
          <cell r="J4777">
            <v>97.409711999999999</v>
          </cell>
          <cell r="K4777">
            <v>0.74930547692307692</v>
          </cell>
          <cell r="L4777">
            <v>2.5329575000000002</v>
          </cell>
          <cell r="M4777">
            <v>0.90571299999999999</v>
          </cell>
          <cell r="N4777">
            <v>0</v>
          </cell>
          <cell r="O4777">
            <v>4.5137799999999999E-2</v>
          </cell>
          <cell r="P4777">
            <v>0.13297320000000001</v>
          </cell>
          <cell r="Q4777">
            <v>0.57782840000000002</v>
          </cell>
          <cell r="R4777">
            <v>0</v>
          </cell>
          <cell r="S4777">
            <v>0</v>
          </cell>
          <cell r="T4777">
            <v>0</v>
          </cell>
          <cell r="U4777">
            <v>90.462768999999994</v>
          </cell>
          <cell r="V4777">
            <v>0</v>
          </cell>
          <cell r="W4777">
            <v>0</v>
          </cell>
          <cell r="X4777">
            <v>0.20785239999999999</v>
          </cell>
          <cell r="Y4777">
            <v>0</v>
          </cell>
          <cell r="Z4777">
            <v>0</v>
          </cell>
          <cell r="AA4777">
            <v>0</v>
          </cell>
          <cell r="AB4777">
            <v>4.4969599999999998E-2</v>
          </cell>
        </row>
        <row r="4778">
          <cell r="A4778">
            <v>73401000</v>
          </cell>
          <cell r="B4778" t="str">
            <v>Sweet potato, NFS</v>
          </cell>
          <cell r="I4778">
            <v>110</v>
          </cell>
          <cell r="J4778">
            <v>119.21015</v>
          </cell>
          <cell r="K4778">
            <v>1.0837286363636363</v>
          </cell>
          <cell r="L4778">
            <v>2.6091082000000001</v>
          </cell>
          <cell r="M4778">
            <v>1.3194717</v>
          </cell>
          <cell r="N4778">
            <v>0</v>
          </cell>
          <cell r="O4778">
            <v>2.8879999999999999E-2</v>
          </cell>
          <cell r="P4778">
            <v>0</v>
          </cell>
          <cell r="Q4778">
            <v>1.4623098999999999</v>
          </cell>
          <cell r="R4778">
            <v>0</v>
          </cell>
          <cell r="S4778">
            <v>0</v>
          </cell>
          <cell r="T4778">
            <v>0</v>
          </cell>
          <cell r="U4778">
            <v>104.36433</v>
          </cell>
          <cell r="V4778">
            <v>0</v>
          </cell>
          <cell r="W4778">
            <v>0</v>
          </cell>
          <cell r="X4778">
            <v>0.2071392</v>
          </cell>
          <cell r="Y4778">
            <v>0</v>
          </cell>
          <cell r="Z4778">
            <v>0</v>
          </cell>
          <cell r="AA4778">
            <v>0</v>
          </cell>
          <cell r="AB4778">
            <v>9.8800399999999997E-2</v>
          </cell>
        </row>
        <row r="4779">
          <cell r="A4779">
            <v>73402000</v>
          </cell>
          <cell r="B4779" t="str">
            <v>Sweet potato, baked, peel eaten, NS as to fat added in cooking</v>
          </cell>
          <cell r="I4779">
            <v>110</v>
          </cell>
          <cell r="J4779">
            <v>117.62398</v>
          </cell>
          <cell r="K4779">
            <v>1.0693089090909091</v>
          </cell>
          <cell r="L4779">
            <v>3.4562477999999999</v>
          </cell>
          <cell r="M4779">
            <v>0.58422079999999998</v>
          </cell>
          <cell r="N4779">
            <v>0</v>
          </cell>
          <cell r="O4779">
            <v>4.09314E-2</v>
          </cell>
          <cell r="P4779">
            <v>0</v>
          </cell>
          <cell r="Q4779">
            <v>1.2569071000000001</v>
          </cell>
          <cell r="R4779">
            <v>0</v>
          </cell>
          <cell r="S4779">
            <v>0</v>
          </cell>
          <cell r="T4779">
            <v>0</v>
          </cell>
          <cell r="U4779">
            <v>104.73478</v>
          </cell>
          <cell r="V4779">
            <v>0</v>
          </cell>
          <cell r="W4779">
            <v>0</v>
          </cell>
          <cell r="X4779">
            <v>0.40761589999999998</v>
          </cell>
          <cell r="Y4779">
            <v>0</v>
          </cell>
          <cell r="Z4779">
            <v>0</v>
          </cell>
          <cell r="AA4779">
            <v>0</v>
          </cell>
          <cell r="AB4779">
            <v>9.4325699999999998E-2</v>
          </cell>
        </row>
        <row r="4780">
          <cell r="A4780">
            <v>73402010</v>
          </cell>
          <cell r="B4780" t="str">
            <v>Sweet potato, baked, peel eaten, fat not added in cooking</v>
          </cell>
          <cell r="I4780">
            <v>110</v>
          </cell>
          <cell r="J4780">
            <v>104.25996000000001</v>
          </cell>
          <cell r="K4780">
            <v>0.94781781818181821</v>
          </cell>
          <cell r="L4780">
            <v>3.4440227999999999</v>
          </cell>
          <cell r="M4780">
            <v>5.5626200000000001E-2</v>
          </cell>
          <cell r="N4780">
            <v>0</v>
          </cell>
          <cell r="O4780">
            <v>4.1532800000000002E-2</v>
          </cell>
          <cell r="P4780">
            <v>0.41223910000000002</v>
          </cell>
          <cell r="Q4780">
            <v>9.8258999999999999E-2</v>
          </cell>
          <cell r="R4780">
            <v>0</v>
          </cell>
          <cell r="S4780">
            <v>0</v>
          </cell>
          <cell r="T4780">
            <v>0</v>
          </cell>
          <cell r="U4780">
            <v>104.36433</v>
          </cell>
          <cell r="V4780">
            <v>0</v>
          </cell>
          <cell r="W4780">
            <v>0</v>
          </cell>
          <cell r="X4780">
            <v>0.20046510000000001</v>
          </cell>
          <cell r="Y4780">
            <v>0</v>
          </cell>
          <cell r="Z4780">
            <v>0</v>
          </cell>
          <cell r="AA4780">
            <v>0</v>
          </cell>
          <cell r="AB4780">
            <v>0</v>
          </cell>
        </row>
        <row r="4781">
          <cell r="A4781">
            <v>73402020</v>
          </cell>
          <cell r="B4781" t="str">
            <v>Sweet potato, baked, peel eaten, fat added in cooking</v>
          </cell>
          <cell r="I4781">
            <v>110</v>
          </cell>
          <cell r="J4781">
            <v>117.62398</v>
          </cell>
          <cell r="K4781">
            <v>1.0693089090909091</v>
          </cell>
          <cell r="L4781">
            <v>3.4562477999999999</v>
          </cell>
          <cell r="M4781">
            <v>0.56536850000000005</v>
          </cell>
          <cell r="N4781">
            <v>0</v>
          </cell>
          <cell r="O4781">
            <v>4.09314E-2</v>
          </cell>
          <cell r="P4781">
            <v>0</v>
          </cell>
          <cell r="Q4781">
            <v>1.2275814</v>
          </cell>
          <cell r="R4781">
            <v>0</v>
          </cell>
          <cell r="S4781">
            <v>0</v>
          </cell>
          <cell r="T4781">
            <v>0</v>
          </cell>
          <cell r="U4781">
            <v>104.73478</v>
          </cell>
          <cell r="V4781">
            <v>0</v>
          </cell>
          <cell r="W4781">
            <v>0</v>
          </cell>
          <cell r="X4781">
            <v>0.40761589999999998</v>
          </cell>
          <cell r="Y4781">
            <v>0</v>
          </cell>
          <cell r="Z4781">
            <v>0</v>
          </cell>
          <cell r="AA4781">
            <v>0</v>
          </cell>
          <cell r="AB4781">
            <v>9.4325699999999998E-2</v>
          </cell>
        </row>
        <row r="4782">
          <cell r="A4782">
            <v>73402021</v>
          </cell>
          <cell r="B4782" t="str">
            <v>Sweet potato, baked, peel eaten, made with oil</v>
          </cell>
          <cell r="I4782">
            <v>110</v>
          </cell>
          <cell r="J4782">
            <v>143.65761000000001</v>
          </cell>
          <cell r="K4782">
            <v>1.3059782727272728</v>
          </cell>
          <cell r="L4782">
            <v>3.2880435000000001</v>
          </cell>
          <cell r="M4782">
            <v>0.73445669999999996</v>
          </cell>
          <cell r="N4782">
            <v>0</v>
          </cell>
          <cell r="O4782">
            <v>3.96643E-2</v>
          </cell>
          <cell r="P4782">
            <v>0.3935688</v>
          </cell>
          <cell r="Q4782">
            <v>2.1458344999999999</v>
          </cell>
          <cell r="R4782">
            <v>0</v>
          </cell>
          <cell r="S4782">
            <v>0</v>
          </cell>
          <cell r="T4782">
            <v>0</v>
          </cell>
          <cell r="U4782">
            <v>99.637681000000001</v>
          </cell>
          <cell r="V4782">
            <v>0</v>
          </cell>
          <cell r="W4782">
            <v>0</v>
          </cell>
          <cell r="X4782">
            <v>0.191411</v>
          </cell>
          <cell r="Y4782">
            <v>0</v>
          </cell>
          <cell r="Z4782">
            <v>0</v>
          </cell>
          <cell r="AA4782">
            <v>0</v>
          </cell>
          <cell r="AB4782">
            <v>1.76533E-2</v>
          </cell>
        </row>
        <row r="4783">
          <cell r="A4783">
            <v>73402022</v>
          </cell>
          <cell r="B4783" t="str">
            <v>Sweet potato, baked, peel eaten, made with butter</v>
          </cell>
          <cell r="I4783">
            <v>110</v>
          </cell>
          <cell r="J4783">
            <v>135.25815</v>
          </cell>
          <cell r="K4783">
            <v>1.2296195454545455</v>
          </cell>
          <cell r="L4783">
            <v>3.2880435000000001</v>
          </cell>
          <cell r="M4783">
            <v>2.6122011000000001</v>
          </cell>
          <cell r="N4783">
            <v>0</v>
          </cell>
          <cell r="O4783">
            <v>4.0847500000000002E-2</v>
          </cell>
          <cell r="P4783">
            <v>0.3935688</v>
          </cell>
          <cell r="Q4783">
            <v>0.2454076</v>
          </cell>
          <cell r="R4783">
            <v>0</v>
          </cell>
          <cell r="S4783">
            <v>0</v>
          </cell>
          <cell r="T4783">
            <v>0</v>
          </cell>
          <cell r="U4783">
            <v>99.637681000000001</v>
          </cell>
          <cell r="V4783">
            <v>0</v>
          </cell>
          <cell r="W4783">
            <v>0</v>
          </cell>
          <cell r="X4783">
            <v>0.2234196</v>
          </cell>
          <cell r="Y4783">
            <v>0</v>
          </cell>
          <cell r="Z4783">
            <v>0</v>
          </cell>
          <cell r="AA4783">
            <v>0</v>
          </cell>
          <cell r="AB4783">
            <v>0.16330620000000001</v>
          </cell>
        </row>
        <row r="4784">
          <cell r="A4784">
            <v>73402023</v>
          </cell>
          <cell r="B4784" t="str">
            <v>Sweet potato, baked, peel eaten, made with margarine</v>
          </cell>
          <cell r="I4784">
            <v>110</v>
          </cell>
          <cell r="J4784">
            <v>109.81741</v>
          </cell>
          <cell r="K4784">
            <v>0.99834009090909082</v>
          </cell>
          <cell r="L4784">
            <v>3.5281940000000001</v>
          </cell>
          <cell r="M4784">
            <v>0.363844</v>
          </cell>
          <cell r="N4784">
            <v>0</v>
          </cell>
          <cell r="O4784">
            <v>4.1291599999999998E-2</v>
          </cell>
          <cell r="P4784">
            <v>0</v>
          </cell>
          <cell r="Q4784">
            <v>0.77364619999999995</v>
          </cell>
          <cell r="R4784">
            <v>0</v>
          </cell>
          <cell r="S4784">
            <v>0</v>
          </cell>
          <cell r="T4784">
            <v>0</v>
          </cell>
          <cell r="U4784">
            <v>106.91497</v>
          </cell>
          <cell r="V4784">
            <v>0</v>
          </cell>
          <cell r="W4784">
            <v>0</v>
          </cell>
          <cell r="X4784">
            <v>0.26288270000000002</v>
          </cell>
          <cell r="Y4784">
            <v>0</v>
          </cell>
          <cell r="Z4784">
            <v>0</v>
          </cell>
          <cell r="AA4784">
            <v>0</v>
          </cell>
          <cell r="AB4784">
            <v>0.18253620000000001</v>
          </cell>
        </row>
        <row r="4785">
          <cell r="A4785">
            <v>73403000</v>
          </cell>
          <cell r="B4785" t="str">
            <v>Sweet potato, baked, peel not eaten, NS as to fat added in cooking</v>
          </cell>
          <cell r="I4785">
            <v>110</v>
          </cell>
          <cell r="J4785">
            <v>133.82115999999999</v>
          </cell>
          <cell r="K4785">
            <v>1.216556</v>
          </cell>
          <cell r="L4785">
            <v>3.4440227999999999</v>
          </cell>
          <cell r="M4785">
            <v>1.3413881999999999</v>
          </cell>
          <cell r="N4785">
            <v>0</v>
          </cell>
          <cell r="O4785">
            <v>4.036E-2</v>
          </cell>
          <cell r="P4785">
            <v>0</v>
          </cell>
          <cell r="Q4785">
            <v>1.4946628</v>
          </cell>
          <cell r="R4785">
            <v>0</v>
          </cell>
          <cell r="S4785">
            <v>0</v>
          </cell>
          <cell r="T4785">
            <v>0</v>
          </cell>
          <cell r="U4785">
            <v>104.36433</v>
          </cell>
          <cell r="V4785">
            <v>0</v>
          </cell>
          <cell r="W4785">
            <v>0</v>
          </cell>
          <cell r="X4785">
            <v>0.216532</v>
          </cell>
          <cell r="Y4785">
            <v>0</v>
          </cell>
          <cell r="Z4785">
            <v>0</v>
          </cell>
          <cell r="AA4785">
            <v>0</v>
          </cell>
          <cell r="AB4785">
            <v>9.8800399999999997E-2</v>
          </cell>
        </row>
        <row r="4786">
          <cell r="A4786">
            <v>73403010</v>
          </cell>
          <cell r="B4786" t="str">
            <v>Sweet potato, baked, peel not eaten, fat not added in cooking</v>
          </cell>
          <cell r="I4786">
            <v>110</v>
          </cell>
          <cell r="J4786">
            <v>98.605577999999994</v>
          </cell>
          <cell r="K4786">
            <v>0.89641434545454535</v>
          </cell>
          <cell r="L4786">
            <v>3.6155377999999998</v>
          </cell>
          <cell r="M4786">
            <v>5.6972099999999998E-2</v>
          </cell>
          <cell r="N4786">
            <v>0</v>
          </cell>
          <cell r="O4786">
            <v>4.1738600000000001E-2</v>
          </cell>
          <cell r="P4786">
            <v>0</v>
          </cell>
          <cell r="Q4786">
            <v>0.10079680000000001</v>
          </cell>
          <cell r="R4786">
            <v>0</v>
          </cell>
          <cell r="S4786">
            <v>0</v>
          </cell>
          <cell r="T4786">
            <v>0</v>
          </cell>
          <cell r="U4786">
            <v>109.56175</v>
          </cell>
          <cell r="V4786">
            <v>0</v>
          </cell>
          <cell r="W4786">
            <v>0</v>
          </cell>
          <cell r="X4786">
            <v>0.20929800000000001</v>
          </cell>
          <cell r="Y4786">
            <v>0</v>
          </cell>
          <cell r="Z4786">
            <v>0</v>
          </cell>
          <cell r="AA4786">
            <v>0</v>
          </cell>
          <cell r="AB4786">
            <v>0</v>
          </cell>
        </row>
        <row r="4787">
          <cell r="A4787">
            <v>73403020</v>
          </cell>
          <cell r="B4787" t="str">
            <v>Sweet potato, baked, peel not eaten, fat added in cooking</v>
          </cell>
          <cell r="I4787">
            <v>110</v>
          </cell>
          <cell r="J4787">
            <v>117.73747</v>
          </cell>
          <cell r="K4787">
            <v>1.0703406363636363</v>
          </cell>
          <cell r="L4787">
            <v>3.4554108000000001</v>
          </cell>
          <cell r="M4787">
            <v>0.56845089999999998</v>
          </cell>
          <cell r="N4787">
            <v>0</v>
          </cell>
          <cell r="O4787">
            <v>4.0927100000000001E-2</v>
          </cell>
          <cell r="P4787">
            <v>0</v>
          </cell>
          <cell r="Q4787">
            <v>1.2343367000000001</v>
          </cell>
          <cell r="R4787">
            <v>0</v>
          </cell>
          <cell r="S4787">
            <v>0</v>
          </cell>
          <cell r="T4787">
            <v>0</v>
          </cell>
          <cell r="U4787">
            <v>104.70941999999999</v>
          </cell>
          <cell r="V4787">
            <v>0</v>
          </cell>
          <cell r="W4787">
            <v>0</v>
          </cell>
          <cell r="X4787">
            <v>0.40768779999999999</v>
          </cell>
          <cell r="Y4787">
            <v>0</v>
          </cell>
          <cell r="Z4787">
            <v>0</v>
          </cell>
          <cell r="AA4787">
            <v>0</v>
          </cell>
          <cell r="AB4787">
            <v>9.8800399999999997E-2</v>
          </cell>
        </row>
        <row r="4788">
          <cell r="A4788">
            <v>73403021</v>
          </cell>
          <cell r="B4788" t="str">
            <v>Sweet potato, baked, peel not eaten, made with oil</v>
          </cell>
          <cell r="I4788">
            <v>110</v>
          </cell>
          <cell r="J4788">
            <v>140.14042000000001</v>
          </cell>
          <cell r="K4788">
            <v>1.2740038181818183</v>
          </cell>
          <cell r="L4788">
            <v>3.4440227999999999</v>
          </cell>
          <cell r="M4788">
            <v>0.7679414</v>
          </cell>
          <cell r="N4788">
            <v>0</v>
          </cell>
          <cell r="O4788">
            <v>3.97717E-2</v>
          </cell>
          <cell r="P4788">
            <v>0</v>
          </cell>
          <cell r="Q4788">
            <v>2.2453854</v>
          </cell>
          <cell r="R4788">
            <v>0</v>
          </cell>
          <cell r="S4788">
            <v>0</v>
          </cell>
          <cell r="T4788">
            <v>0</v>
          </cell>
          <cell r="U4788">
            <v>104.36433</v>
          </cell>
          <cell r="V4788">
            <v>0</v>
          </cell>
          <cell r="W4788">
            <v>0</v>
          </cell>
          <cell r="X4788">
            <v>0.1993954</v>
          </cell>
          <cell r="Y4788">
            <v>0</v>
          </cell>
          <cell r="Z4788">
            <v>0</v>
          </cell>
          <cell r="AA4788">
            <v>0</v>
          </cell>
          <cell r="AB4788">
            <v>1.8490699999999999E-2</v>
          </cell>
        </row>
        <row r="4789">
          <cell r="A4789">
            <v>73403022</v>
          </cell>
          <cell r="B4789" t="str">
            <v>Sweet potato, baked, peel not eaten, made with butter</v>
          </cell>
          <cell r="I4789">
            <v>110</v>
          </cell>
          <cell r="J4789">
            <v>131.3425</v>
          </cell>
          <cell r="K4789">
            <v>1.1940227272727273</v>
          </cell>
          <cell r="L4789">
            <v>3.4440227999999999</v>
          </cell>
          <cell r="M4789">
            <v>2.7347627999999999</v>
          </cell>
          <cell r="N4789">
            <v>0</v>
          </cell>
          <cell r="O4789">
            <v>4.1010999999999999E-2</v>
          </cell>
          <cell r="P4789">
            <v>0</v>
          </cell>
          <cell r="Q4789">
            <v>0.25480550000000002</v>
          </cell>
          <cell r="R4789">
            <v>0</v>
          </cell>
          <cell r="S4789">
            <v>0</v>
          </cell>
          <cell r="T4789">
            <v>0</v>
          </cell>
          <cell r="U4789">
            <v>104.36433</v>
          </cell>
          <cell r="V4789">
            <v>0</v>
          </cell>
          <cell r="W4789">
            <v>0</v>
          </cell>
          <cell r="X4789">
            <v>0.2329224</v>
          </cell>
          <cell r="Y4789">
            <v>0</v>
          </cell>
          <cell r="Z4789">
            <v>0</v>
          </cell>
          <cell r="AA4789">
            <v>0</v>
          </cell>
          <cell r="AB4789">
            <v>0.17105310000000001</v>
          </cell>
        </row>
        <row r="4790">
          <cell r="A4790">
            <v>73403023</v>
          </cell>
          <cell r="B4790" t="str">
            <v>Sweet potato, baked, peel not eaten, made with margarine</v>
          </cell>
          <cell r="I4790">
            <v>110</v>
          </cell>
          <cell r="J4790">
            <v>121.74099</v>
          </cell>
          <cell r="K4790">
            <v>1.1067362727272727</v>
          </cell>
          <cell r="L4790">
            <v>3.4440227999999999</v>
          </cell>
          <cell r="M4790">
            <v>0.68494310000000003</v>
          </cell>
          <cell r="N4790">
            <v>0</v>
          </cell>
          <cell r="O4790">
            <v>4.0854500000000002E-2</v>
          </cell>
          <cell r="P4790">
            <v>0</v>
          </cell>
          <cell r="Q4790">
            <v>1.4776423000000001</v>
          </cell>
          <cell r="R4790">
            <v>0</v>
          </cell>
          <cell r="S4790">
            <v>0</v>
          </cell>
          <cell r="T4790">
            <v>0</v>
          </cell>
          <cell r="U4790">
            <v>104.36433</v>
          </cell>
          <cell r="V4790">
            <v>0</v>
          </cell>
          <cell r="W4790">
            <v>0</v>
          </cell>
          <cell r="X4790">
            <v>0.2345661</v>
          </cell>
          <cell r="Y4790">
            <v>0</v>
          </cell>
          <cell r="Z4790">
            <v>0</v>
          </cell>
          <cell r="AA4790">
            <v>0</v>
          </cell>
          <cell r="AB4790">
            <v>0.19119539999999999</v>
          </cell>
        </row>
        <row r="4791">
          <cell r="A4791">
            <v>73405000</v>
          </cell>
          <cell r="B4791" t="str">
            <v>Sweet potato, boiled, NS as to fat added in cooking</v>
          </cell>
          <cell r="I4791">
            <v>110</v>
          </cell>
          <cell r="J4791">
            <v>119.21015</v>
          </cell>
          <cell r="K4791">
            <v>1.0837286363636363</v>
          </cell>
          <cell r="L4791">
            <v>2.6091082000000001</v>
          </cell>
          <cell r="M4791">
            <v>1.3194717</v>
          </cell>
          <cell r="N4791">
            <v>0</v>
          </cell>
          <cell r="O4791">
            <v>2.8879999999999999E-2</v>
          </cell>
          <cell r="P4791">
            <v>0</v>
          </cell>
          <cell r="Q4791">
            <v>1.4623098999999999</v>
          </cell>
          <cell r="R4791">
            <v>0</v>
          </cell>
          <cell r="S4791">
            <v>0</v>
          </cell>
          <cell r="T4791">
            <v>0</v>
          </cell>
          <cell r="U4791">
            <v>104.36433</v>
          </cell>
          <cell r="V4791">
            <v>0</v>
          </cell>
          <cell r="W4791">
            <v>0</v>
          </cell>
          <cell r="X4791">
            <v>0.2071392</v>
          </cell>
          <cell r="Y4791">
            <v>0</v>
          </cell>
          <cell r="Z4791">
            <v>0</v>
          </cell>
          <cell r="AA4791">
            <v>0</v>
          </cell>
          <cell r="AB4791">
            <v>9.8800399999999997E-2</v>
          </cell>
        </row>
        <row r="4792">
          <cell r="A4792">
            <v>73405010</v>
          </cell>
          <cell r="B4792" t="str">
            <v>Sweet potato, boiled, fat not added in cooking</v>
          </cell>
          <cell r="I4792">
            <v>110</v>
          </cell>
          <cell r="J4792">
            <v>83.266931999999997</v>
          </cell>
          <cell r="K4792">
            <v>0.75697210909090906</v>
          </cell>
          <cell r="L4792">
            <v>2.7390438000000001</v>
          </cell>
          <cell r="M4792">
            <v>3.3964099999999997E-2</v>
          </cell>
          <cell r="N4792">
            <v>0</v>
          </cell>
          <cell r="O4792">
            <v>2.9686899999999999E-2</v>
          </cell>
          <cell r="P4792">
            <v>0</v>
          </cell>
          <cell r="Q4792">
            <v>6.6832699999999995E-2</v>
          </cell>
          <cell r="R4792">
            <v>0</v>
          </cell>
          <cell r="S4792">
            <v>0</v>
          </cell>
          <cell r="T4792">
            <v>0</v>
          </cell>
          <cell r="U4792">
            <v>109.56175</v>
          </cell>
          <cell r="V4792">
            <v>0</v>
          </cell>
          <cell r="W4792">
            <v>0</v>
          </cell>
          <cell r="X4792">
            <v>0.19943749999999999</v>
          </cell>
          <cell r="Y4792">
            <v>0</v>
          </cell>
          <cell r="Z4792">
            <v>0</v>
          </cell>
          <cell r="AA4792">
            <v>0</v>
          </cell>
          <cell r="AB4792">
            <v>0</v>
          </cell>
        </row>
        <row r="4793">
          <cell r="A4793">
            <v>73405020</v>
          </cell>
          <cell r="B4793" t="str">
            <v>Sweet potato, boiled, fat added in cooking, NS as to type of fat</v>
          </cell>
          <cell r="I4793">
            <v>110</v>
          </cell>
          <cell r="J4793">
            <v>119.21015</v>
          </cell>
          <cell r="K4793">
            <v>1.0837286363636363</v>
          </cell>
          <cell r="L4793">
            <v>2.6091082000000001</v>
          </cell>
          <cell r="M4793">
            <v>1.3194717</v>
          </cell>
          <cell r="N4793">
            <v>0</v>
          </cell>
          <cell r="O4793">
            <v>2.8879999999999999E-2</v>
          </cell>
          <cell r="P4793">
            <v>0</v>
          </cell>
          <cell r="Q4793">
            <v>1.4623098999999999</v>
          </cell>
          <cell r="R4793">
            <v>0</v>
          </cell>
          <cell r="S4793">
            <v>0</v>
          </cell>
          <cell r="T4793">
            <v>0</v>
          </cell>
          <cell r="U4793">
            <v>104.36433</v>
          </cell>
          <cell r="V4793">
            <v>0</v>
          </cell>
          <cell r="W4793">
            <v>0</v>
          </cell>
          <cell r="X4793">
            <v>0.2071392</v>
          </cell>
          <cell r="Y4793">
            <v>0</v>
          </cell>
          <cell r="Z4793">
            <v>0</v>
          </cell>
          <cell r="AA4793">
            <v>0</v>
          </cell>
          <cell r="AB4793">
            <v>9.8800399999999997E-2</v>
          </cell>
        </row>
        <row r="4794">
          <cell r="A4794">
            <v>73405021</v>
          </cell>
          <cell r="B4794" t="str">
            <v>Sweet potato, boiled, made with oil</v>
          </cell>
          <cell r="I4794">
            <v>110</v>
          </cell>
          <cell r="J4794">
            <v>125.52941</v>
          </cell>
          <cell r="K4794">
            <v>1.1411764545454546</v>
          </cell>
          <cell r="L4794">
            <v>2.6091082000000001</v>
          </cell>
          <cell r="M4794">
            <v>0.74602489999999999</v>
          </cell>
          <cell r="N4794">
            <v>0</v>
          </cell>
          <cell r="O4794">
            <v>2.82916E-2</v>
          </cell>
          <cell r="P4794">
            <v>0</v>
          </cell>
          <cell r="Q4794">
            <v>2.2130325000000002</v>
          </cell>
          <cell r="R4794">
            <v>0</v>
          </cell>
          <cell r="S4794">
            <v>0</v>
          </cell>
          <cell r="T4794">
            <v>0</v>
          </cell>
          <cell r="U4794">
            <v>104.36433</v>
          </cell>
          <cell r="V4794">
            <v>0</v>
          </cell>
          <cell r="W4794">
            <v>0</v>
          </cell>
          <cell r="X4794">
            <v>0.19000259999999999</v>
          </cell>
          <cell r="Y4794">
            <v>0</v>
          </cell>
          <cell r="Z4794">
            <v>0</v>
          </cell>
          <cell r="AA4794">
            <v>0</v>
          </cell>
          <cell r="AB4794">
            <v>1.8490699999999999E-2</v>
          </cell>
        </row>
        <row r="4795">
          <cell r="A4795">
            <v>73405022</v>
          </cell>
          <cell r="B4795" t="str">
            <v>Sweet potato, boiled, made with butter</v>
          </cell>
          <cell r="I4795">
            <v>110</v>
          </cell>
          <cell r="J4795">
            <v>116.7315</v>
          </cell>
          <cell r="K4795">
            <v>1.0611954545454545</v>
          </cell>
          <cell r="L4795">
            <v>2.6091082000000001</v>
          </cell>
          <cell r="M4795">
            <v>2.7128462999999998</v>
          </cell>
          <cell r="N4795">
            <v>0</v>
          </cell>
          <cell r="O4795">
            <v>2.9530899999999999E-2</v>
          </cell>
          <cell r="P4795">
            <v>0</v>
          </cell>
          <cell r="Q4795">
            <v>0.2224526</v>
          </cell>
          <cell r="R4795">
            <v>0</v>
          </cell>
          <cell r="S4795">
            <v>0</v>
          </cell>
          <cell r="T4795">
            <v>0</v>
          </cell>
          <cell r="U4795">
            <v>104.36433</v>
          </cell>
          <cell r="V4795">
            <v>0</v>
          </cell>
          <cell r="W4795">
            <v>0</v>
          </cell>
          <cell r="X4795">
            <v>0.22352959999999999</v>
          </cell>
          <cell r="Y4795">
            <v>0</v>
          </cell>
          <cell r="Z4795">
            <v>0</v>
          </cell>
          <cell r="AA4795">
            <v>0</v>
          </cell>
          <cell r="AB4795">
            <v>0.17105310000000001</v>
          </cell>
        </row>
        <row r="4796">
          <cell r="A4796">
            <v>73405023</v>
          </cell>
          <cell r="B4796" t="str">
            <v>Sweet potato, boiled, made with margarine</v>
          </cell>
          <cell r="I4796">
            <v>110</v>
          </cell>
          <cell r="J4796">
            <v>107.12998</v>
          </cell>
          <cell r="K4796">
            <v>0.9739089090909091</v>
          </cell>
          <cell r="L4796">
            <v>2.6091082000000001</v>
          </cell>
          <cell r="M4796">
            <v>0.66302660000000002</v>
          </cell>
          <cell r="N4796">
            <v>0</v>
          </cell>
          <cell r="O4796">
            <v>2.9374399999999998E-2</v>
          </cell>
          <cell r="P4796">
            <v>0</v>
          </cell>
          <cell r="Q4796">
            <v>1.4452894000000001</v>
          </cell>
          <cell r="R4796">
            <v>0</v>
          </cell>
          <cell r="S4796">
            <v>0</v>
          </cell>
          <cell r="T4796">
            <v>0</v>
          </cell>
          <cell r="U4796">
            <v>104.36433</v>
          </cell>
          <cell r="V4796">
            <v>0</v>
          </cell>
          <cell r="W4796">
            <v>0</v>
          </cell>
          <cell r="X4796">
            <v>0.22517329999999999</v>
          </cell>
          <cell r="Y4796">
            <v>0</v>
          </cell>
          <cell r="Z4796">
            <v>0</v>
          </cell>
          <cell r="AA4796">
            <v>0</v>
          </cell>
          <cell r="AB4796">
            <v>0.19119539999999999</v>
          </cell>
        </row>
        <row r="4797">
          <cell r="A4797">
            <v>73405110</v>
          </cell>
          <cell r="B4797" t="str">
            <v>Sweet potato, boiled with peel, peel not eaten, fat not added in cooking</v>
          </cell>
          <cell r="I4797">
            <v>110</v>
          </cell>
          <cell r="J4797">
            <v>83.071860999999998</v>
          </cell>
          <cell r="K4797">
            <v>0.75519873636363632</v>
          </cell>
          <cell r="L4797">
            <v>2.7326269999999999</v>
          </cell>
          <cell r="M4797">
            <v>3.3884600000000001E-2</v>
          </cell>
          <cell r="N4797">
            <v>0</v>
          </cell>
          <cell r="O4797">
            <v>2.9679199999999999E-2</v>
          </cell>
          <cell r="P4797">
            <v>0</v>
          </cell>
          <cell r="Q4797">
            <v>6.6676100000000002E-2</v>
          </cell>
          <cell r="R4797">
            <v>0</v>
          </cell>
          <cell r="S4797">
            <v>0</v>
          </cell>
          <cell r="T4797">
            <v>0</v>
          </cell>
          <cell r="U4797">
            <v>109.30508</v>
          </cell>
          <cell r="V4797">
            <v>0</v>
          </cell>
          <cell r="W4797">
            <v>0</v>
          </cell>
          <cell r="X4797">
            <v>0.29884939999999999</v>
          </cell>
          <cell r="Y4797">
            <v>0</v>
          </cell>
          <cell r="Z4797">
            <v>0</v>
          </cell>
          <cell r="AA4797">
            <v>0</v>
          </cell>
          <cell r="AB4797">
            <v>0</v>
          </cell>
        </row>
        <row r="4798">
          <cell r="A4798">
            <v>73406000</v>
          </cell>
          <cell r="B4798" t="str">
            <v>Sweet potato, candied</v>
          </cell>
          <cell r="I4798">
            <v>140</v>
          </cell>
          <cell r="J4798">
            <v>248.96368000000001</v>
          </cell>
          <cell r="K4798">
            <v>1.7783120000000001</v>
          </cell>
          <cell r="L4798">
            <v>2.4928775000000001</v>
          </cell>
          <cell r="M4798">
            <v>1.2606918</v>
          </cell>
          <cell r="N4798">
            <v>0</v>
          </cell>
          <cell r="O4798">
            <v>2.7942399999999999E-2</v>
          </cell>
          <cell r="P4798">
            <v>0</v>
          </cell>
          <cell r="Q4798">
            <v>1.3971667999999999</v>
          </cell>
          <cell r="R4798">
            <v>0</v>
          </cell>
          <cell r="S4798">
            <v>0</v>
          </cell>
          <cell r="T4798">
            <v>0</v>
          </cell>
          <cell r="U4798">
            <v>99.715100000000007</v>
          </cell>
          <cell r="V4798">
            <v>0</v>
          </cell>
          <cell r="W4798">
            <v>0</v>
          </cell>
          <cell r="X4798">
            <v>0.19826050000000001</v>
          </cell>
          <cell r="Y4798">
            <v>0</v>
          </cell>
          <cell r="Z4798">
            <v>0</v>
          </cell>
          <cell r="AA4798">
            <v>0</v>
          </cell>
          <cell r="AB4798">
            <v>0.1100872</v>
          </cell>
        </row>
        <row r="4799">
          <cell r="A4799">
            <v>73406010</v>
          </cell>
          <cell r="B4799" t="str">
            <v>Sweet potato with fruit</v>
          </cell>
          <cell r="I4799">
            <v>140</v>
          </cell>
          <cell r="J4799">
            <v>139.44591</v>
          </cell>
          <cell r="K4799">
            <v>0.99604221428571427</v>
          </cell>
          <cell r="L4799">
            <v>2.3861615</v>
          </cell>
          <cell r="M4799">
            <v>2.1203799999999998E-2</v>
          </cell>
          <cell r="N4799">
            <v>0</v>
          </cell>
          <cell r="O4799">
            <v>2.3583300000000001E-2</v>
          </cell>
          <cell r="P4799">
            <v>0</v>
          </cell>
          <cell r="Q4799">
            <v>4.2895900000000001E-2</v>
          </cell>
          <cell r="R4799">
            <v>0</v>
          </cell>
          <cell r="S4799">
            <v>0</v>
          </cell>
          <cell r="T4799">
            <v>37.493471999999997</v>
          </cell>
          <cell r="U4799">
            <v>66.862737999999993</v>
          </cell>
          <cell r="V4799">
            <v>0</v>
          </cell>
          <cell r="W4799">
            <v>0</v>
          </cell>
          <cell r="X4799">
            <v>5.0276800000000003E-2</v>
          </cell>
          <cell r="Y4799">
            <v>0</v>
          </cell>
          <cell r="Z4799">
            <v>0</v>
          </cell>
          <cell r="AA4799">
            <v>0</v>
          </cell>
          <cell r="AB4799">
            <v>0</v>
          </cell>
        </row>
        <row r="4800">
          <cell r="A4800">
            <v>73407000</v>
          </cell>
          <cell r="B4800" t="str">
            <v>Sweet potato, canned</v>
          </cell>
          <cell r="I4800">
            <v>160</v>
          </cell>
          <cell r="J4800">
            <v>142.4</v>
          </cell>
          <cell r="K4800">
            <v>0.89</v>
          </cell>
          <cell r="L4800">
            <v>4</v>
          </cell>
          <cell r="M4800">
            <v>6.5600000000000006E-2</v>
          </cell>
          <cell r="N4800">
            <v>0</v>
          </cell>
          <cell r="O4800">
            <v>2.4E-2</v>
          </cell>
          <cell r="P4800">
            <v>0</v>
          </cell>
          <cell r="Q4800">
            <v>0.13439999999999999</v>
          </cell>
          <cell r="R4800">
            <v>0</v>
          </cell>
          <cell r="S4800">
            <v>0</v>
          </cell>
          <cell r="T4800">
            <v>0</v>
          </cell>
          <cell r="U4800">
            <v>143.33439999999999</v>
          </cell>
          <cell r="V4800">
            <v>0</v>
          </cell>
          <cell r="W4800">
            <v>0</v>
          </cell>
          <cell r="X4800">
            <v>4.6399999999999997E-2</v>
          </cell>
          <cell r="Y4800">
            <v>0</v>
          </cell>
          <cell r="Z4800">
            <v>0</v>
          </cell>
          <cell r="AA4800">
            <v>0</v>
          </cell>
          <cell r="AB4800">
            <v>0.1437097</v>
          </cell>
        </row>
        <row r="4801">
          <cell r="A4801">
            <v>73407050</v>
          </cell>
          <cell r="B4801" t="str">
            <v>Sweet potato, canned, fat not added in cooking</v>
          </cell>
          <cell r="I4801">
            <v>160</v>
          </cell>
          <cell r="J4801">
            <v>145.01992000000001</v>
          </cell>
          <cell r="K4801">
            <v>0.90637450000000008</v>
          </cell>
          <cell r="L4801">
            <v>2.8685258999999999</v>
          </cell>
          <cell r="M4801">
            <v>6.5338599999999997E-2</v>
          </cell>
          <cell r="N4801">
            <v>0</v>
          </cell>
          <cell r="O4801">
            <v>3.52127E-2</v>
          </cell>
          <cell r="P4801">
            <v>0</v>
          </cell>
          <cell r="Q4801">
            <v>0.1338645</v>
          </cell>
          <cell r="R4801">
            <v>0</v>
          </cell>
          <cell r="S4801">
            <v>0</v>
          </cell>
          <cell r="T4801">
            <v>0</v>
          </cell>
          <cell r="U4801">
            <v>159.36255</v>
          </cell>
          <cell r="V4801">
            <v>0</v>
          </cell>
          <cell r="W4801">
            <v>0</v>
          </cell>
          <cell r="X4801">
            <v>0.33152510000000002</v>
          </cell>
          <cell r="Y4801">
            <v>0</v>
          </cell>
          <cell r="Z4801">
            <v>0</v>
          </cell>
          <cell r="AA4801">
            <v>0</v>
          </cell>
          <cell r="AB4801">
            <v>0</v>
          </cell>
        </row>
        <row r="4802">
          <cell r="A4802">
            <v>73409000</v>
          </cell>
          <cell r="B4802" t="str">
            <v>Sweet potato, casserole or mashed</v>
          </cell>
          <cell r="I4802">
            <v>247</v>
          </cell>
          <cell r="J4802">
            <v>227.68629000000001</v>
          </cell>
          <cell r="K4802">
            <v>0.9218068421052632</v>
          </cell>
          <cell r="L4802">
            <v>4.8091900000000001</v>
          </cell>
          <cell r="M4802">
            <v>3.4414563999999999</v>
          </cell>
          <cell r="N4802">
            <v>0</v>
          </cell>
          <cell r="O4802">
            <v>0.10364</v>
          </cell>
          <cell r="P4802">
            <v>0</v>
          </cell>
          <cell r="Q4802">
            <v>0.38377339999999999</v>
          </cell>
          <cell r="R4802">
            <v>0</v>
          </cell>
          <cell r="S4802">
            <v>0</v>
          </cell>
          <cell r="T4802">
            <v>0</v>
          </cell>
          <cell r="U4802">
            <v>192.36760000000001</v>
          </cell>
          <cell r="V4802">
            <v>0</v>
          </cell>
          <cell r="W4802">
            <v>0</v>
          </cell>
          <cell r="X4802">
            <v>0.37956440000000002</v>
          </cell>
          <cell r="Y4802">
            <v>0</v>
          </cell>
          <cell r="Z4802">
            <v>0</v>
          </cell>
          <cell r="AA4802">
            <v>0</v>
          </cell>
          <cell r="AB4802">
            <v>0.22314639999999999</v>
          </cell>
        </row>
        <row r="4803">
          <cell r="A4803">
            <v>73410110</v>
          </cell>
          <cell r="B4803" t="str">
            <v>Sweet potato, fried</v>
          </cell>
          <cell r="I4803">
            <v>70</v>
          </cell>
          <cell r="J4803">
            <v>60.019939999999998</v>
          </cell>
          <cell r="K4803">
            <v>0.85742771428571429</v>
          </cell>
          <cell r="L4803">
            <v>2.0937188</v>
          </cell>
          <cell r="M4803">
            <v>1.25623E-2</v>
          </cell>
          <cell r="N4803">
            <v>0</v>
          </cell>
          <cell r="O4803">
            <v>2.09874E-2</v>
          </cell>
          <cell r="P4803">
            <v>0</v>
          </cell>
          <cell r="Q4803">
            <v>9.7707000000000002E-3</v>
          </cell>
          <cell r="R4803">
            <v>0</v>
          </cell>
          <cell r="S4803">
            <v>0</v>
          </cell>
          <cell r="T4803">
            <v>0</v>
          </cell>
          <cell r="U4803">
            <v>69.790627999999998</v>
          </cell>
          <cell r="V4803">
            <v>0</v>
          </cell>
          <cell r="W4803">
            <v>0</v>
          </cell>
          <cell r="X4803">
            <v>0.11953320000000001</v>
          </cell>
          <cell r="Y4803">
            <v>0</v>
          </cell>
          <cell r="Z4803">
            <v>0</v>
          </cell>
          <cell r="AA4803">
            <v>0</v>
          </cell>
          <cell r="AB4803">
            <v>0</v>
          </cell>
        </row>
        <row r="4804">
          <cell r="A4804">
            <v>73410210</v>
          </cell>
          <cell r="B4804" t="str">
            <v>Sweet potato chips</v>
          </cell>
          <cell r="I4804">
            <v>30</v>
          </cell>
          <cell r="J4804">
            <v>158.80597</v>
          </cell>
          <cell r="K4804">
            <v>5.2935323333333333</v>
          </cell>
          <cell r="L4804">
            <v>2.6268657000000002</v>
          </cell>
          <cell r="M4804">
            <v>0.87791039999999998</v>
          </cell>
          <cell r="N4804">
            <v>0</v>
          </cell>
          <cell r="O4804">
            <v>1.7647800000000002E-2</v>
          </cell>
          <cell r="P4804">
            <v>0</v>
          </cell>
          <cell r="Q4804">
            <v>3.6489552000000001</v>
          </cell>
          <cell r="R4804">
            <v>0</v>
          </cell>
          <cell r="S4804">
            <v>0</v>
          </cell>
          <cell r="T4804">
            <v>0</v>
          </cell>
          <cell r="U4804">
            <v>29.850746000000001</v>
          </cell>
          <cell r="V4804">
            <v>0</v>
          </cell>
          <cell r="W4804">
            <v>0</v>
          </cell>
          <cell r="X4804">
            <v>6.8295499999999995E-2</v>
          </cell>
          <cell r="Y4804">
            <v>0</v>
          </cell>
          <cell r="Z4804">
            <v>0</v>
          </cell>
          <cell r="AA4804">
            <v>0</v>
          </cell>
          <cell r="AB4804">
            <v>0</v>
          </cell>
        </row>
        <row r="4805">
          <cell r="A4805">
            <v>73410300</v>
          </cell>
          <cell r="B4805" t="str">
            <v>Sweet potato fries, NS as to fresh or frozen</v>
          </cell>
          <cell r="I4805">
            <v>70</v>
          </cell>
          <cell r="J4805">
            <v>172.17455000000001</v>
          </cell>
          <cell r="K4805">
            <v>2.4596364285714287</v>
          </cell>
          <cell r="L4805">
            <v>3.6272726999999998</v>
          </cell>
          <cell r="M4805">
            <v>1.6065986000000001</v>
          </cell>
          <cell r="N4805">
            <v>0</v>
          </cell>
          <cell r="O4805">
            <v>3.3106799999999999E-2</v>
          </cell>
          <cell r="P4805">
            <v>0</v>
          </cell>
          <cell r="Q4805">
            <v>4.4430750000000003</v>
          </cell>
          <cell r="R4805">
            <v>0</v>
          </cell>
          <cell r="S4805">
            <v>0</v>
          </cell>
          <cell r="T4805">
            <v>0</v>
          </cell>
          <cell r="U4805">
            <v>63.636364</v>
          </cell>
          <cell r="V4805">
            <v>0</v>
          </cell>
          <cell r="W4805">
            <v>0</v>
          </cell>
          <cell r="X4805">
            <v>9.2940900000000007E-2</v>
          </cell>
          <cell r="Y4805">
            <v>0</v>
          </cell>
          <cell r="Z4805">
            <v>0</v>
          </cell>
          <cell r="AA4805">
            <v>0</v>
          </cell>
          <cell r="AB4805">
            <v>4.9276800000000003E-2</v>
          </cell>
        </row>
        <row r="4806">
          <cell r="A4806">
            <v>73410310</v>
          </cell>
          <cell r="B4806" t="str">
            <v>Sweet potato fries, frozen, fried</v>
          </cell>
          <cell r="I4806">
            <v>70</v>
          </cell>
          <cell r="J4806">
            <v>172.17455000000001</v>
          </cell>
          <cell r="K4806">
            <v>2.4596364285714287</v>
          </cell>
          <cell r="L4806">
            <v>3.6272726999999998</v>
          </cell>
          <cell r="M4806">
            <v>1.6065986000000001</v>
          </cell>
          <cell r="N4806">
            <v>0</v>
          </cell>
          <cell r="O4806">
            <v>3.3106799999999999E-2</v>
          </cell>
          <cell r="P4806">
            <v>0</v>
          </cell>
          <cell r="Q4806">
            <v>4.4430750000000003</v>
          </cell>
          <cell r="R4806">
            <v>0</v>
          </cell>
          <cell r="S4806">
            <v>0</v>
          </cell>
          <cell r="T4806">
            <v>0</v>
          </cell>
          <cell r="U4806">
            <v>63.636364</v>
          </cell>
          <cell r="V4806">
            <v>0</v>
          </cell>
          <cell r="W4806">
            <v>0</v>
          </cell>
          <cell r="X4806">
            <v>9.2940900000000007E-2</v>
          </cell>
          <cell r="Y4806">
            <v>0</v>
          </cell>
          <cell r="Z4806">
            <v>0</v>
          </cell>
          <cell r="AA4806">
            <v>0</v>
          </cell>
          <cell r="AB4806">
            <v>9.3952499999999994E-2</v>
          </cell>
        </row>
        <row r="4807">
          <cell r="A4807">
            <v>73410320</v>
          </cell>
          <cell r="B4807" t="str">
            <v>Sweet potato fries, frozen, baked</v>
          </cell>
          <cell r="I4807">
            <v>70</v>
          </cell>
          <cell r="J4807">
            <v>127.4</v>
          </cell>
          <cell r="K4807">
            <v>1.82</v>
          </cell>
          <cell r="L4807">
            <v>3.99</v>
          </cell>
          <cell r="M4807">
            <v>0.80989999999999995</v>
          </cell>
          <cell r="N4807">
            <v>0</v>
          </cell>
          <cell r="O4807">
            <v>3.6400000000000002E-2</v>
          </cell>
          <cell r="P4807">
            <v>0</v>
          </cell>
          <cell r="Q4807">
            <v>2.0041000000000002</v>
          </cell>
          <cell r="R4807">
            <v>0</v>
          </cell>
          <cell r="S4807">
            <v>0</v>
          </cell>
          <cell r="T4807">
            <v>0</v>
          </cell>
          <cell r="U4807">
            <v>70</v>
          </cell>
          <cell r="V4807">
            <v>0</v>
          </cell>
          <cell r="W4807">
            <v>0</v>
          </cell>
          <cell r="X4807">
            <v>0.1022</v>
          </cell>
          <cell r="Y4807">
            <v>0</v>
          </cell>
          <cell r="Z4807">
            <v>0</v>
          </cell>
          <cell r="AA4807">
            <v>0</v>
          </cell>
          <cell r="AB4807">
            <v>2.9399999999999999E-2</v>
          </cell>
        </row>
        <row r="4808">
          <cell r="A4808">
            <v>73410330</v>
          </cell>
          <cell r="B4808" t="str">
            <v>Sweet potato fries, from fresh, fried</v>
          </cell>
          <cell r="I4808">
            <v>70</v>
          </cell>
          <cell r="J4808">
            <v>135.17158000000001</v>
          </cell>
          <cell r="K4808">
            <v>1.9310225714285716</v>
          </cell>
          <cell r="L4808">
            <v>2.0017331</v>
          </cell>
          <cell r="M4808">
            <v>1.2759426</v>
          </cell>
          <cell r="N4808">
            <v>0</v>
          </cell>
          <cell r="O4808">
            <v>2.3131200000000001E-2</v>
          </cell>
          <cell r="P4808">
            <v>0</v>
          </cell>
          <cell r="Q4808">
            <v>3.8035733999999999</v>
          </cell>
          <cell r="R4808">
            <v>0</v>
          </cell>
          <cell r="S4808">
            <v>0</v>
          </cell>
          <cell r="T4808">
            <v>0</v>
          </cell>
          <cell r="U4808">
            <v>60.658579000000003</v>
          </cell>
          <cell r="V4808">
            <v>0</v>
          </cell>
          <cell r="W4808">
            <v>0</v>
          </cell>
          <cell r="X4808">
            <v>0.11592280000000001</v>
          </cell>
          <cell r="Y4808">
            <v>0</v>
          </cell>
          <cell r="Z4808">
            <v>0</v>
          </cell>
          <cell r="AA4808">
            <v>0</v>
          </cell>
          <cell r="AB4808">
            <v>3.2241600000000002E-2</v>
          </cell>
        </row>
        <row r="4809">
          <cell r="A4809">
            <v>73410400</v>
          </cell>
          <cell r="B4809" t="str">
            <v>Sweet potato fries, fast food / restaurant</v>
          </cell>
          <cell r="I4809">
            <v>70</v>
          </cell>
          <cell r="J4809">
            <v>202.52703</v>
          </cell>
          <cell r="K4809">
            <v>2.8932432857142856</v>
          </cell>
          <cell r="L4809">
            <v>3.3699324000000002</v>
          </cell>
          <cell r="M4809">
            <v>4.1610092999999999</v>
          </cell>
          <cell r="N4809">
            <v>0</v>
          </cell>
          <cell r="O4809">
            <v>3.0800000000000001E-2</v>
          </cell>
          <cell r="P4809">
            <v>0</v>
          </cell>
          <cell r="Q4809">
            <v>5.0780773000000003</v>
          </cell>
          <cell r="R4809">
            <v>0</v>
          </cell>
          <cell r="S4809">
            <v>0</v>
          </cell>
          <cell r="T4809">
            <v>0</v>
          </cell>
          <cell r="U4809">
            <v>59.121622000000002</v>
          </cell>
          <cell r="V4809">
            <v>0</v>
          </cell>
          <cell r="W4809">
            <v>0</v>
          </cell>
          <cell r="X4809">
            <v>0.17797499999999999</v>
          </cell>
          <cell r="Y4809">
            <v>0</v>
          </cell>
          <cell r="Z4809">
            <v>0</v>
          </cell>
          <cell r="AA4809">
            <v>0</v>
          </cell>
          <cell r="AB4809">
            <v>0.1068003</v>
          </cell>
        </row>
        <row r="4810">
          <cell r="A4810">
            <v>73420000</v>
          </cell>
          <cell r="B4810" t="str">
            <v>Sweet potato tots, NFS</v>
          </cell>
          <cell r="I4810">
            <v>70</v>
          </cell>
          <cell r="J4810">
            <v>159.02644000000001</v>
          </cell>
          <cell r="K4810">
            <v>2.2718062857142858</v>
          </cell>
          <cell r="L4810">
            <v>3.7150837999999999</v>
          </cell>
          <cell r="M4810">
            <v>1.3780735</v>
          </cell>
          <cell r="N4810">
            <v>0</v>
          </cell>
          <cell r="O4810">
            <v>3.3966000000000003E-2</v>
          </cell>
          <cell r="P4810">
            <v>0</v>
          </cell>
          <cell r="Q4810">
            <v>3.7452492999999998</v>
          </cell>
          <cell r="R4810">
            <v>0</v>
          </cell>
          <cell r="S4810">
            <v>0</v>
          </cell>
          <cell r="T4810">
            <v>0</v>
          </cell>
          <cell r="U4810">
            <v>65.176908999999995</v>
          </cell>
          <cell r="V4810">
            <v>0</v>
          </cell>
          <cell r="W4810">
            <v>0</v>
          </cell>
          <cell r="X4810">
            <v>0.19622619999999999</v>
          </cell>
          <cell r="Y4810">
            <v>0</v>
          </cell>
          <cell r="Z4810">
            <v>0</v>
          </cell>
          <cell r="AA4810">
            <v>0</v>
          </cell>
          <cell r="AB4810">
            <v>8.7928099999999995E-2</v>
          </cell>
        </row>
        <row r="4811">
          <cell r="A4811">
            <v>73421000</v>
          </cell>
          <cell r="B4811" t="str">
            <v>Sweet potato, yellow, Puerto Rican, cooked</v>
          </cell>
          <cell r="I4811">
            <v>110</v>
          </cell>
          <cell r="J4811">
            <v>83.071860999999998</v>
          </cell>
          <cell r="K4811">
            <v>0.75519873636363632</v>
          </cell>
          <cell r="L4811">
            <v>2.7326269999999999</v>
          </cell>
          <cell r="M4811">
            <v>3.3884600000000001E-2</v>
          </cell>
          <cell r="N4811">
            <v>0</v>
          </cell>
          <cell r="O4811">
            <v>2.9679199999999999E-2</v>
          </cell>
          <cell r="P4811">
            <v>0</v>
          </cell>
          <cell r="Q4811">
            <v>6.6676100000000002E-2</v>
          </cell>
          <cell r="R4811">
            <v>0</v>
          </cell>
          <cell r="S4811">
            <v>0</v>
          </cell>
          <cell r="T4811">
            <v>0</v>
          </cell>
          <cell r="U4811">
            <v>109.30508</v>
          </cell>
          <cell r="V4811">
            <v>0</v>
          </cell>
          <cell r="W4811">
            <v>0</v>
          </cell>
          <cell r="X4811">
            <v>0.29884939999999999</v>
          </cell>
          <cell r="Y4811">
            <v>0</v>
          </cell>
          <cell r="Z4811">
            <v>0</v>
          </cell>
          <cell r="AA4811">
            <v>0</v>
          </cell>
          <cell r="AB4811">
            <v>0</v>
          </cell>
        </row>
        <row r="4812">
          <cell r="A4812">
            <v>73501000</v>
          </cell>
          <cell r="B4812" t="str">
            <v>Carrot soup, cream of, prepared with milk, home recipe, canned or ready-to-serve</v>
          </cell>
          <cell r="I4812">
            <v>245</v>
          </cell>
          <cell r="J4812">
            <v>70.447208000000003</v>
          </cell>
          <cell r="K4812">
            <v>0.28753962448979592</v>
          </cell>
          <cell r="L4812">
            <v>2.2229231</v>
          </cell>
          <cell r="M4812">
            <v>0.81776959999999999</v>
          </cell>
          <cell r="N4812">
            <v>0</v>
          </cell>
          <cell r="O4812">
            <v>0.1061284</v>
          </cell>
          <cell r="P4812">
            <v>0</v>
          </cell>
          <cell r="Q4812">
            <v>0.1657795</v>
          </cell>
          <cell r="R4812">
            <v>0</v>
          </cell>
          <cell r="S4812">
            <v>0</v>
          </cell>
          <cell r="T4812">
            <v>0</v>
          </cell>
          <cell r="U4812">
            <v>79.160184999999998</v>
          </cell>
          <cell r="V4812">
            <v>0</v>
          </cell>
          <cell r="W4812">
            <v>0</v>
          </cell>
          <cell r="X4812">
            <v>0.4645919</v>
          </cell>
          <cell r="Y4812">
            <v>0</v>
          </cell>
          <cell r="Z4812">
            <v>0</v>
          </cell>
          <cell r="AA4812">
            <v>0</v>
          </cell>
          <cell r="AB4812">
            <v>1.97612E-2</v>
          </cell>
        </row>
        <row r="4813">
          <cell r="A4813">
            <v>73502000</v>
          </cell>
          <cell r="B4813" t="str">
            <v>Squash, winter type, soup, home recipe, canned, or ready-to-serve</v>
          </cell>
          <cell r="I4813">
            <v>245</v>
          </cell>
          <cell r="J4813">
            <v>94.883122999999998</v>
          </cell>
          <cell r="K4813">
            <v>0.38727805306122448</v>
          </cell>
          <cell r="L4813">
            <v>3.189559</v>
          </cell>
          <cell r="M4813">
            <v>3.6563683999999999</v>
          </cell>
          <cell r="N4813">
            <v>0</v>
          </cell>
          <cell r="O4813">
            <v>3.4051699999999997E-2</v>
          </cell>
          <cell r="P4813">
            <v>6.7238000000000003E-3</v>
          </cell>
          <cell r="Q4813">
            <v>0.38901520000000001</v>
          </cell>
          <cell r="R4813">
            <v>0</v>
          </cell>
          <cell r="S4813">
            <v>0</v>
          </cell>
          <cell r="T4813">
            <v>0</v>
          </cell>
          <cell r="U4813">
            <v>114.74373</v>
          </cell>
          <cell r="V4813">
            <v>0</v>
          </cell>
          <cell r="W4813">
            <v>0</v>
          </cell>
          <cell r="X4813">
            <v>0.81066870000000002</v>
          </cell>
          <cell r="Y4813">
            <v>0</v>
          </cell>
          <cell r="Z4813">
            <v>0</v>
          </cell>
          <cell r="AA4813">
            <v>0</v>
          </cell>
          <cell r="AB4813">
            <v>0.22637460000000001</v>
          </cell>
        </row>
        <row r="4814">
          <cell r="A4814">
            <v>74101000</v>
          </cell>
          <cell r="B4814" t="str">
            <v>Tomatoes, raw</v>
          </cell>
          <cell r="I4814">
            <v>85</v>
          </cell>
          <cell r="J4814">
            <v>15.3</v>
          </cell>
          <cell r="K4814">
            <v>0.18000000000000002</v>
          </cell>
          <cell r="L4814">
            <v>1.02</v>
          </cell>
          <cell r="M4814">
            <v>2.3800000000000002E-2</v>
          </cell>
          <cell r="N4814">
            <v>0</v>
          </cell>
          <cell r="O4814">
            <v>8.5000000000000006E-3</v>
          </cell>
          <cell r="P4814">
            <v>0</v>
          </cell>
          <cell r="Q4814">
            <v>7.0550000000000002E-2</v>
          </cell>
          <cell r="R4814">
            <v>0</v>
          </cell>
          <cell r="S4814">
            <v>0</v>
          </cell>
          <cell r="T4814">
            <v>0</v>
          </cell>
          <cell r="U4814">
            <v>85</v>
          </cell>
          <cell r="V4814">
            <v>0</v>
          </cell>
          <cell r="W4814">
            <v>0</v>
          </cell>
          <cell r="X4814">
            <v>4.2500000000000003E-3</v>
          </cell>
          <cell r="Y4814">
            <v>0</v>
          </cell>
          <cell r="Z4814">
            <v>0</v>
          </cell>
          <cell r="AA4814">
            <v>0</v>
          </cell>
          <cell r="AB4814">
            <v>0</v>
          </cell>
        </row>
        <row r="4815">
          <cell r="A4815">
            <v>74201000</v>
          </cell>
          <cell r="B4815" t="str">
            <v>Tomatoes, cooked, NS as to form, NS as to method</v>
          </cell>
          <cell r="I4815">
            <v>85</v>
          </cell>
          <cell r="J4815">
            <v>15.236515000000001</v>
          </cell>
          <cell r="K4815">
            <v>0.17925311764705884</v>
          </cell>
          <cell r="L4815">
            <v>0.59253109999999998</v>
          </cell>
          <cell r="M4815">
            <v>1.2697099999999999E-2</v>
          </cell>
          <cell r="N4815">
            <v>0</v>
          </cell>
          <cell r="O4815">
            <v>9.3959000000000004E-3</v>
          </cell>
          <cell r="P4815">
            <v>0</v>
          </cell>
          <cell r="Q4815">
            <v>3.7244800000000002E-2</v>
          </cell>
          <cell r="R4815">
            <v>0</v>
          </cell>
          <cell r="S4815">
            <v>0</v>
          </cell>
          <cell r="T4815">
            <v>0</v>
          </cell>
          <cell r="U4815">
            <v>84.647302999999994</v>
          </cell>
          <cell r="V4815">
            <v>0</v>
          </cell>
          <cell r="W4815">
            <v>0</v>
          </cell>
          <cell r="X4815">
            <v>0.14600949999999999</v>
          </cell>
          <cell r="Y4815">
            <v>0</v>
          </cell>
          <cell r="Z4815">
            <v>0</v>
          </cell>
          <cell r="AA4815">
            <v>0</v>
          </cell>
          <cell r="AB4815">
            <v>0</v>
          </cell>
        </row>
        <row r="4816">
          <cell r="A4816">
            <v>74201001</v>
          </cell>
          <cell r="B4816" t="str">
            <v>Tomatoes, cooked, from fresh, NS as to method</v>
          </cell>
          <cell r="I4816">
            <v>85</v>
          </cell>
          <cell r="J4816">
            <v>15.236515000000001</v>
          </cell>
          <cell r="K4816">
            <v>0.17925311764705884</v>
          </cell>
          <cell r="L4816">
            <v>0.59253109999999998</v>
          </cell>
          <cell r="M4816">
            <v>1.2697099999999999E-2</v>
          </cell>
          <cell r="N4816">
            <v>0</v>
          </cell>
          <cell r="O4816">
            <v>9.3959000000000004E-3</v>
          </cell>
          <cell r="P4816">
            <v>0</v>
          </cell>
          <cell r="Q4816">
            <v>3.7244800000000002E-2</v>
          </cell>
          <cell r="R4816">
            <v>0</v>
          </cell>
          <cell r="S4816">
            <v>0</v>
          </cell>
          <cell r="T4816">
            <v>0</v>
          </cell>
          <cell r="U4816">
            <v>84.647302999999994</v>
          </cell>
          <cell r="V4816">
            <v>0</v>
          </cell>
          <cell r="W4816">
            <v>0</v>
          </cell>
          <cell r="X4816">
            <v>0.14600949999999999</v>
          </cell>
          <cell r="Y4816">
            <v>0</v>
          </cell>
          <cell r="Z4816">
            <v>0</v>
          </cell>
          <cell r="AA4816">
            <v>0</v>
          </cell>
          <cell r="AB4816">
            <v>0</v>
          </cell>
        </row>
        <row r="4817">
          <cell r="A4817">
            <v>74201003</v>
          </cell>
          <cell r="B4817" t="str">
            <v>Tomatoes, cooked, from canned, NS as to method</v>
          </cell>
          <cell r="I4817">
            <v>130</v>
          </cell>
          <cell r="J4817">
            <v>20.8</v>
          </cell>
          <cell r="K4817">
            <v>0.16</v>
          </cell>
          <cell r="L4817">
            <v>1.6054999999999999</v>
          </cell>
          <cell r="M4817">
            <v>4.4200000000000003E-2</v>
          </cell>
          <cell r="N4817">
            <v>0</v>
          </cell>
          <cell r="O4817">
            <v>4.2900000000000001E-2</v>
          </cell>
          <cell r="P4817">
            <v>0.86450000000000005</v>
          </cell>
          <cell r="Q4817">
            <v>0.1313</v>
          </cell>
          <cell r="R4817">
            <v>0</v>
          </cell>
          <cell r="S4817">
            <v>0</v>
          </cell>
          <cell r="T4817">
            <v>0</v>
          </cell>
          <cell r="U4817">
            <v>84.5</v>
          </cell>
          <cell r="V4817">
            <v>0</v>
          </cell>
          <cell r="W4817">
            <v>0</v>
          </cell>
          <cell r="X4817">
            <v>0.14949999999999999</v>
          </cell>
          <cell r="Y4817">
            <v>0</v>
          </cell>
          <cell r="Z4817">
            <v>0</v>
          </cell>
          <cell r="AA4817">
            <v>0</v>
          </cell>
          <cell r="AB4817">
            <v>0</v>
          </cell>
        </row>
        <row r="4818">
          <cell r="A4818">
            <v>74202011</v>
          </cell>
          <cell r="B4818" t="str">
            <v>Tomatoes, from fresh, broiled</v>
          </cell>
          <cell r="I4818">
            <v>85</v>
          </cell>
          <cell r="J4818">
            <v>15.21547</v>
          </cell>
          <cell r="K4818">
            <v>0.1790055294117647</v>
          </cell>
          <cell r="L4818">
            <v>1.0143645999999999</v>
          </cell>
          <cell r="M4818">
            <v>2.3668499999999999E-2</v>
          </cell>
          <cell r="N4818">
            <v>0</v>
          </cell>
          <cell r="O4818">
            <v>8.5657000000000007E-3</v>
          </cell>
          <cell r="P4818">
            <v>0</v>
          </cell>
          <cell r="Q4818">
            <v>7.0160200000000006E-2</v>
          </cell>
          <cell r="R4818">
            <v>0</v>
          </cell>
          <cell r="S4818">
            <v>0</v>
          </cell>
          <cell r="T4818">
            <v>0</v>
          </cell>
          <cell r="U4818">
            <v>84.530387000000005</v>
          </cell>
          <cell r="V4818">
            <v>0</v>
          </cell>
          <cell r="W4818">
            <v>0</v>
          </cell>
          <cell r="X4818">
            <v>0.18623919999999999</v>
          </cell>
          <cell r="Y4818">
            <v>0</v>
          </cell>
          <cell r="Z4818">
            <v>0</v>
          </cell>
          <cell r="AA4818">
            <v>0</v>
          </cell>
          <cell r="AB4818">
            <v>0</v>
          </cell>
        </row>
        <row r="4819">
          <cell r="A4819">
            <v>74202051</v>
          </cell>
          <cell r="B4819" t="str">
            <v>Tomatoes, red, from fresh, fried</v>
          </cell>
          <cell r="I4819">
            <v>85</v>
          </cell>
          <cell r="J4819">
            <v>128.02191999999999</v>
          </cell>
          <cell r="K4819">
            <v>1.5061402352941176</v>
          </cell>
          <cell r="L4819">
            <v>0.6529935</v>
          </cell>
          <cell r="M4819">
            <v>1.520564</v>
          </cell>
          <cell r="N4819">
            <v>0</v>
          </cell>
          <cell r="O4819">
            <v>4.3901500000000003E-2</v>
          </cell>
          <cell r="P4819">
            <v>0.1967042</v>
          </cell>
          <cell r="Q4819">
            <v>3.9308640000000001</v>
          </cell>
          <cell r="R4819">
            <v>0</v>
          </cell>
          <cell r="S4819">
            <v>0</v>
          </cell>
          <cell r="T4819">
            <v>0</v>
          </cell>
          <cell r="U4819">
            <v>54.416122999999999</v>
          </cell>
          <cell r="V4819">
            <v>0</v>
          </cell>
          <cell r="W4819">
            <v>0</v>
          </cell>
          <cell r="X4819">
            <v>0.133659</v>
          </cell>
          <cell r="Y4819">
            <v>0</v>
          </cell>
          <cell r="Z4819">
            <v>0</v>
          </cell>
          <cell r="AA4819">
            <v>0</v>
          </cell>
          <cell r="AB4819">
            <v>8.7021600000000005E-2</v>
          </cell>
        </row>
        <row r="4820">
          <cell r="A4820">
            <v>74204010</v>
          </cell>
          <cell r="B4820" t="str">
            <v>Tomatoes, NS as to form, stewed</v>
          </cell>
          <cell r="I4820">
            <v>130</v>
          </cell>
          <cell r="J4820">
            <v>33.799999999999997</v>
          </cell>
          <cell r="K4820">
            <v>0.25999999999999995</v>
          </cell>
          <cell r="L4820">
            <v>1.3</v>
          </cell>
          <cell r="M4820">
            <v>3.3799999999999997E-2</v>
          </cell>
          <cell r="N4820">
            <v>0</v>
          </cell>
          <cell r="O4820">
            <v>4.4200000000000003E-2</v>
          </cell>
          <cell r="P4820">
            <v>0</v>
          </cell>
          <cell r="Q4820">
            <v>0.10009999999999999</v>
          </cell>
          <cell r="R4820">
            <v>0</v>
          </cell>
          <cell r="S4820">
            <v>0</v>
          </cell>
          <cell r="T4820">
            <v>0</v>
          </cell>
          <cell r="U4820">
            <v>130</v>
          </cell>
          <cell r="V4820">
            <v>0</v>
          </cell>
          <cell r="W4820">
            <v>0</v>
          </cell>
          <cell r="X4820">
            <v>0.2873</v>
          </cell>
          <cell r="Y4820">
            <v>0</v>
          </cell>
          <cell r="Z4820">
            <v>0</v>
          </cell>
          <cell r="AA4820">
            <v>0</v>
          </cell>
          <cell r="AB4820">
            <v>0</v>
          </cell>
        </row>
        <row r="4821">
          <cell r="A4821">
            <v>74204500</v>
          </cell>
          <cell r="B4821" t="str">
            <v>Tomatoes, canned, low sodium</v>
          </cell>
          <cell r="I4821">
            <v>130</v>
          </cell>
          <cell r="J4821">
            <v>22.1</v>
          </cell>
          <cell r="K4821">
            <v>0.17</v>
          </cell>
          <cell r="L4821">
            <v>0.84499999999999997</v>
          </cell>
          <cell r="M4821">
            <v>2.3400000000000001E-2</v>
          </cell>
          <cell r="N4821">
            <v>0</v>
          </cell>
          <cell r="O4821">
            <v>4.0300000000000002E-2</v>
          </cell>
          <cell r="P4821">
            <v>0.45500000000000002</v>
          </cell>
          <cell r="Q4821">
            <v>6.7599999999999993E-2</v>
          </cell>
          <cell r="R4821">
            <v>0</v>
          </cell>
          <cell r="S4821">
            <v>0</v>
          </cell>
          <cell r="T4821">
            <v>0</v>
          </cell>
          <cell r="U4821">
            <v>84.5</v>
          </cell>
          <cell r="V4821">
            <v>0</v>
          </cell>
          <cell r="W4821">
            <v>0</v>
          </cell>
          <cell r="X4821">
            <v>1.2999999999999999E-2</v>
          </cell>
          <cell r="Y4821">
            <v>0</v>
          </cell>
          <cell r="Z4821">
            <v>0</v>
          </cell>
          <cell r="AA4821">
            <v>0</v>
          </cell>
          <cell r="AB4821">
            <v>0</v>
          </cell>
        </row>
        <row r="4822">
          <cell r="A4822">
            <v>74205010</v>
          </cell>
          <cell r="B4822" t="str">
            <v>Tomatoes, green, cooked, NS as to form</v>
          </cell>
          <cell r="I4822">
            <v>85</v>
          </cell>
          <cell r="J4822">
            <v>136.80772999999999</v>
          </cell>
          <cell r="K4822">
            <v>1.6095027058823528</v>
          </cell>
          <cell r="L4822">
            <v>0.39778629999999998</v>
          </cell>
          <cell r="M4822">
            <v>2.2739704000000001</v>
          </cell>
          <cell r="N4822">
            <v>0</v>
          </cell>
          <cell r="O4822">
            <v>1.32046E-2</v>
          </cell>
          <cell r="P4822">
            <v>0.3525681</v>
          </cell>
          <cell r="Q4822">
            <v>2.4440515</v>
          </cell>
          <cell r="R4822">
            <v>0</v>
          </cell>
          <cell r="S4822">
            <v>0</v>
          </cell>
          <cell r="T4822">
            <v>0</v>
          </cell>
          <cell r="U4822">
            <v>36.162390000000002</v>
          </cell>
          <cell r="V4822">
            <v>0</v>
          </cell>
          <cell r="W4822">
            <v>0</v>
          </cell>
          <cell r="X4822">
            <v>0.25366860000000002</v>
          </cell>
          <cell r="Y4822">
            <v>0</v>
          </cell>
          <cell r="Z4822">
            <v>0</v>
          </cell>
          <cell r="AA4822">
            <v>0</v>
          </cell>
          <cell r="AB4822">
            <v>1.0206951</v>
          </cell>
        </row>
        <row r="4823">
          <cell r="A4823">
            <v>74205020</v>
          </cell>
          <cell r="B4823" t="str">
            <v>Tomato, green, pickled</v>
          </cell>
          <cell r="I4823">
            <v>30</v>
          </cell>
          <cell r="J4823">
            <v>10.89899</v>
          </cell>
          <cell r="K4823">
            <v>0.36329966666666663</v>
          </cell>
          <cell r="L4823">
            <v>0</v>
          </cell>
          <cell r="M4823">
            <v>9.1410999999999992E-3</v>
          </cell>
          <cell r="N4823">
            <v>0</v>
          </cell>
          <cell r="O4823">
            <v>4.3926E-3</v>
          </cell>
          <cell r="P4823">
            <v>0.34206019999999998</v>
          </cell>
          <cell r="Q4823">
            <v>2.3467999999999999E-2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3.7609700000000003E-2</v>
          </cell>
          <cell r="Y4823">
            <v>0</v>
          </cell>
          <cell r="Z4823">
            <v>0</v>
          </cell>
          <cell r="AA4823">
            <v>0</v>
          </cell>
          <cell r="AB4823">
            <v>3.567E-4</v>
          </cell>
        </row>
        <row r="4824">
          <cell r="A4824">
            <v>74206000</v>
          </cell>
          <cell r="B4824" t="str">
            <v>Tomatoes, red, dried</v>
          </cell>
          <cell r="I4824">
            <v>40</v>
          </cell>
          <cell r="J4824">
            <v>103.2</v>
          </cell>
          <cell r="K4824">
            <v>2.58</v>
          </cell>
          <cell r="L4824">
            <v>4.92</v>
          </cell>
          <cell r="M4824">
            <v>0.1704</v>
          </cell>
          <cell r="N4824">
            <v>0</v>
          </cell>
          <cell r="O4824">
            <v>4.3999999999999997E-2</v>
          </cell>
          <cell r="P4824">
            <v>0</v>
          </cell>
          <cell r="Q4824">
            <v>0.44600000000000001</v>
          </cell>
          <cell r="R4824">
            <v>0</v>
          </cell>
          <cell r="S4824">
            <v>0</v>
          </cell>
          <cell r="T4824">
            <v>0</v>
          </cell>
          <cell r="U4824">
            <v>40</v>
          </cell>
          <cell r="V4824">
            <v>0</v>
          </cell>
          <cell r="W4824">
            <v>0</v>
          </cell>
          <cell r="X4824">
            <v>4.2799999999999998E-2</v>
          </cell>
          <cell r="Y4824">
            <v>0</v>
          </cell>
          <cell r="Z4824">
            <v>0</v>
          </cell>
          <cell r="AA4824">
            <v>0</v>
          </cell>
          <cell r="AB4824">
            <v>0</v>
          </cell>
        </row>
        <row r="4825">
          <cell r="A4825">
            <v>74301100</v>
          </cell>
          <cell r="B4825" t="str">
            <v>Tomato juice, 100%</v>
          </cell>
          <cell r="I4825">
            <v>240</v>
          </cell>
          <cell r="J4825">
            <v>40.799999999999997</v>
          </cell>
          <cell r="K4825">
            <v>0.16999999999999998</v>
          </cell>
          <cell r="L4825">
            <v>0</v>
          </cell>
          <cell r="M4825">
            <v>4.5600000000000002E-2</v>
          </cell>
          <cell r="N4825">
            <v>0</v>
          </cell>
          <cell r="O4825">
            <v>2.4E-2</v>
          </cell>
          <cell r="P4825">
            <v>0.96</v>
          </cell>
          <cell r="Q4825">
            <v>6.4799999999999996E-2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0.60719999999999996</v>
          </cell>
          <cell r="Y4825">
            <v>0</v>
          </cell>
          <cell r="Z4825">
            <v>0</v>
          </cell>
          <cell r="AA4825">
            <v>0</v>
          </cell>
          <cell r="AB4825">
            <v>0</v>
          </cell>
        </row>
        <row r="4826">
          <cell r="A4826">
            <v>74301150</v>
          </cell>
          <cell r="B4826" t="str">
            <v>Tomato juice, 100%, low sodium</v>
          </cell>
          <cell r="I4826">
            <v>240</v>
          </cell>
          <cell r="J4826">
            <v>40.799999999999997</v>
          </cell>
          <cell r="K4826">
            <v>0.16999999999999998</v>
          </cell>
          <cell r="L4826">
            <v>0</v>
          </cell>
          <cell r="M4826">
            <v>4.5600000000000002E-2</v>
          </cell>
          <cell r="N4826">
            <v>0</v>
          </cell>
          <cell r="O4826">
            <v>2.4E-2</v>
          </cell>
          <cell r="P4826">
            <v>0.96</v>
          </cell>
          <cell r="Q4826">
            <v>6.4799999999999996E-2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2.4E-2</v>
          </cell>
          <cell r="Y4826">
            <v>0</v>
          </cell>
          <cell r="Z4826">
            <v>0</v>
          </cell>
          <cell r="AA4826">
            <v>0</v>
          </cell>
          <cell r="AB4826">
            <v>0</v>
          </cell>
        </row>
        <row r="4827">
          <cell r="A4827">
            <v>74302000</v>
          </cell>
          <cell r="B4827" t="str">
            <v>Tomato juice cocktail</v>
          </cell>
          <cell r="I4827">
            <v>240</v>
          </cell>
          <cell r="J4827">
            <v>52.8</v>
          </cell>
          <cell r="K4827">
            <v>0.22</v>
          </cell>
          <cell r="L4827">
            <v>0</v>
          </cell>
          <cell r="M4827">
            <v>0.2112</v>
          </cell>
          <cell r="N4827">
            <v>0</v>
          </cell>
          <cell r="O4827">
            <v>3.3599999999999998E-2</v>
          </cell>
          <cell r="P4827">
            <v>1.2</v>
          </cell>
          <cell r="Q4827">
            <v>0.18240000000000001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0.40560000000000002</v>
          </cell>
          <cell r="Y4827">
            <v>0</v>
          </cell>
          <cell r="Z4827">
            <v>0</v>
          </cell>
          <cell r="AA4827">
            <v>0</v>
          </cell>
          <cell r="AB4827">
            <v>0</v>
          </cell>
        </row>
        <row r="4828">
          <cell r="A4828">
            <v>74303000</v>
          </cell>
          <cell r="B4828" t="str">
            <v>Tomato and vegetable juice, 100%</v>
          </cell>
          <cell r="I4828">
            <v>240</v>
          </cell>
          <cell r="J4828">
            <v>52.8</v>
          </cell>
          <cell r="K4828">
            <v>0.22</v>
          </cell>
          <cell r="L4828">
            <v>0</v>
          </cell>
          <cell r="M4828">
            <v>0.2112</v>
          </cell>
          <cell r="N4828">
            <v>0</v>
          </cell>
          <cell r="O4828">
            <v>3.3599999999999998E-2</v>
          </cell>
          <cell r="P4828">
            <v>1.2</v>
          </cell>
          <cell r="Q4828">
            <v>0.18240000000000001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0.40560000000000002</v>
          </cell>
          <cell r="Y4828">
            <v>0</v>
          </cell>
          <cell r="Z4828">
            <v>0</v>
          </cell>
          <cell r="AA4828">
            <v>0</v>
          </cell>
          <cell r="AB4828">
            <v>0</v>
          </cell>
        </row>
        <row r="4829">
          <cell r="A4829">
            <v>74303100</v>
          </cell>
          <cell r="B4829" t="str">
            <v>Tomato and vegetable juice, 100%, low sodium</v>
          </cell>
          <cell r="I4829">
            <v>240</v>
          </cell>
          <cell r="J4829">
            <v>52.8</v>
          </cell>
          <cell r="K4829">
            <v>0.22</v>
          </cell>
          <cell r="L4829">
            <v>0</v>
          </cell>
          <cell r="M4829">
            <v>3.3599999999999998E-2</v>
          </cell>
          <cell r="N4829">
            <v>0</v>
          </cell>
          <cell r="O4829">
            <v>2.64E-2</v>
          </cell>
          <cell r="P4829">
            <v>1.92</v>
          </cell>
          <cell r="Q4829">
            <v>0.1008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0.13919999999999999</v>
          </cell>
          <cell r="Y4829">
            <v>0</v>
          </cell>
          <cell r="Z4829">
            <v>0</v>
          </cell>
          <cell r="AA4829">
            <v>0</v>
          </cell>
          <cell r="AB4829">
            <v>0</v>
          </cell>
        </row>
        <row r="4830">
          <cell r="A4830">
            <v>74304000</v>
          </cell>
          <cell r="B4830" t="str">
            <v>Tomato juice with clam or beef juice</v>
          </cell>
          <cell r="I4830">
            <v>240</v>
          </cell>
          <cell r="J4830">
            <v>34.799999999999997</v>
          </cell>
          <cell r="K4830">
            <v>0.14499999999999999</v>
          </cell>
          <cell r="L4830">
            <v>0</v>
          </cell>
          <cell r="M4830">
            <v>8.0399999999999999E-2</v>
          </cell>
          <cell r="N4830">
            <v>0</v>
          </cell>
          <cell r="O4830">
            <v>2.1600000000000001E-2</v>
          </cell>
          <cell r="P4830">
            <v>0.72</v>
          </cell>
          <cell r="Q4830">
            <v>4.9200000000000001E-2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0.70740000000000003</v>
          </cell>
          <cell r="Y4830">
            <v>0</v>
          </cell>
          <cell r="Z4830">
            <v>0</v>
          </cell>
          <cell r="AA4830">
            <v>0</v>
          </cell>
          <cell r="AB4830">
            <v>0</v>
          </cell>
        </row>
        <row r="4831">
          <cell r="A4831">
            <v>74401010</v>
          </cell>
          <cell r="B4831" t="str">
            <v>Tomato catsup</v>
          </cell>
          <cell r="I4831">
            <v>15</v>
          </cell>
          <cell r="J4831">
            <v>15.15</v>
          </cell>
          <cell r="K4831">
            <v>1.01</v>
          </cell>
          <cell r="L4831">
            <v>4.4999999999999998E-2</v>
          </cell>
          <cell r="M4831">
            <v>2.0999999999999999E-3</v>
          </cell>
          <cell r="N4831">
            <v>0</v>
          </cell>
          <cell r="O4831">
            <v>2.2499999999999998E-3</v>
          </cell>
          <cell r="P4831">
            <v>0</v>
          </cell>
          <cell r="Q4831">
            <v>6.1500000000000001E-3</v>
          </cell>
          <cell r="R4831">
            <v>0</v>
          </cell>
          <cell r="S4831">
            <v>0</v>
          </cell>
          <cell r="T4831">
            <v>0</v>
          </cell>
          <cell r="U4831">
            <v>10.44</v>
          </cell>
          <cell r="V4831">
            <v>0</v>
          </cell>
          <cell r="W4831">
            <v>0</v>
          </cell>
          <cell r="X4831">
            <v>0.13605</v>
          </cell>
          <cell r="Y4831">
            <v>0</v>
          </cell>
          <cell r="Z4831">
            <v>0</v>
          </cell>
          <cell r="AA4831">
            <v>0</v>
          </cell>
          <cell r="AB4831">
            <v>0</v>
          </cell>
        </row>
        <row r="4832">
          <cell r="A4832">
            <v>74401110</v>
          </cell>
          <cell r="B4832" t="str">
            <v>Tomato catsup, reduced sodium</v>
          </cell>
          <cell r="I4832">
            <v>15</v>
          </cell>
          <cell r="J4832">
            <v>14.4</v>
          </cell>
          <cell r="K4832">
            <v>0.96000000000000008</v>
          </cell>
          <cell r="L4832">
            <v>4.4999999999999998E-2</v>
          </cell>
          <cell r="M4832">
            <v>3.7499999999999999E-3</v>
          </cell>
          <cell r="N4832">
            <v>0</v>
          </cell>
          <cell r="O4832">
            <v>2.3999999999999998E-3</v>
          </cell>
          <cell r="P4832">
            <v>0</v>
          </cell>
          <cell r="Q4832">
            <v>1.125E-2</v>
          </cell>
          <cell r="R4832">
            <v>0</v>
          </cell>
          <cell r="S4832">
            <v>0</v>
          </cell>
          <cell r="T4832">
            <v>0</v>
          </cell>
          <cell r="U4832">
            <v>10.44</v>
          </cell>
          <cell r="V4832">
            <v>0</v>
          </cell>
          <cell r="W4832">
            <v>0</v>
          </cell>
          <cell r="X4832">
            <v>3.0000000000000001E-3</v>
          </cell>
          <cell r="Y4832">
            <v>0</v>
          </cell>
          <cell r="Z4832">
            <v>0</v>
          </cell>
          <cell r="AA4832">
            <v>0</v>
          </cell>
          <cell r="AB4832">
            <v>0</v>
          </cell>
        </row>
        <row r="4833">
          <cell r="A4833">
            <v>74402010</v>
          </cell>
          <cell r="B4833" t="str">
            <v>Tomato chili sauce</v>
          </cell>
          <cell r="I4833">
            <v>15</v>
          </cell>
          <cell r="J4833">
            <v>13.8</v>
          </cell>
          <cell r="K4833">
            <v>0.92</v>
          </cell>
          <cell r="L4833">
            <v>0.36</v>
          </cell>
          <cell r="M4833">
            <v>6.7499999999999999E-3</v>
          </cell>
          <cell r="N4833">
            <v>0</v>
          </cell>
          <cell r="O4833">
            <v>3.0000000000000001E-3</v>
          </cell>
          <cell r="P4833">
            <v>0</v>
          </cell>
          <cell r="Q4833">
            <v>2.3099999999999999E-2</v>
          </cell>
          <cell r="R4833">
            <v>0</v>
          </cell>
          <cell r="S4833">
            <v>0</v>
          </cell>
          <cell r="T4833">
            <v>0</v>
          </cell>
          <cell r="U4833">
            <v>14.319599999999999</v>
          </cell>
          <cell r="V4833">
            <v>0</v>
          </cell>
          <cell r="W4833">
            <v>0</v>
          </cell>
          <cell r="X4833">
            <v>0.20069999999999999</v>
          </cell>
          <cell r="Y4833">
            <v>0</v>
          </cell>
          <cell r="Z4833">
            <v>0</v>
          </cell>
          <cell r="AA4833">
            <v>0</v>
          </cell>
          <cell r="AB4833">
            <v>0</v>
          </cell>
        </row>
        <row r="4834">
          <cell r="A4834">
            <v>74402100</v>
          </cell>
          <cell r="B4834" t="str">
            <v>Salsa, NFS</v>
          </cell>
          <cell r="I4834">
            <v>32</v>
          </cell>
          <cell r="J4834">
            <v>9.2799999999999994</v>
          </cell>
          <cell r="K4834">
            <v>0.28999999999999998</v>
          </cell>
          <cell r="L4834">
            <v>0.60799999999999998</v>
          </cell>
          <cell r="M4834">
            <v>6.7200000000000003E-3</v>
          </cell>
          <cell r="N4834">
            <v>0</v>
          </cell>
          <cell r="O4834">
            <v>9.5999999999999992E-3</v>
          </cell>
          <cell r="P4834">
            <v>0</v>
          </cell>
          <cell r="Q4834">
            <v>2.496E-2</v>
          </cell>
          <cell r="R4834">
            <v>0</v>
          </cell>
          <cell r="S4834">
            <v>0</v>
          </cell>
          <cell r="T4834">
            <v>0</v>
          </cell>
          <cell r="U4834">
            <v>32</v>
          </cell>
          <cell r="V4834">
            <v>0</v>
          </cell>
          <cell r="W4834">
            <v>0</v>
          </cell>
          <cell r="X4834">
            <v>0.22752</v>
          </cell>
          <cell r="Y4834">
            <v>0</v>
          </cell>
          <cell r="Z4834">
            <v>0</v>
          </cell>
          <cell r="AA4834">
            <v>0</v>
          </cell>
          <cell r="AB4834">
            <v>0</v>
          </cell>
        </row>
        <row r="4835">
          <cell r="A4835">
            <v>74402110</v>
          </cell>
          <cell r="B4835" t="str">
            <v>Salsa, pico de gallo</v>
          </cell>
          <cell r="I4835">
            <v>30</v>
          </cell>
          <cell r="J4835">
            <v>5.0285611000000001</v>
          </cell>
          <cell r="K4835">
            <v>0.16761870333333334</v>
          </cell>
          <cell r="L4835">
            <v>0.32679540000000001</v>
          </cell>
          <cell r="M4835">
            <v>7.0489000000000003E-3</v>
          </cell>
          <cell r="N4835">
            <v>0</v>
          </cell>
          <cell r="O4835">
            <v>3.1605000000000001E-3</v>
          </cell>
          <cell r="P4835">
            <v>0</v>
          </cell>
          <cell r="Q4835">
            <v>1.7002699999999999E-2</v>
          </cell>
          <cell r="R4835">
            <v>0</v>
          </cell>
          <cell r="S4835">
            <v>0</v>
          </cell>
          <cell r="T4835">
            <v>0</v>
          </cell>
          <cell r="U4835">
            <v>20.733651999999999</v>
          </cell>
          <cell r="V4835">
            <v>0</v>
          </cell>
          <cell r="W4835">
            <v>0</v>
          </cell>
          <cell r="X4835">
            <v>0.13306599999999999</v>
          </cell>
          <cell r="Y4835">
            <v>0</v>
          </cell>
          <cell r="Z4835">
            <v>0</v>
          </cell>
          <cell r="AA4835">
            <v>0</v>
          </cell>
          <cell r="AB4835">
            <v>0</v>
          </cell>
        </row>
        <row r="4836">
          <cell r="A4836">
            <v>74402150</v>
          </cell>
          <cell r="B4836" t="str">
            <v>Salsa, red, commercially-prepared</v>
          </cell>
          <cell r="I4836">
            <v>32</v>
          </cell>
          <cell r="J4836">
            <v>9.2799999999999994</v>
          </cell>
          <cell r="K4836">
            <v>0.28999999999999998</v>
          </cell>
          <cell r="L4836">
            <v>0.60799999999999998</v>
          </cell>
          <cell r="M4836">
            <v>6.7200000000000003E-3</v>
          </cell>
          <cell r="N4836">
            <v>0</v>
          </cell>
          <cell r="O4836">
            <v>9.5999999999999992E-3</v>
          </cell>
          <cell r="P4836">
            <v>0</v>
          </cell>
          <cell r="Q4836">
            <v>2.496E-2</v>
          </cell>
          <cell r="R4836">
            <v>0</v>
          </cell>
          <cell r="S4836">
            <v>0</v>
          </cell>
          <cell r="T4836">
            <v>0</v>
          </cell>
          <cell r="U4836">
            <v>32</v>
          </cell>
          <cell r="V4836">
            <v>0</v>
          </cell>
          <cell r="W4836">
            <v>0</v>
          </cell>
          <cell r="X4836">
            <v>0.22752</v>
          </cell>
          <cell r="Y4836">
            <v>0</v>
          </cell>
          <cell r="Z4836">
            <v>0</v>
          </cell>
          <cell r="AA4836">
            <v>0</v>
          </cell>
          <cell r="AB4836">
            <v>0</v>
          </cell>
        </row>
        <row r="4837">
          <cell r="A4837">
            <v>74402200</v>
          </cell>
          <cell r="B4837" t="str">
            <v>Salsa, red, homemade</v>
          </cell>
          <cell r="I4837">
            <v>30</v>
          </cell>
          <cell r="J4837">
            <v>15.162578999999999</v>
          </cell>
          <cell r="K4837">
            <v>0.50541930000000002</v>
          </cell>
          <cell r="L4837">
            <v>0.36235010000000001</v>
          </cell>
          <cell r="M4837">
            <v>0.16319339999999999</v>
          </cell>
          <cell r="N4837">
            <v>0</v>
          </cell>
          <cell r="O4837">
            <v>7.8671000000000001E-3</v>
          </cell>
          <cell r="P4837">
            <v>0.1208843</v>
          </cell>
          <cell r="Q4837">
            <v>0.48349140000000002</v>
          </cell>
          <cell r="R4837">
            <v>0</v>
          </cell>
          <cell r="S4837">
            <v>0</v>
          </cell>
          <cell r="T4837">
            <v>0</v>
          </cell>
          <cell r="U4837">
            <v>17.424769999999999</v>
          </cell>
          <cell r="V4837">
            <v>0</v>
          </cell>
          <cell r="W4837">
            <v>0</v>
          </cell>
          <cell r="X4837">
            <v>0.1165648</v>
          </cell>
          <cell r="Y4837">
            <v>0</v>
          </cell>
          <cell r="Z4837">
            <v>0</v>
          </cell>
          <cell r="AA4837">
            <v>0</v>
          </cell>
          <cell r="AB4837">
            <v>9.4801999999999994E-3</v>
          </cell>
        </row>
        <row r="4838">
          <cell r="A4838">
            <v>74402250</v>
          </cell>
          <cell r="B4838" t="str">
            <v>Enchilada sauce, red</v>
          </cell>
          <cell r="I4838">
            <v>62.5</v>
          </cell>
          <cell r="J4838">
            <v>18.75</v>
          </cell>
          <cell r="K4838">
            <v>0.3</v>
          </cell>
          <cell r="L4838">
            <v>0.3125</v>
          </cell>
          <cell r="M4838">
            <v>6.9375000000000006E-2</v>
          </cell>
          <cell r="N4838">
            <v>0</v>
          </cell>
          <cell r="O4838">
            <v>4.3750000000000004E-3</v>
          </cell>
          <cell r="P4838">
            <v>0</v>
          </cell>
          <cell r="Q4838">
            <v>0.17249999999999999</v>
          </cell>
          <cell r="R4838">
            <v>0</v>
          </cell>
          <cell r="S4838">
            <v>0</v>
          </cell>
          <cell r="T4838">
            <v>0</v>
          </cell>
          <cell r="U4838">
            <v>38.28125</v>
          </cell>
          <cell r="V4838">
            <v>0</v>
          </cell>
          <cell r="W4838">
            <v>0</v>
          </cell>
          <cell r="X4838">
            <v>0.34187499999999998</v>
          </cell>
          <cell r="Y4838">
            <v>0</v>
          </cell>
          <cell r="Z4838">
            <v>0</v>
          </cell>
          <cell r="AA4838">
            <v>0</v>
          </cell>
          <cell r="AB4838">
            <v>1.8749999999999999E-3</v>
          </cell>
        </row>
        <row r="4839">
          <cell r="A4839">
            <v>74402260</v>
          </cell>
          <cell r="B4839" t="str">
            <v>Enchilada sauce, green</v>
          </cell>
          <cell r="I4839">
            <v>62.5</v>
          </cell>
          <cell r="J4839">
            <v>17.210156000000001</v>
          </cell>
          <cell r="K4839">
            <v>0.27536249600000001</v>
          </cell>
          <cell r="L4839">
            <v>0.81547040000000004</v>
          </cell>
          <cell r="M4839">
            <v>4.8135999999999998E-2</v>
          </cell>
          <cell r="N4839">
            <v>0</v>
          </cell>
          <cell r="O4839">
            <v>6.8913999999999998E-3</v>
          </cell>
          <cell r="P4839">
            <v>8.8205400000000003E-2</v>
          </cell>
          <cell r="Q4839">
            <v>0.13021170000000001</v>
          </cell>
          <cell r="R4839">
            <v>0</v>
          </cell>
          <cell r="S4839">
            <v>0</v>
          </cell>
          <cell r="T4839">
            <v>0</v>
          </cell>
          <cell r="U4839">
            <v>40.085664999999999</v>
          </cell>
          <cell r="V4839">
            <v>0</v>
          </cell>
          <cell r="W4839">
            <v>0</v>
          </cell>
          <cell r="X4839">
            <v>0.1440958</v>
          </cell>
          <cell r="Y4839">
            <v>0</v>
          </cell>
          <cell r="Z4839">
            <v>0</v>
          </cell>
          <cell r="AA4839">
            <v>0</v>
          </cell>
          <cell r="AB4839">
            <v>0</v>
          </cell>
        </row>
        <row r="4840">
          <cell r="A4840">
            <v>74402350</v>
          </cell>
          <cell r="B4840" t="str">
            <v>Salsa verde or salsa, green</v>
          </cell>
          <cell r="I4840">
            <v>61.5</v>
          </cell>
          <cell r="J4840">
            <v>23.37</v>
          </cell>
          <cell r="K4840">
            <v>0.38</v>
          </cell>
          <cell r="L4840">
            <v>1.1685000000000001</v>
          </cell>
          <cell r="M4840">
            <v>0</v>
          </cell>
          <cell r="N4840">
            <v>0</v>
          </cell>
          <cell r="O4840">
            <v>5.535E-3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0</v>
          </cell>
          <cell r="U4840">
            <v>61.5</v>
          </cell>
          <cell r="V4840">
            <v>0</v>
          </cell>
          <cell r="W4840">
            <v>0</v>
          </cell>
          <cell r="X4840">
            <v>0.36899999999999999</v>
          </cell>
          <cell r="Y4840">
            <v>0</v>
          </cell>
          <cell r="Z4840">
            <v>0</v>
          </cell>
          <cell r="AA4840">
            <v>0</v>
          </cell>
          <cell r="AB4840">
            <v>0.13044049999999999</v>
          </cell>
        </row>
        <row r="4841">
          <cell r="A4841">
            <v>74404010</v>
          </cell>
          <cell r="B4841" t="str">
            <v>Spaghetti sauce</v>
          </cell>
          <cell r="I4841">
            <v>125</v>
          </cell>
          <cell r="J4841">
            <v>62.5</v>
          </cell>
          <cell r="K4841">
            <v>0.5</v>
          </cell>
          <cell r="L4841">
            <v>2.25</v>
          </cell>
          <cell r="M4841">
            <v>0.27250000000000002</v>
          </cell>
          <cell r="N4841">
            <v>0</v>
          </cell>
          <cell r="O4841">
            <v>3.2500000000000001E-2</v>
          </cell>
          <cell r="P4841">
            <v>0</v>
          </cell>
          <cell r="Q4841">
            <v>0.84125000000000005</v>
          </cell>
          <cell r="R4841">
            <v>0</v>
          </cell>
          <cell r="S4841">
            <v>0</v>
          </cell>
          <cell r="T4841">
            <v>0</v>
          </cell>
          <cell r="U4841">
            <v>123.215</v>
          </cell>
          <cell r="V4841">
            <v>0</v>
          </cell>
          <cell r="W4841">
            <v>0</v>
          </cell>
          <cell r="X4841">
            <v>0.54625000000000001</v>
          </cell>
          <cell r="Y4841">
            <v>0</v>
          </cell>
          <cell r="Z4841">
            <v>0</v>
          </cell>
          <cell r="AA4841">
            <v>0</v>
          </cell>
          <cell r="AB4841">
            <v>8.7500000000000008E-3</v>
          </cell>
        </row>
        <row r="4842">
          <cell r="A4842">
            <v>74404020</v>
          </cell>
          <cell r="B4842" t="str">
            <v>Spaghetti sauce with added vegetables</v>
          </cell>
          <cell r="I4842">
            <v>125</v>
          </cell>
          <cell r="J4842">
            <v>54.834558999999999</v>
          </cell>
          <cell r="K4842">
            <v>0.43867647199999998</v>
          </cell>
          <cell r="L4842">
            <v>2.1470587999999999</v>
          </cell>
          <cell r="M4842">
            <v>0.22380510000000001</v>
          </cell>
          <cell r="N4842">
            <v>0</v>
          </cell>
          <cell r="O4842">
            <v>2.80515E-2</v>
          </cell>
          <cell r="P4842">
            <v>0</v>
          </cell>
          <cell r="Q4842">
            <v>0.68569849999999999</v>
          </cell>
          <cell r="R4842">
            <v>0</v>
          </cell>
          <cell r="S4842">
            <v>0</v>
          </cell>
          <cell r="T4842">
            <v>0</v>
          </cell>
          <cell r="U4842">
            <v>123.63500000000001</v>
          </cell>
          <cell r="V4842">
            <v>0</v>
          </cell>
          <cell r="W4842">
            <v>0</v>
          </cell>
          <cell r="X4842">
            <v>0.41840070000000001</v>
          </cell>
          <cell r="Y4842">
            <v>0</v>
          </cell>
          <cell r="Z4842">
            <v>0</v>
          </cell>
          <cell r="AA4842">
            <v>0</v>
          </cell>
          <cell r="AB4842">
            <v>6.6911999999999996E-3</v>
          </cell>
        </row>
        <row r="4843">
          <cell r="A4843">
            <v>74404030</v>
          </cell>
          <cell r="B4843" t="str">
            <v>Spaghetti sauce with meat, canned, no extra meat added</v>
          </cell>
          <cell r="I4843">
            <v>125</v>
          </cell>
          <cell r="J4843">
            <v>79.525000000000006</v>
          </cell>
          <cell r="K4843">
            <v>0.6362000000000001</v>
          </cell>
          <cell r="L4843">
            <v>2.1150000000000002</v>
          </cell>
          <cell r="M4843">
            <v>0.77559999999999996</v>
          </cell>
          <cell r="N4843">
            <v>0</v>
          </cell>
          <cell r="O4843">
            <v>3.3099999999999997E-2</v>
          </cell>
          <cell r="P4843">
            <v>0</v>
          </cell>
          <cell r="Q4843">
            <v>0.82804999999999995</v>
          </cell>
          <cell r="R4843">
            <v>0</v>
          </cell>
          <cell r="S4843">
            <v>0</v>
          </cell>
          <cell r="T4843">
            <v>0</v>
          </cell>
          <cell r="U4843">
            <v>115.82210000000001</v>
          </cell>
          <cell r="V4843">
            <v>0</v>
          </cell>
          <cell r="W4843">
            <v>0</v>
          </cell>
          <cell r="X4843">
            <v>0.52044999999999997</v>
          </cell>
          <cell r="Y4843">
            <v>0</v>
          </cell>
          <cell r="Z4843">
            <v>6.7614749999999999</v>
          </cell>
          <cell r="AA4843">
            <v>0</v>
          </cell>
          <cell r="AB4843">
            <v>7.9475000000000004E-2</v>
          </cell>
        </row>
        <row r="4844">
          <cell r="A4844">
            <v>74404050</v>
          </cell>
          <cell r="B4844" t="str">
            <v>Spaghetti sauce, meatless, reduced sodium</v>
          </cell>
          <cell r="I4844">
            <v>125</v>
          </cell>
          <cell r="J4844">
            <v>63.75</v>
          </cell>
          <cell r="K4844">
            <v>0.51</v>
          </cell>
          <cell r="L4844">
            <v>2.25</v>
          </cell>
          <cell r="M4844">
            <v>0.21249999999999999</v>
          </cell>
          <cell r="N4844">
            <v>0</v>
          </cell>
          <cell r="O4844">
            <v>3.3750000000000002E-2</v>
          </cell>
          <cell r="P4844">
            <v>0</v>
          </cell>
          <cell r="Q4844">
            <v>0.63500000000000001</v>
          </cell>
          <cell r="R4844">
            <v>0</v>
          </cell>
          <cell r="S4844">
            <v>0</v>
          </cell>
          <cell r="T4844">
            <v>0</v>
          </cell>
          <cell r="U4844">
            <v>123.74</v>
          </cell>
          <cell r="V4844">
            <v>0</v>
          </cell>
          <cell r="W4844">
            <v>0</v>
          </cell>
          <cell r="X4844">
            <v>3.7499999999999999E-2</v>
          </cell>
          <cell r="Y4844">
            <v>0</v>
          </cell>
          <cell r="Z4844">
            <v>0</v>
          </cell>
          <cell r="AA4844">
            <v>0</v>
          </cell>
          <cell r="AB4844">
            <v>0.1026131</v>
          </cell>
        </row>
        <row r="4845">
          <cell r="A4845">
            <v>74404090</v>
          </cell>
          <cell r="B4845" t="str">
            <v>Vodka flavored pasta sauce made with tomatoes and cream</v>
          </cell>
          <cell r="I4845">
            <v>125</v>
          </cell>
          <cell r="J4845">
            <v>92.576364999999996</v>
          </cell>
          <cell r="K4845">
            <v>0.74061091999999995</v>
          </cell>
          <cell r="L4845">
            <v>1.1990381999999999</v>
          </cell>
          <cell r="M4845">
            <v>4.1765777999999996</v>
          </cell>
          <cell r="N4845">
            <v>0</v>
          </cell>
          <cell r="O4845">
            <v>3.6864099999999997E-2</v>
          </cell>
          <cell r="P4845">
            <v>0.3735966</v>
          </cell>
          <cell r="Q4845">
            <v>0.56272</v>
          </cell>
          <cell r="R4845">
            <v>0</v>
          </cell>
          <cell r="S4845">
            <v>0</v>
          </cell>
          <cell r="T4845">
            <v>0</v>
          </cell>
          <cell r="U4845">
            <v>69.469058000000004</v>
          </cell>
          <cell r="V4845">
            <v>0</v>
          </cell>
          <cell r="W4845">
            <v>0</v>
          </cell>
          <cell r="X4845">
            <v>0.31030940000000001</v>
          </cell>
          <cell r="Y4845">
            <v>0</v>
          </cell>
          <cell r="Z4845">
            <v>0</v>
          </cell>
          <cell r="AA4845">
            <v>0</v>
          </cell>
          <cell r="AB4845">
            <v>0.25071559999999998</v>
          </cell>
        </row>
        <row r="4846">
          <cell r="A4846">
            <v>74406010</v>
          </cell>
          <cell r="B4846" t="str">
            <v>Barbecue sauce</v>
          </cell>
          <cell r="I4846">
            <v>30</v>
          </cell>
          <cell r="J4846">
            <v>51.6</v>
          </cell>
          <cell r="K4846">
            <v>1.72</v>
          </cell>
          <cell r="L4846">
            <v>0.27</v>
          </cell>
          <cell r="M4846">
            <v>1.35E-2</v>
          </cell>
          <cell r="N4846">
            <v>0</v>
          </cell>
          <cell r="O4846">
            <v>9.9000000000000008E-3</v>
          </cell>
          <cell r="P4846">
            <v>0</v>
          </cell>
          <cell r="Q4846">
            <v>3.0300000000000001E-2</v>
          </cell>
          <cell r="R4846">
            <v>0</v>
          </cell>
          <cell r="S4846">
            <v>0</v>
          </cell>
          <cell r="T4846">
            <v>0</v>
          </cell>
          <cell r="U4846">
            <v>9.5549999999999997</v>
          </cell>
          <cell r="V4846">
            <v>0</v>
          </cell>
          <cell r="W4846">
            <v>0</v>
          </cell>
          <cell r="X4846">
            <v>0.30809999999999998</v>
          </cell>
          <cell r="Y4846">
            <v>0</v>
          </cell>
          <cell r="Z4846">
            <v>0</v>
          </cell>
          <cell r="AA4846">
            <v>0</v>
          </cell>
          <cell r="AB4846">
            <v>0</v>
          </cell>
        </row>
        <row r="4847">
          <cell r="A4847">
            <v>74406100</v>
          </cell>
          <cell r="B4847" t="str">
            <v>Steak sauce, tomato-base</v>
          </cell>
          <cell r="I4847">
            <v>16</v>
          </cell>
          <cell r="J4847">
            <v>15.2</v>
          </cell>
          <cell r="K4847">
            <v>0.95</v>
          </cell>
          <cell r="L4847">
            <v>0.24</v>
          </cell>
          <cell r="M4847">
            <v>0</v>
          </cell>
          <cell r="N4847">
            <v>0</v>
          </cell>
          <cell r="O4847">
            <v>3.0400000000000002E-3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12.936</v>
          </cell>
          <cell r="V4847">
            <v>0</v>
          </cell>
          <cell r="W4847">
            <v>0</v>
          </cell>
          <cell r="X4847">
            <v>0.26351999999999998</v>
          </cell>
          <cell r="Y4847">
            <v>0</v>
          </cell>
          <cell r="Z4847">
            <v>0</v>
          </cell>
          <cell r="AA4847">
            <v>0</v>
          </cell>
          <cell r="AB4847">
            <v>0</v>
          </cell>
        </row>
        <row r="4848">
          <cell r="A4848">
            <v>74406500</v>
          </cell>
          <cell r="B4848" t="str">
            <v>Cocktail sauce</v>
          </cell>
          <cell r="I4848">
            <v>68.25</v>
          </cell>
          <cell r="J4848">
            <v>84.63</v>
          </cell>
          <cell r="K4848">
            <v>1.24</v>
          </cell>
          <cell r="L4848">
            <v>1.2284999999999999</v>
          </cell>
          <cell r="M4848">
            <v>0</v>
          </cell>
          <cell r="N4848">
            <v>0</v>
          </cell>
          <cell r="O4848">
            <v>1.7745E-2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48.491624999999999</v>
          </cell>
          <cell r="V4848">
            <v>0</v>
          </cell>
          <cell r="W4848">
            <v>0</v>
          </cell>
          <cell r="X4848">
            <v>0.67089750000000004</v>
          </cell>
          <cell r="Y4848">
            <v>0</v>
          </cell>
          <cell r="Z4848">
            <v>0</v>
          </cell>
          <cell r="AA4848">
            <v>0</v>
          </cell>
          <cell r="AB4848">
            <v>3.0148500000000002E-2</v>
          </cell>
        </row>
        <row r="4849">
          <cell r="A4849">
            <v>74410110</v>
          </cell>
          <cell r="B4849" t="str">
            <v>Puerto Rican seasoning with ham</v>
          </cell>
          <cell r="I4849">
            <v>15</v>
          </cell>
          <cell r="J4849">
            <v>28.689800999999999</v>
          </cell>
          <cell r="K4849">
            <v>1.9126533999999999</v>
          </cell>
          <cell r="L4849">
            <v>0.17763590000000001</v>
          </cell>
          <cell r="M4849">
            <v>0.56589270000000003</v>
          </cell>
          <cell r="N4849">
            <v>0</v>
          </cell>
          <cell r="O4849">
            <v>3.6058000000000002E-3</v>
          </cell>
          <cell r="P4849">
            <v>3.2294799999999999E-2</v>
          </cell>
          <cell r="Q4849">
            <v>0.29862899999999998</v>
          </cell>
          <cell r="R4849">
            <v>0</v>
          </cell>
          <cell r="S4849">
            <v>0</v>
          </cell>
          <cell r="T4849">
            <v>0</v>
          </cell>
          <cell r="U4849">
            <v>11.185409999999999</v>
          </cell>
          <cell r="V4849">
            <v>0</v>
          </cell>
          <cell r="W4849">
            <v>0</v>
          </cell>
          <cell r="X4849">
            <v>5.20983E-2</v>
          </cell>
          <cell r="Y4849">
            <v>0</v>
          </cell>
          <cell r="Z4849">
            <v>0</v>
          </cell>
          <cell r="AA4849">
            <v>0.70301970000000003</v>
          </cell>
          <cell r="AB4849">
            <v>6.1361199999999998E-2</v>
          </cell>
        </row>
        <row r="4850">
          <cell r="A4850">
            <v>74415110</v>
          </cell>
          <cell r="B4850" t="str">
            <v>Puerto Rican seasoning with ham and tomato sauce</v>
          </cell>
          <cell r="I4850">
            <v>60</v>
          </cell>
          <cell r="J4850">
            <v>93.865493999999998</v>
          </cell>
          <cell r="K4850">
            <v>1.5644248999999999</v>
          </cell>
          <cell r="L4850">
            <v>0.6744715</v>
          </cell>
          <cell r="M4850">
            <v>2.6867013000000002</v>
          </cell>
          <cell r="N4850">
            <v>0</v>
          </cell>
          <cell r="O4850">
            <v>1.2749999999999999E-2</v>
          </cell>
          <cell r="P4850">
            <v>0.13191929999999999</v>
          </cell>
          <cell r="Q4850">
            <v>0.96704639999999997</v>
          </cell>
          <cell r="R4850">
            <v>0</v>
          </cell>
          <cell r="S4850">
            <v>0</v>
          </cell>
          <cell r="T4850">
            <v>0</v>
          </cell>
          <cell r="U4850">
            <v>43.114330000000002</v>
          </cell>
          <cell r="V4850">
            <v>0</v>
          </cell>
          <cell r="W4850">
            <v>0</v>
          </cell>
          <cell r="X4850">
            <v>0.29611959999999998</v>
          </cell>
          <cell r="Y4850">
            <v>0</v>
          </cell>
          <cell r="Z4850">
            <v>0</v>
          </cell>
          <cell r="AA4850">
            <v>7.7614175000000003</v>
          </cell>
          <cell r="AB4850">
            <v>0.34770839999999997</v>
          </cell>
        </row>
        <row r="4851">
          <cell r="A4851">
            <v>74504000</v>
          </cell>
          <cell r="B4851" t="str">
            <v>Tomato and okra, cooked, NS as to fat added in cooking</v>
          </cell>
          <cell r="I4851">
            <v>242</v>
          </cell>
          <cell r="J4851">
            <v>79.078716999999997</v>
          </cell>
          <cell r="K4851">
            <v>0.32677155785123968</v>
          </cell>
          <cell r="L4851">
            <v>4.0958930999999996</v>
          </cell>
          <cell r="M4851">
            <v>2.0737481</v>
          </cell>
          <cell r="N4851">
            <v>0</v>
          </cell>
          <cell r="O4851">
            <v>0.1205927</v>
          </cell>
          <cell r="P4851">
            <v>0.93869119999999995</v>
          </cell>
          <cell r="Q4851">
            <v>0.87656000000000001</v>
          </cell>
          <cell r="R4851">
            <v>0</v>
          </cell>
          <cell r="S4851">
            <v>0</v>
          </cell>
          <cell r="T4851">
            <v>0</v>
          </cell>
          <cell r="U4851">
            <v>185.85615000000001</v>
          </cell>
          <cell r="V4851">
            <v>0</v>
          </cell>
          <cell r="W4851">
            <v>0</v>
          </cell>
          <cell r="X4851">
            <v>0.66045240000000005</v>
          </cell>
          <cell r="Y4851">
            <v>0</v>
          </cell>
          <cell r="Z4851">
            <v>0</v>
          </cell>
          <cell r="AA4851">
            <v>0</v>
          </cell>
          <cell r="AB4851">
            <v>0.19093570000000001</v>
          </cell>
        </row>
        <row r="4852">
          <cell r="A4852">
            <v>74504010</v>
          </cell>
          <cell r="B4852" t="str">
            <v>Tomato and okra, cooked, fat not added in cooking</v>
          </cell>
          <cell r="I4852">
            <v>222</v>
          </cell>
          <cell r="J4852">
            <v>40.644776</v>
          </cell>
          <cell r="K4852">
            <v>0.18308457657657659</v>
          </cell>
          <cell r="L4852">
            <v>3.8457910000000002</v>
          </cell>
          <cell r="M4852">
            <v>8.4823899999999994E-2</v>
          </cell>
          <cell r="N4852">
            <v>0</v>
          </cell>
          <cell r="O4852">
            <v>0.1120382</v>
          </cell>
          <cell r="P4852">
            <v>0.88137310000000002</v>
          </cell>
          <cell r="Q4852">
            <v>0.17450750000000001</v>
          </cell>
          <cell r="R4852">
            <v>0</v>
          </cell>
          <cell r="S4852">
            <v>0</v>
          </cell>
          <cell r="T4852">
            <v>0</v>
          </cell>
          <cell r="U4852">
            <v>174.50746000000001</v>
          </cell>
          <cell r="V4852">
            <v>0</v>
          </cell>
          <cell r="W4852">
            <v>0</v>
          </cell>
          <cell r="X4852">
            <v>0.5857928</v>
          </cell>
          <cell r="Y4852">
            <v>0</v>
          </cell>
          <cell r="Z4852">
            <v>0</v>
          </cell>
          <cell r="AA4852">
            <v>0</v>
          </cell>
          <cell r="AB4852">
            <v>0</v>
          </cell>
        </row>
        <row r="4853">
          <cell r="A4853">
            <v>74504100</v>
          </cell>
          <cell r="B4853" t="str">
            <v>Tomato and onion, cooked, NS as to fat added in cooking</v>
          </cell>
          <cell r="I4853">
            <v>222</v>
          </cell>
          <cell r="J4853">
            <v>80.072777000000002</v>
          </cell>
          <cell r="K4853">
            <v>0.36068818468468472</v>
          </cell>
          <cell r="L4853">
            <v>1.8590936</v>
          </cell>
          <cell r="M4853">
            <v>1.6115959</v>
          </cell>
          <cell r="N4853">
            <v>0</v>
          </cell>
          <cell r="O4853">
            <v>3.04427E-2</v>
          </cell>
          <cell r="P4853">
            <v>0</v>
          </cell>
          <cell r="Q4853">
            <v>0.65669900000000003</v>
          </cell>
          <cell r="R4853">
            <v>0</v>
          </cell>
          <cell r="S4853">
            <v>0</v>
          </cell>
          <cell r="T4853">
            <v>0</v>
          </cell>
          <cell r="U4853">
            <v>216.66128</v>
          </cell>
          <cell r="V4853">
            <v>0</v>
          </cell>
          <cell r="W4853">
            <v>0</v>
          </cell>
          <cell r="X4853">
            <v>0.41006169999999997</v>
          </cell>
          <cell r="Y4853">
            <v>0</v>
          </cell>
          <cell r="Z4853">
            <v>0</v>
          </cell>
          <cell r="AA4853">
            <v>0</v>
          </cell>
          <cell r="AB4853">
            <v>0.15126049999999999</v>
          </cell>
        </row>
        <row r="4854">
          <cell r="A4854">
            <v>74504110</v>
          </cell>
          <cell r="B4854" t="str">
            <v>Tomato and onion, cooked, fat not added in cooking</v>
          </cell>
          <cell r="I4854">
            <v>242</v>
          </cell>
          <cell r="J4854">
            <v>57.520342999999997</v>
          </cell>
          <cell r="K4854">
            <v>0.23768736776859503</v>
          </cell>
          <cell r="L4854">
            <v>2.0676231</v>
          </cell>
          <cell r="M4854">
            <v>4.4850300000000003E-2</v>
          </cell>
          <cell r="N4854">
            <v>0</v>
          </cell>
          <cell r="O4854">
            <v>3.2739999999999998E-2</v>
          </cell>
          <cell r="P4854">
            <v>0</v>
          </cell>
          <cell r="Q4854">
            <v>0.1218032</v>
          </cell>
          <cell r="R4854">
            <v>0</v>
          </cell>
          <cell r="S4854">
            <v>0</v>
          </cell>
          <cell r="T4854">
            <v>0</v>
          </cell>
          <cell r="U4854">
            <v>240.96360000000001</v>
          </cell>
          <cell r="V4854">
            <v>0</v>
          </cell>
          <cell r="W4854">
            <v>0</v>
          </cell>
          <cell r="X4854">
            <v>0.423842</v>
          </cell>
          <cell r="Y4854">
            <v>0</v>
          </cell>
          <cell r="Z4854">
            <v>0</v>
          </cell>
          <cell r="AA4854">
            <v>0</v>
          </cell>
          <cell r="AB4854">
            <v>0</v>
          </cell>
        </row>
        <row r="4855">
          <cell r="A4855">
            <v>74504120</v>
          </cell>
          <cell r="B4855" t="str">
            <v>Tomato and onion, cooked, fat added in cooking, NS as to type of fat</v>
          </cell>
          <cell r="I4855">
            <v>237</v>
          </cell>
          <cell r="J4855">
            <v>85.483099999999993</v>
          </cell>
          <cell r="K4855">
            <v>0.3606881856540084</v>
          </cell>
          <cell r="L4855">
            <v>1.9847079999999999</v>
          </cell>
          <cell r="M4855">
            <v>1.7204876</v>
          </cell>
          <cell r="N4855">
            <v>0</v>
          </cell>
          <cell r="O4855">
            <v>3.2499699999999999E-2</v>
          </cell>
          <cell r="P4855">
            <v>0</v>
          </cell>
          <cell r="Q4855">
            <v>0.70107050000000004</v>
          </cell>
          <cell r="R4855">
            <v>0</v>
          </cell>
          <cell r="S4855">
            <v>0</v>
          </cell>
          <cell r="T4855">
            <v>0</v>
          </cell>
          <cell r="U4855">
            <v>231.30055999999999</v>
          </cell>
          <cell r="V4855">
            <v>0</v>
          </cell>
          <cell r="W4855">
            <v>0</v>
          </cell>
          <cell r="X4855">
            <v>0.43776860000000001</v>
          </cell>
          <cell r="Y4855">
            <v>0</v>
          </cell>
          <cell r="Z4855">
            <v>0</v>
          </cell>
          <cell r="AA4855">
            <v>0</v>
          </cell>
          <cell r="AB4855">
            <v>0.16148080000000001</v>
          </cell>
        </row>
        <row r="4856">
          <cell r="A4856">
            <v>74504121</v>
          </cell>
          <cell r="B4856" t="str">
            <v>Tomato and onion, cooked, made with oil</v>
          </cell>
          <cell r="I4856">
            <v>237</v>
          </cell>
          <cell r="J4856">
            <v>95.304931999999994</v>
          </cell>
          <cell r="K4856">
            <v>0.40213051476793249</v>
          </cell>
          <cell r="L4856">
            <v>1.9862671000000001</v>
          </cell>
          <cell r="M4856">
            <v>0.66155529999999996</v>
          </cell>
          <cell r="N4856">
            <v>0</v>
          </cell>
          <cell r="O4856">
            <v>3.1462999999999998E-2</v>
          </cell>
          <cell r="P4856">
            <v>0</v>
          </cell>
          <cell r="Q4856">
            <v>1.9796596</v>
          </cell>
          <cell r="R4856">
            <v>0</v>
          </cell>
          <cell r="S4856">
            <v>0</v>
          </cell>
          <cell r="T4856">
            <v>0</v>
          </cell>
          <cell r="U4856">
            <v>231.48226</v>
          </cell>
          <cell r="V4856">
            <v>0</v>
          </cell>
          <cell r="W4856">
            <v>0</v>
          </cell>
          <cell r="X4856">
            <v>0.40718749999999998</v>
          </cell>
          <cell r="Y4856">
            <v>0</v>
          </cell>
          <cell r="Z4856">
            <v>0</v>
          </cell>
          <cell r="AA4856">
            <v>0</v>
          </cell>
          <cell r="AB4856">
            <v>1.6024099999999999E-2</v>
          </cell>
        </row>
        <row r="4857">
          <cell r="A4857">
            <v>74504122</v>
          </cell>
          <cell r="B4857" t="str">
            <v>Tomato and onion, cooked, made with butter</v>
          </cell>
          <cell r="I4857">
            <v>237</v>
          </cell>
          <cell r="J4857">
            <v>88.945688000000004</v>
          </cell>
          <cell r="K4857">
            <v>0.37529826160337554</v>
          </cell>
          <cell r="L4857">
            <v>1.9847079999999999</v>
          </cell>
          <cell r="M4857">
            <v>2.4597125000000002</v>
          </cell>
          <cell r="N4857">
            <v>0</v>
          </cell>
          <cell r="O4857">
            <v>3.2556099999999998E-2</v>
          </cell>
          <cell r="P4857">
            <v>0</v>
          </cell>
          <cell r="Q4857">
            <v>0.26007980000000003</v>
          </cell>
          <cell r="R4857">
            <v>0</v>
          </cell>
          <cell r="S4857">
            <v>0</v>
          </cell>
          <cell r="T4857">
            <v>0</v>
          </cell>
          <cell r="U4857">
            <v>231.30055999999999</v>
          </cell>
          <cell r="V4857">
            <v>0</v>
          </cell>
          <cell r="W4857">
            <v>0</v>
          </cell>
          <cell r="X4857">
            <v>0.43709579999999998</v>
          </cell>
          <cell r="Y4857">
            <v>0</v>
          </cell>
          <cell r="Z4857">
            <v>0</v>
          </cell>
          <cell r="AA4857">
            <v>0</v>
          </cell>
          <cell r="AB4857">
            <v>0.15421689999999999</v>
          </cell>
        </row>
        <row r="4858">
          <cell r="A4858">
            <v>74506000</v>
          </cell>
          <cell r="B4858" t="str">
            <v>Tomato and cucumber salad made with tomato, cucumber, oil, and vinegar</v>
          </cell>
          <cell r="I4858">
            <v>100</v>
          </cell>
          <cell r="J4858">
            <v>117.49136</v>
          </cell>
          <cell r="K4858">
            <v>1.1749136</v>
          </cell>
          <cell r="L4858">
            <v>0.63591359999999997</v>
          </cell>
          <cell r="M4858">
            <v>1.3637362</v>
          </cell>
          <cell r="N4858">
            <v>0</v>
          </cell>
          <cell r="O4858">
            <v>1.10799E-2</v>
          </cell>
          <cell r="P4858">
            <v>0</v>
          </cell>
          <cell r="Q4858">
            <v>4.0744439999999997</v>
          </cell>
          <cell r="R4858">
            <v>0</v>
          </cell>
          <cell r="S4858">
            <v>0</v>
          </cell>
          <cell r="T4858">
            <v>0</v>
          </cell>
          <cell r="U4858">
            <v>64.671467000000007</v>
          </cell>
          <cell r="V4858">
            <v>0</v>
          </cell>
          <cell r="W4858">
            <v>0</v>
          </cell>
          <cell r="X4858">
            <v>0.21279880000000001</v>
          </cell>
          <cell r="Y4858">
            <v>0</v>
          </cell>
          <cell r="Z4858">
            <v>0</v>
          </cell>
          <cell r="AA4858">
            <v>0</v>
          </cell>
          <cell r="AB4858">
            <v>3.4765200000000003E-2</v>
          </cell>
        </row>
        <row r="4859">
          <cell r="A4859">
            <v>74601000</v>
          </cell>
          <cell r="B4859" t="str">
            <v>Tomato soup, NFS</v>
          </cell>
          <cell r="I4859">
            <v>245</v>
          </cell>
          <cell r="J4859">
            <v>82.060732000000002</v>
          </cell>
          <cell r="K4859">
            <v>0.33494176326530611</v>
          </cell>
          <cell r="L4859">
            <v>1.0292285000000001</v>
          </cell>
          <cell r="M4859">
            <v>0.14298459999999999</v>
          </cell>
          <cell r="N4859">
            <v>0</v>
          </cell>
          <cell r="O4859">
            <v>1.97834E-2</v>
          </cell>
          <cell r="P4859">
            <v>0.33845029999999998</v>
          </cell>
          <cell r="Q4859">
            <v>0.19520509999999999</v>
          </cell>
          <cell r="R4859">
            <v>0</v>
          </cell>
          <cell r="S4859">
            <v>0</v>
          </cell>
          <cell r="T4859">
            <v>0</v>
          </cell>
          <cell r="U4859">
            <v>94.432008999999994</v>
          </cell>
          <cell r="V4859">
            <v>0</v>
          </cell>
          <cell r="W4859">
            <v>0</v>
          </cell>
          <cell r="X4859">
            <v>0.47356749999999997</v>
          </cell>
          <cell r="Y4859">
            <v>0</v>
          </cell>
          <cell r="Z4859">
            <v>0</v>
          </cell>
          <cell r="AA4859">
            <v>0</v>
          </cell>
          <cell r="AB4859">
            <v>0</v>
          </cell>
        </row>
        <row r="4860">
          <cell r="A4860">
            <v>74601010</v>
          </cell>
          <cell r="B4860" t="str">
            <v>Tomato soup, cream of, prepared with milk</v>
          </cell>
          <cell r="I4860">
            <v>245</v>
          </cell>
          <cell r="J4860">
            <v>142.99424999999999</v>
          </cell>
          <cell r="K4860">
            <v>0.58365</v>
          </cell>
          <cell r="L4860">
            <v>1.0140431999999999</v>
          </cell>
          <cell r="M4860">
            <v>1.6495972999999999</v>
          </cell>
          <cell r="N4860">
            <v>0</v>
          </cell>
          <cell r="O4860">
            <v>0.1612345</v>
          </cell>
          <cell r="P4860">
            <v>0.3334568</v>
          </cell>
          <cell r="Q4860">
            <v>0.31671149999999998</v>
          </cell>
          <cell r="R4860">
            <v>0</v>
          </cell>
          <cell r="S4860">
            <v>0</v>
          </cell>
          <cell r="T4860">
            <v>0</v>
          </cell>
          <cell r="U4860">
            <v>93.038749999999993</v>
          </cell>
          <cell r="V4860">
            <v>0</v>
          </cell>
          <cell r="W4860">
            <v>0</v>
          </cell>
          <cell r="X4860">
            <v>0.51638649999999997</v>
          </cell>
          <cell r="Y4860">
            <v>0</v>
          </cell>
          <cell r="Z4860">
            <v>0</v>
          </cell>
          <cell r="AA4860">
            <v>0</v>
          </cell>
          <cell r="AB4860">
            <v>3.8526299999999999E-2</v>
          </cell>
        </row>
        <row r="4861">
          <cell r="A4861">
            <v>74602010</v>
          </cell>
          <cell r="B4861" t="str">
            <v>Tomato soup, prepared with water, or ready-to-serve</v>
          </cell>
          <cell r="I4861">
            <v>245</v>
          </cell>
          <cell r="J4861">
            <v>82.026611000000003</v>
          </cell>
          <cell r="K4861">
            <v>0.33480249387755101</v>
          </cell>
          <cell r="L4861">
            <v>1.0288006000000001</v>
          </cell>
          <cell r="M4861">
            <v>0.1429252</v>
          </cell>
          <cell r="N4861">
            <v>0</v>
          </cell>
          <cell r="O4861">
            <v>1.9778299999999999E-2</v>
          </cell>
          <cell r="P4861">
            <v>0.33830959999999999</v>
          </cell>
          <cell r="Q4861">
            <v>0.19512389999999999</v>
          </cell>
          <cell r="R4861">
            <v>0</v>
          </cell>
          <cell r="S4861">
            <v>0</v>
          </cell>
          <cell r="T4861">
            <v>0</v>
          </cell>
          <cell r="U4861">
            <v>94.392743999999993</v>
          </cell>
          <cell r="V4861">
            <v>0</v>
          </cell>
          <cell r="W4861">
            <v>0</v>
          </cell>
          <cell r="X4861">
            <v>0.47337459999999998</v>
          </cell>
          <cell r="Y4861">
            <v>0</v>
          </cell>
          <cell r="Z4861">
            <v>0</v>
          </cell>
          <cell r="AA4861">
            <v>0</v>
          </cell>
          <cell r="AB4861">
            <v>0</v>
          </cell>
        </row>
        <row r="4862">
          <cell r="A4862">
            <v>74602200</v>
          </cell>
          <cell r="B4862" t="str">
            <v>Tomato soup, canned, reduced sodium, prepared with water, or ready-to-serve</v>
          </cell>
          <cell r="I4862">
            <v>245</v>
          </cell>
          <cell r="J4862">
            <v>80.783783999999997</v>
          </cell>
          <cell r="K4862">
            <v>0.32972973061224486</v>
          </cell>
          <cell r="L4862">
            <v>1.2674411000000001</v>
          </cell>
          <cell r="M4862">
            <v>0.19263830000000001</v>
          </cell>
          <cell r="N4862">
            <v>0</v>
          </cell>
          <cell r="O4862">
            <v>1.9778299999999999E-2</v>
          </cell>
          <cell r="P4862">
            <v>0.22395190000000001</v>
          </cell>
          <cell r="Q4862">
            <v>0.2348944</v>
          </cell>
          <cell r="R4862">
            <v>0</v>
          </cell>
          <cell r="S4862">
            <v>0</v>
          </cell>
          <cell r="T4862">
            <v>0</v>
          </cell>
          <cell r="U4862">
            <v>91.347817000000006</v>
          </cell>
          <cell r="V4862">
            <v>0</v>
          </cell>
          <cell r="W4862">
            <v>0</v>
          </cell>
          <cell r="X4862">
            <v>3.2170900000000002E-2</v>
          </cell>
          <cell r="Y4862">
            <v>0</v>
          </cell>
          <cell r="Z4862">
            <v>0</v>
          </cell>
          <cell r="AA4862">
            <v>0</v>
          </cell>
          <cell r="AB4862">
            <v>0</v>
          </cell>
        </row>
        <row r="4863">
          <cell r="A4863">
            <v>74602300</v>
          </cell>
          <cell r="B4863" t="str">
            <v>Tomato soup, canned, reduced sodium, prepared with milk</v>
          </cell>
          <cell r="I4863">
            <v>245</v>
          </cell>
          <cell r="J4863">
            <v>140.34825000000001</v>
          </cell>
          <cell r="K4863">
            <v>0.57285000000000008</v>
          </cell>
          <cell r="L4863">
            <v>1.2284185000000001</v>
          </cell>
          <cell r="M4863">
            <v>1.6034638000000001</v>
          </cell>
          <cell r="N4863">
            <v>0</v>
          </cell>
          <cell r="O4863">
            <v>0.16154080000000001</v>
          </cell>
          <cell r="P4863">
            <v>0.2415815</v>
          </cell>
          <cell r="Q4863">
            <v>0.34618500000000002</v>
          </cell>
          <cell r="R4863">
            <v>0</v>
          </cell>
          <cell r="S4863">
            <v>0</v>
          </cell>
          <cell r="T4863">
            <v>0</v>
          </cell>
          <cell r="U4863">
            <v>90.037499999999994</v>
          </cell>
          <cell r="V4863">
            <v>0</v>
          </cell>
          <cell r="W4863">
            <v>0</v>
          </cell>
          <cell r="X4863">
            <v>8.1450300000000003E-2</v>
          </cell>
          <cell r="Y4863">
            <v>0</v>
          </cell>
          <cell r="Z4863">
            <v>0</v>
          </cell>
          <cell r="AA4863">
            <v>0</v>
          </cell>
          <cell r="AB4863">
            <v>6.14986E-2</v>
          </cell>
        </row>
        <row r="4864">
          <cell r="A4864">
            <v>74603010</v>
          </cell>
          <cell r="B4864" t="str">
            <v>Tomato beef soup, prepared with water</v>
          </cell>
          <cell r="I4864">
            <v>245</v>
          </cell>
          <cell r="J4864">
            <v>137.19999999999999</v>
          </cell>
          <cell r="K4864">
            <v>0.55999999999999994</v>
          </cell>
          <cell r="L4864">
            <v>0.54464599999999996</v>
          </cell>
          <cell r="M4864">
            <v>1.55575</v>
          </cell>
          <cell r="N4864">
            <v>0</v>
          </cell>
          <cell r="O4864">
            <v>2.205E-2</v>
          </cell>
          <cell r="P4864">
            <v>0.92535400000000001</v>
          </cell>
          <cell r="Q4864">
            <v>0.66149999999999998</v>
          </cell>
          <cell r="R4864">
            <v>0</v>
          </cell>
          <cell r="S4864">
            <v>0</v>
          </cell>
          <cell r="T4864">
            <v>0</v>
          </cell>
          <cell r="U4864">
            <v>36.015000000000001</v>
          </cell>
          <cell r="V4864">
            <v>0</v>
          </cell>
          <cell r="W4864">
            <v>0</v>
          </cell>
          <cell r="X4864">
            <v>0.89915</v>
          </cell>
          <cell r="Y4864">
            <v>0</v>
          </cell>
          <cell r="Z4864">
            <v>13.196925</v>
          </cell>
          <cell r="AA4864">
            <v>0</v>
          </cell>
          <cell r="AB4864">
            <v>0.1113155</v>
          </cell>
        </row>
        <row r="4865">
          <cell r="A4865">
            <v>74604010</v>
          </cell>
          <cell r="B4865" t="str">
            <v>Tomato beef noodle soup, prepared with water</v>
          </cell>
          <cell r="I4865">
            <v>245</v>
          </cell>
          <cell r="J4865">
            <v>137.19999999999999</v>
          </cell>
          <cell r="K4865">
            <v>0.55999999999999994</v>
          </cell>
          <cell r="L4865">
            <v>0.54464599999999996</v>
          </cell>
          <cell r="M4865">
            <v>1.55575</v>
          </cell>
          <cell r="N4865">
            <v>0</v>
          </cell>
          <cell r="O4865">
            <v>2.205E-2</v>
          </cell>
          <cell r="P4865">
            <v>0.92535400000000001</v>
          </cell>
          <cell r="Q4865">
            <v>0.66149999999999998</v>
          </cell>
          <cell r="R4865">
            <v>0</v>
          </cell>
          <cell r="S4865">
            <v>0</v>
          </cell>
          <cell r="T4865">
            <v>0</v>
          </cell>
          <cell r="U4865">
            <v>36.015000000000001</v>
          </cell>
          <cell r="V4865">
            <v>0</v>
          </cell>
          <cell r="W4865">
            <v>0</v>
          </cell>
          <cell r="X4865">
            <v>0.89915</v>
          </cell>
          <cell r="Y4865">
            <v>0</v>
          </cell>
          <cell r="Z4865">
            <v>13.196925</v>
          </cell>
          <cell r="AA4865">
            <v>0</v>
          </cell>
          <cell r="AB4865">
            <v>0.1108582</v>
          </cell>
        </row>
        <row r="4866">
          <cell r="A4866">
            <v>74604100</v>
          </cell>
          <cell r="B4866" t="str">
            <v>Tomato beef rice soup, prepared with water</v>
          </cell>
          <cell r="I4866">
            <v>245</v>
          </cell>
          <cell r="J4866">
            <v>137.19999999999999</v>
          </cell>
          <cell r="K4866">
            <v>0.55999999999999994</v>
          </cell>
          <cell r="L4866">
            <v>0.50848040000000005</v>
          </cell>
          <cell r="M4866">
            <v>1.55575</v>
          </cell>
          <cell r="N4866">
            <v>0</v>
          </cell>
          <cell r="O4866">
            <v>2.205E-2</v>
          </cell>
          <cell r="P4866">
            <v>0.96151960000000003</v>
          </cell>
          <cell r="Q4866">
            <v>0.66149999999999998</v>
          </cell>
          <cell r="R4866">
            <v>0</v>
          </cell>
          <cell r="S4866">
            <v>0</v>
          </cell>
          <cell r="T4866">
            <v>0</v>
          </cell>
          <cell r="U4866">
            <v>36.015000000000001</v>
          </cell>
          <cell r="V4866">
            <v>0</v>
          </cell>
          <cell r="W4866">
            <v>0</v>
          </cell>
          <cell r="X4866">
            <v>0.89915</v>
          </cell>
          <cell r="Y4866">
            <v>0</v>
          </cell>
          <cell r="Z4866">
            <v>13.196925</v>
          </cell>
          <cell r="AA4866">
            <v>0</v>
          </cell>
          <cell r="AB4866">
            <v>3.3599900000000002E-2</v>
          </cell>
        </row>
        <row r="4867">
          <cell r="A4867">
            <v>74604500</v>
          </cell>
          <cell r="B4867" t="str">
            <v>Tomato noodle soup, canned, prepared with water or ready-to-serve</v>
          </cell>
          <cell r="I4867">
            <v>245</v>
          </cell>
          <cell r="J4867">
            <v>142.52346</v>
          </cell>
          <cell r="K4867">
            <v>0.58172840816326532</v>
          </cell>
          <cell r="L4867">
            <v>0.69561539999999999</v>
          </cell>
          <cell r="M4867">
            <v>0.35679260000000002</v>
          </cell>
          <cell r="N4867">
            <v>0</v>
          </cell>
          <cell r="O4867">
            <v>2.2019799999999999E-2</v>
          </cell>
          <cell r="P4867">
            <v>0.95284139999999995</v>
          </cell>
          <cell r="Q4867">
            <v>0.47599570000000002</v>
          </cell>
          <cell r="R4867">
            <v>0</v>
          </cell>
          <cell r="S4867">
            <v>0</v>
          </cell>
          <cell r="T4867">
            <v>0</v>
          </cell>
          <cell r="U4867">
            <v>67.806019000000006</v>
          </cell>
          <cell r="V4867">
            <v>0</v>
          </cell>
          <cell r="W4867">
            <v>0</v>
          </cell>
          <cell r="X4867">
            <v>0.34620620000000002</v>
          </cell>
          <cell r="Y4867">
            <v>0</v>
          </cell>
          <cell r="Z4867">
            <v>0</v>
          </cell>
          <cell r="AA4867">
            <v>0</v>
          </cell>
          <cell r="AB4867">
            <v>1.7543199999999998E-2</v>
          </cell>
        </row>
        <row r="4868">
          <cell r="A4868">
            <v>74604600</v>
          </cell>
          <cell r="B4868" t="str">
            <v>Tomato noodle soup, canned, prepared with milk</v>
          </cell>
          <cell r="I4868">
            <v>245</v>
          </cell>
          <cell r="J4868">
            <v>170.30905999999999</v>
          </cell>
          <cell r="K4868">
            <v>0.69513902040816322</v>
          </cell>
          <cell r="L4868">
            <v>0.87207710000000005</v>
          </cell>
          <cell r="M4868">
            <v>1.5623705999999999</v>
          </cell>
          <cell r="N4868">
            <v>0</v>
          </cell>
          <cell r="O4868">
            <v>0.14277770000000001</v>
          </cell>
          <cell r="P4868">
            <v>0.69837289999999996</v>
          </cell>
          <cell r="Q4868">
            <v>0.4617079</v>
          </cell>
          <cell r="R4868">
            <v>0</v>
          </cell>
          <cell r="S4868">
            <v>0</v>
          </cell>
          <cell r="T4868">
            <v>0</v>
          </cell>
          <cell r="U4868">
            <v>80.013324999999995</v>
          </cell>
          <cell r="V4868">
            <v>0</v>
          </cell>
          <cell r="W4868">
            <v>0</v>
          </cell>
          <cell r="X4868">
            <v>0.44580740000000002</v>
          </cell>
          <cell r="Y4868">
            <v>0</v>
          </cell>
          <cell r="Z4868">
            <v>0</v>
          </cell>
          <cell r="AA4868">
            <v>0</v>
          </cell>
          <cell r="AB4868">
            <v>6.6268099999999996E-2</v>
          </cell>
        </row>
        <row r="4869">
          <cell r="A4869">
            <v>74605010</v>
          </cell>
          <cell r="B4869" t="str">
            <v>Tomato rice soup, prepared with water</v>
          </cell>
          <cell r="I4869">
            <v>245</v>
          </cell>
          <cell r="J4869">
            <v>115.15</v>
          </cell>
          <cell r="K4869">
            <v>0.47000000000000003</v>
          </cell>
          <cell r="L4869">
            <v>1.1662759</v>
          </cell>
          <cell r="M4869">
            <v>0.49</v>
          </cell>
          <cell r="N4869">
            <v>0</v>
          </cell>
          <cell r="O4869">
            <v>2.6950000000000002E-2</v>
          </cell>
          <cell r="P4869">
            <v>0.54872410000000005</v>
          </cell>
          <cell r="Q4869">
            <v>1.2862499999999999</v>
          </cell>
          <cell r="R4869">
            <v>0</v>
          </cell>
          <cell r="S4869">
            <v>0</v>
          </cell>
          <cell r="T4869">
            <v>0</v>
          </cell>
          <cell r="U4869">
            <v>78.032499999999999</v>
          </cell>
          <cell r="V4869">
            <v>0</v>
          </cell>
          <cell r="W4869">
            <v>0</v>
          </cell>
          <cell r="X4869">
            <v>0.78154999999999997</v>
          </cell>
          <cell r="Y4869">
            <v>0</v>
          </cell>
          <cell r="Z4869">
            <v>0</v>
          </cell>
          <cell r="AA4869">
            <v>0</v>
          </cell>
          <cell r="AB4869">
            <v>1.20403E-2</v>
          </cell>
        </row>
        <row r="4870">
          <cell r="A4870">
            <v>74606010</v>
          </cell>
          <cell r="B4870" t="str">
            <v>Tomato vegetable soup, prepared with water</v>
          </cell>
          <cell r="I4870">
            <v>245</v>
          </cell>
          <cell r="J4870">
            <v>82.060732000000002</v>
          </cell>
          <cell r="K4870">
            <v>0.33494176326530611</v>
          </cell>
          <cell r="L4870">
            <v>1.0292285000000001</v>
          </cell>
          <cell r="M4870">
            <v>0.14298459999999999</v>
          </cell>
          <cell r="N4870">
            <v>0</v>
          </cell>
          <cell r="O4870">
            <v>1.97834E-2</v>
          </cell>
          <cell r="P4870">
            <v>0.33845029999999998</v>
          </cell>
          <cell r="Q4870">
            <v>0.19520509999999999</v>
          </cell>
          <cell r="R4870">
            <v>0</v>
          </cell>
          <cell r="S4870">
            <v>0</v>
          </cell>
          <cell r="T4870">
            <v>0</v>
          </cell>
          <cell r="U4870">
            <v>94.432008999999994</v>
          </cell>
          <cell r="V4870">
            <v>0</v>
          </cell>
          <cell r="W4870">
            <v>0</v>
          </cell>
          <cell r="X4870">
            <v>0.47356749999999997</v>
          </cell>
          <cell r="Y4870">
            <v>0</v>
          </cell>
          <cell r="Z4870">
            <v>0</v>
          </cell>
          <cell r="AA4870">
            <v>0</v>
          </cell>
          <cell r="AB4870">
            <v>0</v>
          </cell>
        </row>
        <row r="4871">
          <cell r="A4871">
            <v>74606020</v>
          </cell>
          <cell r="B4871" t="str">
            <v>Tomato vegetable soup with noodles, prepared with water</v>
          </cell>
          <cell r="I4871">
            <v>245</v>
          </cell>
          <cell r="J4871">
            <v>68.599999999999994</v>
          </cell>
          <cell r="K4871">
            <v>0.27999999999999997</v>
          </cell>
          <cell r="L4871">
            <v>0.54532259999999999</v>
          </cell>
          <cell r="M4871">
            <v>0.29399999999999998</v>
          </cell>
          <cell r="N4871">
            <v>0</v>
          </cell>
          <cell r="O4871">
            <v>2.4500000000000001E-2</v>
          </cell>
          <cell r="P4871">
            <v>0.1896774</v>
          </cell>
          <cell r="Q4871">
            <v>0.72275</v>
          </cell>
          <cell r="R4871">
            <v>0</v>
          </cell>
          <cell r="S4871">
            <v>0</v>
          </cell>
          <cell r="T4871">
            <v>0</v>
          </cell>
          <cell r="U4871">
            <v>138.0575</v>
          </cell>
          <cell r="V4871">
            <v>0</v>
          </cell>
          <cell r="W4871">
            <v>0</v>
          </cell>
          <cell r="X4871">
            <v>0.82809999999999995</v>
          </cell>
          <cell r="Y4871">
            <v>0</v>
          </cell>
          <cell r="Z4871">
            <v>0</v>
          </cell>
          <cell r="AA4871">
            <v>0</v>
          </cell>
          <cell r="AB4871">
            <v>5.23169E-2</v>
          </cell>
        </row>
        <row r="4872">
          <cell r="A4872">
            <v>75100250</v>
          </cell>
          <cell r="B4872" t="str">
            <v>Raw vegetable, NFS</v>
          </cell>
          <cell r="I4872">
            <v>85</v>
          </cell>
          <cell r="J4872">
            <v>34.85</v>
          </cell>
          <cell r="K4872">
            <v>0.41000000000000003</v>
          </cell>
          <cell r="L4872">
            <v>2.38</v>
          </cell>
          <cell r="M4872">
            <v>3.1449999999999999E-2</v>
          </cell>
          <cell r="N4872">
            <v>0</v>
          </cell>
          <cell r="O4872">
            <v>2.8049999999999999E-2</v>
          </cell>
          <cell r="P4872">
            <v>0</v>
          </cell>
          <cell r="Q4872">
            <v>9.9449999999999997E-2</v>
          </cell>
          <cell r="R4872">
            <v>0</v>
          </cell>
          <cell r="S4872">
            <v>0</v>
          </cell>
          <cell r="T4872">
            <v>0</v>
          </cell>
          <cell r="U4872">
            <v>85</v>
          </cell>
          <cell r="V4872">
            <v>0</v>
          </cell>
          <cell r="W4872">
            <v>0</v>
          </cell>
          <cell r="X4872">
            <v>5.8650000000000001E-2</v>
          </cell>
          <cell r="Y4872">
            <v>0</v>
          </cell>
          <cell r="Z4872">
            <v>0</v>
          </cell>
          <cell r="AA4872">
            <v>0</v>
          </cell>
          <cell r="AB4872">
            <v>0</v>
          </cell>
        </row>
        <row r="4873">
          <cell r="A4873">
            <v>75100300</v>
          </cell>
          <cell r="B4873" t="str">
            <v>Sprouts, NFS</v>
          </cell>
          <cell r="I4873">
            <v>85</v>
          </cell>
          <cell r="J4873">
            <v>25.5</v>
          </cell>
          <cell r="K4873">
            <v>0.3</v>
          </cell>
          <cell r="L4873">
            <v>1.53</v>
          </cell>
          <cell r="M4873">
            <v>3.9100000000000003E-2</v>
          </cell>
          <cell r="N4873">
            <v>0</v>
          </cell>
          <cell r="O4873">
            <v>1.1050000000000001E-2</v>
          </cell>
          <cell r="P4873">
            <v>0</v>
          </cell>
          <cell r="Q4873">
            <v>4.9299999999999997E-2</v>
          </cell>
          <cell r="R4873">
            <v>0</v>
          </cell>
          <cell r="S4873">
            <v>0</v>
          </cell>
          <cell r="T4873">
            <v>0</v>
          </cell>
          <cell r="U4873">
            <v>85</v>
          </cell>
          <cell r="V4873">
            <v>0</v>
          </cell>
          <cell r="W4873">
            <v>0</v>
          </cell>
          <cell r="X4873">
            <v>5.1000000000000004E-3</v>
          </cell>
          <cell r="Y4873">
            <v>0</v>
          </cell>
          <cell r="Z4873">
            <v>0</v>
          </cell>
          <cell r="AA4873">
            <v>0</v>
          </cell>
          <cell r="AB4873">
            <v>0</v>
          </cell>
        </row>
        <row r="4874">
          <cell r="A4874">
            <v>75100500</v>
          </cell>
          <cell r="B4874" t="str">
            <v>Alfalfa sprouts, raw</v>
          </cell>
          <cell r="I4874">
            <v>85</v>
          </cell>
          <cell r="J4874">
            <v>19.55</v>
          </cell>
          <cell r="K4874">
            <v>0.23</v>
          </cell>
          <cell r="L4874">
            <v>1.615</v>
          </cell>
          <cell r="M4874">
            <v>5.8650000000000001E-2</v>
          </cell>
          <cell r="N4874">
            <v>0</v>
          </cell>
          <cell r="O4874">
            <v>2.7199999999999998E-2</v>
          </cell>
          <cell r="P4874">
            <v>0</v>
          </cell>
          <cell r="Q4874">
            <v>0.34765000000000001</v>
          </cell>
          <cell r="R4874">
            <v>0</v>
          </cell>
          <cell r="S4874">
            <v>0</v>
          </cell>
          <cell r="T4874">
            <v>0</v>
          </cell>
          <cell r="U4874">
            <v>85</v>
          </cell>
          <cell r="V4874">
            <v>0</v>
          </cell>
          <cell r="W4874">
            <v>0</v>
          </cell>
          <cell r="X4874">
            <v>5.1000000000000004E-3</v>
          </cell>
          <cell r="Y4874">
            <v>0</v>
          </cell>
          <cell r="Z4874">
            <v>0</v>
          </cell>
          <cell r="AA4874">
            <v>0</v>
          </cell>
          <cell r="AB4874">
            <v>0</v>
          </cell>
        </row>
        <row r="4875">
          <cell r="A4875">
            <v>75100800</v>
          </cell>
          <cell r="B4875" t="str">
            <v>Asparagus, raw</v>
          </cell>
          <cell r="I4875">
            <v>85</v>
          </cell>
          <cell r="J4875">
            <v>17</v>
          </cell>
          <cell r="K4875">
            <v>0.2</v>
          </cell>
          <cell r="L4875">
            <v>1.7849999999999999</v>
          </cell>
          <cell r="M4875">
            <v>3.4000000000000002E-2</v>
          </cell>
          <cell r="N4875">
            <v>0</v>
          </cell>
          <cell r="O4875">
            <v>2.0400000000000001E-2</v>
          </cell>
          <cell r="P4875">
            <v>0</v>
          </cell>
          <cell r="Q4875">
            <v>4.2500000000000003E-2</v>
          </cell>
          <cell r="R4875">
            <v>0</v>
          </cell>
          <cell r="S4875">
            <v>0</v>
          </cell>
          <cell r="T4875">
            <v>0</v>
          </cell>
          <cell r="U4875">
            <v>85</v>
          </cell>
          <cell r="V4875">
            <v>0</v>
          </cell>
          <cell r="W4875">
            <v>0</v>
          </cell>
          <cell r="X4875">
            <v>1.6999999999999999E-3</v>
          </cell>
          <cell r="Y4875">
            <v>0</v>
          </cell>
          <cell r="Z4875">
            <v>0</v>
          </cell>
          <cell r="AA4875">
            <v>0</v>
          </cell>
          <cell r="AB4875">
            <v>0</v>
          </cell>
        </row>
        <row r="4876">
          <cell r="A4876">
            <v>75101000</v>
          </cell>
          <cell r="B4876" t="str">
            <v>Bean sprouts, raw</v>
          </cell>
          <cell r="I4876">
            <v>85</v>
          </cell>
          <cell r="J4876">
            <v>25.5</v>
          </cell>
          <cell r="K4876">
            <v>0.3</v>
          </cell>
          <cell r="L4876">
            <v>1.53</v>
          </cell>
          <cell r="M4876">
            <v>3.9100000000000003E-2</v>
          </cell>
          <cell r="N4876">
            <v>0</v>
          </cell>
          <cell r="O4876">
            <v>1.1050000000000001E-2</v>
          </cell>
          <cell r="P4876">
            <v>0</v>
          </cell>
          <cell r="Q4876">
            <v>4.9299999999999997E-2</v>
          </cell>
          <cell r="R4876">
            <v>0</v>
          </cell>
          <cell r="S4876">
            <v>0</v>
          </cell>
          <cell r="T4876">
            <v>0</v>
          </cell>
          <cell r="U4876">
            <v>85</v>
          </cell>
          <cell r="V4876">
            <v>0</v>
          </cell>
          <cell r="W4876">
            <v>0</v>
          </cell>
          <cell r="X4876">
            <v>5.1000000000000004E-3</v>
          </cell>
          <cell r="Y4876">
            <v>0</v>
          </cell>
          <cell r="Z4876">
            <v>0</v>
          </cell>
          <cell r="AA4876">
            <v>0</v>
          </cell>
          <cell r="AB4876">
            <v>0</v>
          </cell>
        </row>
        <row r="4877">
          <cell r="A4877">
            <v>75101800</v>
          </cell>
          <cell r="B4877" t="str">
            <v>Beans, string, green, raw</v>
          </cell>
          <cell r="I4877">
            <v>85</v>
          </cell>
          <cell r="J4877">
            <v>26.35</v>
          </cell>
          <cell r="K4877">
            <v>0.31</v>
          </cell>
          <cell r="L4877">
            <v>2.2949999999999999</v>
          </cell>
          <cell r="M4877">
            <v>4.2500000000000003E-2</v>
          </cell>
          <cell r="N4877">
            <v>0</v>
          </cell>
          <cell r="O4877">
            <v>3.1449999999999999E-2</v>
          </cell>
          <cell r="P4877">
            <v>0</v>
          </cell>
          <cell r="Q4877">
            <v>9.6049999999999996E-2</v>
          </cell>
          <cell r="R4877">
            <v>0</v>
          </cell>
          <cell r="S4877">
            <v>0</v>
          </cell>
          <cell r="T4877">
            <v>0</v>
          </cell>
          <cell r="U4877">
            <v>85</v>
          </cell>
          <cell r="V4877">
            <v>0</v>
          </cell>
          <cell r="W4877">
            <v>0</v>
          </cell>
          <cell r="X4877">
            <v>5.1000000000000004E-3</v>
          </cell>
          <cell r="Y4877">
            <v>0</v>
          </cell>
          <cell r="Z4877">
            <v>0</v>
          </cell>
          <cell r="AA4877">
            <v>0</v>
          </cell>
          <cell r="AB4877">
            <v>0</v>
          </cell>
        </row>
        <row r="4878">
          <cell r="A4878">
            <v>75102500</v>
          </cell>
          <cell r="B4878" t="str">
            <v>Beets, raw</v>
          </cell>
          <cell r="I4878">
            <v>85</v>
          </cell>
          <cell r="J4878">
            <v>36.549999999999997</v>
          </cell>
          <cell r="K4878">
            <v>0.43</v>
          </cell>
          <cell r="L4878">
            <v>2.38</v>
          </cell>
          <cell r="M4878">
            <v>2.2950000000000002E-2</v>
          </cell>
          <cell r="N4878">
            <v>0</v>
          </cell>
          <cell r="O4878">
            <v>1.3599999999999999E-2</v>
          </cell>
          <cell r="P4878">
            <v>0</v>
          </cell>
          <cell r="Q4878">
            <v>5.0999999999999997E-2</v>
          </cell>
          <cell r="R4878">
            <v>0</v>
          </cell>
          <cell r="S4878">
            <v>0</v>
          </cell>
          <cell r="T4878">
            <v>0</v>
          </cell>
          <cell r="U4878">
            <v>85</v>
          </cell>
          <cell r="V4878">
            <v>0</v>
          </cell>
          <cell r="W4878">
            <v>0</v>
          </cell>
          <cell r="X4878">
            <v>6.6299999999999998E-2</v>
          </cell>
          <cell r="Y4878">
            <v>0</v>
          </cell>
          <cell r="Z4878">
            <v>0</v>
          </cell>
          <cell r="AA4878">
            <v>0</v>
          </cell>
          <cell r="AB4878">
            <v>0</v>
          </cell>
        </row>
        <row r="4879">
          <cell r="A4879">
            <v>75102750</v>
          </cell>
          <cell r="B4879" t="str">
            <v>Brussels sprouts, raw</v>
          </cell>
          <cell r="I4879">
            <v>85</v>
          </cell>
          <cell r="J4879">
            <v>36.549999999999997</v>
          </cell>
          <cell r="K4879">
            <v>0.43</v>
          </cell>
          <cell r="L4879">
            <v>3.23</v>
          </cell>
          <cell r="M4879">
            <v>5.2699999999999997E-2</v>
          </cell>
          <cell r="N4879">
            <v>0</v>
          </cell>
          <cell r="O4879">
            <v>3.5700000000000003E-2</v>
          </cell>
          <cell r="P4879">
            <v>0</v>
          </cell>
          <cell r="Q4879">
            <v>0.13005</v>
          </cell>
          <cell r="R4879">
            <v>0</v>
          </cell>
          <cell r="S4879">
            <v>0</v>
          </cell>
          <cell r="T4879">
            <v>0</v>
          </cell>
          <cell r="U4879">
            <v>85</v>
          </cell>
          <cell r="V4879">
            <v>0</v>
          </cell>
          <cell r="W4879">
            <v>0</v>
          </cell>
          <cell r="X4879">
            <v>2.1250000000000002E-2</v>
          </cell>
          <cell r="Y4879">
            <v>0</v>
          </cell>
          <cell r="Z4879">
            <v>0</v>
          </cell>
          <cell r="AA4879">
            <v>0</v>
          </cell>
          <cell r="AB4879">
            <v>0</v>
          </cell>
        </row>
        <row r="4880">
          <cell r="A4880">
            <v>75103000</v>
          </cell>
          <cell r="B4880" t="str">
            <v>Cabbage, green, raw</v>
          </cell>
          <cell r="I4880">
            <v>85</v>
          </cell>
          <cell r="J4880">
            <v>21.25</v>
          </cell>
          <cell r="K4880">
            <v>0.25</v>
          </cell>
          <cell r="L4880">
            <v>2.125</v>
          </cell>
          <cell r="M4880">
            <v>2.8899999999999999E-2</v>
          </cell>
          <cell r="N4880">
            <v>0</v>
          </cell>
          <cell r="O4880">
            <v>3.4000000000000002E-2</v>
          </cell>
          <cell r="P4880">
            <v>0</v>
          </cell>
          <cell r="Q4880">
            <v>1.4449999999999999E-2</v>
          </cell>
          <cell r="R4880">
            <v>0</v>
          </cell>
          <cell r="S4880">
            <v>0</v>
          </cell>
          <cell r="T4880">
            <v>0</v>
          </cell>
          <cell r="U4880">
            <v>85</v>
          </cell>
          <cell r="V4880">
            <v>0</v>
          </cell>
          <cell r="W4880">
            <v>0</v>
          </cell>
          <cell r="X4880">
            <v>1.5299999999999999E-2</v>
          </cell>
          <cell r="Y4880">
            <v>0</v>
          </cell>
          <cell r="Z4880">
            <v>0</v>
          </cell>
          <cell r="AA4880">
            <v>0</v>
          </cell>
          <cell r="AB4880">
            <v>0</v>
          </cell>
        </row>
        <row r="4881">
          <cell r="A4881">
            <v>75104000</v>
          </cell>
          <cell r="B4881" t="str">
            <v>Cabbage, Chinese, raw</v>
          </cell>
          <cell r="I4881">
            <v>85</v>
          </cell>
          <cell r="J4881">
            <v>11.05</v>
          </cell>
          <cell r="K4881">
            <v>0.13</v>
          </cell>
          <cell r="L4881">
            <v>0.85</v>
          </cell>
          <cell r="M4881">
            <v>2.2950000000000002E-2</v>
          </cell>
          <cell r="N4881">
            <v>0</v>
          </cell>
          <cell r="O4881">
            <v>8.9249999999999996E-2</v>
          </cell>
          <cell r="P4881">
            <v>0</v>
          </cell>
          <cell r="Q4881">
            <v>8.1600000000000006E-2</v>
          </cell>
          <cell r="R4881">
            <v>0</v>
          </cell>
          <cell r="S4881">
            <v>0</v>
          </cell>
          <cell r="T4881">
            <v>0</v>
          </cell>
          <cell r="U4881">
            <v>85</v>
          </cell>
          <cell r="V4881">
            <v>0</v>
          </cell>
          <cell r="W4881">
            <v>0</v>
          </cell>
          <cell r="X4881">
            <v>5.525E-2</v>
          </cell>
          <cell r="Y4881">
            <v>0</v>
          </cell>
          <cell r="Z4881">
            <v>0</v>
          </cell>
          <cell r="AA4881">
            <v>0</v>
          </cell>
          <cell r="AB4881">
            <v>0</v>
          </cell>
        </row>
        <row r="4882">
          <cell r="A4882">
            <v>75105000</v>
          </cell>
          <cell r="B4882" t="str">
            <v>Cabbage, red, raw</v>
          </cell>
          <cell r="I4882">
            <v>85</v>
          </cell>
          <cell r="J4882">
            <v>26.35</v>
          </cell>
          <cell r="K4882">
            <v>0.31</v>
          </cell>
          <cell r="L4882">
            <v>1.7849999999999999</v>
          </cell>
          <cell r="M4882">
            <v>1.7850000000000001E-2</v>
          </cell>
          <cell r="N4882">
            <v>0</v>
          </cell>
          <cell r="O4882">
            <v>3.8249999999999999E-2</v>
          </cell>
          <cell r="P4882">
            <v>0</v>
          </cell>
          <cell r="Q4882">
            <v>6.8000000000000005E-2</v>
          </cell>
          <cell r="R4882">
            <v>0</v>
          </cell>
          <cell r="S4882">
            <v>0</v>
          </cell>
          <cell r="T4882">
            <v>0</v>
          </cell>
          <cell r="U4882">
            <v>85</v>
          </cell>
          <cell r="V4882">
            <v>0</v>
          </cell>
          <cell r="W4882">
            <v>0</v>
          </cell>
          <cell r="X4882">
            <v>2.2950000000000002E-2</v>
          </cell>
          <cell r="Y4882">
            <v>0</v>
          </cell>
          <cell r="Z4882">
            <v>0</v>
          </cell>
          <cell r="AA4882">
            <v>0</v>
          </cell>
          <cell r="AB4882">
            <v>0</v>
          </cell>
        </row>
        <row r="4883">
          <cell r="A4883">
            <v>75105500</v>
          </cell>
          <cell r="B4883" t="str">
            <v>Cactus, raw</v>
          </cell>
          <cell r="I4883">
            <v>85</v>
          </cell>
          <cell r="J4883">
            <v>13.6</v>
          </cell>
          <cell r="K4883">
            <v>0.16</v>
          </cell>
          <cell r="L4883">
            <v>1.87</v>
          </cell>
          <cell r="M4883">
            <v>1.3599999999999999E-2</v>
          </cell>
          <cell r="N4883">
            <v>0</v>
          </cell>
          <cell r="O4883">
            <v>0.1394</v>
          </cell>
          <cell r="P4883">
            <v>0</v>
          </cell>
          <cell r="Q4883">
            <v>4.2500000000000003E-2</v>
          </cell>
          <cell r="R4883">
            <v>0</v>
          </cell>
          <cell r="S4883">
            <v>0</v>
          </cell>
          <cell r="T4883">
            <v>0</v>
          </cell>
          <cell r="U4883">
            <v>85</v>
          </cell>
          <cell r="V4883">
            <v>0</v>
          </cell>
          <cell r="W4883">
            <v>0</v>
          </cell>
          <cell r="X4883">
            <v>1.7850000000000001E-2</v>
          </cell>
          <cell r="Y4883">
            <v>0</v>
          </cell>
          <cell r="Z4883">
            <v>0</v>
          </cell>
          <cell r="AA4883">
            <v>0</v>
          </cell>
          <cell r="AB4883">
            <v>0</v>
          </cell>
        </row>
        <row r="4884">
          <cell r="A4884">
            <v>75107000</v>
          </cell>
          <cell r="B4884" t="str">
            <v>Cauliflower, raw</v>
          </cell>
          <cell r="I4884">
            <v>85</v>
          </cell>
          <cell r="J4884">
            <v>21.25</v>
          </cell>
          <cell r="K4884">
            <v>0.25</v>
          </cell>
          <cell r="L4884">
            <v>1.7</v>
          </cell>
          <cell r="M4884">
            <v>0.1105</v>
          </cell>
          <cell r="N4884">
            <v>0</v>
          </cell>
          <cell r="O4884">
            <v>1.8700000000000001E-2</v>
          </cell>
          <cell r="P4884">
            <v>0</v>
          </cell>
          <cell r="Q4884">
            <v>2.6349999999999998E-2</v>
          </cell>
          <cell r="R4884">
            <v>0</v>
          </cell>
          <cell r="S4884">
            <v>0</v>
          </cell>
          <cell r="T4884">
            <v>0</v>
          </cell>
          <cell r="U4884">
            <v>85</v>
          </cell>
          <cell r="V4884">
            <v>0</v>
          </cell>
          <cell r="W4884">
            <v>0</v>
          </cell>
          <cell r="X4884">
            <v>2.5499999999999998E-2</v>
          </cell>
          <cell r="Y4884">
            <v>0</v>
          </cell>
          <cell r="Z4884">
            <v>0</v>
          </cell>
          <cell r="AA4884">
            <v>0</v>
          </cell>
          <cell r="AB4884">
            <v>0</v>
          </cell>
        </row>
        <row r="4885">
          <cell r="A4885">
            <v>75109000</v>
          </cell>
          <cell r="B4885" t="str">
            <v>Celery, raw</v>
          </cell>
          <cell r="I4885">
            <v>85</v>
          </cell>
          <cell r="J4885">
            <v>13.6</v>
          </cell>
          <cell r="K4885">
            <v>0.16</v>
          </cell>
          <cell r="L4885">
            <v>1.36</v>
          </cell>
          <cell r="M4885">
            <v>3.5700000000000003E-2</v>
          </cell>
          <cell r="N4885">
            <v>0</v>
          </cell>
          <cell r="O4885">
            <v>3.4000000000000002E-2</v>
          </cell>
          <cell r="P4885">
            <v>0</v>
          </cell>
          <cell r="Q4885">
            <v>6.7150000000000001E-2</v>
          </cell>
          <cell r="R4885">
            <v>0</v>
          </cell>
          <cell r="S4885">
            <v>0</v>
          </cell>
          <cell r="T4885">
            <v>0</v>
          </cell>
          <cell r="U4885">
            <v>85</v>
          </cell>
          <cell r="V4885">
            <v>0</v>
          </cell>
          <cell r="W4885">
            <v>0</v>
          </cell>
          <cell r="X4885">
            <v>6.8000000000000005E-2</v>
          </cell>
          <cell r="Y4885">
            <v>0</v>
          </cell>
          <cell r="Z4885">
            <v>0</v>
          </cell>
          <cell r="AA4885">
            <v>0</v>
          </cell>
          <cell r="AB4885">
            <v>0</v>
          </cell>
        </row>
        <row r="4886">
          <cell r="A4886">
            <v>75109010</v>
          </cell>
          <cell r="B4886" t="str">
            <v>Fennel bulb, raw</v>
          </cell>
          <cell r="I4886">
            <v>85</v>
          </cell>
          <cell r="J4886">
            <v>26.35</v>
          </cell>
          <cell r="K4886">
            <v>0.31</v>
          </cell>
          <cell r="L4886">
            <v>2.6349999999999998</v>
          </cell>
          <cell r="M4886">
            <v>7.6499999999999999E-2</v>
          </cell>
          <cell r="N4886">
            <v>0</v>
          </cell>
          <cell r="O4886">
            <v>4.165E-2</v>
          </cell>
          <cell r="P4886">
            <v>0</v>
          </cell>
          <cell r="Q4886">
            <v>0.14365</v>
          </cell>
          <cell r="R4886">
            <v>0</v>
          </cell>
          <cell r="S4886">
            <v>0</v>
          </cell>
          <cell r="T4886">
            <v>0</v>
          </cell>
          <cell r="U4886">
            <v>85</v>
          </cell>
          <cell r="V4886">
            <v>0</v>
          </cell>
          <cell r="W4886">
            <v>0</v>
          </cell>
          <cell r="X4886">
            <v>4.4200000000000003E-2</v>
          </cell>
          <cell r="Y4886">
            <v>0</v>
          </cell>
          <cell r="Z4886">
            <v>0</v>
          </cell>
          <cell r="AA4886">
            <v>0</v>
          </cell>
          <cell r="AB4886">
            <v>0</v>
          </cell>
        </row>
        <row r="4887">
          <cell r="A4887">
            <v>75109400</v>
          </cell>
          <cell r="B4887" t="str">
            <v>Basil, raw</v>
          </cell>
          <cell r="I4887">
            <v>4</v>
          </cell>
          <cell r="J4887">
            <v>0.92</v>
          </cell>
          <cell r="K4887">
            <v>0.23</v>
          </cell>
          <cell r="L4887">
            <v>6.4000000000000001E-2</v>
          </cell>
          <cell r="M4887">
            <v>1.64E-3</v>
          </cell>
          <cell r="N4887">
            <v>0</v>
          </cell>
          <cell r="O4887">
            <v>7.0800000000000004E-3</v>
          </cell>
          <cell r="P4887">
            <v>0</v>
          </cell>
          <cell r="Q4887">
            <v>1.5559999999999999E-2</v>
          </cell>
          <cell r="R4887">
            <v>0</v>
          </cell>
          <cell r="S4887">
            <v>0</v>
          </cell>
          <cell r="T4887">
            <v>0</v>
          </cell>
          <cell r="U4887">
            <v>4</v>
          </cell>
          <cell r="V4887">
            <v>0</v>
          </cell>
          <cell r="W4887">
            <v>0</v>
          </cell>
          <cell r="X4887">
            <v>1.6000000000000001E-4</v>
          </cell>
          <cell r="Y4887">
            <v>0</v>
          </cell>
          <cell r="Z4887">
            <v>0</v>
          </cell>
          <cell r="AA4887">
            <v>0</v>
          </cell>
          <cell r="AB4887">
            <v>0</v>
          </cell>
        </row>
        <row r="4888">
          <cell r="A4888">
            <v>75109500</v>
          </cell>
          <cell r="B4888" t="str">
            <v>Chives, raw</v>
          </cell>
          <cell r="I4888">
            <v>4</v>
          </cell>
          <cell r="J4888">
            <v>1.2</v>
          </cell>
          <cell r="K4888">
            <v>0.3</v>
          </cell>
          <cell r="L4888">
            <v>0.1</v>
          </cell>
          <cell r="M4888">
            <v>5.8399999999999997E-3</v>
          </cell>
          <cell r="N4888">
            <v>0</v>
          </cell>
          <cell r="O4888">
            <v>3.6800000000000001E-3</v>
          </cell>
          <cell r="P4888">
            <v>0</v>
          </cell>
          <cell r="Q4888">
            <v>1.068E-2</v>
          </cell>
          <cell r="R4888">
            <v>0</v>
          </cell>
          <cell r="S4888">
            <v>0</v>
          </cell>
          <cell r="T4888">
            <v>0</v>
          </cell>
          <cell r="U4888">
            <v>4</v>
          </cell>
          <cell r="V4888">
            <v>0</v>
          </cell>
          <cell r="W4888">
            <v>0</v>
          </cell>
          <cell r="X4888">
            <v>1.2E-4</v>
          </cell>
          <cell r="Y4888">
            <v>0</v>
          </cell>
          <cell r="Z4888">
            <v>0</v>
          </cell>
          <cell r="AA4888">
            <v>0</v>
          </cell>
          <cell r="AB4888">
            <v>0</v>
          </cell>
        </row>
        <row r="4889">
          <cell r="A4889">
            <v>75109550</v>
          </cell>
          <cell r="B4889" t="str">
            <v>Cilantro, raw</v>
          </cell>
          <cell r="I4889">
            <v>4</v>
          </cell>
          <cell r="J4889">
            <v>0.92</v>
          </cell>
          <cell r="K4889">
            <v>0.23</v>
          </cell>
          <cell r="L4889">
            <v>0.112</v>
          </cell>
          <cell r="M4889">
            <v>5.5999999999999995E-4</v>
          </cell>
          <cell r="N4889">
            <v>0</v>
          </cell>
          <cell r="O4889">
            <v>2.6800000000000001E-3</v>
          </cell>
          <cell r="P4889">
            <v>0</v>
          </cell>
          <cell r="Q4889">
            <v>1.6000000000000001E-3</v>
          </cell>
          <cell r="R4889">
            <v>0</v>
          </cell>
          <cell r="S4889">
            <v>0</v>
          </cell>
          <cell r="T4889">
            <v>0</v>
          </cell>
          <cell r="U4889">
            <v>4</v>
          </cell>
          <cell r="V4889">
            <v>0</v>
          </cell>
          <cell r="W4889">
            <v>0</v>
          </cell>
          <cell r="X4889">
            <v>1.8400000000000001E-3</v>
          </cell>
          <cell r="Y4889">
            <v>0</v>
          </cell>
          <cell r="Z4889">
            <v>0</v>
          </cell>
          <cell r="AA4889">
            <v>0</v>
          </cell>
          <cell r="AB4889">
            <v>0</v>
          </cell>
        </row>
        <row r="4890">
          <cell r="A4890">
            <v>75109600</v>
          </cell>
          <cell r="B4890" t="str">
            <v>Corn, raw</v>
          </cell>
          <cell r="I4890">
            <v>85</v>
          </cell>
          <cell r="J4890">
            <v>73.099999999999994</v>
          </cell>
          <cell r="K4890">
            <v>0.86</v>
          </cell>
          <cell r="L4890">
            <v>0</v>
          </cell>
          <cell r="M4890">
            <v>0.27625</v>
          </cell>
          <cell r="N4890">
            <v>0</v>
          </cell>
          <cell r="O4890">
            <v>1.6999999999999999E-3</v>
          </cell>
          <cell r="P4890">
            <v>1.7</v>
          </cell>
          <cell r="Q4890">
            <v>0.41394999999999998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1.2749999999999999E-2</v>
          </cell>
          <cell r="Y4890">
            <v>0</v>
          </cell>
          <cell r="Z4890">
            <v>0</v>
          </cell>
          <cell r="AA4890">
            <v>0</v>
          </cell>
          <cell r="AB4890">
            <v>0</v>
          </cell>
        </row>
        <row r="4891">
          <cell r="A4891">
            <v>75111000</v>
          </cell>
          <cell r="B4891" t="str">
            <v>Cucumber, raw</v>
          </cell>
          <cell r="I4891">
            <v>85</v>
          </cell>
          <cell r="J4891">
            <v>10.199999999999999</v>
          </cell>
          <cell r="K4891">
            <v>0.12</v>
          </cell>
          <cell r="L4891">
            <v>0.59499999999999997</v>
          </cell>
          <cell r="M4891">
            <v>1.1050000000000001E-2</v>
          </cell>
          <cell r="N4891">
            <v>0</v>
          </cell>
          <cell r="O4891">
            <v>1.1900000000000001E-2</v>
          </cell>
          <cell r="P4891">
            <v>0</v>
          </cell>
          <cell r="Q4891">
            <v>2.5500000000000002E-3</v>
          </cell>
          <cell r="R4891">
            <v>0</v>
          </cell>
          <cell r="S4891">
            <v>0</v>
          </cell>
          <cell r="T4891">
            <v>0</v>
          </cell>
          <cell r="U4891">
            <v>85</v>
          </cell>
          <cell r="V4891">
            <v>0</v>
          </cell>
          <cell r="W4891">
            <v>0</v>
          </cell>
          <cell r="X4891">
            <v>1.6999999999999999E-3</v>
          </cell>
          <cell r="Y4891">
            <v>0</v>
          </cell>
          <cell r="Z4891">
            <v>0</v>
          </cell>
          <cell r="AA4891">
            <v>0</v>
          </cell>
          <cell r="AB4891">
            <v>0</v>
          </cell>
        </row>
        <row r="4892">
          <cell r="A4892">
            <v>75111200</v>
          </cell>
          <cell r="B4892" t="str">
            <v>Eggplant, raw</v>
          </cell>
          <cell r="I4892">
            <v>85</v>
          </cell>
          <cell r="J4892">
            <v>21.25</v>
          </cell>
          <cell r="K4892">
            <v>0.25</v>
          </cell>
          <cell r="L4892">
            <v>2.5499999999999998</v>
          </cell>
          <cell r="M4892">
            <v>2.8899999999999999E-2</v>
          </cell>
          <cell r="N4892">
            <v>0</v>
          </cell>
          <cell r="O4892">
            <v>7.6499999999999997E-3</v>
          </cell>
          <cell r="P4892">
            <v>0</v>
          </cell>
          <cell r="Q4892">
            <v>6.4600000000000005E-2</v>
          </cell>
          <cell r="R4892">
            <v>0</v>
          </cell>
          <cell r="S4892">
            <v>0</v>
          </cell>
          <cell r="T4892">
            <v>0</v>
          </cell>
          <cell r="U4892">
            <v>85</v>
          </cell>
          <cell r="V4892">
            <v>0</v>
          </cell>
          <cell r="W4892">
            <v>0</v>
          </cell>
          <cell r="X4892">
            <v>1.6999999999999999E-3</v>
          </cell>
          <cell r="Y4892">
            <v>0</v>
          </cell>
          <cell r="Z4892">
            <v>0</v>
          </cell>
          <cell r="AA4892">
            <v>0</v>
          </cell>
          <cell r="AB4892">
            <v>0</v>
          </cell>
        </row>
        <row r="4893">
          <cell r="A4893">
            <v>75111500</v>
          </cell>
          <cell r="B4893" t="str">
            <v>Garlic, raw</v>
          </cell>
          <cell r="I4893">
            <v>4</v>
          </cell>
          <cell r="J4893">
            <v>5.96</v>
          </cell>
          <cell r="K4893">
            <v>1.49</v>
          </cell>
          <cell r="L4893">
            <v>8.4000000000000005E-2</v>
          </cell>
          <cell r="M4893">
            <v>3.5599999999999998E-3</v>
          </cell>
          <cell r="N4893">
            <v>0</v>
          </cell>
          <cell r="O4893">
            <v>7.2399999999999999E-3</v>
          </cell>
          <cell r="P4893">
            <v>0</v>
          </cell>
          <cell r="Q4893">
            <v>9.9600000000000001E-3</v>
          </cell>
          <cell r="R4893">
            <v>0</v>
          </cell>
          <cell r="S4893">
            <v>0</v>
          </cell>
          <cell r="T4893">
            <v>0</v>
          </cell>
          <cell r="U4893">
            <v>4</v>
          </cell>
          <cell r="V4893">
            <v>0</v>
          </cell>
          <cell r="W4893">
            <v>0</v>
          </cell>
          <cell r="X4893">
            <v>6.8000000000000005E-4</v>
          </cell>
          <cell r="Y4893">
            <v>0</v>
          </cell>
          <cell r="Z4893">
            <v>0</v>
          </cell>
          <cell r="AA4893">
            <v>0</v>
          </cell>
          <cell r="AB4893">
            <v>0</v>
          </cell>
        </row>
        <row r="4894">
          <cell r="A4894">
            <v>75111800</v>
          </cell>
          <cell r="B4894" t="str">
            <v>Jicama, raw</v>
          </cell>
          <cell r="I4894">
            <v>85</v>
          </cell>
          <cell r="J4894">
            <v>32.299999999999997</v>
          </cell>
          <cell r="K4894">
            <v>0.37999999999999995</v>
          </cell>
          <cell r="L4894">
            <v>0</v>
          </cell>
          <cell r="M4894">
            <v>1.7850000000000001E-2</v>
          </cell>
          <cell r="N4894">
            <v>0</v>
          </cell>
          <cell r="O4894">
            <v>1.0200000000000001E-2</v>
          </cell>
          <cell r="P4894">
            <v>4.165</v>
          </cell>
          <cell r="Q4894">
            <v>3.6549999999999999E-2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3.3999999999999998E-3</v>
          </cell>
          <cell r="Y4894">
            <v>0</v>
          </cell>
          <cell r="Z4894">
            <v>0</v>
          </cell>
          <cell r="AA4894">
            <v>0</v>
          </cell>
          <cell r="AB4894">
            <v>0</v>
          </cell>
        </row>
        <row r="4895">
          <cell r="A4895">
            <v>75112000</v>
          </cell>
          <cell r="B4895" t="str">
            <v>Kohlrabi, raw</v>
          </cell>
          <cell r="I4895">
            <v>85</v>
          </cell>
          <cell r="J4895">
            <v>22.95</v>
          </cell>
          <cell r="K4895">
            <v>0.27</v>
          </cell>
          <cell r="L4895">
            <v>3.06</v>
          </cell>
          <cell r="M4895">
            <v>1.1050000000000001E-2</v>
          </cell>
          <cell r="N4895">
            <v>0</v>
          </cell>
          <cell r="O4895">
            <v>2.0400000000000001E-2</v>
          </cell>
          <cell r="P4895">
            <v>0</v>
          </cell>
          <cell r="Q4895">
            <v>4.0800000000000003E-2</v>
          </cell>
          <cell r="R4895">
            <v>0</v>
          </cell>
          <cell r="S4895">
            <v>0</v>
          </cell>
          <cell r="T4895">
            <v>0</v>
          </cell>
          <cell r="U4895">
            <v>85</v>
          </cell>
          <cell r="V4895">
            <v>0</v>
          </cell>
          <cell r="W4895">
            <v>0</v>
          </cell>
          <cell r="X4895">
            <v>1.7000000000000001E-2</v>
          </cell>
          <cell r="Y4895">
            <v>0</v>
          </cell>
          <cell r="Z4895">
            <v>0</v>
          </cell>
          <cell r="AA4895">
            <v>0</v>
          </cell>
          <cell r="AB4895">
            <v>0</v>
          </cell>
        </row>
        <row r="4896">
          <cell r="A4896">
            <v>75113000</v>
          </cell>
          <cell r="B4896" t="str">
            <v>Lettuce, raw</v>
          </cell>
          <cell r="I4896">
            <v>85</v>
          </cell>
          <cell r="J4896">
            <v>11.9</v>
          </cell>
          <cell r="K4896">
            <v>0.14000000000000001</v>
          </cell>
          <cell r="L4896">
            <v>1.02</v>
          </cell>
          <cell r="M4896">
            <v>1.5299999999999999E-2</v>
          </cell>
          <cell r="N4896">
            <v>0</v>
          </cell>
          <cell r="O4896">
            <v>1.5299999999999999E-2</v>
          </cell>
          <cell r="P4896">
            <v>0</v>
          </cell>
          <cell r="Q4896">
            <v>6.2899999999999998E-2</v>
          </cell>
          <cell r="R4896">
            <v>0</v>
          </cell>
          <cell r="S4896">
            <v>0</v>
          </cell>
          <cell r="T4896">
            <v>0</v>
          </cell>
          <cell r="U4896">
            <v>85</v>
          </cell>
          <cell r="V4896">
            <v>0</v>
          </cell>
          <cell r="W4896">
            <v>0</v>
          </cell>
          <cell r="X4896">
            <v>8.5000000000000006E-3</v>
          </cell>
          <cell r="Y4896">
            <v>0</v>
          </cell>
          <cell r="Z4896">
            <v>0</v>
          </cell>
          <cell r="AA4896">
            <v>0</v>
          </cell>
          <cell r="AB4896">
            <v>0</v>
          </cell>
        </row>
        <row r="4897">
          <cell r="A4897">
            <v>75113060</v>
          </cell>
          <cell r="B4897" t="str">
            <v>Lettuce, Boston, raw</v>
          </cell>
          <cell r="I4897">
            <v>85</v>
          </cell>
          <cell r="J4897">
            <v>11.05</v>
          </cell>
          <cell r="K4897">
            <v>0.13</v>
          </cell>
          <cell r="L4897">
            <v>0.93500000000000005</v>
          </cell>
          <cell r="M4897">
            <v>2.4649999999999998E-2</v>
          </cell>
          <cell r="N4897">
            <v>0</v>
          </cell>
          <cell r="O4897">
            <v>2.9749999999999999E-2</v>
          </cell>
          <cell r="P4897">
            <v>0</v>
          </cell>
          <cell r="Q4897">
            <v>9.9449999999999997E-2</v>
          </cell>
          <cell r="R4897">
            <v>0</v>
          </cell>
          <cell r="S4897">
            <v>0</v>
          </cell>
          <cell r="T4897">
            <v>0</v>
          </cell>
          <cell r="U4897">
            <v>85</v>
          </cell>
          <cell r="V4897">
            <v>0</v>
          </cell>
          <cell r="W4897">
            <v>0</v>
          </cell>
          <cell r="X4897">
            <v>4.2500000000000003E-3</v>
          </cell>
          <cell r="Y4897">
            <v>0</v>
          </cell>
          <cell r="Z4897">
            <v>0</v>
          </cell>
          <cell r="AA4897">
            <v>0</v>
          </cell>
          <cell r="AB4897">
            <v>0</v>
          </cell>
        </row>
        <row r="4898">
          <cell r="A4898">
            <v>75113080</v>
          </cell>
          <cell r="B4898" t="str">
            <v>Lettuce, arugula, raw</v>
          </cell>
          <cell r="I4898">
            <v>85</v>
          </cell>
          <cell r="J4898">
            <v>21.25</v>
          </cell>
          <cell r="K4898">
            <v>0.25</v>
          </cell>
          <cell r="L4898">
            <v>1.36</v>
          </cell>
          <cell r="M4898">
            <v>7.3099999999999998E-2</v>
          </cell>
          <cell r="N4898">
            <v>0</v>
          </cell>
          <cell r="O4898">
            <v>0.13600000000000001</v>
          </cell>
          <cell r="P4898">
            <v>0</v>
          </cell>
          <cell r="Q4898">
            <v>0.27115</v>
          </cell>
          <cell r="R4898">
            <v>0</v>
          </cell>
          <cell r="S4898">
            <v>0</v>
          </cell>
          <cell r="T4898">
            <v>0</v>
          </cell>
          <cell r="U4898">
            <v>85</v>
          </cell>
          <cell r="V4898">
            <v>0</v>
          </cell>
          <cell r="W4898">
            <v>0</v>
          </cell>
          <cell r="X4898">
            <v>2.2950000000000002E-2</v>
          </cell>
          <cell r="Y4898">
            <v>0</v>
          </cell>
          <cell r="Z4898">
            <v>0</v>
          </cell>
          <cell r="AA4898">
            <v>0</v>
          </cell>
          <cell r="AB4898">
            <v>0</v>
          </cell>
        </row>
        <row r="4899">
          <cell r="A4899">
            <v>75114000</v>
          </cell>
          <cell r="B4899" t="str">
            <v>Mixed salad greens, raw</v>
          </cell>
          <cell r="I4899">
            <v>100</v>
          </cell>
          <cell r="J4899">
            <v>17.2</v>
          </cell>
          <cell r="K4899">
            <v>0.17199999999999999</v>
          </cell>
          <cell r="L4899">
            <v>1.98</v>
          </cell>
          <cell r="M4899">
            <v>3.7600000000000001E-2</v>
          </cell>
          <cell r="N4899">
            <v>0</v>
          </cell>
          <cell r="O4899">
            <v>4.7600000000000003E-2</v>
          </cell>
          <cell r="P4899">
            <v>0</v>
          </cell>
          <cell r="Q4899">
            <v>0.11360000000000001</v>
          </cell>
          <cell r="R4899">
            <v>0</v>
          </cell>
          <cell r="S4899">
            <v>0</v>
          </cell>
          <cell r="T4899">
            <v>0</v>
          </cell>
          <cell r="U4899">
            <v>100</v>
          </cell>
          <cell r="V4899">
            <v>0</v>
          </cell>
          <cell r="W4899">
            <v>0</v>
          </cell>
          <cell r="X4899">
            <v>2.9399999999999999E-2</v>
          </cell>
          <cell r="Y4899">
            <v>0</v>
          </cell>
          <cell r="Z4899">
            <v>0</v>
          </cell>
          <cell r="AA4899">
            <v>0</v>
          </cell>
          <cell r="AB4899">
            <v>0</v>
          </cell>
        </row>
        <row r="4900">
          <cell r="A4900">
            <v>75115000</v>
          </cell>
          <cell r="B4900" t="str">
            <v>Mushrooms, raw</v>
          </cell>
          <cell r="I4900">
            <v>85</v>
          </cell>
          <cell r="J4900">
            <v>18.7</v>
          </cell>
          <cell r="K4900">
            <v>0.22</v>
          </cell>
          <cell r="L4900">
            <v>0.85</v>
          </cell>
          <cell r="M4900">
            <v>4.2500000000000003E-2</v>
          </cell>
          <cell r="N4900">
            <v>0</v>
          </cell>
          <cell r="O4900">
            <v>2.5500000000000002E-3</v>
          </cell>
          <cell r="P4900">
            <v>0</v>
          </cell>
          <cell r="Q4900">
            <v>0.13600000000000001</v>
          </cell>
          <cell r="R4900">
            <v>0</v>
          </cell>
          <cell r="S4900">
            <v>0</v>
          </cell>
          <cell r="T4900">
            <v>0</v>
          </cell>
          <cell r="U4900">
            <v>85</v>
          </cell>
          <cell r="V4900">
            <v>0</v>
          </cell>
          <cell r="W4900">
            <v>0</v>
          </cell>
          <cell r="X4900">
            <v>4.2500000000000003E-3</v>
          </cell>
          <cell r="Y4900">
            <v>0</v>
          </cell>
          <cell r="Z4900">
            <v>0</v>
          </cell>
          <cell r="AA4900">
            <v>0</v>
          </cell>
          <cell r="AB4900">
            <v>0</v>
          </cell>
        </row>
        <row r="4901">
          <cell r="A4901">
            <v>75117010</v>
          </cell>
          <cell r="B4901" t="str">
            <v>Onions, young green, raw</v>
          </cell>
          <cell r="I4901">
            <v>30</v>
          </cell>
          <cell r="J4901">
            <v>9.6</v>
          </cell>
          <cell r="K4901">
            <v>0.32</v>
          </cell>
          <cell r="L4901">
            <v>0.78</v>
          </cell>
          <cell r="M4901">
            <v>9.5999999999999992E-3</v>
          </cell>
          <cell r="N4901">
            <v>0</v>
          </cell>
          <cell r="O4901">
            <v>2.1600000000000001E-2</v>
          </cell>
          <cell r="P4901">
            <v>0</v>
          </cell>
          <cell r="Q4901">
            <v>2.2200000000000001E-2</v>
          </cell>
          <cell r="R4901">
            <v>0</v>
          </cell>
          <cell r="S4901">
            <v>0</v>
          </cell>
          <cell r="T4901">
            <v>0</v>
          </cell>
          <cell r="U4901">
            <v>30</v>
          </cell>
          <cell r="V4901">
            <v>0</v>
          </cell>
          <cell r="W4901">
            <v>0</v>
          </cell>
          <cell r="X4901">
            <v>4.7999999999999996E-3</v>
          </cell>
          <cell r="Y4901">
            <v>0</v>
          </cell>
          <cell r="Z4901">
            <v>0</v>
          </cell>
          <cell r="AA4901">
            <v>0</v>
          </cell>
          <cell r="AB4901">
            <v>0</v>
          </cell>
        </row>
        <row r="4902">
          <cell r="A4902">
            <v>75117020</v>
          </cell>
          <cell r="B4902" t="str">
            <v>Onions, mature, raw</v>
          </cell>
          <cell r="I4902">
            <v>30</v>
          </cell>
          <cell r="J4902">
            <v>12</v>
          </cell>
          <cell r="K4902">
            <v>0.4</v>
          </cell>
          <cell r="L4902">
            <v>0.51</v>
          </cell>
          <cell r="M4902">
            <v>1.26E-2</v>
          </cell>
          <cell r="N4902">
            <v>0</v>
          </cell>
          <cell r="O4902">
            <v>6.8999999999999999E-3</v>
          </cell>
          <cell r="P4902">
            <v>0</v>
          </cell>
          <cell r="Q4902">
            <v>5.1000000000000004E-3</v>
          </cell>
          <cell r="R4902">
            <v>0</v>
          </cell>
          <cell r="S4902">
            <v>0</v>
          </cell>
          <cell r="T4902">
            <v>0</v>
          </cell>
          <cell r="U4902">
            <v>30</v>
          </cell>
          <cell r="V4902">
            <v>0</v>
          </cell>
          <cell r="W4902">
            <v>0</v>
          </cell>
          <cell r="X4902">
            <v>1.1999999999999999E-3</v>
          </cell>
          <cell r="Y4902">
            <v>0</v>
          </cell>
          <cell r="Z4902">
            <v>0</v>
          </cell>
          <cell r="AA4902">
            <v>0</v>
          </cell>
          <cell r="AB4902">
            <v>0</v>
          </cell>
        </row>
        <row r="4903">
          <cell r="A4903">
            <v>75119000</v>
          </cell>
          <cell r="B4903" t="str">
            <v>Parsley, raw</v>
          </cell>
          <cell r="I4903">
            <v>4</v>
          </cell>
          <cell r="J4903">
            <v>1.44</v>
          </cell>
          <cell r="K4903">
            <v>0.36</v>
          </cell>
          <cell r="L4903">
            <v>0.13200000000000001</v>
          </cell>
          <cell r="M4903">
            <v>5.28E-3</v>
          </cell>
          <cell r="N4903">
            <v>0</v>
          </cell>
          <cell r="O4903">
            <v>5.5199999999999997E-3</v>
          </cell>
          <cell r="P4903">
            <v>0</v>
          </cell>
          <cell r="Q4903">
            <v>4.96E-3</v>
          </cell>
          <cell r="R4903">
            <v>0</v>
          </cell>
          <cell r="S4903">
            <v>0</v>
          </cell>
          <cell r="T4903">
            <v>0</v>
          </cell>
          <cell r="U4903">
            <v>4</v>
          </cell>
          <cell r="V4903">
            <v>0</v>
          </cell>
          <cell r="W4903">
            <v>0</v>
          </cell>
          <cell r="X4903">
            <v>2.2399999999999998E-3</v>
          </cell>
          <cell r="Y4903">
            <v>0</v>
          </cell>
          <cell r="Z4903">
            <v>0</v>
          </cell>
          <cell r="AA4903">
            <v>0</v>
          </cell>
          <cell r="AB4903">
            <v>0</v>
          </cell>
        </row>
        <row r="4904">
          <cell r="A4904">
            <v>75120000</v>
          </cell>
          <cell r="B4904" t="str">
            <v>Peas, green, raw</v>
          </cell>
          <cell r="I4904">
            <v>85</v>
          </cell>
          <cell r="J4904">
            <v>68.849999999999994</v>
          </cell>
          <cell r="K4904">
            <v>0.80999999999999994</v>
          </cell>
          <cell r="L4904">
            <v>0</v>
          </cell>
          <cell r="M4904">
            <v>6.0350000000000001E-2</v>
          </cell>
          <cell r="N4904">
            <v>0</v>
          </cell>
          <cell r="O4904">
            <v>2.1250000000000002E-2</v>
          </cell>
          <cell r="P4904">
            <v>4.8449999999999998</v>
          </cell>
          <cell r="Q4904">
            <v>0.15895000000000001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4.2500000000000003E-3</v>
          </cell>
          <cell r="Y4904">
            <v>0</v>
          </cell>
          <cell r="Z4904">
            <v>0</v>
          </cell>
          <cell r="AA4904">
            <v>0</v>
          </cell>
          <cell r="AB4904">
            <v>0</v>
          </cell>
        </row>
        <row r="4905">
          <cell r="A4905">
            <v>75121000</v>
          </cell>
          <cell r="B4905" t="str">
            <v>Pepper, hot chili, raw</v>
          </cell>
          <cell r="I4905">
            <v>30</v>
          </cell>
          <cell r="J4905">
            <v>12</v>
          </cell>
          <cell r="K4905">
            <v>0.4</v>
          </cell>
          <cell r="L4905">
            <v>0.45</v>
          </cell>
          <cell r="M4905">
            <v>9.4500000000000001E-3</v>
          </cell>
          <cell r="N4905">
            <v>0</v>
          </cell>
          <cell r="O4905">
            <v>4.7999999999999996E-3</v>
          </cell>
          <cell r="P4905">
            <v>0</v>
          </cell>
          <cell r="Q4905">
            <v>5.2200000000000003E-2</v>
          </cell>
          <cell r="R4905">
            <v>0</v>
          </cell>
          <cell r="S4905">
            <v>0</v>
          </cell>
          <cell r="T4905">
            <v>0</v>
          </cell>
          <cell r="U4905">
            <v>30</v>
          </cell>
          <cell r="V4905">
            <v>0</v>
          </cell>
          <cell r="W4905">
            <v>0</v>
          </cell>
          <cell r="X4905">
            <v>2.3999999999999998E-3</v>
          </cell>
          <cell r="Y4905">
            <v>0</v>
          </cell>
          <cell r="Z4905">
            <v>0</v>
          </cell>
          <cell r="AA4905">
            <v>0</v>
          </cell>
          <cell r="AB4905">
            <v>0</v>
          </cell>
        </row>
        <row r="4906">
          <cell r="A4906">
            <v>75121500</v>
          </cell>
          <cell r="B4906" t="str">
            <v>Pepper, Serrano, raw</v>
          </cell>
          <cell r="I4906">
            <v>30</v>
          </cell>
          <cell r="J4906">
            <v>9.6</v>
          </cell>
          <cell r="K4906">
            <v>0.32</v>
          </cell>
          <cell r="L4906">
            <v>1.1100000000000001</v>
          </cell>
          <cell r="M4906">
            <v>1.77E-2</v>
          </cell>
          <cell r="N4906">
            <v>0</v>
          </cell>
          <cell r="O4906">
            <v>3.3E-3</v>
          </cell>
          <cell r="P4906">
            <v>0</v>
          </cell>
          <cell r="Q4906">
            <v>6.6600000000000006E-2</v>
          </cell>
          <cell r="R4906">
            <v>0</v>
          </cell>
          <cell r="S4906">
            <v>0</v>
          </cell>
          <cell r="T4906">
            <v>0</v>
          </cell>
          <cell r="U4906">
            <v>30</v>
          </cell>
          <cell r="V4906">
            <v>0</v>
          </cell>
          <cell r="W4906">
            <v>0</v>
          </cell>
          <cell r="X4906">
            <v>3.0000000000000001E-3</v>
          </cell>
          <cell r="Y4906">
            <v>0</v>
          </cell>
          <cell r="Z4906">
            <v>0</v>
          </cell>
          <cell r="AA4906">
            <v>0</v>
          </cell>
          <cell r="AB4906">
            <v>0</v>
          </cell>
        </row>
        <row r="4907">
          <cell r="A4907">
            <v>75122000</v>
          </cell>
          <cell r="B4907" t="str">
            <v>Pepper, raw, NFS</v>
          </cell>
          <cell r="I4907">
            <v>85</v>
          </cell>
          <cell r="J4907">
            <v>20.272500000000001</v>
          </cell>
          <cell r="K4907">
            <v>0.23850000000000002</v>
          </cell>
          <cell r="L4907">
            <v>1.5640000000000001</v>
          </cell>
          <cell r="M4907">
            <v>4.0077500000000002E-2</v>
          </cell>
          <cell r="N4907">
            <v>0</v>
          </cell>
          <cell r="O4907">
            <v>7.6074999999999997E-3</v>
          </cell>
          <cell r="P4907">
            <v>0</v>
          </cell>
          <cell r="Q4907">
            <v>5.5079999999999997E-2</v>
          </cell>
          <cell r="R4907">
            <v>0</v>
          </cell>
          <cell r="S4907">
            <v>0</v>
          </cell>
          <cell r="T4907">
            <v>0</v>
          </cell>
          <cell r="U4907">
            <v>85</v>
          </cell>
          <cell r="V4907">
            <v>0</v>
          </cell>
          <cell r="W4907">
            <v>0</v>
          </cell>
          <cell r="X4907">
            <v>2.8475000000000002E-3</v>
          </cell>
          <cell r="Y4907">
            <v>0</v>
          </cell>
          <cell r="Z4907">
            <v>0</v>
          </cell>
          <cell r="AA4907">
            <v>0</v>
          </cell>
          <cell r="AB4907">
            <v>0</v>
          </cell>
        </row>
        <row r="4908">
          <cell r="A4908">
            <v>75122100</v>
          </cell>
          <cell r="B4908" t="str">
            <v>Pepper, sweet, green, raw</v>
          </cell>
          <cell r="I4908">
            <v>85</v>
          </cell>
          <cell r="J4908">
            <v>17</v>
          </cell>
          <cell r="K4908">
            <v>0.2</v>
          </cell>
          <cell r="L4908">
            <v>1.4450000000000001</v>
          </cell>
          <cell r="M4908">
            <v>4.9299999999999997E-2</v>
          </cell>
          <cell r="N4908">
            <v>0</v>
          </cell>
          <cell r="O4908">
            <v>8.5000000000000006E-3</v>
          </cell>
          <cell r="P4908">
            <v>0</v>
          </cell>
          <cell r="Q4908">
            <v>5.2699999999999997E-2</v>
          </cell>
          <cell r="R4908">
            <v>0</v>
          </cell>
          <cell r="S4908">
            <v>0</v>
          </cell>
          <cell r="T4908">
            <v>0</v>
          </cell>
          <cell r="U4908">
            <v>85</v>
          </cell>
          <cell r="V4908">
            <v>0</v>
          </cell>
          <cell r="W4908">
            <v>0</v>
          </cell>
          <cell r="X4908">
            <v>2.5500000000000002E-3</v>
          </cell>
          <cell r="Y4908">
            <v>0</v>
          </cell>
          <cell r="Z4908">
            <v>0</v>
          </cell>
          <cell r="AA4908">
            <v>0</v>
          </cell>
          <cell r="AB4908">
            <v>0</v>
          </cell>
        </row>
        <row r="4909">
          <cell r="A4909">
            <v>75122200</v>
          </cell>
          <cell r="B4909" t="str">
            <v>Pepper, sweet, red, raw</v>
          </cell>
          <cell r="I4909">
            <v>85</v>
          </cell>
          <cell r="J4909">
            <v>26.35</v>
          </cell>
          <cell r="K4909">
            <v>0.31</v>
          </cell>
          <cell r="L4909">
            <v>1.7849999999999999</v>
          </cell>
          <cell r="M4909">
            <v>2.2950000000000002E-2</v>
          </cell>
          <cell r="N4909">
            <v>0</v>
          </cell>
          <cell r="O4909">
            <v>5.9500000000000004E-3</v>
          </cell>
          <cell r="P4909">
            <v>0</v>
          </cell>
          <cell r="Q4909">
            <v>5.9499999999999997E-2</v>
          </cell>
          <cell r="R4909">
            <v>0</v>
          </cell>
          <cell r="S4909">
            <v>0</v>
          </cell>
          <cell r="T4909">
            <v>0</v>
          </cell>
          <cell r="U4909">
            <v>85</v>
          </cell>
          <cell r="V4909">
            <v>0</v>
          </cell>
          <cell r="W4909">
            <v>0</v>
          </cell>
          <cell r="X4909">
            <v>3.3999999999999998E-3</v>
          </cell>
          <cell r="Y4909">
            <v>0</v>
          </cell>
          <cell r="Z4909">
            <v>0</v>
          </cell>
          <cell r="AA4909">
            <v>0</v>
          </cell>
          <cell r="AB4909">
            <v>0</v>
          </cell>
        </row>
        <row r="4910">
          <cell r="A4910">
            <v>75124000</v>
          </cell>
          <cell r="B4910" t="str">
            <v>Pepper, banana, raw</v>
          </cell>
          <cell r="I4910">
            <v>85</v>
          </cell>
          <cell r="J4910">
            <v>22.95</v>
          </cell>
          <cell r="K4910">
            <v>0.27</v>
          </cell>
          <cell r="L4910">
            <v>2.89</v>
          </cell>
          <cell r="M4910">
            <v>4.0800000000000003E-2</v>
          </cell>
          <cell r="N4910">
            <v>0</v>
          </cell>
          <cell r="O4910">
            <v>1.1900000000000001E-2</v>
          </cell>
          <cell r="P4910">
            <v>0</v>
          </cell>
          <cell r="Q4910">
            <v>0.20655000000000001</v>
          </cell>
          <cell r="R4910">
            <v>0</v>
          </cell>
          <cell r="S4910">
            <v>0</v>
          </cell>
          <cell r="T4910">
            <v>0</v>
          </cell>
          <cell r="U4910">
            <v>85</v>
          </cell>
          <cell r="V4910">
            <v>0</v>
          </cell>
          <cell r="W4910">
            <v>0</v>
          </cell>
          <cell r="X4910">
            <v>1.1050000000000001E-2</v>
          </cell>
          <cell r="Y4910">
            <v>0</v>
          </cell>
          <cell r="Z4910">
            <v>0</v>
          </cell>
          <cell r="AA4910">
            <v>0</v>
          </cell>
          <cell r="AB4910">
            <v>0</v>
          </cell>
        </row>
        <row r="4911">
          <cell r="A4911">
            <v>75125000</v>
          </cell>
          <cell r="B4911" t="str">
            <v>Radish, raw</v>
          </cell>
          <cell r="I4911">
            <v>30</v>
          </cell>
          <cell r="J4911">
            <v>4.8</v>
          </cell>
          <cell r="K4911">
            <v>0.16</v>
          </cell>
          <cell r="L4911">
            <v>0.48</v>
          </cell>
          <cell r="M4911">
            <v>9.5999999999999992E-3</v>
          </cell>
          <cell r="N4911">
            <v>0</v>
          </cell>
          <cell r="O4911">
            <v>7.4999999999999997E-3</v>
          </cell>
          <cell r="P4911">
            <v>0</v>
          </cell>
          <cell r="Q4911">
            <v>1.44E-2</v>
          </cell>
          <cell r="R4911">
            <v>0</v>
          </cell>
          <cell r="S4911">
            <v>0</v>
          </cell>
          <cell r="T4911">
            <v>0</v>
          </cell>
          <cell r="U4911">
            <v>30</v>
          </cell>
          <cell r="V4911">
            <v>0</v>
          </cell>
          <cell r="W4911">
            <v>0</v>
          </cell>
          <cell r="X4911">
            <v>1.17E-2</v>
          </cell>
          <cell r="Y4911">
            <v>0</v>
          </cell>
          <cell r="Z4911">
            <v>0</v>
          </cell>
          <cell r="AA4911">
            <v>0</v>
          </cell>
          <cell r="AB4911">
            <v>0</v>
          </cell>
        </row>
        <row r="4912">
          <cell r="A4912">
            <v>75127000</v>
          </cell>
          <cell r="B4912" t="str">
            <v>Rutabaga, raw</v>
          </cell>
          <cell r="I4912">
            <v>85</v>
          </cell>
          <cell r="J4912">
            <v>31.45</v>
          </cell>
          <cell r="K4912">
            <v>0.37</v>
          </cell>
          <cell r="L4912">
            <v>1.9550000000000001</v>
          </cell>
          <cell r="M4912">
            <v>2.2950000000000002E-2</v>
          </cell>
          <cell r="N4912">
            <v>0</v>
          </cell>
          <cell r="O4912">
            <v>3.6549999999999999E-2</v>
          </cell>
          <cell r="P4912">
            <v>0</v>
          </cell>
          <cell r="Q4912">
            <v>7.4800000000000005E-2</v>
          </cell>
          <cell r="R4912">
            <v>0</v>
          </cell>
          <cell r="S4912">
            <v>0</v>
          </cell>
          <cell r="T4912">
            <v>0</v>
          </cell>
          <cell r="U4912">
            <v>85</v>
          </cell>
          <cell r="V4912">
            <v>0</v>
          </cell>
          <cell r="W4912">
            <v>0</v>
          </cell>
          <cell r="X4912">
            <v>1.0200000000000001E-2</v>
          </cell>
          <cell r="Y4912">
            <v>0</v>
          </cell>
          <cell r="Z4912">
            <v>0</v>
          </cell>
          <cell r="AA4912">
            <v>0</v>
          </cell>
          <cell r="AB4912">
            <v>0</v>
          </cell>
        </row>
        <row r="4913">
          <cell r="A4913">
            <v>75127500</v>
          </cell>
          <cell r="B4913" t="str">
            <v>Seaweed, raw</v>
          </cell>
          <cell r="I4913">
            <v>85</v>
          </cell>
          <cell r="J4913">
            <v>32.512500000000003</v>
          </cell>
          <cell r="K4913">
            <v>0.38250000000000001</v>
          </cell>
          <cell r="L4913">
            <v>0.72250000000000003</v>
          </cell>
          <cell r="M4913">
            <v>7.3737499999999997E-2</v>
          </cell>
          <cell r="N4913">
            <v>0</v>
          </cell>
          <cell r="O4913">
            <v>7.7350000000000002E-2</v>
          </cell>
          <cell r="P4913">
            <v>0</v>
          </cell>
          <cell r="Q4913">
            <v>4.7175000000000002E-2</v>
          </cell>
          <cell r="R4913">
            <v>0</v>
          </cell>
          <cell r="S4913">
            <v>0</v>
          </cell>
          <cell r="T4913">
            <v>0</v>
          </cell>
          <cell r="U4913">
            <v>85</v>
          </cell>
          <cell r="V4913">
            <v>0</v>
          </cell>
          <cell r="W4913">
            <v>0</v>
          </cell>
          <cell r="X4913">
            <v>7.5862499999999999E-2</v>
          </cell>
          <cell r="Y4913">
            <v>0</v>
          </cell>
          <cell r="Z4913">
            <v>0</v>
          </cell>
          <cell r="AA4913">
            <v>0</v>
          </cell>
          <cell r="AB4913">
            <v>0</v>
          </cell>
        </row>
        <row r="4914">
          <cell r="A4914">
            <v>75127750</v>
          </cell>
          <cell r="B4914" t="str">
            <v>Snowpeas, raw</v>
          </cell>
          <cell r="I4914">
            <v>85</v>
          </cell>
          <cell r="J4914">
            <v>35.700000000000003</v>
          </cell>
          <cell r="K4914">
            <v>0.42000000000000004</v>
          </cell>
          <cell r="L4914">
            <v>2.21</v>
          </cell>
          <cell r="M4914">
            <v>3.3149999999999999E-2</v>
          </cell>
          <cell r="N4914">
            <v>0</v>
          </cell>
          <cell r="O4914">
            <v>3.6549999999999999E-2</v>
          </cell>
          <cell r="P4914">
            <v>0</v>
          </cell>
          <cell r="Q4914">
            <v>7.5649999999999995E-2</v>
          </cell>
          <cell r="R4914">
            <v>0</v>
          </cell>
          <cell r="S4914">
            <v>0</v>
          </cell>
          <cell r="T4914">
            <v>0</v>
          </cell>
          <cell r="U4914">
            <v>85</v>
          </cell>
          <cell r="V4914">
            <v>0</v>
          </cell>
          <cell r="W4914">
            <v>0</v>
          </cell>
          <cell r="X4914">
            <v>3.3999999999999998E-3</v>
          </cell>
          <cell r="Y4914">
            <v>0</v>
          </cell>
          <cell r="Z4914">
            <v>0</v>
          </cell>
          <cell r="AA4914">
            <v>0</v>
          </cell>
          <cell r="AB4914">
            <v>0</v>
          </cell>
        </row>
        <row r="4915">
          <cell r="A4915">
            <v>75128000</v>
          </cell>
          <cell r="B4915" t="str">
            <v>Squash, summer, yellow, raw</v>
          </cell>
          <cell r="I4915">
            <v>85</v>
          </cell>
          <cell r="J4915">
            <v>13.6</v>
          </cell>
          <cell r="K4915">
            <v>0.16</v>
          </cell>
          <cell r="L4915">
            <v>0.93500000000000005</v>
          </cell>
          <cell r="M4915">
            <v>3.7400000000000003E-2</v>
          </cell>
          <cell r="N4915">
            <v>0</v>
          </cell>
          <cell r="O4915">
            <v>1.2749999999999999E-2</v>
          </cell>
          <cell r="P4915">
            <v>0</v>
          </cell>
          <cell r="Q4915">
            <v>7.5649999999999995E-2</v>
          </cell>
          <cell r="R4915">
            <v>0</v>
          </cell>
          <cell r="S4915">
            <v>0</v>
          </cell>
          <cell r="T4915">
            <v>0</v>
          </cell>
          <cell r="U4915">
            <v>85</v>
          </cell>
          <cell r="V4915">
            <v>0</v>
          </cell>
          <cell r="W4915">
            <v>0</v>
          </cell>
          <cell r="X4915">
            <v>1.6999999999999999E-3</v>
          </cell>
          <cell r="Y4915">
            <v>0</v>
          </cell>
          <cell r="Z4915">
            <v>0</v>
          </cell>
          <cell r="AA4915">
            <v>0</v>
          </cell>
          <cell r="AB4915">
            <v>0</v>
          </cell>
        </row>
        <row r="4916">
          <cell r="A4916">
            <v>75128010</v>
          </cell>
          <cell r="B4916" t="str">
            <v>Squash, summer, green, raw</v>
          </cell>
          <cell r="I4916">
            <v>85</v>
          </cell>
          <cell r="J4916">
            <v>14.45</v>
          </cell>
          <cell r="K4916">
            <v>0.16999999999999998</v>
          </cell>
          <cell r="L4916">
            <v>0.85</v>
          </cell>
          <cell r="M4916">
            <v>7.1400000000000005E-2</v>
          </cell>
          <cell r="N4916">
            <v>0</v>
          </cell>
          <cell r="O4916">
            <v>1.3599999999999999E-2</v>
          </cell>
          <cell r="P4916">
            <v>0</v>
          </cell>
          <cell r="Q4916">
            <v>7.7350000000000002E-2</v>
          </cell>
          <cell r="R4916">
            <v>0</v>
          </cell>
          <cell r="S4916">
            <v>0</v>
          </cell>
          <cell r="T4916">
            <v>0</v>
          </cell>
          <cell r="U4916">
            <v>85</v>
          </cell>
          <cell r="V4916">
            <v>0</v>
          </cell>
          <cell r="W4916">
            <v>0</v>
          </cell>
          <cell r="X4916">
            <v>6.7999999999999996E-3</v>
          </cell>
          <cell r="Y4916">
            <v>0</v>
          </cell>
          <cell r="Z4916">
            <v>0</v>
          </cell>
          <cell r="AA4916">
            <v>0</v>
          </cell>
          <cell r="AB4916">
            <v>0</v>
          </cell>
        </row>
        <row r="4917">
          <cell r="A4917">
            <v>75129000</v>
          </cell>
          <cell r="B4917" t="str">
            <v>Turnip, raw</v>
          </cell>
          <cell r="I4917">
            <v>85</v>
          </cell>
          <cell r="J4917">
            <v>23.8</v>
          </cell>
          <cell r="K4917">
            <v>0.28000000000000003</v>
          </cell>
          <cell r="L4917">
            <v>1.53</v>
          </cell>
          <cell r="M4917">
            <v>9.3500000000000007E-3</v>
          </cell>
          <cell r="N4917">
            <v>0</v>
          </cell>
          <cell r="O4917">
            <v>2.5499999999999998E-2</v>
          </cell>
          <cell r="P4917">
            <v>0</v>
          </cell>
          <cell r="Q4917">
            <v>4.505E-2</v>
          </cell>
          <cell r="R4917">
            <v>0</v>
          </cell>
          <cell r="S4917">
            <v>0</v>
          </cell>
          <cell r="T4917">
            <v>0</v>
          </cell>
          <cell r="U4917">
            <v>85</v>
          </cell>
          <cell r="V4917">
            <v>0</v>
          </cell>
          <cell r="W4917">
            <v>0</v>
          </cell>
          <cell r="X4917">
            <v>5.6950000000000001E-2</v>
          </cell>
          <cell r="Y4917">
            <v>0</v>
          </cell>
          <cell r="Z4917">
            <v>0</v>
          </cell>
          <cell r="AA4917">
            <v>0</v>
          </cell>
          <cell r="AB4917">
            <v>0</v>
          </cell>
        </row>
        <row r="4918">
          <cell r="A4918">
            <v>75132000</v>
          </cell>
          <cell r="B4918" t="str">
            <v>Mixed vegetable juice</v>
          </cell>
          <cell r="I4918">
            <v>240</v>
          </cell>
          <cell r="J4918">
            <v>74.400000000000006</v>
          </cell>
          <cell r="K4918">
            <v>0.31</v>
          </cell>
          <cell r="L4918">
            <v>0.9756435</v>
          </cell>
          <cell r="M4918">
            <v>3.5999999999999997E-2</v>
          </cell>
          <cell r="N4918">
            <v>0</v>
          </cell>
          <cell r="O4918">
            <v>0.26400000000000001</v>
          </cell>
          <cell r="P4918">
            <v>1.9043565</v>
          </cell>
          <cell r="Q4918">
            <v>3.5999999999999997E-2</v>
          </cell>
          <cell r="R4918">
            <v>0</v>
          </cell>
          <cell r="S4918">
            <v>0</v>
          </cell>
          <cell r="T4918">
            <v>120</v>
          </cell>
          <cell r="U4918">
            <v>0</v>
          </cell>
          <cell r="V4918">
            <v>0</v>
          </cell>
          <cell r="W4918">
            <v>0</v>
          </cell>
          <cell r="X4918">
            <v>3.5999999999999997E-2</v>
          </cell>
          <cell r="Y4918">
            <v>0</v>
          </cell>
          <cell r="Z4918">
            <v>0</v>
          </cell>
          <cell r="AA4918">
            <v>0</v>
          </cell>
          <cell r="AB4918">
            <v>2.3999999999999998E-3</v>
          </cell>
        </row>
        <row r="4919">
          <cell r="A4919">
            <v>75132100</v>
          </cell>
          <cell r="B4919" t="str">
            <v>Celery juice</v>
          </cell>
          <cell r="I4919">
            <v>240</v>
          </cell>
          <cell r="J4919">
            <v>43.2</v>
          </cell>
          <cell r="K4919">
            <v>0.18000000000000002</v>
          </cell>
          <cell r="L4919">
            <v>0</v>
          </cell>
          <cell r="M4919">
            <v>9.6000000000000002E-2</v>
          </cell>
          <cell r="N4919">
            <v>0</v>
          </cell>
          <cell r="O4919">
            <v>0.1008</v>
          </cell>
          <cell r="P4919">
            <v>3.84</v>
          </cell>
          <cell r="Q4919">
            <v>0.18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0.21840000000000001</v>
          </cell>
          <cell r="Y4919">
            <v>0</v>
          </cell>
          <cell r="Z4919">
            <v>0</v>
          </cell>
          <cell r="AA4919">
            <v>0</v>
          </cell>
          <cell r="AB4919">
            <v>0</v>
          </cell>
        </row>
        <row r="4920">
          <cell r="A4920">
            <v>75140500</v>
          </cell>
          <cell r="B4920" t="str">
            <v>Broccoli salad with cauliflower, cheese, bacon bits, and dressing</v>
          </cell>
          <cell r="I4920">
            <v>100</v>
          </cell>
          <cell r="J4920">
            <v>269.11635000000001</v>
          </cell>
          <cell r="K4920">
            <v>2.6911635</v>
          </cell>
          <cell r="L4920">
            <v>1.0708595000000001</v>
          </cell>
          <cell r="M4920">
            <v>5.2114832</v>
          </cell>
          <cell r="N4920">
            <v>0</v>
          </cell>
          <cell r="O4920">
            <v>0.1077893</v>
          </cell>
          <cell r="P4920">
            <v>0.59874210000000005</v>
          </cell>
          <cell r="Q4920">
            <v>11.284846</v>
          </cell>
          <cell r="R4920">
            <v>0</v>
          </cell>
          <cell r="S4920">
            <v>0</v>
          </cell>
          <cell r="T4920">
            <v>0</v>
          </cell>
          <cell r="U4920">
            <v>49.266247</v>
          </cell>
          <cell r="V4920">
            <v>0</v>
          </cell>
          <cell r="W4920">
            <v>0</v>
          </cell>
          <cell r="X4920">
            <v>0.34112369999999997</v>
          </cell>
          <cell r="Y4920">
            <v>0</v>
          </cell>
          <cell r="Z4920">
            <v>0</v>
          </cell>
          <cell r="AA4920">
            <v>0</v>
          </cell>
          <cell r="AB4920">
            <v>0.201124</v>
          </cell>
        </row>
        <row r="4921">
          <cell r="A4921">
            <v>75140510</v>
          </cell>
          <cell r="B4921" t="str">
            <v>Broccoli slaw salad</v>
          </cell>
          <cell r="I4921">
            <v>100</v>
          </cell>
          <cell r="J4921">
            <v>115.81189000000001</v>
          </cell>
          <cell r="K4921">
            <v>1.1581189000000001</v>
          </cell>
          <cell r="L4921">
            <v>1.9828882999999999</v>
          </cell>
          <cell r="M4921">
            <v>1.1449951</v>
          </cell>
          <cell r="N4921">
            <v>0</v>
          </cell>
          <cell r="O4921">
            <v>3.7206299999999998E-2</v>
          </cell>
          <cell r="P4921">
            <v>2.2754900000000002E-2</v>
          </cell>
          <cell r="Q4921">
            <v>4.1311686999999999</v>
          </cell>
          <cell r="R4921">
            <v>0</v>
          </cell>
          <cell r="S4921">
            <v>0</v>
          </cell>
          <cell r="T4921">
            <v>0</v>
          </cell>
          <cell r="U4921">
            <v>77.063107000000002</v>
          </cell>
          <cell r="V4921">
            <v>0</v>
          </cell>
          <cell r="W4921">
            <v>0</v>
          </cell>
          <cell r="X4921">
            <v>0.25945869999999999</v>
          </cell>
          <cell r="Y4921">
            <v>0</v>
          </cell>
          <cell r="Z4921">
            <v>0</v>
          </cell>
          <cell r="AA4921">
            <v>0</v>
          </cell>
          <cell r="AB4921">
            <v>6.5323099999999995E-2</v>
          </cell>
        </row>
        <row r="4922">
          <cell r="A4922">
            <v>75140990</v>
          </cell>
          <cell r="B4922" t="str">
            <v>Cabbage salad or coleslaw, from fast food / restaurant</v>
          </cell>
          <cell r="I4922">
            <v>100</v>
          </cell>
          <cell r="J4922">
            <v>159</v>
          </cell>
          <cell r="K4922">
            <v>1.59</v>
          </cell>
          <cell r="L4922">
            <v>1.9</v>
          </cell>
          <cell r="M4922">
            <v>1.909</v>
          </cell>
          <cell r="N4922">
            <v>0</v>
          </cell>
          <cell r="O4922">
            <v>3.4000000000000002E-2</v>
          </cell>
          <cell r="P4922">
            <v>0</v>
          </cell>
          <cell r="Q4922">
            <v>6.9130000000000003</v>
          </cell>
          <cell r="R4922">
            <v>0</v>
          </cell>
          <cell r="S4922">
            <v>0</v>
          </cell>
          <cell r="T4922">
            <v>0</v>
          </cell>
          <cell r="U4922">
            <v>74.7</v>
          </cell>
          <cell r="V4922">
            <v>0</v>
          </cell>
          <cell r="W4922">
            <v>0</v>
          </cell>
          <cell r="X4922">
            <v>0.221</v>
          </cell>
          <cell r="Y4922">
            <v>0</v>
          </cell>
          <cell r="Z4922">
            <v>0</v>
          </cell>
          <cell r="AA4922">
            <v>0</v>
          </cell>
          <cell r="AB4922">
            <v>5.8000000000000003E-2</v>
          </cell>
        </row>
        <row r="4923">
          <cell r="A4923">
            <v>75141000</v>
          </cell>
          <cell r="B4923" t="str">
            <v>Cabbage salad or coleslaw, made with coleslaw dressing</v>
          </cell>
          <cell r="I4923">
            <v>100</v>
          </cell>
          <cell r="J4923">
            <v>109.43012</v>
          </cell>
          <cell r="K4923">
            <v>1.0943012000000001</v>
          </cell>
          <cell r="L4923">
            <v>1.9230119999999999</v>
          </cell>
          <cell r="M4923">
            <v>1.1337831</v>
          </cell>
          <cell r="N4923">
            <v>0</v>
          </cell>
          <cell r="O4923">
            <v>3.2773499999999997E-2</v>
          </cell>
          <cell r="P4923">
            <v>2.25904E-2</v>
          </cell>
          <cell r="Q4923">
            <v>4.0880687</v>
          </cell>
          <cell r="R4923">
            <v>0</v>
          </cell>
          <cell r="S4923">
            <v>0</v>
          </cell>
          <cell r="T4923">
            <v>0</v>
          </cell>
          <cell r="U4923">
            <v>77.228915999999998</v>
          </cell>
          <cell r="V4923">
            <v>0</v>
          </cell>
          <cell r="W4923">
            <v>0</v>
          </cell>
          <cell r="X4923">
            <v>0.24817110000000001</v>
          </cell>
          <cell r="Y4923">
            <v>0</v>
          </cell>
          <cell r="Z4923">
            <v>0</v>
          </cell>
          <cell r="AA4923">
            <v>0</v>
          </cell>
          <cell r="AB4923">
            <v>5.7449600000000003E-2</v>
          </cell>
        </row>
        <row r="4924">
          <cell r="A4924">
            <v>75141005</v>
          </cell>
          <cell r="B4924" t="str">
            <v>Cabbage salad or coleslaw, made with light coleslaw dressing</v>
          </cell>
          <cell r="I4924">
            <v>100</v>
          </cell>
          <cell r="J4924">
            <v>99.588688000000005</v>
          </cell>
          <cell r="K4924">
            <v>0.99588688000000003</v>
          </cell>
          <cell r="L4924">
            <v>1.8905536999999999</v>
          </cell>
          <cell r="M4924">
            <v>0.73853120000000005</v>
          </cell>
          <cell r="N4924">
            <v>0</v>
          </cell>
          <cell r="O4924">
            <v>3.7713900000000002E-2</v>
          </cell>
          <cell r="P4924">
            <v>9.5587800000000001E-2</v>
          </cell>
          <cell r="Q4924">
            <v>1.8184861999999999</v>
          </cell>
          <cell r="R4924">
            <v>0</v>
          </cell>
          <cell r="S4924">
            <v>0</v>
          </cell>
          <cell r="T4924">
            <v>0</v>
          </cell>
          <cell r="U4924">
            <v>75.925377999999995</v>
          </cell>
          <cell r="V4924">
            <v>0</v>
          </cell>
          <cell r="W4924">
            <v>0</v>
          </cell>
          <cell r="X4924">
            <v>0.46864909999999999</v>
          </cell>
          <cell r="Y4924">
            <v>0</v>
          </cell>
          <cell r="Z4924">
            <v>0</v>
          </cell>
          <cell r="AA4924">
            <v>0</v>
          </cell>
          <cell r="AB4924">
            <v>5.4427000000000003E-2</v>
          </cell>
        </row>
        <row r="4925">
          <cell r="A4925">
            <v>75141020</v>
          </cell>
          <cell r="B4925" t="str">
            <v>Cabbage salad or coleslaw, made with Italian dressing</v>
          </cell>
          <cell r="I4925">
            <v>100</v>
          </cell>
          <cell r="J4925">
            <v>73.284885000000003</v>
          </cell>
          <cell r="K4925">
            <v>0.73284885</v>
          </cell>
          <cell r="L4925">
            <v>1.9494351000000001</v>
          </cell>
          <cell r="M4925">
            <v>0.66183210000000003</v>
          </cell>
          <cell r="N4925">
            <v>0</v>
          </cell>
          <cell r="O4925">
            <v>3.2816199999999997E-2</v>
          </cell>
          <cell r="P4925">
            <v>0</v>
          </cell>
          <cell r="Q4925">
            <v>2.3357947999999999</v>
          </cell>
          <cell r="R4925">
            <v>0</v>
          </cell>
          <cell r="S4925">
            <v>0</v>
          </cell>
          <cell r="T4925">
            <v>0</v>
          </cell>
          <cell r="U4925">
            <v>78.290075999999999</v>
          </cell>
          <cell r="V4925">
            <v>0</v>
          </cell>
          <cell r="W4925">
            <v>0</v>
          </cell>
          <cell r="X4925">
            <v>0.30274600000000002</v>
          </cell>
          <cell r="Y4925">
            <v>0</v>
          </cell>
          <cell r="Z4925">
            <v>0</v>
          </cell>
          <cell r="AA4925">
            <v>0</v>
          </cell>
          <cell r="AB4925">
            <v>1.4422900000000001E-2</v>
          </cell>
        </row>
        <row r="4926">
          <cell r="A4926">
            <v>75141025</v>
          </cell>
          <cell r="B4926" t="str">
            <v>Cabbage salad or coleslaw, made with light Italian dressing</v>
          </cell>
          <cell r="I4926">
            <v>100</v>
          </cell>
          <cell r="J4926">
            <v>43.844377000000001</v>
          </cell>
          <cell r="K4926">
            <v>0.43844377000000001</v>
          </cell>
          <cell r="L4926">
            <v>1.9405471000000001</v>
          </cell>
          <cell r="M4926">
            <v>0.20939820000000001</v>
          </cell>
          <cell r="N4926">
            <v>0</v>
          </cell>
          <cell r="O4926">
            <v>3.3163499999999999E-2</v>
          </cell>
          <cell r="P4926">
            <v>0</v>
          </cell>
          <cell r="Q4926">
            <v>0.73018479999999997</v>
          </cell>
          <cell r="R4926">
            <v>0</v>
          </cell>
          <cell r="S4926">
            <v>0</v>
          </cell>
          <cell r="T4926">
            <v>0</v>
          </cell>
          <cell r="U4926">
            <v>77.933131000000003</v>
          </cell>
          <cell r="V4926">
            <v>0</v>
          </cell>
          <cell r="W4926">
            <v>0</v>
          </cell>
          <cell r="X4926">
            <v>0.28357080000000001</v>
          </cell>
          <cell r="Y4926">
            <v>0</v>
          </cell>
          <cell r="Z4926">
            <v>0</v>
          </cell>
          <cell r="AA4926">
            <v>0</v>
          </cell>
          <cell r="AB4926">
            <v>3.7204E-3</v>
          </cell>
        </row>
        <row r="4927">
          <cell r="A4927">
            <v>75141030</v>
          </cell>
          <cell r="B4927" t="str">
            <v>Cabbage salad or coleslaw, made with creamy dressing</v>
          </cell>
          <cell r="I4927">
            <v>100</v>
          </cell>
          <cell r="J4927">
            <v>115.62553</v>
          </cell>
          <cell r="K4927">
            <v>1.1562553</v>
          </cell>
          <cell r="L4927">
            <v>1.9405471000000001</v>
          </cell>
          <cell r="M4927">
            <v>1.5511368000000001</v>
          </cell>
          <cell r="N4927">
            <v>0</v>
          </cell>
          <cell r="O4927">
            <v>3.6008499999999999E-2</v>
          </cell>
          <cell r="P4927">
            <v>0</v>
          </cell>
          <cell r="Q4927">
            <v>5.6673277000000004</v>
          </cell>
          <cell r="R4927">
            <v>0</v>
          </cell>
          <cell r="S4927">
            <v>0</v>
          </cell>
          <cell r="T4927">
            <v>0</v>
          </cell>
          <cell r="U4927">
            <v>77.933131000000003</v>
          </cell>
          <cell r="V4927">
            <v>0</v>
          </cell>
          <cell r="W4927">
            <v>0</v>
          </cell>
          <cell r="X4927">
            <v>0.28575929999999999</v>
          </cell>
          <cell r="Y4927">
            <v>0</v>
          </cell>
          <cell r="Z4927">
            <v>0</v>
          </cell>
          <cell r="AA4927">
            <v>0</v>
          </cell>
          <cell r="AB4927">
            <v>3.9829799999999999E-2</v>
          </cell>
        </row>
        <row r="4928">
          <cell r="A4928">
            <v>75141040</v>
          </cell>
          <cell r="B4928" t="str">
            <v>Cabbage salad or coleslaw, made with any type of fat free dressing</v>
          </cell>
          <cell r="I4928">
            <v>100</v>
          </cell>
          <cell r="J4928">
            <v>40.539245000000001</v>
          </cell>
          <cell r="K4928">
            <v>0.40539245000000002</v>
          </cell>
          <cell r="L4928">
            <v>1.9126422999999999</v>
          </cell>
          <cell r="M4928">
            <v>0.1647573</v>
          </cell>
          <cell r="N4928">
            <v>0</v>
          </cell>
          <cell r="O4928">
            <v>3.0831600000000001E-2</v>
          </cell>
          <cell r="P4928">
            <v>0.43714799999999998</v>
          </cell>
          <cell r="Q4928">
            <v>3.6180900000000002E-2</v>
          </cell>
          <cell r="R4928">
            <v>0</v>
          </cell>
          <cell r="S4928">
            <v>0</v>
          </cell>
          <cell r="T4928">
            <v>0</v>
          </cell>
          <cell r="U4928">
            <v>76.812462999999994</v>
          </cell>
          <cell r="V4928">
            <v>0</v>
          </cell>
          <cell r="W4928">
            <v>0</v>
          </cell>
          <cell r="X4928">
            <v>0.2686075</v>
          </cell>
          <cell r="Y4928">
            <v>0</v>
          </cell>
          <cell r="Z4928">
            <v>0</v>
          </cell>
          <cell r="AA4928">
            <v>0</v>
          </cell>
          <cell r="AB4928">
            <v>3.1461500000000003E-2</v>
          </cell>
        </row>
        <row r="4929">
          <cell r="A4929">
            <v>75141100</v>
          </cell>
          <cell r="B4929" t="str">
            <v>Cabbage salad or coleslaw with apples and/or raisins, with dressing</v>
          </cell>
          <cell r="I4929">
            <v>100</v>
          </cell>
          <cell r="J4929">
            <v>106.01455</v>
          </cell>
          <cell r="K4929">
            <v>1.0601455</v>
          </cell>
          <cell r="L4929">
            <v>2.0672788</v>
          </cell>
          <cell r="M4929">
            <v>0.9045919</v>
          </cell>
          <cell r="N4929">
            <v>0</v>
          </cell>
          <cell r="O4929">
            <v>2.8720699999999998E-2</v>
          </cell>
          <cell r="P4929">
            <v>1.7887E-2</v>
          </cell>
          <cell r="Q4929">
            <v>3.2470501000000001</v>
          </cell>
          <cell r="R4929">
            <v>0</v>
          </cell>
          <cell r="S4929">
            <v>0</v>
          </cell>
          <cell r="T4929">
            <v>20.820415000000001</v>
          </cell>
          <cell r="U4929">
            <v>61.149535</v>
          </cell>
          <cell r="V4929">
            <v>0</v>
          </cell>
          <cell r="W4929">
            <v>0</v>
          </cell>
          <cell r="X4929">
            <v>0.19705490000000001</v>
          </cell>
          <cell r="Y4929">
            <v>0</v>
          </cell>
          <cell r="Z4929">
            <v>0</v>
          </cell>
          <cell r="AA4929">
            <v>0</v>
          </cell>
          <cell r="AB4929">
            <v>4.2023199999999997E-2</v>
          </cell>
        </row>
        <row r="4930">
          <cell r="A4930">
            <v>75141200</v>
          </cell>
          <cell r="B4930" t="str">
            <v>Cabbage salad or coleslaw with pineapple, with dressing</v>
          </cell>
          <cell r="I4930">
            <v>100</v>
          </cell>
          <cell r="J4930">
            <v>102.54809</v>
          </cell>
          <cell r="K4930">
            <v>1.0254809</v>
          </cell>
          <cell r="L4930">
            <v>1.8362717</v>
          </cell>
          <cell r="M4930">
            <v>0.97704329999999995</v>
          </cell>
          <cell r="N4930">
            <v>0</v>
          </cell>
          <cell r="O4930">
            <v>3.0438199999999999E-2</v>
          </cell>
          <cell r="P4930">
            <v>1.9445199999999999E-2</v>
          </cell>
          <cell r="Q4930">
            <v>3.5244667000000001</v>
          </cell>
          <cell r="R4930">
            <v>0</v>
          </cell>
          <cell r="S4930">
            <v>0</v>
          </cell>
          <cell r="T4930">
            <v>13.922738000000001</v>
          </cell>
          <cell r="U4930">
            <v>66.476535999999996</v>
          </cell>
          <cell r="V4930">
            <v>0</v>
          </cell>
          <cell r="W4930">
            <v>0</v>
          </cell>
          <cell r="X4930">
            <v>0.21375810000000001</v>
          </cell>
          <cell r="Y4930">
            <v>0</v>
          </cell>
          <cell r="Z4930">
            <v>0</v>
          </cell>
          <cell r="AA4930">
            <v>0</v>
          </cell>
          <cell r="AB4930">
            <v>5.7537499999999998E-2</v>
          </cell>
        </row>
        <row r="4931">
          <cell r="A4931">
            <v>75142500</v>
          </cell>
          <cell r="B4931" t="str">
            <v>Cucumber salad, made with sour cream dressing</v>
          </cell>
          <cell r="I4931">
            <v>100</v>
          </cell>
          <cell r="J4931">
            <v>62.653913000000003</v>
          </cell>
          <cell r="K4931">
            <v>0.62653913000000006</v>
          </cell>
          <cell r="L4931">
            <v>0.50218249999999998</v>
          </cell>
          <cell r="M4931">
            <v>2.7697322999999998</v>
          </cell>
          <cell r="N4931">
            <v>0</v>
          </cell>
          <cell r="O4931">
            <v>3.7663599999999998E-2</v>
          </cell>
          <cell r="P4931">
            <v>0</v>
          </cell>
          <cell r="Q4931">
            <v>0.22008659999999999</v>
          </cell>
          <cell r="R4931">
            <v>0</v>
          </cell>
          <cell r="S4931">
            <v>0</v>
          </cell>
          <cell r="T4931">
            <v>0.88756190000000001</v>
          </cell>
          <cell r="U4931">
            <v>71.359976000000003</v>
          </cell>
          <cell r="V4931">
            <v>0</v>
          </cell>
          <cell r="W4931">
            <v>0</v>
          </cell>
          <cell r="X4931">
            <v>0.216275</v>
          </cell>
          <cell r="Y4931">
            <v>0</v>
          </cell>
          <cell r="Z4931">
            <v>0</v>
          </cell>
          <cell r="AA4931">
            <v>0</v>
          </cell>
          <cell r="AB4931">
            <v>0.21667059999999999</v>
          </cell>
        </row>
        <row r="4932">
          <cell r="A4932">
            <v>75142550</v>
          </cell>
          <cell r="B4932" t="str">
            <v>Cucumber salad, made with Italian dressing</v>
          </cell>
          <cell r="I4932">
            <v>100</v>
          </cell>
          <cell r="J4932">
            <v>115.21630999999999</v>
          </cell>
          <cell r="K4932">
            <v>1.1521630999999999</v>
          </cell>
          <cell r="L4932">
            <v>0.4750992</v>
          </cell>
          <cell r="M4932">
            <v>1.3388259</v>
          </cell>
          <cell r="N4932">
            <v>0</v>
          </cell>
          <cell r="O4932">
            <v>1.29932E-2</v>
          </cell>
          <cell r="P4932">
            <v>0</v>
          </cell>
          <cell r="Q4932">
            <v>3.9764889999999999</v>
          </cell>
          <cell r="R4932">
            <v>0</v>
          </cell>
          <cell r="S4932">
            <v>0</v>
          </cell>
          <cell r="T4932">
            <v>0</v>
          </cell>
          <cell r="U4932">
            <v>65.403261000000001</v>
          </cell>
          <cell r="V4932">
            <v>0</v>
          </cell>
          <cell r="W4932">
            <v>0</v>
          </cell>
          <cell r="X4932">
            <v>0.2076721</v>
          </cell>
          <cell r="Y4932">
            <v>0</v>
          </cell>
          <cell r="Z4932">
            <v>0</v>
          </cell>
          <cell r="AA4932">
            <v>0</v>
          </cell>
          <cell r="AB4932">
            <v>3.4045100000000002E-2</v>
          </cell>
        </row>
        <row r="4933">
          <cell r="A4933">
            <v>75142600</v>
          </cell>
          <cell r="B4933" t="str">
            <v>Cucumber salad made with cucumber and vinegar</v>
          </cell>
          <cell r="I4933">
            <v>100</v>
          </cell>
          <cell r="J4933">
            <v>33.131591999999998</v>
          </cell>
          <cell r="K4933">
            <v>0.33131591999999999</v>
          </cell>
          <cell r="L4933">
            <v>0.49020590000000003</v>
          </cell>
          <cell r="M4933">
            <v>2.7015600000000001E-2</v>
          </cell>
          <cell r="N4933">
            <v>0</v>
          </cell>
          <cell r="O4933">
            <v>1.4086899999999999E-2</v>
          </cell>
          <cell r="P4933">
            <v>0</v>
          </cell>
          <cell r="Q4933">
            <v>2.1229499999999998E-2</v>
          </cell>
          <cell r="R4933">
            <v>0</v>
          </cell>
          <cell r="S4933">
            <v>0</v>
          </cell>
          <cell r="T4933">
            <v>0</v>
          </cell>
          <cell r="U4933">
            <v>71.521848000000006</v>
          </cell>
          <cell r="V4933">
            <v>0</v>
          </cell>
          <cell r="W4933">
            <v>0</v>
          </cell>
          <cell r="X4933">
            <v>0.2364937</v>
          </cell>
          <cell r="Y4933">
            <v>0</v>
          </cell>
          <cell r="Z4933">
            <v>0</v>
          </cell>
          <cell r="AA4933">
            <v>0</v>
          </cell>
          <cell r="AB4933">
            <v>0</v>
          </cell>
        </row>
        <row r="4934">
          <cell r="A4934">
            <v>75143000</v>
          </cell>
          <cell r="B4934" t="str">
            <v>Lettuce, salad with assorted vegetables including tomatoes and/or carrots, no dressing</v>
          </cell>
          <cell r="I4934">
            <v>100</v>
          </cell>
          <cell r="J4934">
            <v>21.149888000000001</v>
          </cell>
          <cell r="K4934">
            <v>0.21149888</v>
          </cell>
          <cell r="L4934">
            <v>1.7771066</v>
          </cell>
          <cell r="M4934">
            <v>3.6981399999999998E-2</v>
          </cell>
          <cell r="N4934">
            <v>0</v>
          </cell>
          <cell r="O4934">
            <v>3.5984299999999997E-2</v>
          </cell>
          <cell r="P4934">
            <v>0</v>
          </cell>
          <cell r="Q4934">
            <v>9.20932E-2</v>
          </cell>
          <cell r="R4934">
            <v>0</v>
          </cell>
          <cell r="S4934">
            <v>0</v>
          </cell>
          <cell r="T4934">
            <v>0</v>
          </cell>
          <cell r="U4934">
            <v>100</v>
          </cell>
          <cell r="V4934">
            <v>0</v>
          </cell>
          <cell r="W4934">
            <v>0</v>
          </cell>
          <cell r="X4934">
            <v>2.9952300000000001E-2</v>
          </cell>
          <cell r="Y4934">
            <v>0</v>
          </cell>
          <cell r="Z4934">
            <v>0</v>
          </cell>
          <cell r="AA4934">
            <v>0</v>
          </cell>
          <cell r="AB4934">
            <v>0</v>
          </cell>
        </row>
        <row r="4935">
          <cell r="A4935">
            <v>75143050</v>
          </cell>
          <cell r="B4935" t="str">
            <v>Lettuce, salad with assorted vegetables excluding tomatoes and carrots, no dressing</v>
          </cell>
          <cell r="I4935">
            <v>100</v>
          </cell>
          <cell r="J4935">
            <v>19.567027</v>
          </cell>
          <cell r="K4935">
            <v>0.19567027000000001</v>
          </cell>
          <cell r="L4935">
            <v>1.7084929</v>
          </cell>
          <cell r="M4935">
            <v>4.0694399999999999E-2</v>
          </cell>
          <cell r="N4935">
            <v>0</v>
          </cell>
          <cell r="O4935">
            <v>3.62689E-2</v>
          </cell>
          <cell r="P4935">
            <v>0</v>
          </cell>
          <cell r="Q4935">
            <v>9.25787E-2</v>
          </cell>
          <cell r="R4935">
            <v>0</v>
          </cell>
          <cell r="S4935">
            <v>0</v>
          </cell>
          <cell r="T4935">
            <v>0</v>
          </cell>
          <cell r="U4935">
            <v>100</v>
          </cell>
          <cell r="V4935">
            <v>0</v>
          </cell>
          <cell r="W4935">
            <v>0</v>
          </cell>
          <cell r="X4935">
            <v>2.6206500000000001E-2</v>
          </cell>
          <cell r="Y4935">
            <v>0</v>
          </cell>
          <cell r="Z4935">
            <v>0</v>
          </cell>
          <cell r="AA4935">
            <v>0</v>
          </cell>
          <cell r="AB4935">
            <v>0</v>
          </cell>
        </row>
        <row r="4936">
          <cell r="A4936">
            <v>75143200</v>
          </cell>
          <cell r="B4936" t="str">
            <v>Lettuce, salad with cheese, tomato and/or carrots, with or without other vegetables, no dressing</v>
          </cell>
          <cell r="I4936">
            <v>100</v>
          </cell>
          <cell r="J4936">
            <v>87.768401999999995</v>
          </cell>
          <cell r="K4936">
            <v>0.8776840199999999</v>
          </cell>
          <cell r="L4936">
            <v>1.467878</v>
          </cell>
          <cell r="M4936">
            <v>3.3135322</v>
          </cell>
          <cell r="N4936">
            <v>0</v>
          </cell>
          <cell r="O4936">
            <v>0.1532676</v>
          </cell>
          <cell r="P4936">
            <v>0</v>
          </cell>
          <cell r="Q4936">
            <v>0.32333200000000001</v>
          </cell>
          <cell r="R4936">
            <v>0</v>
          </cell>
          <cell r="S4936">
            <v>0</v>
          </cell>
          <cell r="T4936">
            <v>0</v>
          </cell>
          <cell r="U4936">
            <v>82.599322000000001</v>
          </cell>
          <cell r="V4936">
            <v>0</v>
          </cell>
          <cell r="W4936">
            <v>0</v>
          </cell>
          <cell r="X4936">
            <v>0.13836680000000001</v>
          </cell>
          <cell r="Y4936">
            <v>0</v>
          </cell>
          <cell r="Z4936">
            <v>0</v>
          </cell>
          <cell r="AA4936">
            <v>0</v>
          </cell>
          <cell r="AB4936">
            <v>0.15956419999999999</v>
          </cell>
        </row>
        <row r="4937">
          <cell r="A4937">
            <v>75143300</v>
          </cell>
          <cell r="B4937" t="str">
            <v>Lettuce, salad with egg, tomato, and/or carrots, with or without other vegetables, no dressing</v>
          </cell>
          <cell r="I4937">
            <v>100</v>
          </cell>
          <cell r="J4937">
            <v>48.222487000000001</v>
          </cell>
          <cell r="K4937">
            <v>0.48222487000000003</v>
          </cell>
          <cell r="L4937">
            <v>1.4176681</v>
          </cell>
          <cell r="M4937">
            <v>0.69028670000000003</v>
          </cell>
          <cell r="N4937">
            <v>0</v>
          </cell>
          <cell r="O4937">
            <v>3.8819199999999998E-2</v>
          </cell>
          <cell r="P4937">
            <v>0</v>
          </cell>
          <cell r="Q4937">
            <v>0.35946280000000003</v>
          </cell>
          <cell r="R4937">
            <v>0</v>
          </cell>
          <cell r="S4937">
            <v>0</v>
          </cell>
          <cell r="T4937">
            <v>0</v>
          </cell>
          <cell r="U4937">
            <v>79.773944</v>
          </cell>
          <cell r="V4937">
            <v>0</v>
          </cell>
          <cell r="W4937">
            <v>0</v>
          </cell>
          <cell r="X4937">
            <v>4.8974400000000001E-2</v>
          </cell>
          <cell r="Y4937">
            <v>0</v>
          </cell>
          <cell r="Z4937">
            <v>0</v>
          </cell>
          <cell r="AA4937">
            <v>0</v>
          </cell>
          <cell r="AB4937">
            <v>4.4757100000000001E-2</v>
          </cell>
        </row>
        <row r="4938">
          <cell r="A4938">
            <v>75200100</v>
          </cell>
          <cell r="B4938" t="str">
            <v>Vegetables, NS as to type, cooked, NS as to fat added in cooking</v>
          </cell>
          <cell r="I4938">
            <v>85</v>
          </cell>
          <cell r="J4938">
            <v>67.340383000000003</v>
          </cell>
          <cell r="K4938">
            <v>0.79223980000000005</v>
          </cell>
          <cell r="L4938">
            <v>1.8129325000000001</v>
          </cell>
          <cell r="M4938">
            <v>0.78899439999999998</v>
          </cell>
          <cell r="N4938">
            <v>0</v>
          </cell>
          <cell r="O4938">
            <v>2.1198399999999999E-2</v>
          </cell>
          <cell r="P4938">
            <v>1.8129325000000001</v>
          </cell>
          <cell r="Q4938">
            <v>0.3251964</v>
          </cell>
          <cell r="R4938">
            <v>0</v>
          </cell>
          <cell r="S4938">
            <v>0</v>
          </cell>
          <cell r="T4938">
            <v>0</v>
          </cell>
          <cell r="U4938">
            <v>41.203010999999996</v>
          </cell>
          <cell r="V4938">
            <v>0</v>
          </cell>
          <cell r="W4938">
            <v>0</v>
          </cell>
          <cell r="X4938">
            <v>0.21840480000000001</v>
          </cell>
          <cell r="Y4938">
            <v>0</v>
          </cell>
          <cell r="Z4938">
            <v>0</v>
          </cell>
          <cell r="AA4938">
            <v>0</v>
          </cell>
          <cell r="AB4938">
            <v>7.3494500000000004E-2</v>
          </cell>
        </row>
        <row r="4939">
          <cell r="A4939">
            <v>75200110</v>
          </cell>
          <cell r="B4939" t="str">
            <v>Vegetables, NS as to type, cooked, fat not added in cooking</v>
          </cell>
          <cell r="I4939">
            <v>85</v>
          </cell>
          <cell r="J4939">
            <v>54.948087000000001</v>
          </cell>
          <cell r="K4939">
            <v>0.64644808235294116</v>
          </cell>
          <cell r="L4939">
            <v>1.8597813999999999</v>
          </cell>
          <cell r="M4939">
            <v>2.6206E-2</v>
          </cell>
          <cell r="N4939">
            <v>0</v>
          </cell>
          <cell r="O4939">
            <v>2.1245400000000001E-2</v>
          </cell>
          <cell r="P4939">
            <v>1.8597813999999999</v>
          </cell>
          <cell r="Q4939">
            <v>6.0865599999999999E-2</v>
          </cell>
          <cell r="R4939">
            <v>0</v>
          </cell>
          <cell r="S4939">
            <v>0</v>
          </cell>
          <cell r="T4939">
            <v>0</v>
          </cell>
          <cell r="U4939">
            <v>42.267760000000003</v>
          </cell>
          <cell r="V4939">
            <v>0</v>
          </cell>
          <cell r="W4939">
            <v>0</v>
          </cell>
          <cell r="X4939">
            <v>0.20961089999999999</v>
          </cell>
          <cell r="Y4939">
            <v>0</v>
          </cell>
          <cell r="Z4939">
            <v>0</v>
          </cell>
          <cell r="AA4939">
            <v>0</v>
          </cell>
          <cell r="AB4939">
            <v>0</v>
          </cell>
        </row>
        <row r="4940">
          <cell r="A4940">
            <v>75200120</v>
          </cell>
          <cell r="B4940" t="str">
            <v>Vegetables, NS as to type, cooked, fat added in cooking, NS as to type of fat</v>
          </cell>
          <cell r="I4940">
            <v>85</v>
          </cell>
          <cell r="J4940">
            <v>67.340383000000003</v>
          </cell>
          <cell r="K4940">
            <v>0.79223980000000005</v>
          </cell>
          <cell r="L4940">
            <v>1.8129325000000001</v>
          </cell>
          <cell r="M4940">
            <v>0.78899439999999998</v>
          </cell>
          <cell r="N4940">
            <v>0</v>
          </cell>
          <cell r="O4940">
            <v>2.1198399999999999E-2</v>
          </cell>
          <cell r="P4940">
            <v>1.8129325000000001</v>
          </cell>
          <cell r="Q4940">
            <v>0.3251964</v>
          </cell>
          <cell r="R4940">
            <v>0</v>
          </cell>
          <cell r="S4940">
            <v>0</v>
          </cell>
          <cell r="T4940">
            <v>0</v>
          </cell>
          <cell r="U4940">
            <v>41.203010999999996</v>
          </cell>
          <cell r="V4940">
            <v>0</v>
          </cell>
          <cell r="W4940">
            <v>0</v>
          </cell>
          <cell r="X4940">
            <v>0.21840480000000001</v>
          </cell>
          <cell r="Y4940">
            <v>0</v>
          </cell>
          <cell r="Z4940">
            <v>0</v>
          </cell>
          <cell r="AA4940">
            <v>0</v>
          </cell>
          <cell r="AB4940">
            <v>7.3494500000000004E-2</v>
          </cell>
        </row>
        <row r="4941">
          <cell r="A4941">
            <v>75200121</v>
          </cell>
          <cell r="B4941" t="str">
            <v>Vegetables, NS as to type, cooked, made with oil</v>
          </cell>
          <cell r="I4941">
            <v>85</v>
          </cell>
          <cell r="J4941">
            <v>71.848097999999993</v>
          </cell>
          <cell r="K4941">
            <v>0.84527174117647053</v>
          </cell>
          <cell r="L4941">
            <v>1.8147401999999999</v>
          </cell>
          <cell r="M4941">
            <v>0.3071139</v>
          </cell>
          <cell r="N4941">
            <v>0</v>
          </cell>
          <cell r="O4941">
            <v>2.0736000000000001E-2</v>
          </cell>
          <cell r="P4941">
            <v>1.8147401999999999</v>
          </cell>
          <cell r="Q4941">
            <v>0.90731499999999998</v>
          </cell>
          <cell r="R4941">
            <v>0</v>
          </cell>
          <cell r="S4941">
            <v>0</v>
          </cell>
          <cell r="T4941">
            <v>0</v>
          </cell>
          <cell r="U4941">
            <v>41.244095000000002</v>
          </cell>
          <cell r="V4941">
            <v>0</v>
          </cell>
          <cell r="W4941">
            <v>0</v>
          </cell>
          <cell r="X4941">
            <v>0.2045447</v>
          </cell>
          <cell r="Y4941">
            <v>0</v>
          </cell>
          <cell r="Z4941">
            <v>0</v>
          </cell>
          <cell r="AA4941">
            <v>0</v>
          </cell>
          <cell r="AB4941">
            <v>7.2946E-3</v>
          </cell>
        </row>
        <row r="4942">
          <cell r="A4942">
            <v>75200700</v>
          </cell>
          <cell r="B4942" t="str">
            <v>Aloe vera juice drink</v>
          </cell>
          <cell r="I4942">
            <v>240</v>
          </cell>
          <cell r="J4942">
            <v>36</v>
          </cell>
          <cell r="K4942">
            <v>0.15</v>
          </cell>
          <cell r="L4942">
            <v>0</v>
          </cell>
          <cell r="M4942">
            <v>0</v>
          </cell>
          <cell r="N4942">
            <v>0</v>
          </cell>
          <cell r="O4942">
            <v>1.9199999999999998E-2</v>
          </cell>
          <cell r="P4942">
            <v>0</v>
          </cell>
          <cell r="Q4942">
            <v>0</v>
          </cell>
          <cell r="R4942">
            <v>0</v>
          </cell>
          <cell r="S4942">
            <v>0</v>
          </cell>
          <cell r="T4942">
            <v>0</v>
          </cell>
          <cell r="U4942">
            <v>0</v>
          </cell>
          <cell r="V4942">
            <v>0</v>
          </cell>
          <cell r="W4942">
            <v>0</v>
          </cell>
          <cell r="X4942">
            <v>1.9199999999999998E-2</v>
          </cell>
          <cell r="Y4942">
            <v>0</v>
          </cell>
          <cell r="Z4942">
            <v>0</v>
          </cell>
          <cell r="AA4942">
            <v>0</v>
          </cell>
          <cell r="AB4942">
            <v>0</v>
          </cell>
        </row>
        <row r="4943">
          <cell r="A4943">
            <v>75201000</v>
          </cell>
          <cell r="B4943" t="str">
            <v>Artichoke, cooked, NS as to form, NS as to fat added in cooking</v>
          </cell>
          <cell r="I4943">
            <v>85</v>
          </cell>
          <cell r="J4943">
            <v>51.875292999999999</v>
          </cell>
          <cell r="K4943">
            <v>0.61029756470588237</v>
          </cell>
          <cell r="L4943">
            <v>3.7810613000000002</v>
          </cell>
          <cell r="M4943">
            <v>0.92278559999999998</v>
          </cell>
          <cell r="N4943">
            <v>0</v>
          </cell>
          <cell r="O4943">
            <v>1.79063E-2</v>
          </cell>
          <cell r="P4943">
            <v>0</v>
          </cell>
          <cell r="Q4943">
            <v>0.46483419999999998</v>
          </cell>
          <cell r="R4943">
            <v>0</v>
          </cell>
          <cell r="S4943">
            <v>0</v>
          </cell>
          <cell r="T4943">
            <v>0</v>
          </cell>
          <cell r="U4943">
            <v>82.196984999999998</v>
          </cell>
          <cell r="V4943">
            <v>0</v>
          </cell>
          <cell r="W4943">
            <v>0</v>
          </cell>
          <cell r="X4943">
            <v>0.24840309999999999</v>
          </cell>
          <cell r="Y4943">
            <v>0</v>
          </cell>
          <cell r="Z4943">
            <v>0</v>
          </cell>
          <cell r="AA4943">
            <v>0</v>
          </cell>
          <cell r="AB4943">
            <v>7.9417100000000004E-2</v>
          </cell>
        </row>
        <row r="4944">
          <cell r="A4944">
            <v>75201011</v>
          </cell>
          <cell r="B4944" t="str">
            <v>Artichoke, cooked, from fresh, fat not added in cooking</v>
          </cell>
          <cell r="I4944">
            <v>85</v>
          </cell>
          <cell r="J4944">
            <v>44.783431999999998</v>
          </cell>
          <cell r="K4944">
            <v>0.52686390588235288</v>
          </cell>
          <cell r="L4944">
            <v>4.8163314000000002</v>
          </cell>
          <cell r="M4944">
            <v>6.6752699999999998E-2</v>
          </cell>
          <cell r="N4944">
            <v>0</v>
          </cell>
          <cell r="O4944">
            <v>1.7865099999999998E-2</v>
          </cell>
          <cell r="P4944">
            <v>0</v>
          </cell>
          <cell r="Q4944">
            <v>0.1225207</v>
          </cell>
          <cell r="R4944">
            <v>0</v>
          </cell>
          <cell r="S4944">
            <v>0</v>
          </cell>
          <cell r="T4944">
            <v>0</v>
          </cell>
          <cell r="U4944">
            <v>84.497040999999996</v>
          </cell>
          <cell r="V4944">
            <v>0</v>
          </cell>
          <cell r="W4944">
            <v>0</v>
          </cell>
          <cell r="X4944">
            <v>0.24563489999999999</v>
          </cell>
          <cell r="Y4944">
            <v>0</v>
          </cell>
          <cell r="Z4944">
            <v>0</v>
          </cell>
          <cell r="AA4944">
            <v>0</v>
          </cell>
          <cell r="AB4944">
            <v>0</v>
          </cell>
        </row>
        <row r="4945">
          <cell r="A4945">
            <v>75201012</v>
          </cell>
          <cell r="B4945" t="str">
            <v>Artichoke, cooked, from frozen, fat not added in cooking</v>
          </cell>
          <cell r="I4945">
            <v>85</v>
          </cell>
          <cell r="J4945">
            <v>38.023668999999998</v>
          </cell>
          <cell r="K4945">
            <v>0.44733728235294118</v>
          </cell>
          <cell r="L4945">
            <v>3.8868638999999998</v>
          </cell>
          <cell r="M4945">
            <v>0.1005515</v>
          </cell>
          <cell r="N4945">
            <v>0</v>
          </cell>
          <cell r="O4945">
            <v>1.7865099999999998E-2</v>
          </cell>
          <cell r="P4945">
            <v>0</v>
          </cell>
          <cell r="Q4945">
            <v>0.1825136</v>
          </cell>
          <cell r="R4945">
            <v>0</v>
          </cell>
          <cell r="S4945">
            <v>0</v>
          </cell>
          <cell r="T4945">
            <v>0</v>
          </cell>
          <cell r="U4945">
            <v>84.497040999999996</v>
          </cell>
          <cell r="V4945">
            <v>0</v>
          </cell>
          <cell r="W4945">
            <v>0</v>
          </cell>
          <cell r="X4945">
            <v>0.23972009999999999</v>
          </cell>
          <cell r="Y4945">
            <v>0</v>
          </cell>
          <cell r="Z4945">
            <v>0</v>
          </cell>
          <cell r="AA4945">
            <v>0</v>
          </cell>
          <cell r="AB4945">
            <v>0</v>
          </cell>
        </row>
        <row r="4946">
          <cell r="A4946">
            <v>75201030</v>
          </cell>
          <cell r="B4946" t="str">
            <v>Artichoke salad in oil</v>
          </cell>
          <cell r="I4946">
            <v>100</v>
          </cell>
          <cell r="J4946">
            <v>121.61468000000001</v>
          </cell>
          <cell r="K4946">
            <v>1.2161468</v>
          </cell>
          <cell r="L4946">
            <v>5.2293577999999998</v>
          </cell>
          <cell r="M4946">
            <v>1.2125872</v>
          </cell>
          <cell r="N4946">
            <v>0</v>
          </cell>
          <cell r="O4946">
            <v>1.9348600000000001E-2</v>
          </cell>
          <cell r="P4946">
            <v>0</v>
          </cell>
          <cell r="Q4946">
            <v>1.0018990999999999</v>
          </cell>
          <cell r="R4946">
            <v>0</v>
          </cell>
          <cell r="S4946">
            <v>0</v>
          </cell>
          <cell r="T4946">
            <v>0</v>
          </cell>
          <cell r="U4946">
            <v>91.743118999999993</v>
          </cell>
          <cell r="V4946">
            <v>0</v>
          </cell>
          <cell r="W4946">
            <v>0</v>
          </cell>
          <cell r="X4946">
            <v>5.5211000000000003E-2</v>
          </cell>
          <cell r="Y4946">
            <v>0</v>
          </cell>
          <cell r="Z4946">
            <v>0</v>
          </cell>
          <cell r="AA4946">
            <v>0</v>
          </cell>
          <cell r="AB4946">
            <v>4.3506299999999998E-2</v>
          </cell>
        </row>
        <row r="4947">
          <cell r="A4947">
            <v>75201040</v>
          </cell>
          <cell r="B4947" t="str">
            <v>Artichoke, cooked, from frozen, made with oil</v>
          </cell>
          <cell r="I4947">
            <v>85</v>
          </cell>
          <cell r="J4947">
            <v>56.729990000000001</v>
          </cell>
          <cell r="K4947">
            <v>0.6674116470588235</v>
          </cell>
          <cell r="L4947">
            <v>3.7851355999999998</v>
          </cell>
          <cell r="M4947">
            <v>0.402175</v>
          </cell>
          <cell r="N4947">
            <v>0</v>
          </cell>
          <cell r="O4947">
            <v>1.7403100000000001E-2</v>
          </cell>
          <cell r="P4947">
            <v>0</v>
          </cell>
          <cell r="Q4947">
            <v>1.0940641</v>
          </cell>
          <cell r="R4947">
            <v>0</v>
          </cell>
          <cell r="S4947">
            <v>0</v>
          </cell>
          <cell r="T4947">
            <v>0</v>
          </cell>
          <cell r="U4947">
            <v>82.285556</v>
          </cell>
          <cell r="V4947">
            <v>0</v>
          </cell>
          <cell r="W4947">
            <v>0</v>
          </cell>
          <cell r="X4947">
            <v>0.2334572</v>
          </cell>
          <cell r="Y4947">
            <v>0</v>
          </cell>
          <cell r="Z4947">
            <v>0</v>
          </cell>
          <cell r="AA4947">
            <v>0</v>
          </cell>
          <cell r="AB4947">
            <v>9.6772999999999998E-3</v>
          </cell>
        </row>
        <row r="4948">
          <cell r="A4948">
            <v>75202000</v>
          </cell>
          <cell r="B4948" t="str">
            <v>Asparagus, cooked, NS as to form, NS as to fat added in cooking</v>
          </cell>
          <cell r="I4948">
            <v>85</v>
          </cell>
          <cell r="J4948">
            <v>28.752875</v>
          </cell>
          <cell r="K4948">
            <v>0.3382691176470588</v>
          </cell>
          <cell r="L4948">
            <v>1.3180494</v>
          </cell>
          <cell r="M4948">
            <v>0.85075259999999997</v>
          </cell>
          <cell r="N4948">
            <v>0</v>
          </cell>
          <cell r="O4948">
            <v>1.54313E-2</v>
          </cell>
          <cell r="P4948">
            <v>0</v>
          </cell>
          <cell r="Q4948">
            <v>0.42112640000000001</v>
          </cell>
          <cell r="R4948">
            <v>0</v>
          </cell>
          <cell r="S4948">
            <v>0</v>
          </cell>
          <cell r="T4948">
            <v>0</v>
          </cell>
          <cell r="U4948">
            <v>82.378089000000003</v>
          </cell>
          <cell r="V4948">
            <v>0</v>
          </cell>
          <cell r="W4948">
            <v>0</v>
          </cell>
          <cell r="X4948">
            <v>0.19407530000000001</v>
          </cell>
          <cell r="Y4948">
            <v>0</v>
          </cell>
          <cell r="Z4948">
            <v>0</v>
          </cell>
          <cell r="AA4948">
            <v>0</v>
          </cell>
          <cell r="AB4948">
            <v>7.4285900000000002E-2</v>
          </cell>
        </row>
        <row r="4949">
          <cell r="A4949">
            <v>75202001</v>
          </cell>
          <cell r="B4949" t="str">
            <v>Asparagus, cooked, from fresh, NS as to fat added in cooking</v>
          </cell>
          <cell r="I4949">
            <v>85</v>
          </cell>
          <cell r="J4949">
            <v>32.047998999999997</v>
          </cell>
          <cell r="K4949">
            <v>0.37703528235294115</v>
          </cell>
          <cell r="L4949">
            <v>1.6475618000000001</v>
          </cell>
          <cell r="M4949">
            <v>0.81121109999999996</v>
          </cell>
          <cell r="N4949">
            <v>0</v>
          </cell>
          <cell r="O4949">
            <v>1.95502E-2</v>
          </cell>
          <cell r="P4949">
            <v>0</v>
          </cell>
          <cell r="Q4949">
            <v>0.35522389999999998</v>
          </cell>
          <cell r="R4949">
            <v>0</v>
          </cell>
          <cell r="S4949">
            <v>0</v>
          </cell>
          <cell r="T4949">
            <v>0</v>
          </cell>
          <cell r="U4949">
            <v>82.378089000000003</v>
          </cell>
          <cell r="V4949">
            <v>0</v>
          </cell>
          <cell r="W4949">
            <v>0</v>
          </cell>
          <cell r="X4949">
            <v>0.20313690000000001</v>
          </cell>
          <cell r="Y4949">
            <v>0</v>
          </cell>
          <cell r="Z4949">
            <v>0</v>
          </cell>
          <cell r="AA4949">
            <v>0</v>
          </cell>
          <cell r="AB4949">
            <v>7.4285900000000002E-2</v>
          </cell>
        </row>
        <row r="4950">
          <cell r="A4950">
            <v>75202010</v>
          </cell>
          <cell r="B4950" t="str">
            <v>Asparagus, cooked, NS as to form, fat not added in cooking</v>
          </cell>
          <cell r="I4950">
            <v>85</v>
          </cell>
          <cell r="J4950">
            <v>15.21547</v>
          </cell>
          <cell r="K4950">
            <v>0.1790055294117647</v>
          </cell>
          <cell r="L4950">
            <v>1.3524862</v>
          </cell>
          <cell r="M4950">
            <v>8.1149200000000005E-2</v>
          </cell>
          <cell r="N4950">
            <v>0</v>
          </cell>
          <cell r="O4950">
            <v>1.53282E-2</v>
          </cell>
          <cell r="P4950">
            <v>0</v>
          </cell>
          <cell r="Q4950">
            <v>0.1563812</v>
          </cell>
          <cell r="R4950">
            <v>0</v>
          </cell>
          <cell r="S4950">
            <v>0</v>
          </cell>
          <cell r="T4950">
            <v>0</v>
          </cell>
          <cell r="U4950">
            <v>84.530387000000005</v>
          </cell>
          <cell r="V4950">
            <v>0</v>
          </cell>
          <cell r="W4950">
            <v>0</v>
          </cell>
          <cell r="X4950">
            <v>0.18454860000000001</v>
          </cell>
          <cell r="Y4950">
            <v>0</v>
          </cell>
          <cell r="Z4950">
            <v>0</v>
          </cell>
          <cell r="AA4950">
            <v>0</v>
          </cell>
          <cell r="AB4950">
            <v>0</v>
          </cell>
        </row>
        <row r="4951">
          <cell r="A4951">
            <v>75202011</v>
          </cell>
          <cell r="B4951" t="str">
            <v>Asparagus, cooked, from fresh, fat not added in cooking</v>
          </cell>
          <cell r="I4951">
            <v>85</v>
          </cell>
          <cell r="J4951">
            <v>18.596685000000001</v>
          </cell>
          <cell r="K4951">
            <v>0.21878452941176471</v>
          </cell>
          <cell r="L4951">
            <v>1.6906076999999999</v>
          </cell>
          <cell r="M4951">
            <v>4.0574600000000002E-2</v>
          </cell>
          <cell r="N4951">
            <v>0</v>
          </cell>
          <cell r="O4951">
            <v>1.9554700000000001E-2</v>
          </cell>
          <cell r="P4951">
            <v>0</v>
          </cell>
          <cell r="Q4951">
            <v>8.87569E-2</v>
          </cell>
          <cell r="R4951">
            <v>0</v>
          </cell>
          <cell r="S4951">
            <v>0</v>
          </cell>
          <cell r="T4951">
            <v>0</v>
          </cell>
          <cell r="U4951">
            <v>84.530387000000005</v>
          </cell>
          <cell r="V4951">
            <v>0</v>
          </cell>
          <cell r="W4951">
            <v>0</v>
          </cell>
          <cell r="X4951">
            <v>0.19384699999999999</v>
          </cell>
          <cell r="Y4951">
            <v>0</v>
          </cell>
          <cell r="Z4951">
            <v>0</v>
          </cell>
          <cell r="AA4951">
            <v>0</v>
          </cell>
          <cell r="AB4951">
            <v>0</v>
          </cell>
        </row>
        <row r="4952">
          <cell r="A4952">
            <v>75202012</v>
          </cell>
          <cell r="B4952" t="str">
            <v>Asparagus, cooked, from frozen, fat not added in cooking</v>
          </cell>
          <cell r="I4952">
            <v>85</v>
          </cell>
          <cell r="J4952">
            <v>15.21547</v>
          </cell>
          <cell r="K4952">
            <v>0.1790055294117647</v>
          </cell>
          <cell r="L4952">
            <v>1.3524862</v>
          </cell>
          <cell r="M4952">
            <v>8.1149200000000005E-2</v>
          </cell>
          <cell r="N4952">
            <v>0</v>
          </cell>
          <cell r="O4952">
            <v>1.53282E-2</v>
          </cell>
          <cell r="P4952">
            <v>0</v>
          </cell>
          <cell r="Q4952">
            <v>0.1563812</v>
          </cell>
          <cell r="R4952">
            <v>0</v>
          </cell>
          <cell r="S4952">
            <v>0</v>
          </cell>
          <cell r="T4952">
            <v>0</v>
          </cell>
          <cell r="U4952">
            <v>84.530387000000005</v>
          </cell>
          <cell r="V4952">
            <v>0</v>
          </cell>
          <cell r="W4952">
            <v>0</v>
          </cell>
          <cell r="X4952">
            <v>0.18454860000000001</v>
          </cell>
          <cell r="Y4952">
            <v>0</v>
          </cell>
          <cell r="Z4952">
            <v>0</v>
          </cell>
          <cell r="AA4952">
            <v>0</v>
          </cell>
          <cell r="AB4952">
            <v>0</v>
          </cell>
        </row>
        <row r="4953">
          <cell r="A4953">
            <v>75202013</v>
          </cell>
          <cell r="B4953" t="str">
            <v>Asparagus, cooked, from canned, fat not added in cooking</v>
          </cell>
          <cell r="I4953">
            <v>130</v>
          </cell>
          <cell r="J4953">
            <v>24.598354</v>
          </cell>
          <cell r="K4953">
            <v>0.18921810769230771</v>
          </cell>
          <cell r="L4953">
            <v>2.0714402999999999</v>
          </cell>
          <cell r="M4953">
            <v>0.1903136</v>
          </cell>
          <cell r="N4953">
            <v>0</v>
          </cell>
          <cell r="O4953">
            <v>2.0842800000000002E-2</v>
          </cell>
          <cell r="P4953">
            <v>0</v>
          </cell>
          <cell r="Q4953">
            <v>0.36768070000000003</v>
          </cell>
          <cell r="R4953">
            <v>0</v>
          </cell>
          <cell r="S4953">
            <v>0</v>
          </cell>
          <cell r="T4953">
            <v>0</v>
          </cell>
          <cell r="U4953">
            <v>129.46502000000001</v>
          </cell>
          <cell r="V4953">
            <v>0</v>
          </cell>
          <cell r="W4953">
            <v>0</v>
          </cell>
          <cell r="X4953">
            <v>0.57891190000000003</v>
          </cell>
          <cell r="Y4953">
            <v>0</v>
          </cell>
          <cell r="Z4953">
            <v>0</v>
          </cell>
          <cell r="AA4953">
            <v>0</v>
          </cell>
          <cell r="AB4953">
            <v>0</v>
          </cell>
        </row>
        <row r="4954">
          <cell r="A4954">
            <v>75202020</v>
          </cell>
          <cell r="B4954" t="str">
            <v>Asparagus, cooked, NS as to form, fat added in cooking, NS as to type of fat</v>
          </cell>
          <cell r="I4954">
            <v>85</v>
          </cell>
          <cell r="J4954">
            <v>28.752875</v>
          </cell>
          <cell r="K4954">
            <v>0.3382691176470588</v>
          </cell>
          <cell r="L4954">
            <v>1.3180494</v>
          </cell>
          <cell r="M4954">
            <v>0.85075259999999997</v>
          </cell>
          <cell r="N4954">
            <v>0</v>
          </cell>
          <cell r="O4954">
            <v>1.54313E-2</v>
          </cell>
          <cell r="P4954">
            <v>0</v>
          </cell>
          <cell r="Q4954">
            <v>0.42112640000000001</v>
          </cell>
          <cell r="R4954">
            <v>0</v>
          </cell>
          <cell r="S4954">
            <v>0</v>
          </cell>
          <cell r="T4954">
            <v>0</v>
          </cell>
          <cell r="U4954">
            <v>82.378089000000003</v>
          </cell>
          <cell r="V4954">
            <v>0</v>
          </cell>
          <cell r="W4954">
            <v>0</v>
          </cell>
          <cell r="X4954">
            <v>0.19407530000000001</v>
          </cell>
          <cell r="Y4954">
            <v>0</v>
          </cell>
          <cell r="Z4954">
            <v>0</v>
          </cell>
          <cell r="AA4954">
            <v>0</v>
          </cell>
          <cell r="AB4954">
            <v>7.4285900000000002E-2</v>
          </cell>
        </row>
        <row r="4955">
          <cell r="A4955">
            <v>75202021</v>
          </cell>
          <cell r="B4955" t="str">
            <v>Asparagus, cooked, from fresh, fat added in cooking, NS as to type of fat</v>
          </cell>
          <cell r="I4955">
            <v>85</v>
          </cell>
          <cell r="J4955">
            <v>32.047998999999997</v>
          </cell>
          <cell r="K4955">
            <v>0.37703528235294115</v>
          </cell>
          <cell r="L4955">
            <v>1.6475618000000001</v>
          </cell>
          <cell r="M4955">
            <v>0.81121109999999996</v>
          </cell>
          <cell r="N4955">
            <v>0</v>
          </cell>
          <cell r="O4955">
            <v>1.95502E-2</v>
          </cell>
          <cell r="P4955">
            <v>0</v>
          </cell>
          <cell r="Q4955">
            <v>0.35522389999999998</v>
          </cell>
          <cell r="R4955">
            <v>0</v>
          </cell>
          <cell r="S4955">
            <v>0</v>
          </cell>
          <cell r="T4955">
            <v>0</v>
          </cell>
          <cell r="U4955">
            <v>82.378089000000003</v>
          </cell>
          <cell r="V4955">
            <v>0</v>
          </cell>
          <cell r="W4955">
            <v>0</v>
          </cell>
          <cell r="X4955">
            <v>0.20313690000000001</v>
          </cell>
          <cell r="Y4955">
            <v>0</v>
          </cell>
          <cell r="Z4955">
            <v>0</v>
          </cell>
          <cell r="AA4955">
            <v>0</v>
          </cell>
          <cell r="AB4955">
            <v>7.4285900000000002E-2</v>
          </cell>
        </row>
        <row r="4956">
          <cell r="A4956">
            <v>75202022</v>
          </cell>
          <cell r="B4956" t="str">
            <v>Asparagus, cooked, from frozen, fat added in cooking</v>
          </cell>
          <cell r="I4956">
            <v>85</v>
          </cell>
          <cell r="J4956">
            <v>26.532299999999999</v>
          </cell>
          <cell r="K4956">
            <v>0.31214470588235294</v>
          </cell>
          <cell r="L4956">
            <v>1.3178295</v>
          </cell>
          <cell r="M4956">
            <v>0.34452450000000001</v>
          </cell>
          <cell r="N4956">
            <v>0</v>
          </cell>
          <cell r="O4956">
            <v>1.53922E-2</v>
          </cell>
          <cell r="P4956">
            <v>0</v>
          </cell>
          <cell r="Q4956">
            <v>0.73391019999999996</v>
          </cell>
          <cell r="R4956">
            <v>0</v>
          </cell>
          <cell r="S4956">
            <v>0</v>
          </cell>
          <cell r="T4956">
            <v>0</v>
          </cell>
          <cell r="U4956">
            <v>82.364340999999996</v>
          </cell>
          <cell r="V4956">
            <v>0</v>
          </cell>
          <cell r="W4956">
            <v>0</v>
          </cell>
          <cell r="X4956">
            <v>0.1867935</v>
          </cell>
          <cell r="Y4956">
            <v>0</v>
          </cell>
          <cell r="Z4956">
            <v>0</v>
          </cell>
          <cell r="AA4956">
            <v>0</v>
          </cell>
          <cell r="AB4956">
            <v>7.4285900000000002E-2</v>
          </cell>
        </row>
        <row r="4957">
          <cell r="A4957">
            <v>75202027</v>
          </cell>
          <cell r="B4957" t="str">
            <v>Asparagus, cooked, from fresh, made with oil</v>
          </cell>
          <cell r="I4957">
            <v>85</v>
          </cell>
          <cell r="J4957">
            <v>36.568733000000002</v>
          </cell>
          <cell r="K4957">
            <v>0.43022038823529413</v>
          </cell>
          <cell r="L4957">
            <v>1.6492222999999999</v>
          </cell>
          <cell r="M4957">
            <v>0.32415870000000002</v>
          </cell>
          <cell r="N4957">
            <v>0</v>
          </cell>
          <cell r="O4957">
            <v>1.90812E-2</v>
          </cell>
          <cell r="P4957">
            <v>0</v>
          </cell>
          <cell r="Q4957">
            <v>0.94364760000000003</v>
          </cell>
          <cell r="R4957">
            <v>0</v>
          </cell>
          <cell r="S4957">
            <v>0</v>
          </cell>
          <cell r="T4957">
            <v>0</v>
          </cell>
          <cell r="U4957">
            <v>82.461113999999995</v>
          </cell>
          <cell r="V4957">
            <v>0</v>
          </cell>
          <cell r="W4957">
            <v>0</v>
          </cell>
          <cell r="X4957">
            <v>0.18911210000000001</v>
          </cell>
          <cell r="Y4957">
            <v>0</v>
          </cell>
          <cell r="Z4957">
            <v>0</v>
          </cell>
          <cell r="AA4957">
            <v>0</v>
          </cell>
          <cell r="AB4957">
            <v>7.3731999999999999E-3</v>
          </cell>
        </row>
        <row r="4958">
          <cell r="A4958">
            <v>75202028</v>
          </cell>
          <cell r="B4958" t="str">
            <v>Asparagus, cooked, from fresh, made with butter</v>
          </cell>
          <cell r="I4958">
            <v>85</v>
          </cell>
          <cell r="J4958">
            <v>33.640891000000003</v>
          </cell>
          <cell r="K4958">
            <v>0.39577518823529417</v>
          </cell>
          <cell r="L4958">
            <v>1.6475618000000001</v>
          </cell>
          <cell r="M4958">
            <v>1.1512762000000001</v>
          </cell>
          <cell r="N4958">
            <v>0</v>
          </cell>
          <cell r="O4958">
            <v>1.9576199999999998E-2</v>
          </cell>
          <cell r="P4958">
            <v>0</v>
          </cell>
          <cell r="Q4958">
            <v>0.1523553</v>
          </cell>
          <cell r="R4958">
            <v>0</v>
          </cell>
          <cell r="S4958">
            <v>0</v>
          </cell>
          <cell r="T4958">
            <v>0</v>
          </cell>
          <cell r="U4958">
            <v>82.378089000000003</v>
          </cell>
          <cell r="V4958">
            <v>0</v>
          </cell>
          <cell r="W4958">
            <v>0</v>
          </cell>
          <cell r="X4958">
            <v>0.20282739999999999</v>
          </cell>
          <cell r="Y4958">
            <v>0</v>
          </cell>
          <cell r="Z4958">
            <v>0</v>
          </cell>
          <cell r="AA4958">
            <v>0</v>
          </cell>
          <cell r="AB4958">
            <v>7.0944300000000002E-2</v>
          </cell>
        </row>
        <row r="4959">
          <cell r="A4959">
            <v>75202032</v>
          </cell>
          <cell r="B4959" t="str">
            <v>Asparagus, cooked, from frozen, made with butter</v>
          </cell>
          <cell r="I4959">
            <v>85</v>
          </cell>
          <cell r="J4959">
            <v>30.345766999999999</v>
          </cell>
          <cell r="K4959">
            <v>0.35700902352941177</v>
          </cell>
          <cell r="L4959">
            <v>1.3180494</v>
          </cell>
          <cell r="M4959">
            <v>1.1908177</v>
          </cell>
          <cell r="N4959">
            <v>0</v>
          </cell>
          <cell r="O4959">
            <v>1.54573E-2</v>
          </cell>
          <cell r="P4959">
            <v>0</v>
          </cell>
          <cell r="Q4959">
            <v>0.2182578</v>
          </cell>
          <cell r="R4959">
            <v>0</v>
          </cell>
          <cell r="S4959">
            <v>0</v>
          </cell>
          <cell r="T4959">
            <v>0</v>
          </cell>
          <cell r="U4959">
            <v>82.378089000000003</v>
          </cell>
          <cell r="V4959">
            <v>0</v>
          </cell>
          <cell r="W4959">
            <v>0</v>
          </cell>
          <cell r="X4959">
            <v>0.19376579999999999</v>
          </cell>
          <cell r="Y4959">
            <v>0</v>
          </cell>
          <cell r="Z4959">
            <v>0</v>
          </cell>
          <cell r="AA4959">
            <v>0</v>
          </cell>
          <cell r="AB4959">
            <v>7.0944300000000002E-2</v>
          </cell>
        </row>
        <row r="4960">
          <cell r="A4960">
            <v>75203000</v>
          </cell>
          <cell r="B4960" t="str">
            <v>Bamboo shoots, cooked, fat not added in cooking</v>
          </cell>
          <cell r="I4960">
            <v>85</v>
          </cell>
          <cell r="J4960">
            <v>22.813120999999999</v>
          </cell>
          <cell r="K4960">
            <v>0.26838965882352939</v>
          </cell>
          <cell r="L4960">
            <v>1.8588469000000001</v>
          </cell>
          <cell r="M4960">
            <v>5.8300200000000003E-2</v>
          </cell>
          <cell r="N4960">
            <v>0</v>
          </cell>
          <cell r="O4960">
            <v>1.1105800000000001E-2</v>
          </cell>
          <cell r="P4960">
            <v>0</v>
          </cell>
          <cell r="Q4960">
            <v>0.11322069999999999</v>
          </cell>
          <cell r="R4960">
            <v>0</v>
          </cell>
          <cell r="S4960">
            <v>0</v>
          </cell>
          <cell r="T4960">
            <v>0</v>
          </cell>
          <cell r="U4960">
            <v>84.493042000000003</v>
          </cell>
          <cell r="V4960">
            <v>0</v>
          </cell>
          <cell r="W4960">
            <v>0</v>
          </cell>
          <cell r="X4960">
            <v>0.19986660000000001</v>
          </cell>
          <cell r="Y4960">
            <v>0</v>
          </cell>
          <cell r="Z4960">
            <v>0</v>
          </cell>
          <cell r="AA4960">
            <v>0</v>
          </cell>
          <cell r="AB4960">
            <v>0</v>
          </cell>
        </row>
        <row r="4961">
          <cell r="A4961">
            <v>75203020</v>
          </cell>
          <cell r="B4961" t="str">
            <v>Bamboo shoots, cooked, fat added in cooking</v>
          </cell>
          <cell r="I4961">
            <v>85</v>
          </cell>
          <cell r="J4961">
            <v>45.316301000000003</v>
          </cell>
          <cell r="K4961">
            <v>0.53313295294117646</v>
          </cell>
          <cell r="L4961">
            <v>1.8015414000000001</v>
          </cell>
          <cell r="M4961">
            <v>0.41488649999999999</v>
          </cell>
          <cell r="N4961">
            <v>0</v>
          </cell>
          <cell r="O4961">
            <v>1.0769900000000001E-2</v>
          </cell>
          <cell r="P4961">
            <v>0</v>
          </cell>
          <cell r="Q4961">
            <v>1.1890763</v>
          </cell>
          <cell r="R4961">
            <v>0</v>
          </cell>
          <cell r="S4961">
            <v>0</v>
          </cell>
          <cell r="T4961">
            <v>0</v>
          </cell>
          <cell r="U4961">
            <v>81.888247000000007</v>
          </cell>
          <cell r="V4961">
            <v>0</v>
          </cell>
          <cell r="W4961">
            <v>0</v>
          </cell>
          <cell r="X4961">
            <v>0.1937181</v>
          </cell>
          <cell r="Y4961">
            <v>0</v>
          </cell>
          <cell r="Z4961">
            <v>0</v>
          </cell>
          <cell r="AA4961">
            <v>0</v>
          </cell>
          <cell r="AB4961">
            <v>1.9791E-2</v>
          </cell>
        </row>
        <row r="4962">
          <cell r="A4962">
            <v>75203028</v>
          </cell>
          <cell r="B4962" t="str">
            <v>Bamboo shoots, cooked, NS as to fat added in cooking</v>
          </cell>
          <cell r="I4962">
            <v>85</v>
          </cell>
          <cell r="J4962">
            <v>45.316301000000003</v>
          </cell>
          <cell r="K4962">
            <v>0.53313295294117646</v>
          </cell>
          <cell r="L4962">
            <v>1.8015414000000001</v>
          </cell>
          <cell r="M4962">
            <v>0.41488649999999999</v>
          </cell>
          <cell r="N4962">
            <v>0</v>
          </cell>
          <cell r="O4962">
            <v>1.0769900000000001E-2</v>
          </cell>
          <cell r="P4962">
            <v>0</v>
          </cell>
          <cell r="Q4962">
            <v>1.1890763</v>
          </cell>
          <cell r="R4962">
            <v>0</v>
          </cell>
          <cell r="S4962">
            <v>0</v>
          </cell>
          <cell r="T4962">
            <v>0</v>
          </cell>
          <cell r="U4962">
            <v>81.888247000000007</v>
          </cell>
          <cell r="V4962">
            <v>0</v>
          </cell>
          <cell r="W4962">
            <v>0</v>
          </cell>
          <cell r="X4962">
            <v>0.1937181</v>
          </cell>
          <cell r="Y4962">
            <v>0</v>
          </cell>
          <cell r="Z4962">
            <v>0</v>
          </cell>
          <cell r="AA4962">
            <v>0</v>
          </cell>
          <cell r="AB4962">
            <v>1.36848E-2</v>
          </cell>
        </row>
        <row r="4963">
          <cell r="A4963">
            <v>75204003</v>
          </cell>
          <cell r="B4963" t="str">
            <v>Beans, lima, immature, cooked, from canned, NS as to fat added in cooking</v>
          </cell>
          <cell r="I4963">
            <v>130</v>
          </cell>
          <cell r="J4963">
            <v>152.04337000000001</v>
          </cell>
          <cell r="K4963">
            <v>1.1695643846153847</v>
          </cell>
          <cell r="L4963">
            <v>0</v>
          </cell>
          <cell r="M4963">
            <v>1.3441974000000001</v>
          </cell>
          <cell r="N4963">
            <v>0</v>
          </cell>
          <cell r="O4963">
            <v>3.8703700000000001E-2</v>
          </cell>
          <cell r="P4963">
            <v>6.6653767999999998</v>
          </cell>
          <cell r="Q4963">
            <v>0.63937390000000005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0.39649279999999998</v>
          </cell>
          <cell r="Y4963">
            <v>0</v>
          </cell>
          <cell r="Z4963">
            <v>0</v>
          </cell>
          <cell r="AA4963">
            <v>0</v>
          </cell>
          <cell r="AB4963">
            <v>0.12007900000000001</v>
          </cell>
        </row>
        <row r="4964">
          <cell r="A4964">
            <v>75204011</v>
          </cell>
          <cell r="B4964" t="str">
            <v>Beans, lima, immature, cooked, from fresh, fat not added in cooking</v>
          </cell>
          <cell r="I4964">
            <v>90</v>
          </cell>
          <cell r="J4964">
            <v>110.05262999999999</v>
          </cell>
          <cell r="K4964">
            <v>1.222807</v>
          </cell>
          <cell r="L4964">
            <v>0</v>
          </cell>
          <cell r="M4964">
            <v>6.5315799999999993E-2</v>
          </cell>
          <cell r="N4964">
            <v>0</v>
          </cell>
          <cell r="O4964">
            <v>2.8757899999999999E-2</v>
          </cell>
          <cell r="P4964">
            <v>4.8315789000000002</v>
          </cell>
          <cell r="Q4964">
            <v>0.13778950000000001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0.21920000000000001</v>
          </cell>
          <cell r="Y4964">
            <v>0</v>
          </cell>
          <cell r="Z4964">
            <v>0</v>
          </cell>
          <cell r="AA4964">
            <v>0</v>
          </cell>
          <cell r="AB4964">
            <v>0</v>
          </cell>
        </row>
        <row r="4965">
          <cell r="A4965">
            <v>75204012</v>
          </cell>
          <cell r="B4965" t="str">
            <v>Beans, lima, immature, cooked, from frozen, fat not added in cooking</v>
          </cell>
          <cell r="I4965">
            <v>90</v>
          </cell>
          <cell r="J4965">
            <v>92.157894999999996</v>
          </cell>
          <cell r="K4965">
            <v>1.023976611111111</v>
          </cell>
          <cell r="L4965">
            <v>0</v>
          </cell>
          <cell r="M4965">
            <v>6.8894700000000003E-2</v>
          </cell>
          <cell r="N4965">
            <v>0</v>
          </cell>
          <cell r="O4965">
            <v>2.69684E-2</v>
          </cell>
          <cell r="P4965">
            <v>4.7421053000000004</v>
          </cell>
          <cell r="Q4965">
            <v>0.1458421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0.26572630000000003</v>
          </cell>
          <cell r="Y4965">
            <v>0</v>
          </cell>
          <cell r="Z4965">
            <v>0</v>
          </cell>
          <cell r="AA4965">
            <v>0</v>
          </cell>
          <cell r="AB4965">
            <v>0</v>
          </cell>
        </row>
        <row r="4966">
          <cell r="A4966">
            <v>75204013</v>
          </cell>
          <cell r="B4966" t="str">
            <v>Beans, lima, immature, cooked, from canned, fat not added in cooking</v>
          </cell>
          <cell r="I4966">
            <v>130</v>
          </cell>
          <cell r="J4966">
            <v>133.11696000000001</v>
          </cell>
          <cell r="K4966">
            <v>1.0239766153846155</v>
          </cell>
          <cell r="L4966">
            <v>0</v>
          </cell>
          <cell r="M4966">
            <v>9.9514599999999995E-2</v>
          </cell>
          <cell r="N4966">
            <v>0</v>
          </cell>
          <cell r="O4966">
            <v>3.89544E-2</v>
          </cell>
          <cell r="P4966">
            <v>6.8497076000000003</v>
          </cell>
          <cell r="Q4966">
            <v>0.21066080000000001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0.38382690000000003</v>
          </cell>
          <cell r="Y4966">
            <v>0</v>
          </cell>
          <cell r="Z4966">
            <v>0</v>
          </cell>
          <cell r="AA4966">
            <v>0</v>
          </cell>
          <cell r="AB4966">
            <v>0</v>
          </cell>
        </row>
        <row r="4967">
          <cell r="A4967">
            <v>75204021</v>
          </cell>
          <cell r="B4967" t="str">
            <v>Beans, lima, immature, cooked, from fresh, fat added in cooking</v>
          </cell>
          <cell r="I4967">
            <v>90</v>
          </cell>
          <cell r="J4967">
            <v>120.17274</v>
          </cell>
          <cell r="K4967">
            <v>1.3352526666666666</v>
          </cell>
          <cell r="L4967">
            <v>0</v>
          </cell>
          <cell r="M4967">
            <v>0.36060829999999999</v>
          </cell>
          <cell r="N4967">
            <v>0</v>
          </cell>
          <cell r="O4967">
            <v>2.84903E-2</v>
          </cell>
          <cell r="P4967">
            <v>4.6136777000000002</v>
          </cell>
          <cell r="Q4967">
            <v>0.78483519999999996</v>
          </cell>
          <cell r="R4967">
            <v>0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0.22106780000000001</v>
          </cell>
          <cell r="Y4967">
            <v>0</v>
          </cell>
          <cell r="Z4967">
            <v>0</v>
          </cell>
          <cell r="AA4967">
            <v>0</v>
          </cell>
          <cell r="AB4967">
            <v>8.31316E-2</v>
          </cell>
        </row>
        <row r="4968">
          <cell r="A4968">
            <v>75204022</v>
          </cell>
          <cell r="B4968" t="str">
            <v>Beans, lima, immature, cooked, from frozen, fat added in cooking</v>
          </cell>
          <cell r="I4968">
            <v>90</v>
          </cell>
          <cell r="J4968">
            <v>103.3805</v>
          </cell>
          <cell r="K4968">
            <v>1.1486722222222221</v>
          </cell>
          <cell r="L4968">
            <v>0</v>
          </cell>
          <cell r="M4968">
            <v>0.35232639999999998</v>
          </cell>
          <cell r="N4968">
            <v>0</v>
          </cell>
          <cell r="O4968">
            <v>2.5860000000000001E-2</v>
          </cell>
          <cell r="P4968">
            <v>5.1432839000000001</v>
          </cell>
          <cell r="Q4968">
            <v>0.76842849999999996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0.24276039999999999</v>
          </cell>
          <cell r="Y4968">
            <v>0</v>
          </cell>
          <cell r="Z4968">
            <v>0</v>
          </cell>
          <cell r="AA4968">
            <v>0</v>
          </cell>
          <cell r="AB4968">
            <v>8.3150600000000005E-2</v>
          </cell>
        </row>
        <row r="4969">
          <cell r="A4969">
            <v>75204023</v>
          </cell>
          <cell r="B4969" t="str">
            <v>Beans, lima, immature, cooked, from canned, fat added in cooking, NS as to type of fat</v>
          </cell>
          <cell r="I4969">
            <v>130</v>
          </cell>
          <cell r="J4969">
            <v>177.19574</v>
          </cell>
          <cell r="K4969">
            <v>1.363044153846154</v>
          </cell>
          <cell r="L4969">
            <v>-1.15E-15</v>
          </cell>
          <cell r="M4969">
            <v>1.339167</v>
          </cell>
          <cell r="N4969">
            <v>0</v>
          </cell>
          <cell r="O4969">
            <v>4.1218999999999999E-2</v>
          </cell>
          <cell r="P4969">
            <v>6.7911386</v>
          </cell>
          <cell r="Q4969">
            <v>0.62805529999999998</v>
          </cell>
          <cell r="R4969">
            <v>0</v>
          </cell>
          <cell r="S4969">
            <v>0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0.33109670000000002</v>
          </cell>
          <cell r="Y4969">
            <v>0</v>
          </cell>
          <cell r="Z4969">
            <v>0</v>
          </cell>
          <cell r="AA4969">
            <v>0</v>
          </cell>
          <cell r="AB4969">
            <v>0.12007900000000001</v>
          </cell>
        </row>
        <row r="4970">
          <cell r="A4970">
            <v>75204030</v>
          </cell>
          <cell r="B4970" t="str">
            <v>Beans, lima, immature, cooked, from frozen, made with oil</v>
          </cell>
          <cell r="I4970">
            <v>90</v>
          </cell>
          <cell r="J4970">
            <v>110.39612</v>
          </cell>
          <cell r="K4970">
            <v>1.2266235555555556</v>
          </cell>
          <cell r="L4970">
            <v>0</v>
          </cell>
          <cell r="M4970">
            <v>0.3855943</v>
          </cell>
          <cell r="N4970">
            <v>0</v>
          </cell>
          <cell r="O4970">
            <v>2.6276500000000001E-2</v>
          </cell>
          <cell r="P4970">
            <v>4.6194072999999998</v>
          </cell>
          <cell r="Q4970">
            <v>1.1012432999999999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0.2588625</v>
          </cell>
          <cell r="Y4970">
            <v>0</v>
          </cell>
          <cell r="Z4970">
            <v>0</v>
          </cell>
          <cell r="AA4970">
            <v>0</v>
          </cell>
          <cell r="AB4970">
            <v>8.2517000000000007E-3</v>
          </cell>
        </row>
        <row r="4971">
          <cell r="A4971">
            <v>75204031</v>
          </cell>
          <cell r="B4971" t="str">
            <v>Beans, lima, immature, cooked, from frozen, made with butter</v>
          </cell>
          <cell r="I4971">
            <v>90</v>
          </cell>
          <cell r="J4971">
            <v>107.04337</v>
          </cell>
          <cell r="K4971">
            <v>1.1893707777777778</v>
          </cell>
          <cell r="L4971">
            <v>0</v>
          </cell>
          <cell r="M4971">
            <v>1.3111572</v>
          </cell>
          <cell r="N4971">
            <v>0</v>
          </cell>
          <cell r="O4971">
            <v>2.6824000000000001E-2</v>
          </cell>
          <cell r="P4971">
            <v>4.6144916</v>
          </cell>
          <cell r="Q4971">
            <v>0.2156179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0.27414870000000002</v>
          </cell>
          <cell r="Y4971">
            <v>0</v>
          </cell>
          <cell r="Z4971">
            <v>0</v>
          </cell>
          <cell r="AA4971">
            <v>0</v>
          </cell>
          <cell r="AB4971">
            <v>7.9392099999999993E-2</v>
          </cell>
        </row>
        <row r="4972">
          <cell r="A4972">
            <v>75204032</v>
          </cell>
          <cell r="B4972" t="str">
            <v>Beans, lima, immature, cooked, from frozen, made with margarine</v>
          </cell>
          <cell r="I4972">
            <v>90</v>
          </cell>
          <cell r="J4972">
            <v>102.67706</v>
          </cell>
          <cell r="K4972">
            <v>1.1408562222222223</v>
          </cell>
          <cell r="L4972">
            <v>0</v>
          </cell>
          <cell r="M4972">
            <v>0.36227290000000001</v>
          </cell>
          <cell r="N4972">
            <v>0</v>
          </cell>
          <cell r="O4972">
            <v>2.67494E-2</v>
          </cell>
          <cell r="P4972">
            <v>4.6133889999999997</v>
          </cell>
          <cell r="Q4972">
            <v>0.78868859999999996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0.27499099999999999</v>
          </cell>
          <cell r="Y4972">
            <v>0</v>
          </cell>
          <cell r="Z4972">
            <v>0</v>
          </cell>
          <cell r="AA4972">
            <v>0</v>
          </cell>
          <cell r="AB4972">
            <v>8.9507699999999996E-2</v>
          </cell>
        </row>
        <row r="4973">
          <cell r="A4973">
            <v>75204120</v>
          </cell>
          <cell r="B4973" t="str">
            <v>Beans, lima, immature, canned, low sodium, fat added in cooking</v>
          </cell>
          <cell r="I4973">
            <v>130</v>
          </cell>
          <cell r="J4973">
            <v>103.7038</v>
          </cell>
          <cell r="K4973">
            <v>0.79772153846153848</v>
          </cell>
          <cell r="L4973">
            <v>0</v>
          </cell>
          <cell r="M4973">
            <v>0.38249620000000001</v>
          </cell>
          <cell r="N4973">
            <v>0</v>
          </cell>
          <cell r="O4973">
            <v>3.6227200000000001E-2</v>
          </cell>
          <cell r="P4973">
            <v>4.5911391999999998</v>
          </cell>
          <cell r="Q4973">
            <v>0.83081519999999998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2.0911099999999998E-2</v>
          </cell>
          <cell r="Y4973">
            <v>0</v>
          </cell>
          <cell r="Z4973">
            <v>0</v>
          </cell>
          <cell r="AA4973">
            <v>0</v>
          </cell>
          <cell r="AB4973">
            <v>9.0440499999999993E-2</v>
          </cell>
        </row>
        <row r="4974">
          <cell r="A4974">
            <v>75204960</v>
          </cell>
          <cell r="B4974" t="str">
            <v>Beans, string, cooked, NS as to form, NS as to color, made with oil</v>
          </cell>
          <cell r="I4974">
            <v>90</v>
          </cell>
          <cell r="J4974">
            <v>49.964820000000003</v>
          </cell>
          <cell r="K4974">
            <v>0.55516466666666675</v>
          </cell>
          <cell r="L4974">
            <v>2.5935307999999999</v>
          </cell>
          <cell r="M4974">
            <v>0.4358341</v>
          </cell>
          <cell r="N4974">
            <v>0</v>
          </cell>
          <cell r="O4974">
            <v>3.64704E-2</v>
          </cell>
          <cell r="P4974">
            <v>0</v>
          </cell>
          <cell r="Q4974">
            <v>1.2697981</v>
          </cell>
          <cell r="R4974">
            <v>0</v>
          </cell>
          <cell r="S4974">
            <v>0</v>
          </cell>
          <cell r="T4974">
            <v>0</v>
          </cell>
          <cell r="U4974">
            <v>86.451025000000001</v>
          </cell>
          <cell r="V4974">
            <v>0</v>
          </cell>
          <cell r="W4974">
            <v>0</v>
          </cell>
          <cell r="X4974">
            <v>0.24907670000000001</v>
          </cell>
          <cell r="Y4974">
            <v>0</v>
          </cell>
          <cell r="Z4974">
            <v>0</v>
          </cell>
          <cell r="AA4974">
            <v>0</v>
          </cell>
          <cell r="AB4974">
            <v>1.0306600000000001E-2</v>
          </cell>
        </row>
        <row r="4975">
          <cell r="A4975">
            <v>75204962</v>
          </cell>
          <cell r="B4975" t="str">
            <v>Beans, string, cooked, NS as to form, NS as to color, made with margarine</v>
          </cell>
          <cell r="I4975">
            <v>90</v>
          </cell>
          <cell r="J4975">
            <v>40.424864999999997</v>
          </cell>
          <cell r="K4975">
            <v>0.44916516666666662</v>
          </cell>
          <cell r="L4975">
            <v>2.5893117000000001</v>
          </cell>
          <cell r="M4975">
            <v>0.40663260000000001</v>
          </cell>
          <cell r="N4975">
            <v>0</v>
          </cell>
          <cell r="O4975">
            <v>3.7044399999999998E-2</v>
          </cell>
          <cell r="P4975">
            <v>0</v>
          </cell>
          <cell r="Q4975">
            <v>0.8792584</v>
          </cell>
          <cell r="R4975">
            <v>0</v>
          </cell>
          <cell r="S4975">
            <v>0</v>
          </cell>
          <cell r="T4975">
            <v>0</v>
          </cell>
          <cell r="U4975">
            <v>86.310390999999996</v>
          </cell>
          <cell r="V4975">
            <v>0</v>
          </cell>
          <cell r="W4975">
            <v>0</v>
          </cell>
          <cell r="X4975">
            <v>0.2692311</v>
          </cell>
          <cell r="Y4975">
            <v>0</v>
          </cell>
          <cell r="Z4975">
            <v>0</v>
          </cell>
          <cell r="AA4975">
            <v>0</v>
          </cell>
          <cell r="AB4975">
            <v>0.111762</v>
          </cell>
        </row>
        <row r="4976">
          <cell r="A4976">
            <v>75204963</v>
          </cell>
          <cell r="B4976" t="str">
            <v>Beans, string, cooked, from fresh, NS as to color, made with oil</v>
          </cell>
          <cell r="I4976">
            <v>90</v>
          </cell>
          <cell r="J4976">
            <v>57.894438000000001</v>
          </cell>
          <cell r="K4976">
            <v>0.64327153333333331</v>
          </cell>
          <cell r="L4976">
            <v>2.7577330999999998</v>
          </cell>
          <cell r="M4976">
            <v>0.48342299999999999</v>
          </cell>
          <cell r="N4976">
            <v>0</v>
          </cell>
          <cell r="O4976">
            <v>3.8092099999999997E-2</v>
          </cell>
          <cell r="P4976">
            <v>0</v>
          </cell>
          <cell r="Q4976">
            <v>1.4147780999999999</v>
          </cell>
          <cell r="R4976">
            <v>0</v>
          </cell>
          <cell r="S4976">
            <v>0</v>
          </cell>
          <cell r="T4976">
            <v>0</v>
          </cell>
          <cell r="U4976">
            <v>86.179160999999993</v>
          </cell>
          <cell r="V4976">
            <v>0</v>
          </cell>
          <cell r="W4976">
            <v>0</v>
          </cell>
          <cell r="X4976">
            <v>0.26808799999999999</v>
          </cell>
          <cell r="Y4976">
            <v>0</v>
          </cell>
          <cell r="Z4976">
            <v>0</v>
          </cell>
          <cell r="AA4976">
            <v>0</v>
          </cell>
          <cell r="AB4976">
            <v>1.1096099999999999E-2</v>
          </cell>
        </row>
        <row r="4977">
          <cell r="A4977">
            <v>75204964</v>
          </cell>
          <cell r="B4977" t="str">
            <v>Beans, string, cooked, from fresh, NS as to color, made with butter</v>
          </cell>
          <cell r="I4977">
            <v>90</v>
          </cell>
          <cell r="J4977">
            <v>53.462688</v>
          </cell>
          <cell r="K4977">
            <v>0.59402986666666668</v>
          </cell>
          <cell r="L4977">
            <v>2.7537883999999999</v>
          </cell>
          <cell r="M4977">
            <v>1.7274464</v>
          </cell>
          <cell r="N4977">
            <v>0</v>
          </cell>
          <cell r="O4977">
            <v>3.8811199999999997E-2</v>
          </cell>
          <cell r="P4977">
            <v>0</v>
          </cell>
          <cell r="Q4977">
            <v>0.22385099999999999</v>
          </cell>
          <cell r="R4977">
            <v>0</v>
          </cell>
          <cell r="S4977">
            <v>0</v>
          </cell>
          <cell r="T4977">
            <v>0</v>
          </cell>
          <cell r="U4977">
            <v>86.055886999999998</v>
          </cell>
          <cell r="V4977">
            <v>0</v>
          </cell>
          <cell r="W4977">
            <v>0</v>
          </cell>
          <cell r="X4977">
            <v>0.28862280000000001</v>
          </cell>
          <cell r="Y4977">
            <v>0</v>
          </cell>
          <cell r="Z4977">
            <v>0</v>
          </cell>
          <cell r="AA4977">
            <v>0</v>
          </cell>
          <cell r="AB4977">
            <v>0.1067207</v>
          </cell>
        </row>
        <row r="4978">
          <cell r="A4978">
            <v>75204966</v>
          </cell>
          <cell r="B4978" t="str">
            <v>Beans, string, cooked, from frozen, NS as to color, made with oil</v>
          </cell>
          <cell r="I4978">
            <v>90</v>
          </cell>
          <cell r="J4978">
            <v>49.964820000000003</v>
          </cell>
          <cell r="K4978">
            <v>0.55516466666666675</v>
          </cell>
          <cell r="L4978">
            <v>2.5935307999999999</v>
          </cell>
          <cell r="M4978">
            <v>0.4358341</v>
          </cell>
          <cell r="N4978">
            <v>0</v>
          </cell>
          <cell r="O4978">
            <v>3.64704E-2</v>
          </cell>
          <cell r="P4978">
            <v>0</v>
          </cell>
          <cell r="Q4978">
            <v>1.2697981</v>
          </cell>
          <cell r="R4978">
            <v>0</v>
          </cell>
          <cell r="S4978">
            <v>0</v>
          </cell>
          <cell r="T4978">
            <v>0</v>
          </cell>
          <cell r="U4978">
            <v>86.451025000000001</v>
          </cell>
          <cell r="V4978">
            <v>0</v>
          </cell>
          <cell r="W4978">
            <v>0</v>
          </cell>
          <cell r="X4978">
            <v>0.24907670000000001</v>
          </cell>
          <cell r="Y4978">
            <v>0</v>
          </cell>
          <cell r="Z4978">
            <v>0</v>
          </cell>
          <cell r="AA4978">
            <v>0</v>
          </cell>
          <cell r="AB4978">
            <v>1.0306600000000001E-2</v>
          </cell>
        </row>
        <row r="4979">
          <cell r="A4979">
            <v>75204967</v>
          </cell>
          <cell r="B4979" t="str">
            <v>Beans, string, cooked, from frozen, NS as to color, made with butter</v>
          </cell>
          <cell r="I4979">
            <v>90</v>
          </cell>
          <cell r="J4979">
            <v>45.858519999999999</v>
          </cell>
          <cell r="K4979">
            <v>0.50953911111111105</v>
          </cell>
          <cell r="L4979">
            <v>2.5900845000000001</v>
          </cell>
          <cell r="M4979">
            <v>1.5915223000000001</v>
          </cell>
          <cell r="N4979">
            <v>0</v>
          </cell>
          <cell r="O4979">
            <v>3.71405E-2</v>
          </cell>
          <cell r="P4979">
            <v>0</v>
          </cell>
          <cell r="Q4979">
            <v>0.16368920000000001</v>
          </cell>
          <cell r="R4979">
            <v>0</v>
          </cell>
          <cell r="S4979">
            <v>0</v>
          </cell>
          <cell r="T4979">
            <v>0</v>
          </cell>
          <cell r="U4979">
            <v>86.336150000000004</v>
          </cell>
          <cell r="V4979">
            <v>0</v>
          </cell>
          <cell r="W4979">
            <v>0</v>
          </cell>
          <cell r="X4979">
            <v>0.26817760000000002</v>
          </cell>
          <cell r="Y4979">
            <v>0</v>
          </cell>
          <cell r="Z4979">
            <v>0</v>
          </cell>
          <cell r="AA4979">
            <v>0</v>
          </cell>
          <cell r="AB4979">
            <v>9.9137299999999998E-2</v>
          </cell>
        </row>
        <row r="4980">
          <cell r="A4980">
            <v>75204969</v>
          </cell>
          <cell r="B4980" t="str">
            <v>Beans, string, cooked, from canned, NS as to color, made with oil</v>
          </cell>
          <cell r="I4980">
            <v>130</v>
          </cell>
          <cell r="J4980">
            <v>59.553593999999997</v>
          </cell>
          <cell r="K4980">
            <v>0.4581045692307692</v>
          </cell>
          <cell r="L4980">
            <v>2.3927138000000001</v>
          </cell>
          <cell r="M4980">
            <v>0.62840949999999995</v>
          </cell>
          <cell r="N4980">
            <v>0</v>
          </cell>
          <cell r="O4980">
            <v>4.6683299999999997E-2</v>
          </cell>
          <cell r="P4980">
            <v>0</v>
          </cell>
          <cell r="Q4980">
            <v>1.8055798999999999</v>
          </cell>
          <cell r="R4980">
            <v>0</v>
          </cell>
          <cell r="S4980">
            <v>0</v>
          </cell>
          <cell r="T4980">
            <v>0</v>
          </cell>
          <cell r="U4980">
            <v>125.9323</v>
          </cell>
          <cell r="V4980">
            <v>0</v>
          </cell>
          <cell r="W4980">
            <v>0</v>
          </cell>
          <cell r="X4980">
            <v>0.46512209999999998</v>
          </cell>
          <cell r="Y4980">
            <v>0</v>
          </cell>
          <cell r="Z4980">
            <v>0</v>
          </cell>
          <cell r="AA4980">
            <v>0</v>
          </cell>
          <cell r="AB4980">
            <v>1.3247200000000001E-2</v>
          </cell>
        </row>
        <row r="4981">
          <cell r="A4981">
            <v>75204970</v>
          </cell>
          <cell r="B4981" t="str">
            <v>Beans, string, cooked, from canned, NS as to color, made with butter</v>
          </cell>
          <cell r="I4981">
            <v>130</v>
          </cell>
          <cell r="J4981">
            <v>54.289858000000002</v>
          </cell>
          <cell r="K4981">
            <v>0.41761429230769231</v>
          </cell>
          <cell r="L4981">
            <v>2.3898842</v>
          </cell>
          <cell r="M4981">
            <v>2.1140509000000001</v>
          </cell>
          <cell r="N4981">
            <v>0</v>
          </cell>
          <cell r="O4981">
            <v>4.7551799999999998E-2</v>
          </cell>
          <cell r="P4981">
            <v>0</v>
          </cell>
          <cell r="Q4981">
            <v>0.38370789999999999</v>
          </cell>
          <cell r="R4981">
            <v>0</v>
          </cell>
          <cell r="S4981">
            <v>0</v>
          </cell>
          <cell r="T4981">
            <v>0</v>
          </cell>
          <cell r="U4981">
            <v>125.78337999999999</v>
          </cell>
          <cell r="V4981">
            <v>0</v>
          </cell>
          <cell r="W4981">
            <v>0</v>
          </cell>
          <cell r="X4981">
            <v>0.48955179999999998</v>
          </cell>
          <cell r="Y4981">
            <v>0</v>
          </cell>
          <cell r="Z4981">
            <v>0</v>
          </cell>
          <cell r="AA4981">
            <v>0</v>
          </cell>
          <cell r="AB4981">
            <v>0.12744130000000001</v>
          </cell>
        </row>
        <row r="4982">
          <cell r="A4982">
            <v>75204971</v>
          </cell>
          <cell r="B4982" t="str">
            <v>Beans, string, cooked, from canned, NS as to color, made with margarine</v>
          </cell>
          <cell r="I4982">
            <v>130</v>
          </cell>
          <cell r="J4982">
            <v>47.307823999999997</v>
          </cell>
          <cell r="K4982">
            <v>0.36390633846153841</v>
          </cell>
          <cell r="L4982">
            <v>2.3892495999999999</v>
          </cell>
          <cell r="M4982">
            <v>0.59087129999999999</v>
          </cell>
          <cell r="N4982">
            <v>0</v>
          </cell>
          <cell r="O4982">
            <v>4.7429899999999997E-2</v>
          </cell>
          <cell r="P4982">
            <v>0</v>
          </cell>
          <cell r="Q4982">
            <v>1.3035650999999999</v>
          </cell>
          <cell r="R4982">
            <v>0</v>
          </cell>
          <cell r="S4982">
            <v>0</v>
          </cell>
          <cell r="T4982">
            <v>0</v>
          </cell>
          <cell r="U4982">
            <v>125.74997999999999</v>
          </cell>
          <cell r="V4982">
            <v>0</v>
          </cell>
          <cell r="W4982">
            <v>0</v>
          </cell>
          <cell r="X4982">
            <v>0.49087890000000001</v>
          </cell>
          <cell r="Y4982">
            <v>0</v>
          </cell>
          <cell r="Z4982">
            <v>0</v>
          </cell>
          <cell r="AA4982">
            <v>0</v>
          </cell>
          <cell r="AB4982">
            <v>0.1436751</v>
          </cell>
        </row>
        <row r="4983">
          <cell r="A4983">
            <v>75204980</v>
          </cell>
          <cell r="B4983" t="str">
            <v>Beans, string, cooked, NS as to form, NS as to color, fat added in cooking, NS as to type of fat</v>
          </cell>
          <cell r="I4983">
            <v>90</v>
          </cell>
          <cell r="J4983">
            <v>43.632618000000001</v>
          </cell>
          <cell r="K4983">
            <v>0.48480686666666667</v>
          </cell>
          <cell r="L4983">
            <v>2.5900845000000001</v>
          </cell>
          <cell r="M4983">
            <v>1.1163164000000001</v>
          </cell>
          <cell r="N4983">
            <v>0</v>
          </cell>
          <cell r="O4983">
            <v>3.7104199999999997E-2</v>
          </cell>
          <cell r="P4983">
            <v>0</v>
          </cell>
          <cell r="Q4983">
            <v>0.44717709999999999</v>
          </cell>
          <cell r="R4983">
            <v>0</v>
          </cell>
          <cell r="S4983">
            <v>0</v>
          </cell>
          <cell r="T4983">
            <v>0</v>
          </cell>
          <cell r="U4983">
            <v>86.336150000000004</v>
          </cell>
          <cell r="V4983">
            <v>0</v>
          </cell>
          <cell r="W4983">
            <v>0</v>
          </cell>
          <cell r="X4983">
            <v>0.26861010000000002</v>
          </cell>
          <cell r="Y4983">
            <v>0</v>
          </cell>
          <cell r="Z4983">
            <v>0</v>
          </cell>
          <cell r="AA4983">
            <v>0</v>
          </cell>
          <cell r="AB4983">
            <v>0.10380689999999999</v>
          </cell>
        </row>
        <row r="4984">
          <cell r="A4984">
            <v>75204981</v>
          </cell>
          <cell r="B4984" t="str">
            <v>Beans, string, cooked, from fresh, NS as to color, fat added in cooking, NS as to type of fat</v>
          </cell>
          <cell r="I4984">
            <v>90</v>
          </cell>
          <cell r="J4984">
            <v>51.066516999999997</v>
          </cell>
          <cell r="K4984">
            <v>0.56740574444444447</v>
          </cell>
          <cell r="L4984">
            <v>2.7537883999999999</v>
          </cell>
          <cell r="M4984">
            <v>1.2158901</v>
          </cell>
          <cell r="N4984">
            <v>0</v>
          </cell>
          <cell r="O4984">
            <v>3.8772099999999997E-2</v>
          </cell>
          <cell r="P4984">
            <v>0</v>
          </cell>
          <cell r="Q4984">
            <v>0.5290241</v>
          </cell>
          <cell r="R4984">
            <v>0</v>
          </cell>
          <cell r="S4984">
            <v>0</v>
          </cell>
          <cell r="T4984">
            <v>0</v>
          </cell>
          <cell r="U4984">
            <v>86.055886999999998</v>
          </cell>
          <cell r="V4984">
            <v>0</v>
          </cell>
          <cell r="W4984">
            <v>0</v>
          </cell>
          <cell r="X4984">
            <v>0.28908840000000002</v>
          </cell>
          <cell r="Y4984">
            <v>0</v>
          </cell>
          <cell r="Z4984">
            <v>0</v>
          </cell>
          <cell r="AA4984">
            <v>0</v>
          </cell>
          <cell r="AB4984">
            <v>0.1117475</v>
          </cell>
        </row>
        <row r="4985">
          <cell r="A4985">
            <v>75204982</v>
          </cell>
          <cell r="B4985" t="str">
            <v>Beans, string, cooked, from frozen, NS as to color, fat added in cooking, NS as to type of fat</v>
          </cell>
          <cell r="I4985">
            <v>90</v>
          </cell>
          <cell r="J4985">
            <v>43.632618000000001</v>
          </cell>
          <cell r="K4985">
            <v>0.48480686666666667</v>
          </cell>
          <cell r="L4985">
            <v>2.5900845000000001</v>
          </cell>
          <cell r="M4985">
            <v>1.1163164000000001</v>
          </cell>
          <cell r="N4985">
            <v>0</v>
          </cell>
          <cell r="O4985">
            <v>3.7104199999999997E-2</v>
          </cell>
          <cell r="P4985">
            <v>0</v>
          </cell>
          <cell r="Q4985">
            <v>0.44717709999999999</v>
          </cell>
          <cell r="R4985">
            <v>0</v>
          </cell>
          <cell r="S4985">
            <v>0</v>
          </cell>
          <cell r="T4985">
            <v>0</v>
          </cell>
          <cell r="U4985">
            <v>86.336150000000004</v>
          </cell>
          <cell r="V4985">
            <v>0</v>
          </cell>
          <cell r="W4985">
            <v>0</v>
          </cell>
          <cell r="X4985">
            <v>0.26861010000000002</v>
          </cell>
          <cell r="Y4985">
            <v>0</v>
          </cell>
          <cell r="Z4985">
            <v>0</v>
          </cell>
          <cell r="AA4985">
            <v>0</v>
          </cell>
          <cell r="AB4985">
            <v>0.10380689999999999</v>
          </cell>
        </row>
        <row r="4986">
          <cell r="A4986">
            <v>75204983</v>
          </cell>
          <cell r="B4986" t="str">
            <v>Beans, string, cooked, from canned, NS as to color, fat added in cooking</v>
          </cell>
          <cell r="I4986">
            <v>130</v>
          </cell>
          <cell r="J4986">
            <v>52.588213000000003</v>
          </cell>
          <cell r="K4986">
            <v>0.40452471538461543</v>
          </cell>
          <cell r="L4986">
            <v>3.1511407</v>
          </cell>
          <cell r="M4986">
            <v>0.58506429999999998</v>
          </cell>
          <cell r="N4986">
            <v>0</v>
          </cell>
          <cell r="O4986">
            <v>4.8727800000000002E-2</v>
          </cell>
          <cell r="P4986">
            <v>0</v>
          </cell>
          <cell r="Q4986">
            <v>1.2940487000000001</v>
          </cell>
          <cell r="R4986">
            <v>0</v>
          </cell>
          <cell r="S4986">
            <v>0</v>
          </cell>
          <cell r="T4986">
            <v>0</v>
          </cell>
          <cell r="U4986">
            <v>126.04563</v>
          </cell>
          <cell r="V4986">
            <v>0</v>
          </cell>
          <cell r="W4986">
            <v>0</v>
          </cell>
          <cell r="X4986">
            <v>0.33539999999999998</v>
          </cell>
          <cell r="Y4986">
            <v>0</v>
          </cell>
          <cell r="Z4986">
            <v>0</v>
          </cell>
          <cell r="AA4986">
            <v>0</v>
          </cell>
          <cell r="AB4986">
            <v>0.13344400000000001</v>
          </cell>
        </row>
        <row r="4987">
          <cell r="A4987">
            <v>75204990</v>
          </cell>
          <cell r="B4987" t="str">
            <v>Beans, string, cooked, NS as to form, NS as to color, fat not added in cooking</v>
          </cell>
          <cell r="I4987">
            <v>90</v>
          </cell>
          <cell r="J4987">
            <v>25.014706</v>
          </cell>
          <cell r="K4987">
            <v>0.27794117777777777</v>
          </cell>
          <cell r="L4987">
            <v>2.6801471000000001</v>
          </cell>
          <cell r="M4987">
            <v>3.9308799999999998E-2</v>
          </cell>
          <cell r="N4987">
            <v>0</v>
          </cell>
          <cell r="O4987">
            <v>3.7680900000000003E-2</v>
          </cell>
          <cell r="P4987">
            <v>0</v>
          </cell>
          <cell r="Q4987">
            <v>7.41507E-2</v>
          </cell>
          <cell r="R4987">
            <v>0</v>
          </cell>
          <cell r="S4987">
            <v>0</v>
          </cell>
          <cell r="T4987">
            <v>0</v>
          </cell>
          <cell r="U4987">
            <v>89.338234999999997</v>
          </cell>
          <cell r="V4987">
            <v>0</v>
          </cell>
          <cell r="W4987">
            <v>0</v>
          </cell>
          <cell r="X4987">
            <v>0.2573801</v>
          </cell>
          <cell r="Y4987">
            <v>0</v>
          </cell>
          <cell r="Z4987">
            <v>0</v>
          </cell>
          <cell r="AA4987">
            <v>0</v>
          </cell>
          <cell r="AB4987">
            <v>0</v>
          </cell>
        </row>
        <row r="4988">
          <cell r="A4988">
            <v>75204991</v>
          </cell>
          <cell r="B4988" t="str">
            <v>Beans, string, cooked, from fresh, NS as to color, fat not added in cooking</v>
          </cell>
          <cell r="I4988">
            <v>90</v>
          </cell>
          <cell r="J4988">
            <v>31.25</v>
          </cell>
          <cell r="K4988">
            <v>0.34722222222222221</v>
          </cell>
          <cell r="L4988">
            <v>2.8571428999999999</v>
          </cell>
          <cell r="M4988">
            <v>5.7142900000000003E-2</v>
          </cell>
          <cell r="N4988">
            <v>0</v>
          </cell>
          <cell r="O4988">
            <v>3.9457100000000002E-2</v>
          </cell>
          <cell r="P4988">
            <v>0</v>
          </cell>
          <cell r="Q4988">
            <v>0.1294643</v>
          </cell>
          <cell r="R4988">
            <v>0</v>
          </cell>
          <cell r="S4988">
            <v>0</v>
          </cell>
          <cell r="T4988">
            <v>0</v>
          </cell>
          <cell r="U4988">
            <v>89.285713999999999</v>
          </cell>
          <cell r="V4988">
            <v>0</v>
          </cell>
          <cell r="W4988">
            <v>0</v>
          </cell>
          <cell r="X4988">
            <v>0.27773569999999997</v>
          </cell>
          <cell r="Y4988">
            <v>0</v>
          </cell>
          <cell r="Z4988">
            <v>0</v>
          </cell>
          <cell r="AA4988">
            <v>0</v>
          </cell>
          <cell r="AB4988">
            <v>0</v>
          </cell>
        </row>
        <row r="4989">
          <cell r="A4989">
            <v>75204992</v>
          </cell>
          <cell r="B4989" t="str">
            <v>Beans, string, cooked, from frozen, NS as to color, fat not added in cooking</v>
          </cell>
          <cell r="I4989">
            <v>90</v>
          </cell>
          <cell r="J4989">
            <v>25.014706</v>
          </cell>
          <cell r="K4989">
            <v>0.27794117777777777</v>
          </cell>
          <cell r="L4989">
            <v>2.6801471000000001</v>
          </cell>
          <cell r="M4989">
            <v>3.9308799999999998E-2</v>
          </cell>
          <cell r="N4989">
            <v>0</v>
          </cell>
          <cell r="O4989">
            <v>3.7680900000000003E-2</v>
          </cell>
          <cell r="P4989">
            <v>0</v>
          </cell>
          <cell r="Q4989">
            <v>7.41507E-2</v>
          </cell>
          <cell r="R4989">
            <v>0</v>
          </cell>
          <cell r="S4989">
            <v>0</v>
          </cell>
          <cell r="T4989">
            <v>0</v>
          </cell>
          <cell r="U4989">
            <v>89.338234999999997</v>
          </cell>
          <cell r="V4989">
            <v>0</v>
          </cell>
          <cell r="W4989">
            <v>0</v>
          </cell>
          <cell r="X4989">
            <v>0.2573801</v>
          </cell>
          <cell r="Y4989">
            <v>0</v>
          </cell>
          <cell r="Z4989">
            <v>0</v>
          </cell>
          <cell r="AA4989">
            <v>0</v>
          </cell>
          <cell r="AB4989">
            <v>0</v>
          </cell>
        </row>
        <row r="4990">
          <cell r="A4990">
            <v>75204993</v>
          </cell>
          <cell r="B4990" t="str">
            <v>Beans, string, cooked, from canned, NS as to color, fat not added in cooking</v>
          </cell>
          <cell r="I4990">
            <v>130</v>
          </cell>
          <cell r="J4990">
            <v>27.228814</v>
          </cell>
          <cell r="K4990">
            <v>0.20945241538461537</v>
          </cell>
          <cell r="L4990">
            <v>2.4635593</v>
          </cell>
          <cell r="M4990">
            <v>0.1205847</v>
          </cell>
          <cell r="N4990">
            <v>0</v>
          </cell>
          <cell r="O4990">
            <v>4.8055899999999999E-2</v>
          </cell>
          <cell r="P4990">
            <v>0</v>
          </cell>
          <cell r="Q4990">
            <v>0.27358470000000001</v>
          </cell>
          <cell r="R4990">
            <v>0</v>
          </cell>
          <cell r="S4990">
            <v>0</v>
          </cell>
          <cell r="T4990">
            <v>0</v>
          </cell>
          <cell r="U4990">
            <v>129.66102000000001</v>
          </cell>
          <cell r="V4990">
            <v>0</v>
          </cell>
          <cell r="W4990">
            <v>0</v>
          </cell>
          <cell r="X4990">
            <v>0.47887459999999998</v>
          </cell>
          <cell r="Y4990">
            <v>0</v>
          </cell>
          <cell r="Z4990">
            <v>0</v>
          </cell>
          <cell r="AA4990">
            <v>0</v>
          </cell>
          <cell r="AB4990">
            <v>0</v>
          </cell>
        </row>
        <row r="4991">
          <cell r="A4991">
            <v>75205000</v>
          </cell>
          <cell r="B4991" t="str">
            <v>Beans, string, cooked, NS as to form, NS as to color, NS as to fat added in cooking</v>
          </cell>
          <cell r="I4991">
            <v>90</v>
          </cell>
          <cell r="J4991">
            <v>43.632618000000001</v>
          </cell>
          <cell r="K4991">
            <v>0.48480686666666667</v>
          </cell>
          <cell r="L4991">
            <v>2.5900845000000001</v>
          </cell>
          <cell r="M4991">
            <v>1.1163164000000001</v>
          </cell>
          <cell r="N4991">
            <v>0</v>
          </cell>
          <cell r="O4991">
            <v>3.7104199999999997E-2</v>
          </cell>
          <cell r="P4991">
            <v>0</v>
          </cell>
          <cell r="Q4991">
            <v>0.44717709999999999</v>
          </cell>
          <cell r="R4991">
            <v>0</v>
          </cell>
          <cell r="S4991">
            <v>0</v>
          </cell>
          <cell r="T4991">
            <v>0</v>
          </cell>
          <cell r="U4991">
            <v>86.336150000000004</v>
          </cell>
          <cell r="V4991">
            <v>0</v>
          </cell>
          <cell r="W4991">
            <v>0</v>
          </cell>
          <cell r="X4991">
            <v>0.26861010000000002</v>
          </cell>
          <cell r="Y4991">
            <v>0</v>
          </cell>
          <cell r="Z4991">
            <v>0</v>
          </cell>
          <cell r="AA4991">
            <v>0</v>
          </cell>
          <cell r="AB4991">
            <v>0.10380689999999999</v>
          </cell>
        </row>
        <row r="4992">
          <cell r="A4992">
            <v>75205001</v>
          </cell>
          <cell r="B4992" t="str">
            <v>Beans, string, cooked, from fresh, NS as to color, NS as to fat added in cooking</v>
          </cell>
          <cell r="I4992">
            <v>90</v>
          </cell>
          <cell r="J4992">
            <v>51.066516999999997</v>
          </cell>
          <cell r="K4992">
            <v>0.56740574444444447</v>
          </cell>
          <cell r="L4992">
            <v>2.7537883999999999</v>
          </cell>
          <cell r="M4992">
            <v>1.2158901</v>
          </cell>
          <cell r="N4992">
            <v>0</v>
          </cell>
          <cell r="O4992">
            <v>3.8772099999999997E-2</v>
          </cell>
          <cell r="P4992">
            <v>0</v>
          </cell>
          <cell r="Q4992">
            <v>0.5290241</v>
          </cell>
          <cell r="R4992">
            <v>0</v>
          </cell>
          <cell r="S4992">
            <v>0</v>
          </cell>
          <cell r="T4992">
            <v>0</v>
          </cell>
          <cell r="U4992">
            <v>86.055886999999998</v>
          </cell>
          <cell r="V4992">
            <v>0</v>
          </cell>
          <cell r="W4992">
            <v>0</v>
          </cell>
          <cell r="X4992">
            <v>0.28908840000000002</v>
          </cell>
          <cell r="Y4992">
            <v>0</v>
          </cell>
          <cell r="Z4992">
            <v>0</v>
          </cell>
          <cell r="AA4992">
            <v>0</v>
          </cell>
          <cell r="AB4992">
            <v>0.1117475</v>
          </cell>
        </row>
        <row r="4993">
          <cell r="A4993">
            <v>75205003</v>
          </cell>
          <cell r="B4993" t="str">
            <v>Beans, string, cooked, from canned, NS as to color, NS as to fat added in cooking</v>
          </cell>
          <cell r="I4993">
            <v>130</v>
          </cell>
          <cell r="J4993">
            <v>51.428455</v>
          </cell>
          <cell r="K4993">
            <v>0.3956035</v>
          </cell>
          <cell r="L4993">
            <v>2.3898842</v>
          </cell>
          <cell r="M4993">
            <v>1.5031726000000001</v>
          </cell>
          <cell r="N4993">
            <v>0</v>
          </cell>
          <cell r="O4993">
            <v>4.7505199999999997E-2</v>
          </cell>
          <cell r="P4993">
            <v>0</v>
          </cell>
          <cell r="Q4993">
            <v>0.74813240000000003</v>
          </cell>
          <cell r="R4993">
            <v>0</v>
          </cell>
          <cell r="S4993">
            <v>0</v>
          </cell>
          <cell r="T4993">
            <v>0</v>
          </cell>
          <cell r="U4993">
            <v>125.78337999999999</v>
          </cell>
          <cell r="V4993">
            <v>0</v>
          </cell>
          <cell r="W4993">
            <v>0</v>
          </cell>
          <cell r="X4993">
            <v>0.49010769999999998</v>
          </cell>
          <cell r="Y4993">
            <v>0</v>
          </cell>
          <cell r="Z4993">
            <v>0</v>
          </cell>
          <cell r="AA4993">
            <v>0</v>
          </cell>
          <cell r="AB4993">
            <v>0.13344400000000001</v>
          </cell>
        </row>
        <row r="4994">
          <cell r="A4994">
            <v>75205010</v>
          </cell>
          <cell r="B4994" t="str">
            <v>Beans, string, green, cooked, NS as to form, NS as to fat added in cooking</v>
          </cell>
          <cell r="I4994">
            <v>90</v>
          </cell>
          <cell r="J4994">
            <v>43.632618000000001</v>
          </cell>
          <cell r="K4994">
            <v>0.48480686666666667</v>
          </cell>
          <cell r="L4994">
            <v>2.5900845000000001</v>
          </cell>
          <cell r="M4994">
            <v>1.1163164000000001</v>
          </cell>
          <cell r="N4994">
            <v>0</v>
          </cell>
          <cell r="O4994">
            <v>3.7104199999999997E-2</v>
          </cell>
          <cell r="P4994">
            <v>0</v>
          </cell>
          <cell r="Q4994">
            <v>0.44717709999999999</v>
          </cell>
          <cell r="R4994">
            <v>0</v>
          </cell>
          <cell r="S4994">
            <v>0</v>
          </cell>
          <cell r="T4994">
            <v>0</v>
          </cell>
          <cell r="U4994">
            <v>86.336150000000004</v>
          </cell>
          <cell r="V4994">
            <v>0</v>
          </cell>
          <cell r="W4994">
            <v>0</v>
          </cell>
          <cell r="X4994">
            <v>0.26861010000000002</v>
          </cell>
          <cell r="Y4994">
            <v>0</v>
          </cell>
          <cell r="Z4994">
            <v>0</v>
          </cell>
          <cell r="AA4994">
            <v>0</v>
          </cell>
          <cell r="AB4994">
            <v>0.10380689999999999</v>
          </cell>
        </row>
        <row r="4995">
          <cell r="A4995">
            <v>75205011</v>
          </cell>
          <cell r="B4995" t="str">
            <v>Beans, string, green, cooked, from fresh, NS as to fat added in cooking</v>
          </cell>
          <cell r="I4995">
            <v>90</v>
          </cell>
          <cell r="J4995">
            <v>51.066516999999997</v>
          </cell>
          <cell r="K4995">
            <v>0.56740574444444447</v>
          </cell>
          <cell r="L4995">
            <v>2.7537883999999999</v>
          </cell>
          <cell r="M4995">
            <v>1.2158901</v>
          </cell>
          <cell r="N4995">
            <v>0</v>
          </cell>
          <cell r="O4995">
            <v>3.8772099999999997E-2</v>
          </cell>
          <cell r="P4995">
            <v>0</v>
          </cell>
          <cell r="Q4995">
            <v>0.5290241</v>
          </cell>
          <cell r="R4995">
            <v>0</v>
          </cell>
          <cell r="S4995">
            <v>0</v>
          </cell>
          <cell r="T4995">
            <v>0</v>
          </cell>
          <cell r="U4995">
            <v>86.055886999999998</v>
          </cell>
          <cell r="V4995">
            <v>0</v>
          </cell>
          <cell r="W4995">
            <v>0</v>
          </cell>
          <cell r="X4995">
            <v>0.28908840000000002</v>
          </cell>
          <cell r="Y4995">
            <v>0</v>
          </cell>
          <cell r="Z4995">
            <v>0</v>
          </cell>
          <cell r="AA4995">
            <v>0</v>
          </cell>
          <cell r="AB4995">
            <v>0.1117475</v>
          </cell>
        </row>
        <row r="4996">
          <cell r="A4996">
            <v>75205013</v>
          </cell>
          <cell r="B4996" t="str">
            <v>Beans, string, green, cooked, from canned, NS as to fat added in cooking</v>
          </cell>
          <cell r="I4996">
            <v>130</v>
          </cell>
          <cell r="J4996">
            <v>51.428455</v>
          </cell>
          <cell r="K4996">
            <v>0.3956035</v>
          </cell>
          <cell r="L4996">
            <v>2.3898842</v>
          </cell>
          <cell r="M4996">
            <v>1.5031726000000001</v>
          </cell>
          <cell r="N4996">
            <v>0</v>
          </cell>
          <cell r="O4996">
            <v>4.7505199999999997E-2</v>
          </cell>
          <cell r="P4996">
            <v>0</v>
          </cell>
          <cell r="Q4996">
            <v>0.74813240000000003</v>
          </cell>
          <cell r="R4996">
            <v>0</v>
          </cell>
          <cell r="S4996">
            <v>0</v>
          </cell>
          <cell r="T4996">
            <v>0</v>
          </cell>
          <cell r="U4996">
            <v>125.78337999999999</v>
          </cell>
          <cell r="V4996">
            <v>0</v>
          </cell>
          <cell r="W4996">
            <v>0</v>
          </cell>
          <cell r="X4996">
            <v>0.49010769999999998</v>
          </cell>
          <cell r="Y4996">
            <v>0</v>
          </cell>
          <cell r="Z4996">
            <v>0</v>
          </cell>
          <cell r="AA4996">
            <v>0</v>
          </cell>
          <cell r="AB4996">
            <v>0.13344400000000001</v>
          </cell>
        </row>
        <row r="4997">
          <cell r="A4997">
            <v>75205020</v>
          </cell>
          <cell r="B4997" t="str">
            <v>Beans, string, green, cooked, NS as to form, fat not added in cooking</v>
          </cell>
          <cell r="I4997">
            <v>90</v>
          </cell>
          <cell r="J4997">
            <v>25.014706</v>
          </cell>
          <cell r="K4997">
            <v>0.27794117777777777</v>
          </cell>
          <cell r="L4997">
            <v>2.6801471000000001</v>
          </cell>
          <cell r="M4997">
            <v>3.9308799999999998E-2</v>
          </cell>
          <cell r="N4997">
            <v>0</v>
          </cell>
          <cell r="O4997">
            <v>3.7680900000000003E-2</v>
          </cell>
          <cell r="P4997">
            <v>0</v>
          </cell>
          <cell r="Q4997">
            <v>7.41507E-2</v>
          </cell>
          <cell r="R4997">
            <v>0</v>
          </cell>
          <cell r="S4997">
            <v>0</v>
          </cell>
          <cell r="T4997">
            <v>0</v>
          </cell>
          <cell r="U4997">
            <v>89.338234999999997</v>
          </cell>
          <cell r="V4997">
            <v>0</v>
          </cell>
          <cell r="W4997">
            <v>0</v>
          </cell>
          <cell r="X4997">
            <v>0.2573801</v>
          </cell>
          <cell r="Y4997">
            <v>0</v>
          </cell>
          <cell r="Z4997">
            <v>0</v>
          </cell>
          <cell r="AA4997">
            <v>0</v>
          </cell>
          <cell r="AB4997">
            <v>0</v>
          </cell>
        </row>
        <row r="4998">
          <cell r="A4998">
            <v>75205021</v>
          </cell>
          <cell r="B4998" t="str">
            <v>Beans, string, green, cooked, from fresh, fat not added in cooking</v>
          </cell>
          <cell r="I4998">
            <v>90</v>
          </cell>
          <cell r="J4998">
            <v>31.25</v>
          </cell>
          <cell r="K4998">
            <v>0.34722222222222221</v>
          </cell>
          <cell r="L4998">
            <v>2.8571428999999999</v>
          </cell>
          <cell r="M4998">
            <v>5.7142900000000003E-2</v>
          </cell>
          <cell r="N4998">
            <v>0</v>
          </cell>
          <cell r="O4998">
            <v>3.9457100000000002E-2</v>
          </cell>
          <cell r="P4998">
            <v>0</v>
          </cell>
          <cell r="Q4998">
            <v>0.1294643</v>
          </cell>
          <cell r="R4998">
            <v>0</v>
          </cell>
          <cell r="S4998">
            <v>0</v>
          </cell>
          <cell r="T4998">
            <v>0</v>
          </cell>
          <cell r="U4998">
            <v>89.285713999999999</v>
          </cell>
          <cell r="V4998">
            <v>0</v>
          </cell>
          <cell r="W4998">
            <v>0</v>
          </cell>
          <cell r="X4998">
            <v>0.27773569999999997</v>
          </cell>
          <cell r="Y4998">
            <v>0</v>
          </cell>
          <cell r="Z4998">
            <v>0</v>
          </cell>
          <cell r="AA4998">
            <v>0</v>
          </cell>
          <cell r="AB4998">
            <v>0</v>
          </cell>
        </row>
        <row r="4999">
          <cell r="A4999">
            <v>75205022</v>
          </cell>
          <cell r="B4999" t="str">
            <v>Beans, string, green, cooked, from frozen, fat not added in cooking</v>
          </cell>
          <cell r="I4999">
            <v>90</v>
          </cell>
          <cell r="J4999">
            <v>25.014706</v>
          </cell>
          <cell r="K4999">
            <v>0.27794117777777777</v>
          </cell>
          <cell r="L4999">
            <v>2.6801471000000001</v>
          </cell>
          <cell r="M4999">
            <v>3.9308799999999998E-2</v>
          </cell>
          <cell r="N4999">
            <v>0</v>
          </cell>
          <cell r="O4999">
            <v>3.7680900000000003E-2</v>
          </cell>
          <cell r="P4999">
            <v>0</v>
          </cell>
          <cell r="Q4999">
            <v>7.41507E-2</v>
          </cell>
          <cell r="R4999">
            <v>0</v>
          </cell>
          <cell r="S4999">
            <v>0</v>
          </cell>
          <cell r="T4999">
            <v>0</v>
          </cell>
          <cell r="U4999">
            <v>89.338234999999997</v>
          </cell>
          <cell r="V4999">
            <v>0</v>
          </cell>
          <cell r="W4999">
            <v>0</v>
          </cell>
          <cell r="X4999">
            <v>0.2573801</v>
          </cell>
          <cell r="Y4999">
            <v>0</v>
          </cell>
          <cell r="Z4999">
            <v>0</v>
          </cell>
          <cell r="AA4999">
            <v>0</v>
          </cell>
          <cell r="AB4999">
            <v>0</v>
          </cell>
        </row>
        <row r="5000">
          <cell r="A5000">
            <v>75205023</v>
          </cell>
          <cell r="B5000" t="str">
            <v>Beans, string, green, cooked, from canned, fat not added in cooking</v>
          </cell>
          <cell r="I5000">
            <v>130</v>
          </cell>
          <cell r="J5000">
            <v>27.228814</v>
          </cell>
          <cell r="K5000">
            <v>0.20945241538461537</v>
          </cell>
          <cell r="L5000">
            <v>2.4635593</v>
          </cell>
          <cell r="M5000">
            <v>0.1205847</v>
          </cell>
          <cell r="N5000">
            <v>0</v>
          </cell>
          <cell r="O5000">
            <v>4.8055899999999999E-2</v>
          </cell>
          <cell r="P5000">
            <v>0</v>
          </cell>
          <cell r="Q5000">
            <v>0.27358470000000001</v>
          </cell>
          <cell r="R5000">
            <v>0</v>
          </cell>
          <cell r="S5000">
            <v>0</v>
          </cell>
          <cell r="T5000">
            <v>0</v>
          </cell>
          <cell r="U5000">
            <v>129.66102000000001</v>
          </cell>
          <cell r="V5000">
            <v>0</v>
          </cell>
          <cell r="W5000">
            <v>0</v>
          </cell>
          <cell r="X5000">
            <v>0.47887459999999998</v>
          </cell>
          <cell r="Y5000">
            <v>0</v>
          </cell>
          <cell r="Z5000">
            <v>0</v>
          </cell>
          <cell r="AA5000">
            <v>0</v>
          </cell>
          <cell r="AB5000">
            <v>0</v>
          </cell>
        </row>
        <row r="5001">
          <cell r="A5001">
            <v>75205030</v>
          </cell>
          <cell r="B5001" t="str">
            <v>Beans, string, green, cooked, NS as to form, fat added in cooking, NS as to type of fat</v>
          </cell>
          <cell r="I5001">
            <v>90</v>
          </cell>
          <cell r="J5001">
            <v>43.632618000000001</v>
          </cell>
          <cell r="K5001">
            <v>0.48480686666666667</v>
          </cell>
          <cell r="L5001">
            <v>2.5900845000000001</v>
          </cell>
          <cell r="M5001">
            <v>1.1163164000000001</v>
          </cell>
          <cell r="N5001">
            <v>0</v>
          </cell>
          <cell r="O5001">
            <v>3.7104199999999997E-2</v>
          </cell>
          <cell r="P5001">
            <v>0</v>
          </cell>
          <cell r="Q5001">
            <v>0.44717709999999999</v>
          </cell>
          <cell r="R5001">
            <v>0</v>
          </cell>
          <cell r="S5001">
            <v>0</v>
          </cell>
          <cell r="T5001">
            <v>0</v>
          </cell>
          <cell r="U5001">
            <v>86.336150000000004</v>
          </cell>
          <cell r="V5001">
            <v>0</v>
          </cell>
          <cell r="W5001">
            <v>0</v>
          </cell>
          <cell r="X5001">
            <v>0.26861010000000002</v>
          </cell>
          <cell r="Y5001">
            <v>0</v>
          </cell>
          <cell r="Z5001">
            <v>0</v>
          </cell>
          <cell r="AA5001">
            <v>0</v>
          </cell>
          <cell r="AB5001">
            <v>0.10380689999999999</v>
          </cell>
        </row>
        <row r="5002">
          <cell r="A5002">
            <v>75205031</v>
          </cell>
          <cell r="B5002" t="str">
            <v>Beans, string, green, cooked, from fresh, fat added in cooking, NS as to type of fat</v>
          </cell>
          <cell r="I5002">
            <v>90</v>
          </cell>
          <cell r="J5002">
            <v>51.066516999999997</v>
          </cell>
          <cell r="K5002">
            <v>0.56740574444444447</v>
          </cell>
          <cell r="L5002">
            <v>2.7537883999999999</v>
          </cell>
          <cell r="M5002">
            <v>1.2158901</v>
          </cell>
          <cell r="N5002">
            <v>0</v>
          </cell>
          <cell r="O5002">
            <v>3.8772099999999997E-2</v>
          </cell>
          <cell r="P5002">
            <v>0</v>
          </cell>
          <cell r="Q5002">
            <v>0.5290241</v>
          </cell>
          <cell r="R5002">
            <v>0</v>
          </cell>
          <cell r="S5002">
            <v>0</v>
          </cell>
          <cell r="T5002">
            <v>0</v>
          </cell>
          <cell r="U5002">
            <v>86.055886999999998</v>
          </cell>
          <cell r="V5002">
            <v>0</v>
          </cell>
          <cell r="W5002">
            <v>0</v>
          </cell>
          <cell r="X5002">
            <v>0.28908840000000002</v>
          </cell>
          <cell r="Y5002">
            <v>0</v>
          </cell>
          <cell r="Z5002">
            <v>0</v>
          </cell>
          <cell r="AA5002">
            <v>0</v>
          </cell>
          <cell r="AB5002">
            <v>0.1117475</v>
          </cell>
        </row>
        <row r="5003">
          <cell r="A5003">
            <v>75205032</v>
          </cell>
          <cell r="B5003" t="str">
            <v>Beans, string, green, cooked, from frozen, fat added in cooking</v>
          </cell>
          <cell r="I5003">
            <v>90</v>
          </cell>
          <cell r="J5003">
            <v>40.526854</v>
          </cell>
          <cell r="K5003">
            <v>0.45029837777777776</v>
          </cell>
          <cell r="L5003">
            <v>2.5895141000000002</v>
          </cell>
          <cell r="M5003">
            <v>0.40717900000000001</v>
          </cell>
          <cell r="N5003">
            <v>0</v>
          </cell>
          <cell r="O5003">
            <v>3.7045000000000002E-2</v>
          </cell>
          <cell r="P5003">
            <v>0</v>
          </cell>
          <cell r="Q5003">
            <v>0.88509970000000004</v>
          </cell>
          <cell r="R5003">
            <v>0</v>
          </cell>
          <cell r="S5003">
            <v>0</v>
          </cell>
          <cell r="T5003">
            <v>0</v>
          </cell>
          <cell r="U5003">
            <v>86.317136000000005</v>
          </cell>
          <cell r="V5003">
            <v>0</v>
          </cell>
          <cell r="W5003">
            <v>0</v>
          </cell>
          <cell r="X5003">
            <v>0.25842120000000002</v>
          </cell>
          <cell r="Y5003">
            <v>0</v>
          </cell>
          <cell r="Z5003">
            <v>0</v>
          </cell>
          <cell r="AA5003">
            <v>0</v>
          </cell>
          <cell r="AB5003">
            <v>0.10380689999999999</v>
          </cell>
        </row>
        <row r="5004">
          <cell r="A5004">
            <v>75205033</v>
          </cell>
          <cell r="B5004" t="str">
            <v>Beans, string, green, cooked, from canned, fat added in cooking, NS as to type of fat</v>
          </cell>
          <cell r="I5004">
            <v>130</v>
          </cell>
          <cell r="J5004">
            <v>51.428455</v>
          </cell>
          <cell r="K5004">
            <v>0.3956035</v>
          </cell>
          <cell r="L5004">
            <v>2.3898842</v>
          </cell>
          <cell r="M5004">
            <v>1.5031726000000001</v>
          </cell>
          <cell r="N5004">
            <v>0</v>
          </cell>
          <cell r="O5004">
            <v>4.7505199999999997E-2</v>
          </cell>
          <cell r="P5004">
            <v>0</v>
          </cell>
          <cell r="Q5004">
            <v>0.74813240000000003</v>
          </cell>
          <cell r="R5004">
            <v>0</v>
          </cell>
          <cell r="S5004">
            <v>0</v>
          </cell>
          <cell r="T5004">
            <v>0</v>
          </cell>
          <cell r="U5004">
            <v>125.78337999999999</v>
          </cell>
          <cell r="V5004">
            <v>0</v>
          </cell>
          <cell r="W5004">
            <v>0</v>
          </cell>
          <cell r="X5004">
            <v>0.49010769999999998</v>
          </cell>
          <cell r="Y5004">
            <v>0</v>
          </cell>
          <cell r="Z5004">
            <v>0</v>
          </cell>
          <cell r="AA5004">
            <v>0</v>
          </cell>
          <cell r="AB5004">
            <v>0.13344400000000001</v>
          </cell>
        </row>
        <row r="5005">
          <cell r="A5005">
            <v>75205041</v>
          </cell>
          <cell r="B5005" t="str">
            <v>Beans, string, green, cooked, NS as to form, made with oil</v>
          </cell>
          <cell r="I5005">
            <v>90</v>
          </cell>
          <cell r="J5005">
            <v>49.964820000000003</v>
          </cell>
          <cell r="K5005">
            <v>0.55516466666666675</v>
          </cell>
          <cell r="L5005">
            <v>2.5935307999999999</v>
          </cell>
          <cell r="M5005">
            <v>0.4358341</v>
          </cell>
          <cell r="N5005">
            <v>0</v>
          </cell>
          <cell r="O5005">
            <v>3.64704E-2</v>
          </cell>
          <cell r="P5005">
            <v>0</v>
          </cell>
          <cell r="Q5005">
            <v>1.2697981</v>
          </cell>
          <cell r="R5005">
            <v>0</v>
          </cell>
          <cell r="S5005">
            <v>0</v>
          </cell>
          <cell r="T5005">
            <v>0</v>
          </cell>
          <cell r="U5005">
            <v>86.451025000000001</v>
          </cell>
          <cell r="V5005">
            <v>0</v>
          </cell>
          <cell r="W5005">
            <v>0</v>
          </cell>
          <cell r="X5005">
            <v>0.24907670000000001</v>
          </cell>
          <cell r="Y5005">
            <v>0</v>
          </cell>
          <cell r="Z5005">
            <v>0</v>
          </cell>
          <cell r="AA5005">
            <v>0</v>
          </cell>
          <cell r="AB5005">
            <v>1.0306600000000001E-2</v>
          </cell>
        </row>
        <row r="5006">
          <cell r="A5006">
            <v>75205042</v>
          </cell>
          <cell r="B5006" t="str">
            <v>Beans, string, green, cooked, NS as to form, made with butter</v>
          </cell>
          <cell r="I5006">
            <v>90</v>
          </cell>
          <cell r="J5006">
            <v>45.858519999999999</v>
          </cell>
          <cell r="K5006">
            <v>0.50953911111111105</v>
          </cell>
          <cell r="L5006">
            <v>2.5900845000000001</v>
          </cell>
          <cell r="M5006">
            <v>1.5915223000000001</v>
          </cell>
          <cell r="N5006">
            <v>0</v>
          </cell>
          <cell r="O5006">
            <v>3.71405E-2</v>
          </cell>
          <cell r="P5006">
            <v>0</v>
          </cell>
          <cell r="Q5006">
            <v>0.16368920000000001</v>
          </cell>
          <cell r="R5006">
            <v>0</v>
          </cell>
          <cell r="S5006">
            <v>0</v>
          </cell>
          <cell r="T5006">
            <v>0</v>
          </cell>
          <cell r="U5006">
            <v>86.336150000000004</v>
          </cell>
          <cell r="V5006">
            <v>0</v>
          </cell>
          <cell r="W5006">
            <v>0</v>
          </cell>
          <cell r="X5006">
            <v>0.26817760000000002</v>
          </cell>
          <cell r="Y5006">
            <v>0</v>
          </cell>
          <cell r="Z5006">
            <v>0</v>
          </cell>
          <cell r="AA5006">
            <v>0</v>
          </cell>
          <cell r="AB5006">
            <v>9.9137299999999998E-2</v>
          </cell>
        </row>
        <row r="5007">
          <cell r="A5007">
            <v>75205043</v>
          </cell>
          <cell r="B5007" t="str">
            <v>Beans, string, green, cooked, NS as to form, made with margarine</v>
          </cell>
          <cell r="I5007">
            <v>90</v>
          </cell>
          <cell r="J5007">
            <v>40.424864999999997</v>
          </cell>
          <cell r="K5007">
            <v>0.44916516666666662</v>
          </cell>
          <cell r="L5007">
            <v>2.5893117000000001</v>
          </cell>
          <cell r="M5007">
            <v>0.40663260000000001</v>
          </cell>
          <cell r="N5007">
            <v>0</v>
          </cell>
          <cell r="O5007">
            <v>3.7044399999999998E-2</v>
          </cell>
          <cell r="P5007">
            <v>0</v>
          </cell>
          <cell r="Q5007">
            <v>0.8792584</v>
          </cell>
          <cell r="R5007">
            <v>0</v>
          </cell>
          <cell r="S5007">
            <v>0</v>
          </cell>
          <cell r="T5007">
            <v>0</v>
          </cell>
          <cell r="U5007">
            <v>86.310390999999996</v>
          </cell>
          <cell r="V5007">
            <v>0</v>
          </cell>
          <cell r="W5007">
            <v>0</v>
          </cell>
          <cell r="X5007">
            <v>0.2692311</v>
          </cell>
          <cell r="Y5007">
            <v>0</v>
          </cell>
          <cell r="Z5007">
            <v>0</v>
          </cell>
          <cell r="AA5007">
            <v>0</v>
          </cell>
          <cell r="AB5007">
            <v>0.111762</v>
          </cell>
        </row>
        <row r="5008">
          <cell r="A5008">
            <v>75205044</v>
          </cell>
          <cell r="B5008" t="str">
            <v>Beans, string, green, cooked, from fresh, made with oil</v>
          </cell>
          <cell r="I5008">
            <v>90</v>
          </cell>
          <cell r="J5008">
            <v>57.894438000000001</v>
          </cell>
          <cell r="K5008">
            <v>0.64327153333333331</v>
          </cell>
          <cell r="L5008">
            <v>2.7577330999999998</v>
          </cell>
          <cell r="M5008">
            <v>0.48342299999999999</v>
          </cell>
          <cell r="N5008">
            <v>0</v>
          </cell>
          <cell r="O5008">
            <v>3.8092099999999997E-2</v>
          </cell>
          <cell r="P5008">
            <v>0</v>
          </cell>
          <cell r="Q5008">
            <v>1.4147780999999999</v>
          </cell>
          <cell r="R5008">
            <v>0</v>
          </cell>
          <cell r="S5008">
            <v>0</v>
          </cell>
          <cell r="T5008">
            <v>0</v>
          </cell>
          <cell r="U5008">
            <v>86.179160999999993</v>
          </cell>
          <cell r="V5008">
            <v>0</v>
          </cell>
          <cell r="W5008">
            <v>0</v>
          </cell>
          <cell r="X5008">
            <v>0.26808799999999999</v>
          </cell>
          <cell r="Y5008">
            <v>0</v>
          </cell>
          <cell r="Z5008">
            <v>0</v>
          </cell>
          <cell r="AA5008">
            <v>0</v>
          </cell>
          <cell r="AB5008">
            <v>1.1096099999999999E-2</v>
          </cell>
        </row>
        <row r="5009">
          <cell r="A5009">
            <v>75205045</v>
          </cell>
          <cell r="B5009" t="str">
            <v>Beans, string, green, cooked, from fresh, made with butter</v>
          </cell>
          <cell r="I5009">
            <v>90</v>
          </cell>
          <cell r="J5009">
            <v>53.462688</v>
          </cell>
          <cell r="K5009">
            <v>0.59402986666666668</v>
          </cell>
          <cell r="L5009">
            <v>2.7537883999999999</v>
          </cell>
          <cell r="M5009">
            <v>1.7274464</v>
          </cell>
          <cell r="N5009">
            <v>0</v>
          </cell>
          <cell r="O5009">
            <v>3.8811199999999997E-2</v>
          </cell>
          <cell r="P5009">
            <v>0</v>
          </cell>
          <cell r="Q5009">
            <v>0.22385099999999999</v>
          </cell>
          <cell r="R5009">
            <v>0</v>
          </cell>
          <cell r="S5009">
            <v>0</v>
          </cell>
          <cell r="T5009">
            <v>0</v>
          </cell>
          <cell r="U5009">
            <v>86.055886999999998</v>
          </cell>
          <cell r="V5009">
            <v>0</v>
          </cell>
          <cell r="W5009">
            <v>0</v>
          </cell>
          <cell r="X5009">
            <v>0.28862280000000001</v>
          </cell>
          <cell r="Y5009">
            <v>0</v>
          </cell>
          <cell r="Z5009">
            <v>0</v>
          </cell>
          <cell r="AA5009">
            <v>0</v>
          </cell>
          <cell r="AB5009">
            <v>0.1067207</v>
          </cell>
        </row>
        <row r="5010">
          <cell r="A5010">
            <v>75205046</v>
          </cell>
          <cell r="B5010" t="str">
            <v>Beans, string, green, cooked, from fresh, made with margarine</v>
          </cell>
          <cell r="I5010">
            <v>90</v>
          </cell>
          <cell r="J5010">
            <v>47.611080999999999</v>
          </cell>
          <cell r="K5010">
            <v>0.52901201111111107</v>
          </cell>
          <cell r="L5010">
            <v>2.7529039000000002</v>
          </cell>
          <cell r="M5010">
            <v>0.4519051</v>
          </cell>
          <cell r="N5010">
            <v>0</v>
          </cell>
          <cell r="O5010">
            <v>3.8707100000000001E-2</v>
          </cell>
          <cell r="P5010">
            <v>0</v>
          </cell>
          <cell r="Q5010">
            <v>0.99412020000000001</v>
          </cell>
          <cell r="R5010">
            <v>0</v>
          </cell>
          <cell r="S5010">
            <v>0</v>
          </cell>
          <cell r="T5010">
            <v>0</v>
          </cell>
          <cell r="U5010">
            <v>86.028248000000005</v>
          </cell>
          <cell r="V5010">
            <v>0</v>
          </cell>
          <cell r="W5010">
            <v>0</v>
          </cell>
          <cell r="X5010">
            <v>0.28975030000000002</v>
          </cell>
          <cell r="Y5010">
            <v>0</v>
          </cell>
          <cell r="Z5010">
            <v>0</v>
          </cell>
          <cell r="AA5010">
            <v>0</v>
          </cell>
          <cell r="AB5010">
            <v>0.1203084</v>
          </cell>
        </row>
        <row r="5011">
          <cell r="A5011">
            <v>75205047</v>
          </cell>
          <cell r="B5011" t="str">
            <v>Beans, string, green, cooked, from frozen, made with oil</v>
          </cell>
          <cell r="I5011">
            <v>90</v>
          </cell>
          <cell r="J5011">
            <v>49.964820000000003</v>
          </cell>
          <cell r="K5011">
            <v>0.55516466666666675</v>
          </cell>
          <cell r="L5011">
            <v>2.5935307999999999</v>
          </cell>
          <cell r="M5011">
            <v>0.4358341</v>
          </cell>
          <cell r="N5011">
            <v>0</v>
          </cell>
          <cell r="O5011">
            <v>3.64704E-2</v>
          </cell>
          <cell r="P5011">
            <v>0</v>
          </cell>
          <cell r="Q5011">
            <v>1.2697981</v>
          </cell>
          <cell r="R5011">
            <v>0</v>
          </cell>
          <cell r="S5011">
            <v>0</v>
          </cell>
          <cell r="T5011">
            <v>0</v>
          </cell>
          <cell r="U5011">
            <v>86.451025000000001</v>
          </cell>
          <cell r="V5011">
            <v>0</v>
          </cell>
          <cell r="W5011">
            <v>0</v>
          </cell>
          <cell r="X5011">
            <v>0.24907670000000001</v>
          </cell>
          <cell r="Y5011">
            <v>0</v>
          </cell>
          <cell r="Z5011">
            <v>0</v>
          </cell>
          <cell r="AA5011">
            <v>0</v>
          </cell>
          <cell r="AB5011">
            <v>1.0306600000000001E-2</v>
          </cell>
        </row>
        <row r="5012">
          <cell r="A5012">
            <v>75205048</v>
          </cell>
          <cell r="B5012" t="str">
            <v>Beans, string, green, cooked, from frozen, made with butter</v>
          </cell>
          <cell r="I5012">
            <v>90</v>
          </cell>
          <cell r="J5012">
            <v>45.858519999999999</v>
          </cell>
          <cell r="K5012">
            <v>0.50953911111111105</v>
          </cell>
          <cell r="L5012">
            <v>2.5900845000000001</v>
          </cell>
          <cell r="M5012">
            <v>1.5915223000000001</v>
          </cell>
          <cell r="N5012">
            <v>0</v>
          </cell>
          <cell r="O5012">
            <v>3.71405E-2</v>
          </cell>
          <cell r="P5012">
            <v>0</v>
          </cell>
          <cell r="Q5012">
            <v>0.16368920000000001</v>
          </cell>
          <cell r="R5012">
            <v>0</v>
          </cell>
          <cell r="S5012">
            <v>0</v>
          </cell>
          <cell r="T5012">
            <v>0</v>
          </cell>
          <cell r="U5012">
            <v>86.336150000000004</v>
          </cell>
          <cell r="V5012">
            <v>0</v>
          </cell>
          <cell r="W5012">
            <v>0</v>
          </cell>
          <cell r="X5012">
            <v>0.26817760000000002</v>
          </cell>
          <cell r="Y5012">
            <v>0</v>
          </cell>
          <cell r="Z5012">
            <v>0</v>
          </cell>
          <cell r="AA5012">
            <v>0</v>
          </cell>
          <cell r="AB5012">
            <v>9.9137299999999998E-2</v>
          </cell>
        </row>
        <row r="5013">
          <cell r="A5013">
            <v>75205049</v>
          </cell>
          <cell r="B5013" t="str">
            <v>Beans, string, green, cooked, from frozen, made with margarine</v>
          </cell>
          <cell r="I5013">
            <v>90</v>
          </cell>
          <cell r="J5013">
            <v>40.424864999999997</v>
          </cell>
          <cell r="K5013">
            <v>0.44916516666666662</v>
          </cell>
          <cell r="L5013">
            <v>2.5893117000000001</v>
          </cell>
          <cell r="M5013">
            <v>0.40663260000000001</v>
          </cell>
          <cell r="N5013">
            <v>0</v>
          </cell>
          <cell r="O5013">
            <v>3.7044399999999998E-2</v>
          </cell>
          <cell r="P5013">
            <v>0</v>
          </cell>
          <cell r="Q5013">
            <v>0.8792584</v>
          </cell>
          <cell r="R5013">
            <v>0</v>
          </cell>
          <cell r="S5013">
            <v>0</v>
          </cell>
          <cell r="T5013">
            <v>0</v>
          </cell>
          <cell r="U5013">
            <v>86.310390999999996</v>
          </cell>
          <cell r="V5013">
            <v>0</v>
          </cell>
          <cell r="W5013">
            <v>0</v>
          </cell>
          <cell r="X5013">
            <v>0.2692311</v>
          </cell>
          <cell r="Y5013">
            <v>0</v>
          </cell>
          <cell r="Z5013">
            <v>0</v>
          </cell>
          <cell r="AA5013">
            <v>0</v>
          </cell>
          <cell r="AB5013">
            <v>0.111762</v>
          </cell>
        </row>
        <row r="5014">
          <cell r="A5014">
            <v>75205050</v>
          </cell>
          <cell r="B5014" t="str">
            <v>Beans, string, green, cooked, from canned, made with oil</v>
          </cell>
          <cell r="I5014">
            <v>130</v>
          </cell>
          <cell r="J5014">
            <v>59.553593999999997</v>
          </cell>
          <cell r="K5014">
            <v>0.4581045692307692</v>
          </cell>
          <cell r="L5014">
            <v>2.3927138000000001</v>
          </cell>
          <cell r="M5014">
            <v>0.62840949999999995</v>
          </cell>
          <cell r="N5014">
            <v>0</v>
          </cell>
          <cell r="O5014">
            <v>4.6683299999999997E-2</v>
          </cell>
          <cell r="P5014">
            <v>0</v>
          </cell>
          <cell r="Q5014">
            <v>1.8055798999999999</v>
          </cell>
          <cell r="R5014">
            <v>0</v>
          </cell>
          <cell r="S5014">
            <v>0</v>
          </cell>
          <cell r="T5014">
            <v>0</v>
          </cell>
          <cell r="U5014">
            <v>125.9323</v>
          </cell>
          <cell r="V5014">
            <v>0</v>
          </cell>
          <cell r="W5014">
            <v>0</v>
          </cell>
          <cell r="X5014">
            <v>0.46512209999999998</v>
          </cell>
          <cell r="Y5014">
            <v>0</v>
          </cell>
          <cell r="Z5014">
            <v>0</v>
          </cell>
          <cell r="AA5014">
            <v>0</v>
          </cell>
          <cell r="AB5014">
            <v>1.9548599999999999E-2</v>
          </cell>
        </row>
        <row r="5015">
          <cell r="A5015">
            <v>75205051</v>
          </cell>
          <cell r="B5015" t="str">
            <v>Beans, string, green, cooked, from canned, made with butter</v>
          </cell>
          <cell r="I5015">
            <v>130</v>
          </cell>
          <cell r="J5015">
            <v>54.289858000000002</v>
          </cell>
          <cell r="K5015">
            <v>0.41761429230769231</v>
          </cell>
          <cell r="L5015">
            <v>2.3898842</v>
          </cell>
          <cell r="M5015">
            <v>2.1140509000000001</v>
          </cell>
          <cell r="N5015">
            <v>0</v>
          </cell>
          <cell r="O5015">
            <v>4.7551799999999998E-2</v>
          </cell>
          <cell r="P5015">
            <v>0</v>
          </cell>
          <cell r="Q5015">
            <v>0.38370789999999999</v>
          </cell>
          <cell r="R5015">
            <v>0</v>
          </cell>
          <cell r="S5015">
            <v>0</v>
          </cell>
          <cell r="T5015">
            <v>0</v>
          </cell>
          <cell r="U5015">
            <v>125.78337999999999</v>
          </cell>
          <cell r="V5015">
            <v>0</v>
          </cell>
          <cell r="W5015">
            <v>0</v>
          </cell>
          <cell r="X5015">
            <v>0.48955179999999998</v>
          </cell>
          <cell r="Y5015">
            <v>0</v>
          </cell>
          <cell r="Z5015">
            <v>0</v>
          </cell>
          <cell r="AA5015">
            <v>0</v>
          </cell>
          <cell r="AB5015">
            <v>0.12744130000000001</v>
          </cell>
        </row>
        <row r="5016">
          <cell r="A5016">
            <v>75205052</v>
          </cell>
          <cell r="B5016" t="str">
            <v>Beans, string, green, cooked, from canned, made with margarine</v>
          </cell>
          <cell r="I5016">
            <v>130</v>
          </cell>
          <cell r="J5016">
            <v>47.307823999999997</v>
          </cell>
          <cell r="K5016">
            <v>0.36390633846153841</v>
          </cell>
          <cell r="L5016">
            <v>2.3892495999999999</v>
          </cell>
          <cell r="M5016">
            <v>0.59087129999999999</v>
          </cell>
          <cell r="N5016">
            <v>0</v>
          </cell>
          <cell r="O5016">
            <v>4.7429899999999997E-2</v>
          </cell>
          <cell r="P5016">
            <v>0</v>
          </cell>
          <cell r="Q5016">
            <v>1.3035650999999999</v>
          </cell>
          <cell r="R5016">
            <v>0</v>
          </cell>
          <cell r="S5016">
            <v>0</v>
          </cell>
          <cell r="T5016">
            <v>0</v>
          </cell>
          <cell r="U5016">
            <v>125.74997999999999</v>
          </cell>
          <cell r="V5016">
            <v>0</v>
          </cell>
          <cell r="W5016">
            <v>0</v>
          </cell>
          <cell r="X5016">
            <v>0.49087890000000001</v>
          </cell>
          <cell r="Y5016">
            <v>0</v>
          </cell>
          <cell r="Z5016">
            <v>0</v>
          </cell>
          <cell r="AA5016">
            <v>0</v>
          </cell>
          <cell r="AB5016">
            <v>0.1436751</v>
          </cell>
        </row>
        <row r="5017">
          <cell r="A5017">
            <v>75205110</v>
          </cell>
          <cell r="B5017" t="str">
            <v>Beans, string, green, canned, low sodium, NS as to fat added in cooking</v>
          </cell>
          <cell r="I5017">
            <v>130</v>
          </cell>
          <cell r="J5017">
            <v>52.819901000000002</v>
          </cell>
          <cell r="K5017">
            <v>0.4063069307692308</v>
          </cell>
          <cell r="L5017">
            <v>2.3959448999999999</v>
          </cell>
          <cell r="M5017">
            <v>1.5195947999999999</v>
          </cell>
          <cell r="N5017">
            <v>0</v>
          </cell>
          <cell r="O5017">
            <v>4.88076E-2</v>
          </cell>
          <cell r="P5017">
            <v>0</v>
          </cell>
          <cell r="Q5017">
            <v>0.77903319999999998</v>
          </cell>
          <cell r="R5017">
            <v>0</v>
          </cell>
          <cell r="S5017">
            <v>0</v>
          </cell>
          <cell r="T5017">
            <v>0</v>
          </cell>
          <cell r="U5017">
            <v>126.10236999999999</v>
          </cell>
          <cell r="V5017">
            <v>0</v>
          </cell>
          <cell r="W5017">
            <v>0</v>
          </cell>
          <cell r="X5017">
            <v>2.8141200000000002E-2</v>
          </cell>
          <cell r="Y5017">
            <v>0</v>
          </cell>
          <cell r="Z5017">
            <v>0</v>
          </cell>
          <cell r="AA5017">
            <v>0</v>
          </cell>
          <cell r="AB5017">
            <v>0.1337824</v>
          </cell>
        </row>
        <row r="5018">
          <cell r="A5018">
            <v>75205120</v>
          </cell>
          <cell r="B5018" t="str">
            <v>Beans, string, green, canned, low sodium, fat not added in cooking</v>
          </cell>
          <cell r="I5018">
            <v>130</v>
          </cell>
          <cell r="J5018">
            <v>28.6</v>
          </cell>
          <cell r="K5018">
            <v>0.22</v>
          </cell>
          <cell r="L5018">
            <v>2.4700000000000002</v>
          </cell>
          <cell r="M5018">
            <v>0.13389999999999999</v>
          </cell>
          <cell r="N5018">
            <v>0</v>
          </cell>
          <cell r="O5018">
            <v>4.9399999999999999E-2</v>
          </cell>
          <cell r="P5018">
            <v>0</v>
          </cell>
          <cell r="Q5018">
            <v>0.30420000000000003</v>
          </cell>
          <cell r="R5018">
            <v>0</v>
          </cell>
          <cell r="S5018">
            <v>0</v>
          </cell>
          <cell r="T5018">
            <v>0</v>
          </cell>
          <cell r="U5018">
            <v>130</v>
          </cell>
          <cell r="V5018">
            <v>0</v>
          </cell>
          <cell r="W5018">
            <v>0</v>
          </cell>
          <cell r="X5018">
            <v>2.5999999999999999E-3</v>
          </cell>
          <cell r="Y5018">
            <v>0</v>
          </cell>
          <cell r="Z5018">
            <v>0</v>
          </cell>
          <cell r="AA5018">
            <v>0</v>
          </cell>
          <cell r="AB5018">
            <v>0</v>
          </cell>
        </row>
        <row r="5019">
          <cell r="A5019">
            <v>75205130</v>
          </cell>
          <cell r="B5019" t="str">
            <v>Beans, string, green, canned, low sodium, fat added in cooking</v>
          </cell>
          <cell r="I5019">
            <v>130</v>
          </cell>
          <cell r="J5019">
            <v>47.546388</v>
          </cell>
          <cell r="K5019">
            <v>0.36574144615384618</v>
          </cell>
          <cell r="L5019">
            <v>3.1511407</v>
          </cell>
          <cell r="M5019">
            <v>0.58506429999999998</v>
          </cell>
          <cell r="N5019">
            <v>0</v>
          </cell>
          <cell r="O5019">
            <v>4.8727800000000002E-2</v>
          </cell>
          <cell r="P5019">
            <v>0</v>
          </cell>
          <cell r="Q5019">
            <v>1.2940487000000001</v>
          </cell>
          <cell r="R5019">
            <v>0</v>
          </cell>
          <cell r="S5019">
            <v>0</v>
          </cell>
          <cell r="T5019">
            <v>0</v>
          </cell>
          <cell r="U5019">
            <v>126.04563</v>
          </cell>
          <cell r="V5019">
            <v>0</v>
          </cell>
          <cell r="W5019">
            <v>0</v>
          </cell>
          <cell r="X5019">
            <v>2.7848700000000001E-2</v>
          </cell>
          <cell r="Y5019">
            <v>0</v>
          </cell>
          <cell r="Z5019">
            <v>0</v>
          </cell>
          <cell r="AA5019">
            <v>0</v>
          </cell>
          <cell r="AB5019">
            <v>0.1337824</v>
          </cell>
        </row>
        <row r="5020">
          <cell r="A5020">
            <v>75205131</v>
          </cell>
          <cell r="B5020" t="str">
            <v>Beans, string, green, canned, low sodium, made with oil</v>
          </cell>
          <cell r="I5020">
            <v>130</v>
          </cell>
          <cell r="J5020">
            <v>60.967320999999998</v>
          </cell>
          <cell r="K5020">
            <v>0.46897939230769231</v>
          </cell>
          <cell r="L5020">
            <v>2.3987889</v>
          </cell>
          <cell r="M5020">
            <v>0.64263029999999999</v>
          </cell>
          <cell r="N5020">
            <v>0</v>
          </cell>
          <cell r="O5020">
            <v>4.7985100000000003E-2</v>
          </cell>
          <cell r="P5020">
            <v>0</v>
          </cell>
          <cell r="Q5020">
            <v>1.8392021999999999</v>
          </cell>
          <cell r="R5020">
            <v>0</v>
          </cell>
          <cell r="S5020">
            <v>0</v>
          </cell>
          <cell r="T5020">
            <v>0</v>
          </cell>
          <cell r="U5020">
            <v>126.25205</v>
          </cell>
          <cell r="V5020">
            <v>0</v>
          </cell>
          <cell r="W5020">
            <v>0</v>
          </cell>
          <cell r="X5020">
            <v>2.5438000000000001E-3</v>
          </cell>
          <cell r="Y5020">
            <v>0</v>
          </cell>
          <cell r="Z5020">
            <v>0</v>
          </cell>
          <cell r="AA5020">
            <v>0</v>
          </cell>
          <cell r="AB5020">
            <v>1.9899E-2</v>
          </cell>
        </row>
        <row r="5021">
          <cell r="A5021">
            <v>75205132</v>
          </cell>
          <cell r="B5021" t="str">
            <v>Beans, string, green, canned, low sodium, made with butter</v>
          </cell>
          <cell r="I5021">
            <v>130</v>
          </cell>
          <cell r="J5021">
            <v>55.688560000000003</v>
          </cell>
          <cell r="K5021">
            <v>0.42837353846153847</v>
          </cell>
          <cell r="L5021">
            <v>2.3959448999999999</v>
          </cell>
          <cell r="M5021">
            <v>2.1320223999999999</v>
          </cell>
          <cell r="N5021">
            <v>0</v>
          </cell>
          <cell r="O5021">
            <v>4.8854300000000003E-2</v>
          </cell>
          <cell r="P5021">
            <v>0</v>
          </cell>
          <cell r="Q5021">
            <v>0.41368460000000001</v>
          </cell>
          <cell r="R5021">
            <v>0</v>
          </cell>
          <cell r="S5021">
            <v>0</v>
          </cell>
          <cell r="T5021">
            <v>0</v>
          </cell>
          <cell r="U5021">
            <v>126.10236999999999</v>
          </cell>
          <cell r="V5021">
            <v>0</v>
          </cell>
          <cell r="W5021">
            <v>0</v>
          </cell>
          <cell r="X5021">
            <v>2.7583799999999999E-2</v>
          </cell>
          <cell r="Y5021">
            <v>0</v>
          </cell>
          <cell r="Z5021">
            <v>0</v>
          </cell>
          <cell r="AA5021">
            <v>0</v>
          </cell>
          <cell r="AB5021">
            <v>0.1277645</v>
          </cell>
        </row>
        <row r="5022">
          <cell r="A5022">
            <v>75205133</v>
          </cell>
          <cell r="B5022" t="str">
            <v>Beans, string, green, canned, low sodium, made with margarine</v>
          </cell>
          <cell r="I5022">
            <v>130</v>
          </cell>
          <cell r="J5022">
            <v>48.688453000000003</v>
          </cell>
          <cell r="K5022">
            <v>0.37452656153846153</v>
          </cell>
          <cell r="L5022">
            <v>2.3953071000000001</v>
          </cell>
          <cell r="M5022">
            <v>0.60497619999999996</v>
          </cell>
          <cell r="N5022">
            <v>0</v>
          </cell>
          <cell r="O5022">
            <v>4.8731700000000003E-2</v>
          </cell>
          <cell r="P5022">
            <v>0</v>
          </cell>
          <cell r="Q5022">
            <v>1.3358658999999999</v>
          </cell>
          <cell r="R5022">
            <v>0</v>
          </cell>
          <cell r="S5022">
            <v>0</v>
          </cell>
          <cell r="T5022">
            <v>0</v>
          </cell>
          <cell r="U5022">
            <v>126.0688</v>
          </cell>
          <cell r="V5022">
            <v>0</v>
          </cell>
          <cell r="W5022">
            <v>0</v>
          </cell>
          <cell r="X5022">
            <v>2.9037299999999999E-2</v>
          </cell>
          <cell r="Y5022">
            <v>0</v>
          </cell>
          <cell r="Z5022">
            <v>0</v>
          </cell>
          <cell r="AA5022">
            <v>0</v>
          </cell>
          <cell r="AB5022">
            <v>0.14403930000000001</v>
          </cell>
        </row>
        <row r="5023">
          <cell r="A5023">
            <v>75206011</v>
          </cell>
          <cell r="B5023" t="str">
            <v>Beans, string, yellow, cooked, from fresh, fat not added in cooking</v>
          </cell>
          <cell r="I5023">
            <v>90</v>
          </cell>
          <cell r="J5023">
            <v>31.25</v>
          </cell>
          <cell r="K5023">
            <v>0.34722222222222221</v>
          </cell>
          <cell r="L5023">
            <v>2.9464286</v>
          </cell>
          <cell r="M5023">
            <v>5.7142900000000003E-2</v>
          </cell>
          <cell r="N5023">
            <v>0</v>
          </cell>
          <cell r="O5023">
            <v>4.1242899999999999E-2</v>
          </cell>
          <cell r="P5023">
            <v>0</v>
          </cell>
          <cell r="Q5023">
            <v>0.1294643</v>
          </cell>
          <cell r="R5023">
            <v>0</v>
          </cell>
          <cell r="S5023">
            <v>0</v>
          </cell>
          <cell r="T5023">
            <v>0</v>
          </cell>
          <cell r="U5023">
            <v>89.285713999999999</v>
          </cell>
          <cell r="V5023">
            <v>0</v>
          </cell>
          <cell r="W5023">
            <v>0</v>
          </cell>
          <cell r="X5023">
            <v>0.27952139999999998</v>
          </cell>
          <cell r="Y5023">
            <v>0</v>
          </cell>
          <cell r="Z5023">
            <v>0</v>
          </cell>
          <cell r="AA5023">
            <v>0</v>
          </cell>
          <cell r="AB5023">
            <v>0</v>
          </cell>
        </row>
        <row r="5024">
          <cell r="A5024">
            <v>75206013</v>
          </cell>
          <cell r="B5024" t="str">
            <v>Beans, string, yellow, cooked, from canned, fat not added in cooking</v>
          </cell>
          <cell r="I5024">
            <v>130</v>
          </cell>
          <cell r="J5024">
            <v>25.932203000000001</v>
          </cell>
          <cell r="K5024">
            <v>0.19947848461538462</v>
          </cell>
          <cell r="L5024">
            <v>1.6855932</v>
          </cell>
          <cell r="M5024">
            <v>2.8525399999999999E-2</v>
          </cell>
          <cell r="N5024">
            <v>0</v>
          </cell>
          <cell r="O5024">
            <v>3.3793200000000002E-2</v>
          </cell>
          <cell r="P5024">
            <v>0</v>
          </cell>
          <cell r="Q5024">
            <v>6.6127099999999994E-2</v>
          </cell>
          <cell r="R5024">
            <v>0</v>
          </cell>
          <cell r="S5024">
            <v>0</v>
          </cell>
          <cell r="T5024">
            <v>0</v>
          </cell>
          <cell r="U5024">
            <v>129.66102000000001</v>
          </cell>
          <cell r="V5024">
            <v>0</v>
          </cell>
          <cell r="W5024">
            <v>0</v>
          </cell>
          <cell r="X5024">
            <v>0.45683220000000002</v>
          </cell>
          <cell r="Y5024">
            <v>0</v>
          </cell>
          <cell r="Z5024">
            <v>0</v>
          </cell>
          <cell r="AA5024">
            <v>0</v>
          </cell>
          <cell r="AB5024">
            <v>0</v>
          </cell>
        </row>
        <row r="5025">
          <cell r="A5025">
            <v>75207000</v>
          </cell>
          <cell r="B5025" t="str">
            <v>Bean sprouts, cooked, NS as to form, NS as to fat added in cooking</v>
          </cell>
          <cell r="I5025">
            <v>90</v>
          </cell>
          <cell r="J5025">
            <v>71.748840000000001</v>
          </cell>
          <cell r="K5025">
            <v>0.79720933333333333</v>
          </cell>
          <cell r="L5025">
            <v>0.68516350000000004</v>
          </cell>
          <cell r="M5025">
            <v>0.72812679999999996</v>
          </cell>
          <cell r="N5025">
            <v>0</v>
          </cell>
          <cell r="O5025">
            <v>2.78319E-2</v>
          </cell>
          <cell r="P5025">
            <v>0</v>
          </cell>
          <cell r="Q5025">
            <v>2.4136209000000002</v>
          </cell>
          <cell r="R5025">
            <v>0</v>
          </cell>
          <cell r="S5025">
            <v>0</v>
          </cell>
          <cell r="T5025">
            <v>0</v>
          </cell>
          <cell r="U5025">
            <v>85.645439999999994</v>
          </cell>
          <cell r="V5025">
            <v>0</v>
          </cell>
          <cell r="W5025">
            <v>0</v>
          </cell>
          <cell r="X5025">
            <v>0.31311870000000003</v>
          </cell>
          <cell r="Y5025">
            <v>0</v>
          </cell>
          <cell r="Z5025">
            <v>0</v>
          </cell>
          <cell r="AA5025">
            <v>0</v>
          </cell>
          <cell r="AB5025">
            <v>0.1056125</v>
          </cell>
        </row>
        <row r="5026">
          <cell r="A5026">
            <v>75207001</v>
          </cell>
          <cell r="B5026" t="str">
            <v>Bean sprouts, cooked, from fresh, NS as to fat added in cooking</v>
          </cell>
          <cell r="I5026">
            <v>90</v>
          </cell>
          <cell r="J5026">
            <v>71.748840000000001</v>
          </cell>
          <cell r="K5026">
            <v>0.79720933333333333</v>
          </cell>
          <cell r="L5026">
            <v>0.68516350000000004</v>
          </cell>
          <cell r="M5026">
            <v>0.72812679999999996</v>
          </cell>
          <cell r="N5026">
            <v>0</v>
          </cell>
          <cell r="O5026">
            <v>2.78319E-2</v>
          </cell>
          <cell r="P5026">
            <v>0</v>
          </cell>
          <cell r="Q5026">
            <v>2.4136209000000002</v>
          </cell>
          <cell r="R5026">
            <v>0</v>
          </cell>
          <cell r="S5026">
            <v>0</v>
          </cell>
          <cell r="T5026">
            <v>0</v>
          </cell>
          <cell r="U5026">
            <v>85.645439999999994</v>
          </cell>
          <cell r="V5026">
            <v>0</v>
          </cell>
          <cell r="W5026">
            <v>0</v>
          </cell>
          <cell r="X5026">
            <v>0.31311870000000003</v>
          </cell>
          <cell r="Y5026">
            <v>0</v>
          </cell>
          <cell r="Z5026">
            <v>0</v>
          </cell>
          <cell r="AA5026">
            <v>0</v>
          </cell>
          <cell r="AB5026">
            <v>7.3774800000000001E-2</v>
          </cell>
        </row>
        <row r="5027">
          <cell r="A5027">
            <v>75207010</v>
          </cell>
          <cell r="B5027" t="str">
            <v>Bean sprouts, cooked, NS as to form, fat not added in cooking</v>
          </cell>
          <cell r="I5027">
            <v>90</v>
          </cell>
          <cell r="J5027">
            <v>41.800908999999997</v>
          </cell>
          <cell r="K5027">
            <v>0.46445454444444439</v>
          </cell>
          <cell r="L5027">
            <v>0.71345449999999999</v>
          </cell>
          <cell r="M5027">
            <v>0.24994640000000001</v>
          </cell>
          <cell r="N5027">
            <v>0</v>
          </cell>
          <cell r="O5027">
            <v>2.8971799999999999E-2</v>
          </cell>
          <cell r="P5027">
            <v>0</v>
          </cell>
          <cell r="Q5027">
            <v>0.98259549999999996</v>
          </cell>
          <cell r="R5027">
            <v>0</v>
          </cell>
          <cell r="S5027">
            <v>0</v>
          </cell>
          <cell r="T5027">
            <v>0</v>
          </cell>
          <cell r="U5027">
            <v>89.181818000000007</v>
          </cell>
          <cell r="V5027">
            <v>0</v>
          </cell>
          <cell r="W5027">
            <v>0</v>
          </cell>
          <cell r="X5027">
            <v>0.32602910000000002</v>
          </cell>
          <cell r="Y5027">
            <v>0</v>
          </cell>
          <cell r="Z5027">
            <v>0</v>
          </cell>
          <cell r="AA5027">
            <v>0</v>
          </cell>
          <cell r="AB5027">
            <v>0</v>
          </cell>
        </row>
        <row r="5028">
          <cell r="A5028">
            <v>75207011</v>
          </cell>
          <cell r="B5028" t="str">
            <v>Bean sprouts, cooked, from fresh, fat not added in cooking</v>
          </cell>
          <cell r="I5028">
            <v>90</v>
          </cell>
          <cell r="J5028">
            <v>41.800908999999997</v>
          </cell>
          <cell r="K5028">
            <v>0.46445454444444439</v>
          </cell>
          <cell r="L5028">
            <v>0.71345449999999999</v>
          </cell>
          <cell r="M5028">
            <v>0.24994640000000001</v>
          </cell>
          <cell r="N5028">
            <v>0</v>
          </cell>
          <cell r="O5028">
            <v>2.8971799999999999E-2</v>
          </cell>
          <cell r="P5028">
            <v>0</v>
          </cell>
          <cell r="Q5028">
            <v>0.98259549999999996</v>
          </cell>
          <cell r="R5028">
            <v>0</v>
          </cell>
          <cell r="S5028">
            <v>0</v>
          </cell>
          <cell r="T5028">
            <v>0</v>
          </cell>
          <cell r="U5028">
            <v>89.181818000000007</v>
          </cell>
          <cell r="V5028">
            <v>0</v>
          </cell>
          <cell r="W5028">
            <v>0</v>
          </cell>
          <cell r="X5028">
            <v>0.32602910000000002</v>
          </cell>
          <cell r="Y5028">
            <v>0</v>
          </cell>
          <cell r="Z5028">
            <v>0</v>
          </cell>
          <cell r="AA5028">
            <v>0</v>
          </cell>
          <cell r="AB5028">
            <v>0</v>
          </cell>
        </row>
        <row r="5029">
          <cell r="A5029">
            <v>75207020</v>
          </cell>
          <cell r="B5029" t="str">
            <v>Bean sprouts, cooked, NS as to form, fat added in cooking</v>
          </cell>
          <cell r="I5029">
            <v>90</v>
          </cell>
          <cell r="J5029">
            <v>71.748840000000001</v>
          </cell>
          <cell r="K5029">
            <v>0.79720933333333333</v>
          </cell>
          <cell r="L5029">
            <v>0.68516350000000004</v>
          </cell>
          <cell r="M5029">
            <v>0.72812679999999996</v>
          </cell>
          <cell r="N5029">
            <v>0</v>
          </cell>
          <cell r="O5029">
            <v>2.78319E-2</v>
          </cell>
          <cell r="P5029">
            <v>0</v>
          </cell>
          <cell r="Q5029">
            <v>2.4136209000000002</v>
          </cell>
          <cell r="R5029">
            <v>0</v>
          </cell>
          <cell r="S5029">
            <v>0</v>
          </cell>
          <cell r="T5029">
            <v>0</v>
          </cell>
          <cell r="U5029">
            <v>85.645439999999994</v>
          </cell>
          <cell r="V5029">
            <v>0</v>
          </cell>
          <cell r="W5029">
            <v>0</v>
          </cell>
          <cell r="X5029">
            <v>0.31311870000000003</v>
          </cell>
          <cell r="Y5029">
            <v>0</v>
          </cell>
          <cell r="Z5029">
            <v>0</v>
          </cell>
          <cell r="AA5029">
            <v>0</v>
          </cell>
          <cell r="AB5029">
            <v>5.6007099999999997E-2</v>
          </cell>
        </row>
        <row r="5030">
          <cell r="A5030">
            <v>75207021</v>
          </cell>
          <cell r="B5030" t="str">
            <v>Bean sprouts, cooked, from fresh, fat added in cooking</v>
          </cell>
          <cell r="I5030">
            <v>90</v>
          </cell>
          <cell r="J5030">
            <v>71.748840000000001</v>
          </cell>
          <cell r="K5030">
            <v>0.79720933333333333</v>
          </cell>
          <cell r="L5030">
            <v>0.68516350000000004</v>
          </cell>
          <cell r="M5030">
            <v>0.72812679999999996</v>
          </cell>
          <cell r="N5030">
            <v>0</v>
          </cell>
          <cell r="O5030">
            <v>2.78319E-2</v>
          </cell>
          <cell r="P5030">
            <v>0</v>
          </cell>
          <cell r="Q5030">
            <v>2.4136209000000002</v>
          </cell>
          <cell r="R5030">
            <v>0</v>
          </cell>
          <cell r="S5030">
            <v>0</v>
          </cell>
          <cell r="T5030">
            <v>0</v>
          </cell>
          <cell r="U5030">
            <v>85.645439999999994</v>
          </cell>
          <cell r="V5030">
            <v>0</v>
          </cell>
          <cell r="W5030">
            <v>0</v>
          </cell>
          <cell r="X5030">
            <v>0.31311870000000003</v>
          </cell>
          <cell r="Y5030">
            <v>0</v>
          </cell>
          <cell r="Z5030">
            <v>0</v>
          </cell>
          <cell r="AA5030">
            <v>0</v>
          </cell>
          <cell r="AB5030">
            <v>5.6275699999999998E-2</v>
          </cell>
        </row>
        <row r="5031">
          <cell r="A5031">
            <v>75208000</v>
          </cell>
          <cell r="B5031" t="str">
            <v>Beets, cooked, NS as to form, NS as to fat added in cooking</v>
          </cell>
          <cell r="I5031">
            <v>85</v>
          </cell>
          <cell r="J5031">
            <v>50.897933000000002</v>
          </cell>
          <cell r="K5031">
            <v>0.59879921176470585</v>
          </cell>
          <cell r="L5031">
            <v>1.6445776999999999</v>
          </cell>
          <cell r="M5031">
            <v>0.83860619999999997</v>
          </cell>
          <cell r="N5031">
            <v>0</v>
          </cell>
          <cell r="O5031">
            <v>1.37942E-2</v>
          </cell>
          <cell r="P5031">
            <v>0</v>
          </cell>
          <cell r="Q5031">
            <v>0.33664559999999999</v>
          </cell>
          <cell r="R5031">
            <v>0</v>
          </cell>
          <cell r="S5031">
            <v>0</v>
          </cell>
          <cell r="T5031">
            <v>0</v>
          </cell>
          <cell r="U5031">
            <v>82.228887</v>
          </cell>
          <cell r="V5031">
            <v>0</v>
          </cell>
          <cell r="W5031">
            <v>0</v>
          </cell>
          <cell r="X5031">
            <v>0.26582359999999999</v>
          </cell>
          <cell r="Y5031">
            <v>0</v>
          </cell>
          <cell r="Z5031">
            <v>0</v>
          </cell>
          <cell r="AA5031">
            <v>0</v>
          </cell>
          <cell r="AB5031">
            <v>7.8513200000000005E-2</v>
          </cell>
        </row>
        <row r="5032">
          <cell r="A5032">
            <v>75208001</v>
          </cell>
          <cell r="B5032" t="str">
            <v>Beets, cooked, from fresh, NS as to fat added in cooking</v>
          </cell>
          <cell r="I5032">
            <v>85</v>
          </cell>
          <cell r="J5032">
            <v>50.897933000000002</v>
          </cell>
          <cell r="K5032">
            <v>0.59879921176470585</v>
          </cell>
          <cell r="L5032">
            <v>1.6445776999999999</v>
          </cell>
          <cell r="M5032">
            <v>0.83860619999999997</v>
          </cell>
          <cell r="N5032">
            <v>0</v>
          </cell>
          <cell r="O5032">
            <v>1.37942E-2</v>
          </cell>
          <cell r="P5032">
            <v>0</v>
          </cell>
          <cell r="Q5032">
            <v>0.33664559999999999</v>
          </cell>
          <cell r="R5032">
            <v>0</v>
          </cell>
          <cell r="S5032">
            <v>0</v>
          </cell>
          <cell r="T5032">
            <v>0</v>
          </cell>
          <cell r="U5032">
            <v>82.228887</v>
          </cell>
          <cell r="V5032">
            <v>0</v>
          </cell>
          <cell r="W5032">
            <v>0</v>
          </cell>
          <cell r="X5032">
            <v>0.26582359999999999</v>
          </cell>
          <cell r="Y5032">
            <v>0</v>
          </cell>
          <cell r="Z5032">
            <v>0</v>
          </cell>
          <cell r="AA5032">
            <v>0</v>
          </cell>
          <cell r="AB5032">
            <v>7.8513200000000005E-2</v>
          </cell>
        </row>
        <row r="5033">
          <cell r="A5033">
            <v>75208010</v>
          </cell>
          <cell r="B5033" t="str">
            <v>Beets, cooked, NS as to form, fat not added in cooking</v>
          </cell>
          <cell r="I5033">
            <v>85</v>
          </cell>
          <cell r="J5033">
            <v>37.181286999999998</v>
          </cell>
          <cell r="K5033">
            <v>0.43742690588235289</v>
          </cell>
          <cell r="L5033">
            <v>1.6900584999999999</v>
          </cell>
          <cell r="M5033">
            <v>2.3660799999999999E-2</v>
          </cell>
          <cell r="N5033">
            <v>0</v>
          </cell>
          <cell r="O5033">
            <v>1.3639800000000001E-2</v>
          </cell>
          <cell r="P5033">
            <v>0</v>
          </cell>
          <cell r="Q5033">
            <v>5.4081900000000002E-2</v>
          </cell>
          <cell r="R5033">
            <v>0</v>
          </cell>
          <cell r="S5033">
            <v>0</v>
          </cell>
          <cell r="T5033">
            <v>0</v>
          </cell>
          <cell r="U5033">
            <v>84.502923999999993</v>
          </cell>
          <cell r="V5033">
            <v>0</v>
          </cell>
          <cell r="W5033">
            <v>0</v>
          </cell>
          <cell r="X5033">
            <v>0.25772400000000001</v>
          </cell>
          <cell r="Y5033">
            <v>0</v>
          </cell>
          <cell r="Z5033">
            <v>0</v>
          </cell>
          <cell r="AA5033">
            <v>0</v>
          </cell>
          <cell r="AB5033">
            <v>0</v>
          </cell>
        </row>
        <row r="5034">
          <cell r="A5034">
            <v>75208011</v>
          </cell>
          <cell r="B5034" t="str">
            <v>Beets, cooked, from fresh, fat not added in cooking</v>
          </cell>
          <cell r="I5034">
            <v>85</v>
          </cell>
          <cell r="J5034">
            <v>37.181286999999998</v>
          </cell>
          <cell r="K5034">
            <v>0.43742690588235289</v>
          </cell>
          <cell r="L5034">
            <v>1.6900584999999999</v>
          </cell>
          <cell r="M5034">
            <v>2.3660799999999999E-2</v>
          </cell>
          <cell r="N5034">
            <v>0</v>
          </cell>
          <cell r="O5034">
            <v>1.3639800000000001E-2</v>
          </cell>
          <cell r="P5034">
            <v>0</v>
          </cell>
          <cell r="Q5034">
            <v>5.4081900000000002E-2</v>
          </cell>
          <cell r="R5034">
            <v>0</v>
          </cell>
          <cell r="S5034">
            <v>0</v>
          </cell>
          <cell r="T5034">
            <v>0</v>
          </cell>
          <cell r="U5034">
            <v>84.502923999999993</v>
          </cell>
          <cell r="V5034">
            <v>0</v>
          </cell>
          <cell r="W5034">
            <v>0</v>
          </cell>
          <cell r="X5034">
            <v>0.25772400000000001</v>
          </cell>
          <cell r="Y5034">
            <v>0</v>
          </cell>
          <cell r="Z5034">
            <v>0</v>
          </cell>
          <cell r="AA5034">
            <v>0</v>
          </cell>
          <cell r="AB5034">
            <v>0</v>
          </cell>
        </row>
        <row r="5035">
          <cell r="A5035">
            <v>75208013</v>
          </cell>
          <cell r="B5035" t="str">
            <v>Beets, cooked, from canned, fat not added in cooking</v>
          </cell>
          <cell r="I5035">
            <v>130</v>
          </cell>
          <cell r="J5035">
            <v>40.064326999999999</v>
          </cell>
          <cell r="K5035">
            <v>0.30818713076923077</v>
          </cell>
          <cell r="L5035">
            <v>2.3263158000000002</v>
          </cell>
          <cell r="M5035">
            <v>2.8432700000000002E-2</v>
          </cell>
          <cell r="N5035">
            <v>0</v>
          </cell>
          <cell r="O5035">
            <v>1.95684E-2</v>
          </cell>
          <cell r="P5035">
            <v>0</v>
          </cell>
          <cell r="Q5035">
            <v>6.3327499999999995E-2</v>
          </cell>
          <cell r="R5035">
            <v>0</v>
          </cell>
          <cell r="S5035">
            <v>0</v>
          </cell>
          <cell r="T5035">
            <v>0</v>
          </cell>
          <cell r="U5035">
            <v>129.23976999999999</v>
          </cell>
          <cell r="V5035">
            <v>0</v>
          </cell>
          <cell r="W5035">
            <v>0</v>
          </cell>
          <cell r="X5035">
            <v>0.54537659999999999</v>
          </cell>
          <cell r="Y5035">
            <v>0</v>
          </cell>
          <cell r="Z5035">
            <v>0</v>
          </cell>
          <cell r="AA5035">
            <v>0</v>
          </cell>
          <cell r="AB5035">
            <v>0</v>
          </cell>
        </row>
        <row r="5036">
          <cell r="A5036">
            <v>75208021</v>
          </cell>
          <cell r="B5036" t="str">
            <v>Beets, cooked, from fresh, fat added in cooking</v>
          </cell>
          <cell r="I5036">
            <v>85</v>
          </cell>
          <cell r="J5036">
            <v>48.547110000000004</v>
          </cell>
          <cell r="K5036">
            <v>0.57114247058823531</v>
          </cell>
          <cell r="L5036">
            <v>1.6442877</v>
          </cell>
          <cell r="M5036">
            <v>0.30357810000000002</v>
          </cell>
          <cell r="N5036">
            <v>0</v>
          </cell>
          <cell r="O5036">
            <v>1.37532E-2</v>
          </cell>
          <cell r="P5036">
            <v>0</v>
          </cell>
          <cell r="Q5036">
            <v>0.66724030000000001</v>
          </cell>
          <cell r="R5036">
            <v>0</v>
          </cell>
          <cell r="S5036">
            <v>0</v>
          </cell>
          <cell r="T5036">
            <v>0</v>
          </cell>
          <cell r="U5036">
            <v>82.214382999999998</v>
          </cell>
          <cell r="V5036">
            <v>0</v>
          </cell>
          <cell r="W5036">
            <v>0</v>
          </cell>
          <cell r="X5036">
            <v>0.25811489999999998</v>
          </cell>
          <cell r="Y5036">
            <v>0</v>
          </cell>
          <cell r="Z5036">
            <v>0</v>
          </cell>
          <cell r="AA5036">
            <v>0</v>
          </cell>
          <cell r="AB5036">
            <v>7.8513200000000005E-2</v>
          </cell>
        </row>
        <row r="5037">
          <cell r="A5037">
            <v>75208110</v>
          </cell>
          <cell r="B5037" t="str">
            <v>Beets, canned, low sodium, fat not added in cooking</v>
          </cell>
          <cell r="I5037">
            <v>130</v>
          </cell>
          <cell r="J5037">
            <v>36.4</v>
          </cell>
          <cell r="K5037">
            <v>0.27999999999999997</v>
          </cell>
          <cell r="L5037">
            <v>1.56</v>
          </cell>
          <cell r="M5037">
            <v>1.43E-2</v>
          </cell>
          <cell r="N5037">
            <v>0</v>
          </cell>
          <cell r="O5037">
            <v>1.6899999999999998E-2</v>
          </cell>
          <cell r="P5037">
            <v>0</v>
          </cell>
          <cell r="Q5037">
            <v>3.2500000000000001E-2</v>
          </cell>
          <cell r="R5037">
            <v>0</v>
          </cell>
          <cell r="S5037">
            <v>0</v>
          </cell>
          <cell r="T5037">
            <v>0</v>
          </cell>
          <cell r="U5037">
            <v>130</v>
          </cell>
          <cell r="V5037">
            <v>0</v>
          </cell>
          <cell r="W5037">
            <v>0</v>
          </cell>
          <cell r="X5037">
            <v>2.7300000000000001E-2</v>
          </cell>
          <cell r="Y5037">
            <v>0</v>
          </cell>
          <cell r="Z5037">
            <v>0</v>
          </cell>
          <cell r="AA5037">
            <v>0</v>
          </cell>
          <cell r="AB5037">
            <v>0</v>
          </cell>
        </row>
        <row r="5038">
          <cell r="A5038">
            <v>75208290</v>
          </cell>
          <cell r="B5038" t="str">
            <v>Bitter melon, cooked, NS as to fat added in cooking</v>
          </cell>
          <cell r="I5038">
            <v>85</v>
          </cell>
          <cell r="J5038">
            <v>41.852341000000003</v>
          </cell>
          <cell r="K5038">
            <v>0.49238048235294118</v>
          </cell>
          <cell r="L5038">
            <v>1.6272715</v>
          </cell>
          <cell r="M5038">
            <v>0.4189889</v>
          </cell>
          <cell r="N5038">
            <v>0</v>
          </cell>
          <cell r="O5038">
            <v>7.4876999999999999E-3</v>
          </cell>
          <cell r="P5038">
            <v>0</v>
          </cell>
          <cell r="Q5038">
            <v>1.2910288999999999</v>
          </cell>
          <cell r="R5038">
            <v>0</v>
          </cell>
          <cell r="S5038">
            <v>0</v>
          </cell>
          <cell r="T5038">
            <v>0</v>
          </cell>
          <cell r="U5038">
            <v>81.363573000000002</v>
          </cell>
          <cell r="V5038">
            <v>0</v>
          </cell>
          <cell r="W5038">
            <v>0</v>
          </cell>
          <cell r="X5038">
            <v>0.25921040000000001</v>
          </cell>
          <cell r="Y5038">
            <v>0</v>
          </cell>
          <cell r="Z5038">
            <v>0</v>
          </cell>
          <cell r="AA5038">
            <v>0</v>
          </cell>
          <cell r="AB5038">
            <v>5.2338200000000001E-2</v>
          </cell>
        </row>
        <row r="5039">
          <cell r="A5039">
            <v>75208300</v>
          </cell>
          <cell r="B5039" t="str">
            <v>Bitter melon, cooked, fat not added in cooking</v>
          </cell>
          <cell r="I5039">
            <v>85</v>
          </cell>
          <cell r="J5039">
            <v>16.020800000000001</v>
          </cell>
          <cell r="K5039">
            <v>0.18848000000000001</v>
          </cell>
          <cell r="L5039">
            <v>1.6863999999999999</v>
          </cell>
          <cell r="M5039">
            <v>1.1804800000000001E-2</v>
          </cell>
          <cell r="N5039">
            <v>0</v>
          </cell>
          <cell r="O5039">
            <v>7.7520000000000002E-3</v>
          </cell>
          <cell r="P5039">
            <v>0</v>
          </cell>
          <cell r="Q5039">
            <v>6.5769599999999998E-2</v>
          </cell>
          <cell r="R5039">
            <v>0</v>
          </cell>
          <cell r="S5039">
            <v>0</v>
          </cell>
          <cell r="T5039">
            <v>0</v>
          </cell>
          <cell r="U5039">
            <v>84.32</v>
          </cell>
          <cell r="V5039">
            <v>0</v>
          </cell>
          <cell r="W5039">
            <v>0</v>
          </cell>
          <cell r="X5039">
            <v>0.26861360000000001</v>
          </cell>
          <cell r="Y5039">
            <v>0</v>
          </cell>
          <cell r="Z5039">
            <v>0</v>
          </cell>
          <cell r="AA5039">
            <v>0</v>
          </cell>
          <cell r="AB5039">
            <v>0</v>
          </cell>
        </row>
        <row r="5040">
          <cell r="A5040">
            <v>75208310</v>
          </cell>
          <cell r="B5040" t="str">
            <v>Bitter melon, cooked, fat added in cooking</v>
          </cell>
          <cell r="I5040">
            <v>85</v>
          </cell>
          <cell r="J5040">
            <v>41.852341000000003</v>
          </cell>
          <cell r="K5040">
            <v>0.49238048235294118</v>
          </cell>
          <cell r="L5040">
            <v>1.6272715</v>
          </cell>
          <cell r="M5040">
            <v>0.4189889</v>
          </cell>
          <cell r="N5040">
            <v>0</v>
          </cell>
          <cell r="O5040">
            <v>7.4876999999999999E-3</v>
          </cell>
          <cell r="P5040">
            <v>0</v>
          </cell>
          <cell r="Q5040">
            <v>1.2910288999999999</v>
          </cell>
          <cell r="R5040">
            <v>0</v>
          </cell>
          <cell r="S5040">
            <v>0</v>
          </cell>
          <cell r="T5040">
            <v>0</v>
          </cell>
          <cell r="U5040">
            <v>81.363573000000002</v>
          </cell>
          <cell r="V5040">
            <v>0</v>
          </cell>
          <cell r="W5040">
            <v>0</v>
          </cell>
          <cell r="X5040">
            <v>0.25921040000000001</v>
          </cell>
          <cell r="Y5040">
            <v>0</v>
          </cell>
          <cell r="Z5040">
            <v>0</v>
          </cell>
          <cell r="AA5040">
            <v>0</v>
          </cell>
          <cell r="AB5040">
            <v>2.0944000000000001E-2</v>
          </cell>
        </row>
        <row r="5041">
          <cell r="A5041">
            <v>75208520</v>
          </cell>
          <cell r="B5041" t="str">
            <v>Breadfruit, fried</v>
          </cell>
          <cell r="I5041">
            <v>85</v>
          </cell>
          <cell r="J5041">
            <v>107.55137000000001</v>
          </cell>
          <cell r="K5041">
            <v>1.2653102352941177</v>
          </cell>
          <cell r="L5041">
            <v>0</v>
          </cell>
          <cell r="M5041">
            <v>0.39768989999999999</v>
          </cell>
          <cell r="N5041">
            <v>0</v>
          </cell>
          <cell r="O5041">
            <v>1.4045500000000001E-2</v>
          </cell>
          <cell r="P5041">
            <v>4.0125241000000003</v>
          </cell>
          <cell r="Q5041">
            <v>1.1333922999999999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0.19208030000000001</v>
          </cell>
          <cell r="Y5041">
            <v>0</v>
          </cell>
          <cell r="Z5041">
            <v>0</v>
          </cell>
          <cell r="AA5041">
            <v>0</v>
          </cell>
          <cell r="AB5041">
            <v>1.56927E-2</v>
          </cell>
        </row>
        <row r="5042">
          <cell r="A5042">
            <v>75209000</v>
          </cell>
          <cell r="B5042" t="str">
            <v>Brussels sprouts, cooked, NS as to form, NS as to fat added in cooking</v>
          </cell>
          <cell r="I5042">
            <v>85</v>
          </cell>
          <cell r="J5042">
            <v>50.518219000000002</v>
          </cell>
          <cell r="K5042">
            <v>0.5943319882352941</v>
          </cell>
          <cell r="L5042">
            <v>3.3607811999999999</v>
          </cell>
          <cell r="M5042">
            <v>0.95809200000000005</v>
          </cell>
          <cell r="N5042">
            <v>0</v>
          </cell>
          <cell r="O5042">
            <v>2.2009399999999998E-2</v>
          </cell>
          <cell r="P5042">
            <v>0</v>
          </cell>
          <cell r="Q5042">
            <v>0.47446559999999999</v>
          </cell>
          <cell r="R5042">
            <v>0</v>
          </cell>
          <cell r="S5042">
            <v>0</v>
          </cell>
          <cell r="T5042">
            <v>0</v>
          </cell>
          <cell r="U5042">
            <v>81.970273000000006</v>
          </cell>
          <cell r="V5042">
            <v>0</v>
          </cell>
          <cell r="W5042">
            <v>0</v>
          </cell>
          <cell r="X5042">
            <v>0.23370189999999999</v>
          </cell>
          <cell r="Y5042">
            <v>0</v>
          </cell>
          <cell r="Z5042">
            <v>0</v>
          </cell>
          <cell r="AA5042">
            <v>0</v>
          </cell>
          <cell r="AB5042">
            <v>8.5840399999999997E-2</v>
          </cell>
        </row>
        <row r="5043">
          <cell r="A5043">
            <v>75209002</v>
          </cell>
          <cell r="B5043" t="str">
            <v>Brussels sprouts, cooked, from frozen, NS as to fat added in cooking</v>
          </cell>
          <cell r="I5043">
            <v>85</v>
          </cell>
          <cell r="J5043">
            <v>50.518219000000002</v>
          </cell>
          <cell r="K5043">
            <v>0.5943319882352941</v>
          </cell>
          <cell r="L5043">
            <v>3.3607811999999999</v>
          </cell>
          <cell r="M5043">
            <v>0.95809200000000005</v>
          </cell>
          <cell r="N5043">
            <v>0</v>
          </cell>
          <cell r="O5043">
            <v>2.2009399999999998E-2</v>
          </cell>
          <cell r="P5043">
            <v>0</v>
          </cell>
          <cell r="Q5043">
            <v>0.47446559999999999</v>
          </cell>
          <cell r="R5043">
            <v>0</v>
          </cell>
          <cell r="S5043">
            <v>0</v>
          </cell>
          <cell r="T5043">
            <v>0</v>
          </cell>
          <cell r="U5043">
            <v>81.970273000000006</v>
          </cell>
          <cell r="V5043">
            <v>0</v>
          </cell>
          <cell r="W5043">
            <v>0</v>
          </cell>
          <cell r="X5043">
            <v>0.23370189999999999</v>
          </cell>
          <cell r="Y5043">
            <v>0</v>
          </cell>
          <cell r="Z5043">
            <v>0</v>
          </cell>
          <cell r="AA5043">
            <v>0</v>
          </cell>
          <cell r="AB5043">
            <v>8.5840399999999997E-2</v>
          </cell>
        </row>
        <row r="5044">
          <cell r="A5044">
            <v>75209010</v>
          </cell>
          <cell r="B5044" t="str">
            <v>Brussels sprouts, cooked, NS as to form, fat not added in cooking</v>
          </cell>
          <cell r="I5044">
            <v>85</v>
          </cell>
          <cell r="J5044">
            <v>35.471153999999999</v>
          </cell>
          <cell r="K5044">
            <v>0.41730769411764707</v>
          </cell>
          <cell r="L5044">
            <v>3.4626603</v>
          </cell>
          <cell r="M5044">
            <v>6.8408700000000003E-2</v>
          </cell>
          <cell r="N5044">
            <v>0</v>
          </cell>
          <cell r="O5044">
            <v>2.20891E-2</v>
          </cell>
          <cell r="P5044">
            <v>0</v>
          </cell>
          <cell r="Q5044">
            <v>0.16891030000000001</v>
          </cell>
          <cell r="R5044">
            <v>0</v>
          </cell>
          <cell r="S5044">
            <v>0</v>
          </cell>
          <cell r="T5044">
            <v>0</v>
          </cell>
          <cell r="U5044">
            <v>84.455128000000002</v>
          </cell>
          <cell r="V5044">
            <v>0</v>
          </cell>
          <cell r="W5044">
            <v>0</v>
          </cell>
          <cell r="X5044">
            <v>0.22384970000000001</v>
          </cell>
          <cell r="Y5044">
            <v>0</v>
          </cell>
          <cell r="Z5044">
            <v>0</v>
          </cell>
          <cell r="AA5044">
            <v>0</v>
          </cell>
          <cell r="AB5044">
            <v>0</v>
          </cell>
        </row>
        <row r="5045">
          <cell r="A5045">
            <v>75209011</v>
          </cell>
          <cell r="B5045" t="str">
            <v>Brussels sprouts, cooked, from fresh, fat not added in cooking</v>
          </cell>
          <cell r="I5045">
            <v>85</v>
          </cell>
          <cell r="J5045">
            <v>30.405096</v>
          </cell>
          <cell r="K5045">
            <v>0.35770701176470587</v>
          </cell>
          <cell r="L5045">
            <v>2.1959236</v>
          </cell>
          <cell r="M5045">
            <v>8.6147799999999997E-2</v>
          </cell>
          <cell r="N5045">
            <v>0</v>
          </cell>
          <cell r="O5045">
            <v>3.0535E-2</v>
          </cell>
          <cell r="P5045">
            <v>0</v>
          </cell>
          <cell r="Q5045">
            <v>0.21536939999999999</v>
          </cell>
          <cell r="R5045">
            <v>0</v>
          </cell>
          <cell r="S5045">
            <v>0</v>
          </cell>
          <cell r="T5045">
            <v>0</v>
          </cell>
          <cell r="U5045">
            <v>84.458599000000007</v>
          </cell>
          <cell r="V5045">
            <v>0</v>
          </cell>
          <cell r="W5045">
            <v>0</v>
          </cell>
          <cell r="X5045">
            <v>0.22757260000000001</v>
          </cell>
          <cell r="Y5045">
            <v>0</v>
          </cell>
          <cell r="Z5045">
            <v>0</v>
          </cell>
          <cell r="AA5045">
            <v>0</v>
          </cell>
          <cell r="AB5045">
            <v>0</v>
          </cell>
        </row>
        <row r="5046">
          <cell r="A5046">
            <v>75209012</v>
          </cell>
          <cell r="B5046" t="str">
            <v>Brussels sprouts, cooked, from frozen, fat not added in cooking</v>
          </cell>
          <cell r="I5046">
            <v>85</v>
          </cell>
          <cell r="J5046">
            <v>35.471153999999999</v>
          </cell>
          <cell r="K5046">
            <v>0.41730769411764707</v>
          </cell>
          <cell r="L5046">
            <v>3.4626603</v>
          </cell>
          <cell r="M5046">
            <v>6.8408700000000003E-2</v>
          </cell>
          <cell r="N5046">
            <v>0</v>
          </cell>
          <cell r="O5046">
            <v>2.20891E-2</v>
          </cell>
          <cell r="P5046">
            <v>0</v>
          </cell>
          <cell r="Q5046">
            <v>0.16891030000000001</v>
          </cell>
          <cell r="R5046">
            <v>0</v>
          </cell>
          <cell r="S5046">
            <v>0</v>
          </cell>
          <cell r="T5046">
            <v>0</v>
          </cell>
          <cell r="U5046">
            <v>84.455128000000002</v>
          </cell>
          <cell r="V5046">
            <v>0</v>
          </cell>
          <cell r="W5046">
            <v>0</v>
          </cell>
          <cell r="X5046">
            <v>0.22384970000000001</v>
          </cell>
          <cell r="Y5046">
            <v>0</v>
          </cell>
          <cell r="Z5046">
            <v>0</v>
          </cell>
          <cell r="AA5046">
            <v>0</v>
          </cell>
          <cell r="AB5046">
            <v>0</v>
          </cell>
        </row>
        <row r="5047">
          <cell r="A5047">
            <v>75209021</v>
          </cell>
          <cell r="B5047" t="str">
            <v>Brussels sprouts, cooked, from fresh, fat added in cooking, NS as to type of fat</v>
          </cell>
          <cell r="I5047">
            <v>85</v>
          </cell>
          <cell r="J5047">
            <v>45.518512999999999</v>
          </cell>
          <cell r="K5047">
            <v>0.53551191764705885</v>
          </cell>
          <cell r="L5047">
            <v>2.1322415000000001</v>
          </cell>
          <cell r="M5047">
            <v>0.97005129999999995</v>
          </cell>
          <cell r="N5047">
            <v>0</v>
          </cell>
          <cell r="O5047">
            <v>3.02113E-2</v>
          </cell>
          <cell r="P5047">
            <v>0</v>
          </cell>
          <cell r="Q5047">
            <v>0.51780510000000002</v>
          </cell>
          <cell r="R5047">
            <v>0</v>
          </cell>
          <cell r="S5047">
            <v>0</v>
          </cell>
          <cell r="T5047">
            <v>0</v>
          </cell>
          <cell r="U5047">
            <v>82.009288999999995</v>
          </cell>
          <cell r="V5047">
            <v>0</v>
          </cell>
          <cell r="W5047">
            <v>0</v>
          </cell>
          <cell r="X5047">
            <v>0.2291637</v>
          </cell>
          <cell r="Y5047">
            <v>0</v>
          </cell>
          <cell r="Z5047">
            <v>0</v>
          </cell>
          <cell r="AA5047">
            <v>0</v>
          </cell>
          <cell r="AB5047">
            <v>8.5330799999999998E-2</v>
          </cell>
        </row>
        <row r="5048">
          <cell r="A5048">
            <v>75209022</v>
          </cell>
          <cell r="B5048" t="str">
            <v>Brussels sprouts, cooked, from frozen, fat added in cooking</v>
          </cell>
          <cell r="I5048">
            <v>85</v>
          </cell>
          <cell r="J5048">
            <v>47.948121</v>
          </cell>
          <cell r="K5048">
            <v>0.56409554117647054</v>
          </cell>
          <cell r="L5048">
            <v>3.3601331000000001</v>
          </cell>
          <cell r="M5048">
            <v>0.37311909999999998</v>
          </cell>
          <cell r="N5048">
            <v>0</v>
          </cell>
          <cell r="O5048">
            <v>2.1963E-2</v>
          </cell>
          <cell r="P5048">
            <v>0</v>
          </cell>
          <cell r="Q5048">
            <v>0.83588059999999997</v>
          </cell>
          <cell r="R5048">
            <v>0</v>
          </cell>
          <cell r="S5048">
            <v>0</v>
          </cell>
          <cell r="T5048">
            <v>0</v>
          </cell>
          <cell r="U5048">
            <v>81.954465999999996</v>
          </cell>
          <cell r="V5048">
            <v>0</v>
          </cell>
          <cell r="W5048">
            <v>0</v>
          </cell>
          <cell r="X5048">
            <v>0.22528000000000001</v>
          </cell>
          <cell r="Y5048">
            <v>0</v>
          </cell>
          <cell r="Z5048">
            <v>0</v>
          </cell>
          <cell r="AA5048">
            <v>0</v>
          </cell>
          <cell r="AB5048">
            <v>8.5840399999999997E-2</v>
          </cell>
        </row>
        <row r="5049">
          <cell r="A5049">
            <v>75209030</v>
          </cell>
          <cell r="B5049" t="str">
            <v>Brussels sprouts, cooked, NS as to form, made with oil</v>
          </cell>
          <cell r="I5049">
            <v>85</v>
          </cell>
          <cell r="J5049">
            <v>55.764446999999997</v>
          </cell>
          <cell r="K5049">
            <v>0.65605231764705874</v>
          </cell>
          <cell r="L5049">
            <v>3.3646957999999998</v>
          </cell>
          <cell r="M5049">
            <v>0.39536569999999999</v>
          </cell>
          <cell r="N5049">
            <v>0</v>
          </cell>
          <cell r="O5049">
            <v>2.1470199999999998E-2</v>
          </cell>
          <cell r="P5049">
            <v>0</v>
          </cell>
          <cell r="Q5049">
            <v>1.1546590000000001</v>
          </cell>
          <cell r="R5049">
            <v>0</v>
          </cell>
          <cell r="S5049">
            <v>0</v>
          </cell>
          <cell r="T5049">
            <v>0</v>
          </cell>
          <cell r="U5049">
            <v>82.065752000000003</v>
          </cell>
          <cell r="V5049">
            <v>0</v>
          </cell>
          <cell r="W5049">
            <v>0</v>
          </cell>
          <cell r="X5049">
            <v>0.21752859999999999</v>
          </cell>
          <cell r="Y5049">
            <v>0</v>
          </cell>
          <cell r="Z5049">
            <v>0</v>
          </cell>
          <cell r="AA5049">
            <v>0</v>
          </cell>
          <cell r="AB5049">
            <v>8.5214000000000002E-3</v>
          </cell>
        </row>
        <row r="5050">
          <cell r="A5050">
            <v>75209031</v>
          </cell>
          <cell r="B5050" t="str">
            <v>Brussels sprouts, cooked, NS as to form, made with butter</v>
          </cell>
          <cell r="I5050">
            <v>85</v>
          </cell>
          <cell r="J5050">
            <v>52.358871000000001</v>
          </cell>
          <cell r="K5050">
            <v>0.61598671764705881</v>
          </cell>
          <cell r="L5050">
            <v>3.3607811999999999</v>
          </cell>
          <cell r="M5050">
            <v>1.3510513</v>
          </cell>
          <cell r="N5050">
            <v>0</v>
          </cell>
          <cell r="O5050">
            <v>2.2039400000000001E-2</v>
          </cell>
          <cell r="P5050">
            <v>0</v>
          </cell>
          <cell r="Q5050">
            <v>0.24004249999999999</v>
          </cell>
          <cell r="R5050">
            <v>0</v>
          </cell>
          <cell r="S5050">
            <v>0</v>
          </cell>
          <cell r="T5050">
            <v>0</v>
          </cell>
          <cell r="U5050">
            <v>81.970273000000006</v>
          </cell>
          <cell r="V5050">
            <v>0</v>
          </cell>
          <cell r="W5050">
            <v>0</v>
          </cell>
          <cell r="X5050">
            <v>0.2333442</v>
          </cell>
          <cell r="Y5050">
            <v>0</v>
          </cell>
          <cell r="Z5050">
            <v>0</v>
          </cell>
          <cell r="AA5050">
            <v>0</v>
          </cell>
          <cell r="AB5050">
            <v>8.1979099999999999E-2</v>
          </cell>
        </row>
        <row r="5051">
          <cell r="A5051">
            <v>75209032</v>
          </cell>
          <cell r="B5051" t="str">
            <v>Brussels sprouts, cooked, NS as to form, made with margarine</v>
          </cell>
          <cell r="I5051">
            <v>85</v>
          </cell>
          <cell r="J5051">
            <v>47.863118999999998</v>
          </cell>
          <cell r="K5051">
            <v>0.56309551764705879</v>
          </cell>
          <cell r="L5051">
            <v>3.3599032000000002</v>
          </cell>
          <cell r="M5051">
            <v>0.37124049999999997</v>
          </cell>
          <cell r="N5051">
            <v>0</v>
          </cell>
          <cell r="O5051">
            <v>2.1963300000000002E-2</v>
          </cell>
          <cell r="P5051">
            <v>0</v>
          </cell>
          <cell r="Q5051">
            <v>0.83176380000000005</v>
          </cell>
          <cell r="R5051">
            <v>0</v>
          </cell>
          <cell r="S5051">
            <v>0</v>
          </cell>
          <cell r="T5051">
            <v>0</v>
          </cell>
          <cell r="U5051">
            <v>81.948858999999999</v>
          </cell>
          <cell r="V5051">
            <v>0</v>
          </cell>
          <cell r="W5051">
            <v>0</v>
          </cell>
          <cell r="X5051">
            <v>0.2342206</v>
          </cell>
          <cell r="Y5051">
            <v>0</v>
          </cell>
          <cell r="Z5051">
            <v>0</v>
          </cell>
          <cell r="AA5051">
            <v>0</v>
          </cell>
          <cell r="AB5051">
            <v>9.2422199999999996E-2</v>
          </cell>
        </row>
        <row r="5052">
          <cell r="A5052">
            <v>75209040</v>
          </cell>
          <cell r="B5052" t="str">
            <v>Brussels sprouts, cooked, from fresh, made with oil</v>
          </cell>
          <cell r="I5052">
            <v>85</v>
          </cell>
          <cell r="J5052">
            <v>50.715206999999999</v>
          </cell>
          <cell r="K5052">
            <v>0.59664949411764701</v>
          </cell>
          <cell r="L5052">
            <v>2.1341817999999999</v>
          </cell>
          <cell r="M5052">
            <v>0.41058210000000001</v>
          </cell>
          <cell r="N5052">
            <v>0</v>
          </cell>
          <cell r="O5052">
            <v>2.9682500000000001E-2</v>
          </cell>
          <cell r="P5052">
            <v>0</v>
          </cell>
          <cell r="Q5052">
            <v>1.1937097999999999</v>
          </cell>
          <cell r="R5052">
            <v>0</v>
          </cell>
          <cell r="S5052">
            <v>0</v>
          </cell>
          <cell r="T5052">
            <v>0</v>
          </cell>
          <cell r="U5052">
            <v>82.083916000000002</v>
          </cell>
          <cell r="V5052">
            <v>0</v>
          </cell>
          <cell r="W5052">
            <v>0</v>
          </cell>
          <cell r="X5052">
            <v>0.22118599999999999</v>
          </cell>
          <cell r="Y5052">
            <v>0</v>
          </cell>
          <cell r="Z5052">
            <v>0</v>
          </cell>
          <cell r="AA5052">
            <v>0</v>
          </cell>
          <cell r="AB5052">
            <v>8.4685999999999997E-3</v>
          </cell>
        </row>
        <row r="5053">
          <cell r="A5053">
            <v>75209041</v>
          </cell>
          <cell r="B5053" t="str">
            <v>Brussels sprouts, cooked, from fresh, made with butter</v>
          </cell>
          <cell r="I5053">
            <v>85</v>
          </cell>
          <cell r="J5053">
            <v>47.336525999999999</v>
          </cell>
          <cell r="K5053">
            <v>0.55690030588235295</v>
          </cell>
          <cell r="L5053">
            <v>2.1317141999999998</v>
          </cell>
          <cell r="M5053">
            <v>1.3603409</v>
          </cell>
          <cell r="N5053">
            <v>0</v>
          </cell>
          <cell r="O5053">
            <v>3.02387E-2</v>
          </cell>
          <cell r="P5053">
            <v>0</v>
          </cell>
          <cell r="Q5053">
            <v>0.2847034</v>
          </cell>
          <cell r="R5053">
            <v>0</v>
          </cell>
          <cell r="S5053">
            <v>0</v>
          </cell>
          <cell r="T5053">
            <v>0</v>
          </cell>
          <cell r="U5053">
            <v>81.989006000000003</v>
          </cell>
          <cell r="V5053">
            <v>0</v>
          </cell>
          <cell r="W5053">
            <v>0</v>
          </cell>
          <cell r="X5053">
            <v>0.23689959999999999</v>
          </cell>
          <cell r="Y5053">
            <v>0</v>
          </cell>
          <cell r="Z5053">
            <v>0</v>
          </cell>
          <cell r="AA5053">
            <v>0</v>
          </cell>
          <cell r="AB5053">
            <v>8.1472199999999995E-2</v>
          </cell>
        </row>
        <row r="5054">
          <cell r="A5054">
            <v>75209050</v>
          </cell>
          <cell r="B5054" t="str">
            <v>Brussels sprouts, cooked, from frozen, made with oil</v>
          </cell>
          <cell r="I5054">
            <v>85</v>
          </cell>
          <cell r="J5054">
            <v>55.764446999999997</v>
          </cell>
          <cell r="K5054">
            <v>0.65605231764705874</v>
          </cell>
          <cell r="L5054">
            <v>3.3646957999999998</v>
          </cell>
          <cell r="M5054">
            <v>0.39536569999999999</v>
          </cell>
          <cell r="N5054">
            <v>0</v>
          </cell>
          <cell r="O5054">
            <v>2.1470199999999998E-2</v>
          </cell>
          <cell r="P5054">
            <v>0</v>
          </cell>
          <cell r="Q5054">
            <v>1.1546590000000001</v>
          </cell>
          <cell r="R5054">
            <v>0</v>
          </cell>
          <cell r="S5054">
            <v>0</v>
          </cell>
          <cell r="T5054">
            <v>0</v>
          </cell>
          <cell r="U5054">
            <v>82.065752000000003</v>
          </cell>
          <cell r="V5054">
            <v>0</v>
          </cell>
          <cell r="W5054">
            <v>0</v>
          </cell>
          <cell r="X5054">
            <v>0.21752859999999999</v>
          </cell>
          <cell r="Y5054">
            <v>0</v>
          </cell>
          <cell r="Z5054">
            <v>0</v>
          </cell>
          <cell r="AA5054">
            <v>0</v>
          </cell>
          <cell r="AB5054">
            <v>8.5214000000000002E-3</v>
          </cell>
        </row>
        <row r="5055">
          <cell r="A5055">
            <v>75209051</v>
          </cell>
          <cell r="B5055" t="str">
            <v>Brussels sprouts, cooked, from frozen, made with butter</v>
          </cell>
          <cell r="I5055">
            <v>85</v>
          </cell>
          <cell r="J5055">
            <v>52.358871000000001</v>
          </cell>
          <cell r="K5055">
            <v>0.61598671764705881</v>
          </cell>
          <cell r="L5055">
            <v>3.3607811999999999</v>
          </cell>
          <cell r="M5055">
            <v>1.3510513</v>
          </cell>
          <cell r="N5055">
            <v>0</v>
          </cell>
          <cell r="O5055">
            <v>2.2039400000000001E-2</v>
          </cell>
          <cell r="P5055">
            <v>0</v>
          </cell>
          <cell r="Q5055">
            <v>0.24004249999999999</v>
          </cell>
          <cell r="R5055">
            <v>0</v>
          </cell>
          <cell r="S5055">
            <v>0</v>
          </cell>
          <cell r="T5055">
            <v>0</v>
          </cell>
          <cell r="U5055">
            <v>81.970273000000006</v>
          </cell>
          <cell r="V5055">
            <v>0</v>
          </cell>
          <cell r="W5055">
            <v>0</v>
          </cell>
          <cell r="X5055">
            <v>0.2333442</v>
          </cell>
          <cell r="Y5055">
            <v>0</v>
          </cell>
          <cell r="Z5055">
            <v>0</v>
          </cell>
          <cell r="AA5055">
            <v>0</v>
          </cell>
          <cell r="AB5055">
            <v>8.1979099999999999E-2</v>
          </cell>
        </row>
        <row r="5056">
          <cell r="A5056">
            <v>75209052</v>
          </cell>
          <cell r="B5056" t="str">
            <v>Brussels sprouts, cooked, from frozen, made with margarine</v>
          </cell>
          <cell r="I5056">
            <v>85</v>
          </cell>
          <cell r="J5056">
            <v>47.863118999999998</v>
          </cell>
          <cell r="K5056">
            <v>0.56309551764705879</v>
          </cell>
          <cell r="L5056">
            <v>3.3599032000000002</v>
          </cell>
          <cell r="M5056">
            <v>0.37124049999999997</v>
          </cell>
          <cell r="N5056">
            <v>0</v>
          </cell>
          <cell r="O5056">
            <v>2.1963300000000002E-2</v>
          </cell>
          <cell r="P5056">
            <v>0</v>
          </cell>
          <cell r="Q5056">
            <v>0.83176380000000005</v>
          </cell>
          <cell r="R5056">
            <v>0</v>
          </cell>
          <cell r="S5056">
            <v>0</v>
          </cell>
          <cell r="T5056">
            <v>0</v>
          </cell>
          <cell r="U5056">
            <v>81.948858999999999</v>
          </cell>
          <cell r="V5056">
            <v>0</v>
          </cell>
          <cell r="W5056">
            <v>0</v>
          </cell>
          <cell r="X5056">
            <v>0.2342206</v>
          </cell>
          <cell r="Y5056">
            <v>0</v>
          </cell>
          <cell r="Z5056">
            <v>0</v>
          </cell>
          <cell r="AA5056">
            <v>0</v>
          </cell>
          <cell r="AB5056">
            <v>9.2422199999999996E-2</v>
          </cell>
        </row>
        <row r="5057">
          <cell r="A5057">
            <v>75210000</v>
          </cell>
          <cell r="B5057" t="str">
            <v>Cabbage, Chinese, cooked, NS as to fat added in cooking</v>
          </cell>
          <cell r="I5057">
            <v>85</v>
          </cell>
          <cell r="J5057">
            <v>29.355003</v>
          </cell>
          <cell r="K5057">
            <v>0.34535297647058821</v>
          </cell>
          <cell r="L5057">
            <v>0.82316480000000003</v>
          </cell>
          <cell r="M5057">
            <v>0.3180752</v>
          </cell>
          <cell r="N5057">
            <v>0</v>
          </cell>
          <cell r="O5057">
            <v>7.6675999999999994E-2</v>
          </cell>
          <cell r="P5057">
            <v>0</v>
          </cell>
          <cell r="Q5057">
            <v>0.96927099999999999</v>
          </cell>
          <cell r="R5057">
            <v>0</v>
          </cell>
          <cell r="S5057">
            <v>0</v>
          </cell>
          <cell r="T5057">
            <v>0</v>
          </cell>
          <cell r="U5057">
            <v>82.316483000000005</v>
          </cell>
          <cell r="V5057">
            <v>0</v>
          </cell>
          <cell r="W5057">
            <v>0</v>
          </cell>
          <cell r="X5057">
            <v>0.21567049999999999</v>
          </cell>
          <cell r="Y5057">
            <v>0</v>
          </cell>
          <cell r="Z5057">
            <v>0</v>
          </cell>
          <cell r="AA5057">
            <v>0</v>
          </cell>
          <cell r="AB5057">
            <v>4.8408E-2</v>
          </cell>
        </row>
        <row r="5058">
          <cell r="A5058">
            <v>75210010</v>
          </cell>
          <cell r="B5058" t="str">
            <v>Cabbage, Chinese, cooked, fat not added in cooking</v>
          </cell>
          <cell r="I5058">
            <v>85</v>
          </cell>
          <cell r="J5058">
            <v>10.140351000000001</v>
          </cell>
          <cell r="K5058">
            <v>0.11929824705882354</v>
          </cell>
          <cell r="L5058">
            <v>0.84502920000000004</v>
          </cell>
          <cell r="M5058">
            <v>1.77456E-2</v>
          </cell>
          <cell r="N5058">
            <v>0</v>
          </cell>
          <cell r="O5058">
            <v>7.8706999999999999E-2</v>
          </cell>
          <cell r="P5058">
            <v>0</v>
          </cell>
          <cell r="Q5058">
            <v>6.5067299999999995E-2</v>
          </cell>
          <cell r="R5058">
            <v>0</v>
          </cell>
          <cell r="S5058">
            <v>0</v>
          </cell>
          <cell r="T5058">
            <v>0</v>
          </cell>
          <cell r="U5058">
            <v>84.502923999999993</v>
          </cell>
          <cell r="V5058">
            <v>0</v>
          </cell>
          <cell r="W5058">
            <v>0</v>
          </cell>
          <cell r="X5058">
            <v>0.22138769999999999</v>
          </cell>
          <cell r="Y5058">
            <v>0</v>
          </cell>
          <cell r="Z5058">
            <v>0</v>
          </cell>
          <cell r="AA5058">
            <v>0</v>
          </cell>
          <cell r="AB5058">
            <v>0</v>
          </cell>
        </row>
        <row r="5059">
          <cell r="A5059">
            <v>75210020</v>
          </cell>
          <cell r="B5059" t="str">
            <v>Cabbage, Chinese, cooked, fat added in cooking, NS as to type of fat</v>
          </cell>
          <cell r="I5059">
            <v>85</v>
          </cell>
          <cell r="J5059">
            <v>29.355003</v>
          </cell>
          <cell r="K5059">
            <v>0.34535297647058821</v>
          </cell>
          <cell r="L5059">
            <v>0.82316480000000003</v>
          </cell>
          <cell r="M5059">
            <v>0.3180752</v>
          </cell>
          <cell r="N5059">
            <v>0</v>
          </cell>
          <cell r="O5059">
            <v>7.6675999999999994E-2</v>
          </cell>
          <cell r="P5059">
            <v>0</v>
          </cell>
          <cell r="Q5059">
            <v>0.96927099999999999</v>
          </cell>
          <cell r="R5059">
            <v>0</v>
          </cell>
          <cell r="S5059">
            <v>0</v>
          </cell>
          <cell r="T5059">
            <v>0</v>
          </cell>
          <cell r="U5059">
            <v>82.316483000000005</v>
          </cell>
          <cell r="V5059">
            <v>0</v>
          </cell>
          <cell r="W5059">
            <v>0</v>
          </cell>
          <cell r="X5059">
            <v>0.21567049999999999</v>
          </cell>
          <cell r="Y5059">
            <v>0</v>
          </cell>
          <cell r="Z5059">
            <v>0</v>
          </cell>
          <cell r="AA5059">
            <v>0</v>
          </cell>
          <cell r="AB5059">
            <v>2.07671E-2</v>
          </cell>
        </row>
        <row r="5060">
          <cell r="A5060">
            <v>75210021</v>
          </cell>
          <cell r="B5060" t="str">
            <v>Cabbage, Chinese, cooked, made with oil</v>
          </cell>
          <cell r="I5060">
            <v>85</v>
          </cell>
          <cell r="J5060">
            <v>29.355003</v>
          </cell>
          <cell r="K5060">
            <v>0.34535297647058821</v>
          </cell>
          <cell r="L5060">
            <v>0.82316480000000003</v>
          </cell>
          <cell r="M5060">
            <v>0.3180752</v>
          </cell>
          <cell r="N5060">
            <v>0</v>
          </cell>
          <cell r="O5060">
            <v>7.6675999999999994E-2</v>
          </cell>
          <cell r="P5060">
            <v>0</v>
          </cell>
          <cell r="Q5060">
            <v>0.96927099999999999</v>
          </cell>
          <cell r="R5060">
            <v>0</v>
          </cell>
          <cell r="S5060">
            <v>0</v>
          </cell>
          <cell r="T5060">
            <v>0</v>
          </cell>
          <cell r="U5060">
            <v>82.316483000000005</v>
          </cell>
          <cell r="V5060">
            <v>0</v>
          </cell>
          <cell r="W5060">
            <v>0</v>
          </cell>
          <cell r="X5060">
            <v>0.21567049999999999</v>
          </cell>
          <cell r="Y5060">
            <v>0</v>
          </cell>
          <cell r="Z5060">
            <v>0</v>
          </cell>
          <cell r="AA5060">
            <v>0</v>
          </cell>
          <cell r="AB5060">
            <v>9.5755000000000007E-3</v>
          </cell>
        </row>
        <row r="5061">
          <cell r="A5061">
            <v>75210022</v>
          </cell>
          <cell r="B5061" t="str">
            <v>Cabbage, Chinese, cooked, made with butter</v>
          </cell>
          <cell r="I5061">
            <v>85</v>
          </cell>
          <cell r="J5061">
            <v>26.268225999999999</v>
          </cell>
          <cell r="K5061">
            <v>0.30903795294117647</v>
          </cell>
          <cell r="L5061">
            <v>0.82228889999999999</v>
          </cell>
          <cell r="M5061">
            <v>1.192267</v>
          </cell>
          <cell r="N5061">
            <v>0</v>
          </cell>
          <cell r="O5061">
            <v>7.7137899999999995E-2</v>
          </cell>
          <cell r="P5061">
            <v>0</v>
          </cell>
          <cell r="Q5061">
            <v>0.13292229999999999</v>
          </cell>
          <cell r="R5061">
            <v>0</v>
          </cell>
          <cell r="S5061">
            <v>0</v>
          </cell>
          <cell r="T5061">
            <v>0</v>
          </cell>
          <cell r="U5061">
            <v>82.228887</v>
          </cell>
          <cell r="V5061">
            <v>0</v>
          </cell>
          <cell r="W5061">
            <v>0</v>
          </cell>
          <cell r="X5061">
            <v>0.23013810000000001</v>
          </cell>
          <cell r="Y5061">
            <v>0</v>
          </cell>
          <cell r="Z5061">
            <v>0</v>
          </cell>
          <cell r="AA5061">
            <v>0</v>
          </cell>
          <cell r="AB5061">
            <v>7.4981400000000004E-2</v>
          </cell>
        </row>
        <row r="5062">
          <cell r="A5062">
            <v>75211010</v>
          </cell>
          <cell r="B5062" t="str">
            <v>Cabbage, green, cooked, NS as to fat added in cooking</v>
          </cell>
          <cell r="I5062">
            <v>85</v>
          </cell>
          <cell r="J5062">
            <v>35.438119</v>
          </cell>
          <cell r="K5062">
            <v>0.41691904705882354</v>
          </cell>
          <cell r="L5062">
            <v>1.5555869</v>
          </cell>
          <cell r="M5062">
            <v>0.92032590000000003</v>
          </cell>
          <cell r="N5062">
            <v>0</v>
          </cell>
          <cell r="O5062">
            <v>4.0018499999999999E-2</v>
          </cell>
          <cell r="P5062">
            <v>0</v>
          </cell>
          <cell r="Q5062">
            <v>0.33932590000000001</v>
          </cell>
          <cell r="R5062">
            <v>0</v>
          </cell>
          <cell r="S5062">
            <v>0</v>
          </cell>
          <cell r="T5062">
            <v>0</v>
          </cell>
          <cell r="U5062">
            <v>81.872996999999998</v>
          </cell>
          <cell r="V5062">
            <v>0</v>
          </cell>
          <cell r="W5062">
            <v>0</v>
          </cell>
          <cell r="X5062">
            <v>0.23506489999999999</v>
          </cell>
          <cell r="Y5062">
            <v>0</v>
          </cell>
          <cell r="Z5062">
            <v>0</v>
          </cell>
          <cell r="AA5062">
            <v>0</v>
          </cell>
          <cell r="AB5062">
            <v>8.8596499999999995E-2</v>
          </cell>
        </row>
        <row r="5063">
          <cell r="A5063">
            <v>75211020</v>
          </cell>
          <cell r="B5063" t="str">
            <v>Cabbage, green, cooked, fat not added in cooking</v>
          </cell>
          <cell r="I5063">
            <v>85</v>
          </cell>
          <cell r="J5063">
            <v>19.420529999999999</v>
          </cell>
          <cell r="K5063">
            <v>0.22847682352941176</v>
          </cell>
          <cell r="L5063">
            <v>1.6043046000000001</v>
          </cell>
          <cell r="M5063">
            <v>0</v>
          </cell>
          <cell r="N5063">
            <v>0</v>
          </cell>
          <cell r="O5063">
            <v>4.0664899999999997E-2</v>
          </cell>
          <cell r="P5063">
            <v>0</v>
          </cell>
          <cell r="Q5063">
            <v>1.94205E-2</v>
          </cell>
          <cell r="R5063">
            <v>0</v>
          </cell>
          <cell r="S5063">
            <v>0</v>
          </cell>
          <cell r="T5063">
            <v>0</v>
          </cell>
          <cell r="U5063">
            <v>84.437085999999994</v>
          </cell>
          <cell r="V5063">
            <v>0</v>
          </cell>
          <cell r="W5063">
            <v>0</v>
          </cell>
          <cell r="X5063">
            <v>0.22492909999999999</v>
          </cell>
          <cell r="Y5063">
            <v>0</v>
          </cell>
          <cell r="Z5063">
            <v>0</v>
          </cell>
          <cell r="AA5063">
            <v>0</v>
          </cell>
          <cell r="AB5063">
            <v>0</v>
          </cell>
        </row>
        <row r="5064">
          <cell r="A5064">
            <v>75211030</v>
          </cell>
          <cell r="B5064" t="str">
            <v>Cabbage, green, cooked, fat added in cooking, NS as to type of fat</v>
          </cell>
          <cell r="I5064">
            <v>85</v>
          </cell>
          <cell r="J5064">
            <v>35.438119</v>
          </cell>
          <cell r="K5064">
            <v>0.41691904705882354</v>
          </cell>
          <cell r="L5064">
            <v>1.5555869</v>
          </cell>
          <cell r="M5064">
            <v>0.92032590000000003</v>
          </cell>
          <cell r="N5064">
            <v>0</v>
          </cell>
          <cell r="O5064">
            <v>4.0018499999999999E-2</v>
          </cell>
          <cell r="P5064">
            <v>0</v>
          </cell>
          <cell r="Q5064">
            <v>0.33932590000000001</v>
          </cell>
          <cell r="R5064">
            <v>0</v>
          </cell>
          <cell r="S5064">
            <v>0</v>
          </cell>
          <cell r="T5064">
            <v>0</v>
          </cell>
          <cell r="U5064">
            <v>81.872996999999998</v>
          </cell>
          <cell r="V5064">
            <v>0</v>
          </cell>
          <cell r="W5064">
            <v>0</v>
          </cell>
          <cell r="X5064">
            <v>0.23506489999999999</v>
          </cell>
          <cell r="Y5064">
            <v>0</v>
          </cell>
          <cell r="Z5064">
            <v>0</v>
          </cell>
          <cell r="AA5064">
            <v>0</v>
          </cell>
          <cell r="AB5064">
            <v>8.8596499999999995E-2</v>
          </cell>
        </row>
        <row r="5065">
          <cell r="A5065">
            <v>75211031</v>
          </cell>
          <cell r="B5065" t="str">
            <v>Cabbage, green, cooked, made with oil</v>
          </cell>
          <cell r="I5065">
            <v>85</v>
          </cell>
          <cell r="J5065">
            <v>40.834860999999997</v>
          </cell>
          <cell r="K5065">
            <v>0.48041012941176464</v>
          </cell>
          <cell r="L5065">
            <v>1.5574570999999999</v>
          </cell>
          <cell r="M5065">
            <v>0.33946490000000001</v>
          </cell>
          <cell r="N5065">
            <v>0</v>
          </cell>
          <cell r="O5065">
            <v>3.9483600000000001E-2</v>
          </cell>
          <cell r="P5065">
            <v>0</v>
          </cell>
          <cell r="Q5065">
            <v>1.0412220999999999</v>
          </cell>
          <cell r="R5065">
            <v>0</v>
          </cell>
          <cell r="S5065">
            <v>0</v>
          </cell>
          <cell r="T5065">
            <v>0</v>
          </cell>
          <cell r="U5065">
            <v>81.971429000000001</v>
          </cell>
          <cell r="V5065">
            <v>0</v>
          </cell>
          <cell r="W5065">
            <v>0</v>
          </cell>
          <cell r="X5065">
            <v>0.2183734</v>
          </cell>
          <cell r="Y5065">
            <v>0</v>
          </cell>
          <cell r="Z5065">
            <v>0</v>
          </cell>
          <cell r="AA5065">
            <v>0</v>
          </cell>
          <cell r="AB5065">
            <v>8.7953000000000007E-3</v>
          </cell>
        </row>
        <row r="5066">
          <cell r="A5066">
            <v>75211032</v>
          </cell>
          <cell r="B5066" t="str">
            <v>Cabbage, green, cooked, made with butter</v>
          </cell>
          <cell r="I5066">
            <v>85</v>
          </cell>
          <cell r="J5066">
            <v>37.337868999999998</v>
          </cell>
          <cell r="K5066">
            <v>0.43926904705882353</v>
          </cell>
          <cell r="L5066">
            <v>1.5555869</v>
          </cell>
          <cell r="M5066">
            <v>1.3259019000000001</v>
          </cell>
          <cell r="N5066">
            <v>0</v>
          </cell>
          <cell r="O5066">
            <v>4.0049500000000002E-2</v>
          </cell>
          <cell r="P5066">
            <v>0</v>
          </cell>
          <cell r="Q5066">
            <v>9.7376199999999996E-2</v>
          </cell>
          <cell r="R5066">
            <v>0</v>
          </cell>
          <cell r="S5066">
            <v>0</v>
          </cell>
          <cell r="T5066">
            <v>0</v>
          </cell>
          <cell r="U5066">
            <v>81.872996999999998</v>
          </cell>
          <cell r="V5066">
            <v>0</v>
          </cell>
          <cell r="W5066">
            <v>0</v>
          </cell>
          <cell r="X5066">
            <v>0.23469580000000001</v>
          </cell>
          <cell r="Y5066">
            <v>0</v>
          </cell>
          <cell r="Z5066">
            <v>0</v>
          </cell>
          <cell r="AA5066">
            <v>0</v>
          </cell>
          <cell r="AB5066">
            <v>8.4611199999999998E-2</v>
          </cell>
        </row>
        <row r="5067">
          <cell r="A5067">
            <v>75211033</v>
          </cell>
          <cell r="B5067" t="str">
            <v>Cabbage, green, cooked, made with margarine</v>
          </cell>
          <cell r="I5067">
            <v>85</v>
          </cell>
          <cell r="J5067">
            <v>32.701861000000001</v>
          </cell>
          <cell r="K5067">
            <v>0.38472777647058826</v>
          </cell>
          <cell r="L5067">
            <v>1.5551675</v>
          </cell>
          <cell r="M5067">
            <v>0.31464750000000002</v>
          </cell>
          <cell r="N5067">
            <v>0</v>
          </cell>
          <cell r="O5067">
            <v>3.9966099999999997E-2</v>
          </cell>
          <cell r="P5067">
            <v>0</v>
          </cell>
          <cell r="Q5067">
            <v>0.70812929999999996</v>
          </cell>
          <cell r="R5067">
            <v>0</v>
          </cell>
          <cell r="S5067">
            <v>0</v>
          </cell>
          <cell r="T5067">
            <v>0</v>
          </cell>
          <cell r="U5067">
            <v>81.850921999999997</v>
          </cell>
          <cell r="V5067">
            <v>0</v>
          </cell>
          <cell r="W5067">
            <v>0</v>
          </cell>
          <cell r="X5067">
            <v>0.2355999</v>
          </cell>
          <cell r="Y5067">
            <v>0</v>
          </cell>
          <cell r="Z5067">
            <v>0</v>
          </cell>
          <cell r="AA5067">
            <v>0</v>
          </cell>
          <cell r="AB5067">
            <v>9.5388799999999996E-2</v>
          </cell>
        </row>
        <row r="5068">
          <cell r="A5068">
            <v>75212010</v>
          </cell>
          <cell r="B5068" t="str">
            <v>Cabbage, red, cooked, fat not added in cooking</v>
          </cell>
          <cell r="I5068">
            <v>85</v>
          </cell>
          <cell r="J5068">
            <v>24.486754999999999</v>
          </cell>
          <cell r="K5068">
            <v>0.2880794705882353</v>
          </cell>
          <cell r="L5068">
            <v>2.1953642000000002</v>
          </cell>
          <cell r="M5068">
            <v>9.2881000000000005E-3</v>
          </cell>
          <cell r="N5068">
            <v>0</v>
          </cell>
          <cell r="O5068">
            <v>3.5598699999999997E-2</v>
          </cell>
          <cell r="P5068">
            <v>0</v>
          </cell>
          <cell r="Q5068">
            <v>3.6307899999999997E-2</v>
          </cell>
          <cell r="R5068">
            <v>0</v>
          </cell>
          <cell r="S5068">
            <v>0</v>
          </cell>
          <cell r="T5068">
            <v>0</v>
          </cell>
          <cell r="U5068">
            <v>84.437085999999994</v>
          </cell>
          <cell r="V5068">
            <v>0</v>
          </cell>
          <cell r="W5068">
            <v>0</v>
          </cell>
          <cell r="X5068">
            <v>0.24181659999999999</v>
          </cell>
          <cell r="Y5068">
            <v>0</v>
          </cell>
          <cell r="Z5068">
            <v>0</v>
          </cell>
          <cell r="AA5068">
            <v>0</v>
          </cell>
          <cell r="AB5068">
            <v>0</v>
          </cell>
        </row>
        <row r="5069">
          <cell r="A5069">
            <v>75212020</v>
          </cell>
          <cell r="B5069" t="str">
            <v>Cabbage, red, cooked, fat added in cooking</v>
          </cell>
          <cell r="I5069">
            <v>85</v>
          </cell>
          <cell r="J5069">
            <v>37.714450999999997</v>
          </cell>
          <cell r="K5069">
            <v>0.44369942352941172</v>
          </cell>
          <cell r="L5069">
            <v>2.1290944000000001</v>
          </cell>
          <cell r="M5069">
            <v>0.3257121</v>
          </cell>
          <cell r="N5069">
            <v>0</v>
          </cell>
          <cell r="O5069">
            <v>3.5061299999999997E-2</v>
          </cell>
          <cell r="P5069">
            <v>0</v>
          </cell>
          <cell r="Q5069">
            <v>0.72902160000000005</v>
          </cell>
          <cell r="R5069">
            <v>0</v>
          </cell>
          <cell r="S5069">
            <v>0</v>
          </cell>
          <cell r="T5069">
            <v>0</v>
          </cell>
          <cell r="U5069">
            <v>81.888247000000007</v>
          </cell>
          <cell r="V5069">
            <v>0</v>
          </cell>
          <cell r="W5069">
            <v>0</v>
          </cell>
          <cell r="X5069">
            <v>0.23014200000000001</v>
          </cell>
          <cell r="Y5069">
            <v>0</v>
          </cell>
          <cell r="Z5069">
            <v>0</v>
          </cell>
          <cell r="AA5069">
            <v>0</v>
          </cell>
          <cell r="AB5069">
            <v>8.8596499999999995E-2</v>
          </cell>
        </row>
        <row r="5070">
          <cell r="A5070">
            <v>75212021</v>
          </cell>
          <cell r="B5070" t="str">
            <v>Cabbage, red, cooked, made with oil</v>
          </cell>
          <cell r="I5070">
            <v>85</v>
          </cell>
          <cell r="J5070">
            <v>45.753146999999998</v>
          </cell>
          <cell r="K5070">
            <v>0.53827231764705885</v>
          </cell>
          <cell r="L5070">
            <v>2.1312571999999999</v>
          </cell>
          <cell r="M5070">
            <v>0.34848180000000001</v>
          </cell>
          <cell r="N5070">
            <v>0</v>
          </cell>
          <cell r="O5070">
            <v>3.4565400000000003E-2</v>
          </cell>
          <cell r="P5070">
            <v>0</v>
          </cell>
          <cell r="Q5070">
            <v>1.0576163999999999</v>
          </cell>
          <cell r="R5070">
            <v>0</v>
          </cell>
          <cell r="S5070">
            <v>0</v>
          </cell>
          <cell r="T5070">
            <v>0</v>
          </cell>
          <cell r="U5070">
            <v>81.971429000000001</v>
          </cell>
          <cell r="V5070">
            <v>0</v>
          </cell>
          <cell r="W5070">
            <v>0</v>
          </cell>
          <cell r="X5070">
            <v>0.2347677</v>
          </cell>
          <cell r="Y5070">
            <v>0</v>
          </cell>
          <cell r="Z5070">
            <v>0</v>
          </cell>
          <cell r="AA5070">
            <v>0</v>
          </cell>
          <cell r="AB5070">
            <v>8.7953000000000007E-3</v>
          </cell>
        </row>
        <row r="5071">
          <cell r="A5071">
            <v>75213100</v>
          </cell>
          <cell r="B5071" t="str">
            <v>Cactus, cooked, NS as to fat added in cooking</v>
          </cell>
          <cell r="I5071">
            <v>85</v>
          </cell>
          <cell r="J5071">
            <v>28.992578999999999</v>
          </cell>
          <cell r="K5071">
            <v>0.34108916470588235</v>
          </cell>
          <cell r="L5071">
            <v>1.6370557999999999</v>
          </cell>
          <cell r="M5071">
            <v>0.93118500000000004</v>
          </cell>
          <cell r="N5071">
            <v>0</v>
          </cell>
          <cell r="O5071">
            <v>0.13496269999999999</v>
          </cell>
          <cell r="P5071">
            <v>0</v>
          </cell>
          <cell r="Q5071">
            <v>0.33975549999999999</v>
          </cell>
          <cell r="R5071">
            <v>0</v>
          </cell>
          <cell r="S5071">
            <v>0</v>
          </cell>
          <cell r="T5071">
            <v>0</v>
          </cell>
          <cell r="U5071">
            <v>81.852788000000004</v>
          </cell>
          <cell r="V5071">
            <v>0</v>
          </cell>
          <cell r="W5071">
            <v>0</v>
          </cell>
          <cell r="X5071">
            <v>0.24636250000000001</v>
          </cell>
          <cell r="Y5071">
            <v>0</v>
          </cell>
          <cell r="Z5071">
            <v>0</v>
          </cell>
          <cell r="AA5071">
            <v>0</v>
          </cell>
          <cell r="AB5071">
            <v>8.9169100000000001E-2</v>
          </cell>
        </row>
        <row r="5072">
          <cell r="A5072">
            <v>75213110</v>
          </cell>
          <cell r="B5072" t="str">
            <v>Cactus, cooked, fat not added in cooking</v>
          </cell>
          <cell r="I5072">
            <v>85</v>
          </cell>
          <cell r="J5072">
            <v>12.664999999999999</v>
          </cell>
          <cell r="K5072">
            <v>0.14899999999999999</v>
          </cell>
          <cell r="L5072">
            <v>1.6886667</v>
          </cell>
          <cell r="M5072">
            <v>5.0660000000000002E-3</v>
          </cell>
          <cell r="N5072">
            <v>0</v>
          </cell>
          <cell r="O5072">
            <v>0.1386067</v>
          </cell>
          <cell r="P5072">
            <v>0</v>
          </cell>
          <cell r="Q5072">
            <v>1.7731E-2</v>
          </cell>
          <cell r="R5072">
            <v>0</v>
          </cell>
          <cell r="S5072">
            <v>0</v>
          </cell>
          <cell r="T5072">
            <v>0</v>
          </cell>
          <cell r="U5072">
            <v>84.433333000000005</v>
          </cell>
          <cell r="V5072">
            <v>0</v>
          </cell>
          <cell r="W5072">
            <v>0</v>
          </cell>
          <cell r="X5072">
            <v>0.23651530000000001</v>
          </cell>
          <cell r="Y5072">
            <v>0</v>
          </cell>
          <cell r="Z5072">
            <v>0</v>
          </cell>
          <cell r="AA5072">
            <v>0</v>
          </cell>
          <cell r="AB5072">
            <v>0</v>
          </cell>
        </row>
        <row r="5073">
          <cell r="A5073">
            <v>75213120</v>
          </cell>
          <cell r="B5073" t="str">
            <v>Cactus, cooked, fat added in cooking</v>
          </cell>
          <cell r="I5073">
            <v>85</v>
          </cell>
          <cell r="J5073">
            <v>26.247174000000001</v>
          </cell>
          <cell r="K5073">
            <v>0.3087902823529412</v>
          </cell>
          <cell r="L5073">
            <v>1.6370346</v>
          </cell>
          <cell r="M5073">
            <v>0.3216735</v>
          </cell>
          <cell r="N5073">
            <v>0</v>
          </cell>
          <cell r="O5073">
            <v>0.1349138</v>
          </cell>
          <cell r="P5073">
            <v>0</v>
          </cell>
          <cell r="Q5073">
            <v>0.71112540000000002</v>
          </cell>
          <cell r="R5073">
            <v>0</v>
          </cell>
          <cell r="S5073">
            <v>0</v>
          </cell>
          <cell r="T5073">
            <v>0</v>
          </cell>
          <cell r="U5073">
            <v>81.851730000000003</v>
          </cell>
          <cell r="V5073">
            <v>0</v>
          </cell>
          <cell r="W5073">
            <v>0</v>
          </cell>
          <cell r="X5073">
            <v>0.23755409999999999</v>
          </cell>
          <cell r="Y5073">
            <v>0</v>
          </cell>
          <cell r="Z5073">
            <v>0</v>
          </cell>
          <cell r="AA5073">
            <v>0</v>
          </cell>
          <cell r="AB5073">
            <v>8.9169100000000001E-2</v>
          </cell>
        </row>
        <row r="5074">
          <cell r="A5074">
            <v>75213121</v>
          </cell>
          <cell r="B5074" t="str">
            <v>Cactus, cooked, made with oil</v>
          </cell>
          <cell r="I5074">
            <v>85</v>
          </cell>
          <cell r="J5074">
            <v>34.416443000000001</v>
          </cell>
          <cell r="K5074">
            <v>0.40489932941176471</v>
          </cell>
          <cell r="L5074">
            <v>1.6390366000000001</v>
          </cell>
          <cell r="M5074">
            <v>0.34657860000000001</v>
          </cell>
          <cell r="N5074">
            <v>0</v>
          </cell>
          <cell r="O5074">
            <v>0.1345393</v>
          </cell>
          <cell r="P5074">
            <v>0</v>
          </cell>
          <cell r="Q5074">
            <v>1.0461940000000001</v>
          </cell>
          <cell r="R5074">
            <v>0</v>
          </cell>
          <cell r="S5074">
            <v>0</v>
          </cell>
          <cell r="T5074">
            <v>0</v>
          </cell>
          <cell r="U5074">
            <v>81.951831999999996</v>
          </cell>
          <cell r="V5074">
            <v>0</v>
          </cell>
          <cell r="W5074">
            <v>0</v>
          </cell>
          <cell r="X5074">
            <v>0.22957659999999999</v>
          </cell>
          <cell r="Y5074">
            <v>0</v>
          </cell>
          <cell r="Z5074">
            <v>0</v>
          </cell>
          <cell r="AA5074">
            <v>0</v>
          </cell>
          <cell r="AB5074">
            <v>8.8521999999999993E-3</v>
          </cell>
        </row>
        <row r="5075">
          <cell r="A5075">
            <v>75214000</v>
          </cell>
          <cell r="B5075" t="str">
            <v>Cauliflower, cooked, NS as to form, NS as to fat added in cooking</v>
          </cell>
          <cell r="I5075">
            <v>85</v>
          </cell>
          <cell r="J5075">
            <v>29.576656</v>
          </cell>
          <cell r="K5075">
            <v>0.34796065882352939</v>
          </cell>
          <cell r="L5075">
            <v>2.2242084000000002</v>
          </cell>
          <cell r="M5075">
            <v>0.79967820000000001</v>
          </cell>
          <cell r="N5075">
            <v>0</v>
          </cell>
          <cell r="O5075">
            <v>1.46076E-2</v>
          </cell>
          <cell r="P5075">
            <v>0</v>
          </cell>
          <cell r="Q5075">
            <v>0.35522389999999998</v>
          </cell>
          <cell r="R5075">
            <v>0</v>
          </cell>
          <cell r="S5075">
            <v>0</v>
          </cell>
          <cell r="T5075">
            <v>0</v>
          </cell>
          <cell r="U5075">
            <v>82.378089000000003</v>
          </cell>
          <cell r="V5075">
            <v>0</v>
          </cell>
          <cell r="W5075">
            <v>0</v>
          </cell>
          <cell r="X5075">
            <v>0.206432</v>
          </cell>
          <cell r="Y5075">
            <v>0</v>
          </cell>
          <cell r="Z5075">
            <v>0</v>
          </cell>
          <cell r="AA5075">
            <v>0</v>
          </cell>
          <cell r="AB5075">
            <v>7.4285900000000002E-2</v>
          </cell>
        </row>
        <row r="5076">
          <cell r="A5076">
            <v>75214001</v>
          </cell>
          <cell r="B5076" t="str">
            <v>Cauliflower, cooked, from fresh, NS as to fat added in cooking</v>
          </cell>
          <cell r="I5076">
            <v>85</v>
          </cell>
          <cell r="J5076">
            <v>38.622380999999997</v>
          </cell>
          <cell r="K5076">
            <v>0.45438095294117642</v>
          </cell>
          <cell r="L5076">
            <v>1.8686647000000001</v>
          </cell>
          <cell r="M5076">
            <v>1.1616479</v>
          </cell>
          <cell r="N5076">
            <v>0</v>
          </cell>
          <cell r="O5076">
            <v>1.38631E-2</v>
          </cell>
          <cell r="P5076">
            <v>0</v>
          </cell>
          <cell r="Q5076">
            <v>0.56103250000000005</v>
          </cell>
          <cell r="R5076">
            <v>0</v>
          </cell>
          <cell r="S5076">
            <v>0</v>
          </cell>
          <cell r="T5076">
            <v>0</v>
          </cell>
          <cell r="U5076">
            <v>81.246290000000002</v>
          </cell>
          <cell r="V5076">
            <v>0</v>
          </cell>
          <cell r="W5076">
            <v>0</v>
          </cell>
          <cell r="X5076">
            <v>0.28650039999999999</v>
          </cell>
          <cell r="Y5076">
            <v>0</v>
          </cell>
          <cell r="Z5076">
            <v>0</v>
          </cell>
          <cell r="AA5076">
            <v>0</v>
          </cell>
          <cell r="AB5076">
            <v>0.1063528</v>
          </cell>
        </row>
        <row r="5077">
          <cell r="A5077">
            <v>75214010</v>
          </cell>
          <cell r="B5077" t="str">
            <v>Cauliflower, cooked, NS as to form, fat not added in cooking</v>
          </cell>
          <cell r="I5077">
            <v>85</v>
          </cell>
          <cell r="J5077">
            <v>16.060773000000001</v>
          </cell>
          <cell r="K5077">
            <v>0.1889502705882353</v>
          </cell>
          <cell r="L5077">
            <v>2.2823204000000001</v>
          </cell>
          <cell r="M5077">
            <v>2.87403E-2</v>
          </cell>
          <cell r="N5077">
            <v>0</v>
          </cell>
          <cell r="O5077">
            <v>1.44829E-2</v>
          </cell>
          <cell r="P5077">
            <v>0</v>
          </cell>
          <cell r="Q5077">
            <v>8.87569E-2</v>
          </cell>
          <cell r="R5077">
            <v>0</v>
          </cell>
          <cell r="S5077">
            <v>0</v>
          </cell>
          <cell r="T5077">
            <v>0</v>
          </cell>
          <cell r="U5077">
            <v>84.530387000000005</v>
          </cell>
          <cell r="V5077">
            <v>0</v>
          </cell>
          <cell r="W5077">
            <v>0</v>
          </cell>
          <cell r="X5077">
            <v>0.19722819999999999</v>
          </cell>
          <cell r="Y5077">
            <v>0</v>
          </cell>
          <cell r="Z5077">
            <v>0</v>
          </cell>
          <cell r="AA5077">
            <v>0</v>
          </cell>
          <cell r="AB5077">
            <v>0</v>
          </cell>
        </row>
        <row r="5078">
          <cell r="A5078">
            <v>75214011</v>
          </cell>
          <cell r="B5078" t="str">
            <v>Cauliflower, cooked, from fresh, fat not added in cooking</v>
          </cell>
          <cell r="I5078">
            <v>85</v>
          </cell>
          <cell r="J5078">
            <v>19.393599999999999</v>
          </cell>
          <cell r="K5078">
            <v>0.22816</v>
          </cell>
          <cell r="L5078">
            <v>1.93936</v>
          </cell>
          <cell r="M5078">
            <v>5.9024E-2</v>
          </cell>
          <cell r="N5078">
            <v>0</v>
          </cell>
          <cell r="O5078">
            <v>1.3654400000000001E-2</v>
          </cell>
          <cell r="P5078">
            <v>0</v>
          </cell>
          <cell r="Q5078">
            <v>0.18297440000000001</v>
          </cell>
          <cell r="R5078">
            <v>0</v>
          </cell>
          <cell r="S5078">
            <v>0</v>
          </cell>
          <cell r="T5078">
            <v>0</v>
          </cell>
          <cell r="U5078">
            <v>84.32</v>
          </cell>
          <cell r="V5078">
            <v>0</v>
          </cell>
          <cell r="W5078">
            <v>0</v>
          </cell>
          <cell r="X5078">
            <v>0.27620240000000001</v>
          </cell>
          <cell r="Y5078">
            <v>0</v>
          </cell>
          <cell r="Z5078">
            <v>0</v>
          </cell>
          <cell r="AA5078">
            <v>0</v>
          </cell>
          <cell r="AB5078">
            <v>0</v>
          </cell>
        </row>
        <row r="5079">
          <cell r="A5079">
            <v>75214012</v>
          </cell>
          <cell r="B5079" t="str">
            <v>Cauliflower, cooked, from frozen, fat not added in cooking</v>
          </cell>
          <cell r="I5079">
            <v>85</v>
          </cell>
          <cell r="J5079">
            <v>16.060773000000001</v>
          </cell>
          <cell r="K5079">
            <v>0.1889502705882353</v>
          </cell>
          <cell r="L5079">
            <v>2.2823204000000001</v>
          </cell>
          <cell r="M5079">
            <v>2.87403E-2</v>
          </cell>
          <cell r="N5079">
            <v>0</v>
          </cell>
          <cell r="O5079">
            <v>1.44829E-2</v>
          </cell>
          <cell r="P5079">
            <v>0</v>
          </cell>
          <cell r="Q5079">
            <v>8.87569E-2</v>
          </cell>
          <cell r="R5079">
            <v>0</v>
          </cell>
          <cell r="S5079">
            <v>0</v>
          </cell>
          <cell r="T5079">
            <v>0</v>
          </cell>
          <cell r="U5079">
            <v>84.530387000000005</v>
          </cell>
          <cell r="V5079">
            <v>0</v>
          </cell>
          <cell r="W5079">
            <v>0</v>
          </cell>
          <cell r="X5079">
            <v>0.19722819999999999</v>
          </cell>
          <cell r="Y5079">
            <v>0</v>
          </cell>
          <cell r="Z5079">
            <v>0</v>
          </cell>
          <cell r="AA5079">
            <v>0</v>
          </cell>
          <cell r="AB5079">
            <v>0</v>
          </cell>
        </row>
        <row r="5080">
          <cell r="A5080">
            <v>75214020</v>
          </cell>
          <cell r="B5080" t="str">
            <v>Cauliflower, cooked, NS as to form, fat added in cooking</v>
          </cell>
          <cell r="I5080">
            <v>85</v>
          </cell>
          <cell r="J5080">
            <v>32.829298999999999</v>
          </cell>
          <cell r="K5080">
            <v>0.38622704705882349</v>
          </cell>
          <cell r="L5080">
            <v>1.9830968</v>
          </cell>
          <cell r="M5080">
            <v>0.3905459</v>
          </cell>
          <cell r="N5080">
            <v>0</v>
          </cell>
          <cell r="O5080">
            <v>1.4053400000000001E-2</v>
          </cell>
          <cell r="P5080">
            <v>0</v>
          </cell>
          <cell r="Q5080">
            <v>0.89869410000000005</v>
          </cell>
          <cell r="R5080">
            <v>0</v>
          </cell>
          <cell r="S5080">
            <v>0</v>
          </cell>
          <cell r="T5080">
            <v>0</v>
          </cell>
          <cell r="U5080">
            <v>81.594324</v>
          </cell>
          <cell r="V5080">
            <v>0</v>
          </cell>
          <cell r="W5080">
            <v>0</v>
          </cell>
          <cell r="X5080">
            <v>0.2512105</v>
          </cell>
          <cell r="Y5080">
            <v>0</v>
          </cell>
          <cell r="Z5080">
            <v>0</v>
          </cell>
          <cell r="AA5080">
            <v>0</v>
          </cell>
          <cell r="AB5080">
            <v>7.4285900000000002E-2</v>
          </cell>
        </row>
        <row r="5081">
          <cell r="A5081">
            <v>75214021</v>
          </cell>
          <cell r="B5081" t="str">
            <v>Cauliflower, cooked, from fresh, fat added in cooking</v>
          </cell>
          <cell r="I5081">
            <v>85</v>
          </cell>
          <cell r="J5081">
            <v>35.473928000000001</v>
          </cell>
          <cell r="K5081">
            <v>0.41734032941176469</v>
          </cell>
          <cell r="L5081">
            <v>1.8699475000000001</v>
          </cell>
          <cell r="M5081">
            <v>0.43727919999999998</v>
          </cell>
          <cell r="N5081">
            <v>0</v>
          </cell>
          <cell r="O5081">
            <v>1.38014E-2</v>
          </cell>
          <cell r="P5081">
            <v>0</v>
          </cell>
          <cell r="Q5081">
            <v>1.0097035000000001</v>
          </cell>
          <cell r="R5081">
            <v>0</v>
          </cell>
          <cell r="S5081">
            <v>0</v>
          </cell>
          <cell r="T5081">
            <v>0</v>
          </cell>
          <cell r="U5081">
            <v>81.302066999999994</v>
          </cell>
          <cell r="V5081">
            <v>0</v>
          </cell>
          <cell r="W5081">
            <v>0</v>
          </cell>
          <cell r="X5081">
            <v>0.24581500000000001</v>
          </cell>
          <cell r="Y5081">
            <v>0</v>
          </cell>
          <cell r="Z5081">
            <v>0</v>
          </cell>
          <cell r="AA5081">
            <v>0</v>
          </cell>
          <cell r="AB5081">
            <v>0.1063528</v>
          </cell>
        </row>
        <row r="5082">
          <cell r="A5082">
            <v>75214022</v>
          </cell>
          <cell r="B5082" t="str">
            <v>Cauliflower, cooked, from frozen, fat added in cooking</v>
          </cell>
          <cell r="I5082">
            <v>85</v>
          </cell>
          <cell r="J5082">
            <v>27.355943</v>
          </cell>
          <cell r="K5082">
            <v>0.32183462352941178</v>
          </cell>
          <cell r="L5082">
            <v>2.2238372000000002</v>
          </cell>
          <cell r="M5082">
            <v>0.29345870000000002</v>
          </cell>
          <cell r="N5082">
            <v>0</v>
          </cell>
          <cell r="O5082">
            <v>1.4568599999999999E-2</v>
          </cell>
          <cell r="P5082">
            <v>0</v>
          </cell>
          <cell r="Q5082">
            <v>0.66801869999999997</v>
          </cell>
          <cell r="R5082">
            <v>0</v>
          </cell>
          <cell r="S5082">
            <v>0</v>
          </cell>
          <cell r="T5082">
            <v>0</v>
          </cell>
          <cell r="U5082">
            <v>82.364340999999996</v>
          </cell>
          <cell r="V5082">
            <v>0</v>
          </cell>
          <cell r="W5082">
            <v>0</v>
          </cell>
          <cell r="X5082">
            <v>0.1991482</v>
          </cell>
          <cell r="Y5082">
            <v>0</v>
          </cell>
          <cell r="Z5082">
            <v>0</v>
          </cell>
          <cell r="AA5082">
            <v>0</v>
          </cell>
          <cell r="AB5082">
            <v>7.4285900000000002E-2</v>
          </cell>
        </row>
        <row r="5083">
          <cell r="A5083">
            <v>75214024</v>
          </cell>
          <cell r="B5083" t="str">
            <v>Cauliflower, cooked, NS as to form, made with oil</v>
          </cell>
          <cell r="I5083">
            <v>85</v>
          </cell>
          <cell r="J5083">
            <v>34.094900000000003</v>
          </cell>
          <cell r="K5083">
            <v>0.40111647058823535</v>
          </cell>
          <cell r="L5083">
            <v>2.2264501000000001</v>
          </cell>
          <cell r="M5083">
            <v>0.31261420000000001</v>
          </cell>
          <cell r="N5083">
            <v>0</v>
          </cell>
          <cell r="O5083">
            <v>1.41335E-2</v>
          </cell>
          <cell r="P5083">
            <v>0</v>
          </cell>
          <cell r="Q5083">
            <v>0.94364760000000003</v>
          </cell>
          <cell r="R5083">
            <v>0</v>
          </cell>
          <cell r="S5083">
            <v>0</v>
          </cell>
          <cell r="T5083">
            <v>0</v>
          </cell>
          <cell r="U5083">
            <v>82.461113999999995</v>
          </cell>
          <cell r="V5083">
            <v>0</v>
          </cell>
          <cell r="W5083">
            <v>0</v>
          </cell>
          <cell r="X5083">
            <v>0.19241050000000001</v>
          </cell>
          <cell r="Y5083">
            <v>0</v>
          </cell>
          <cell r="Z5083">
            <v>0</v>
          </cell>
          <cell r="AA5083">
            <v>0</v>
          </cell>
          <cell r="AB5083">
            <v>1.1103699999999999E-2</v>
          </cell>
        </row>
        <row r="5084">
          <cell r="A5084">
            <v>75214027</v>
          </cell>
          <cell r="B5084" t="str">
            <v>Cauliflower, cooked, from fresh, made with oil</v>
          </cell>
          <cell r="I5084">
            <v>85</v>
          </cell>
          <cell r="J5084">
            <v>45.106884000000001</v>
          </cell>
          <cell r="K5084">
            <v>0.53066922352941182</v>
          </cell>
          <cell r="L5084">
            <v>1.8713622000000001</v>
          </cell>
          <cell r="M5084">
            <v>0.46455249999999998</v>
          </cell>
          <cell r="N5084">
            <v>0</v>
          </cell>
          <cell r="O5084">
            <v>1.31831E-2</v>
          </cell>
          <cell r="P5084">
            <v>0</v>
          </cell>
          <cell r="Q5084">
            <v>1.4041243000000001</v>
          </cell>
          <cell r="R5084">
            <v>0</v>
          </cell>
          <cell r="S5084">
            <v>0</v>
          </cell>
          <cell r="T5084">
            <v>0</v>
          </cell>
          <cell r="U5084">
            <v>81.363573000000002</v>
          </cell>
          <cell r="V5084">
            <v>0</v>
          </cell>
          <cell r="W5084">
            <v>0</v>
          </cell>
          <cell r="X5084">
            <v>0.26653310000000002</v>
          </cell>
          <cell r="Y5084">
            <v>0</v>
          </cell>
          <cell r="Z5084">
            <v>0</v>
          </cell>
          <cell r="AA5084">
            <v>0</v>
          </cell>
          <cell r="AB5084">
            <v>1.7044400000000001E-2</v>
          </cell>
        </row>
        <row r="5085">
          <cell r="A5085">
            <v>75214028</v>
          </cell>
          <cell r="B5085" t="str">
            <v>Cauliflower, cooked, from fresh, made with butter</v>
          </cell>
          <cell r="I5085">
            <v>85</v>
          </cell>
          <cell r="J5085">
            <v>40.902875000000002</v>
          </cell>
          <cell r="K5085">
            <v>0.4812102941176471</v>
          </cell>
          <cell r="L5085">
            <v>1.8686647000000001</v>
          </cell>
          <cell r="M5085">
            <v>1.6485087</v>
          </cell>
          <cell r="N5085">
            <v>0</v>
          </cell>
          <cell r="O5085">
            <v>1.3900300000000001E-2</v>
          </cell>
          <cell r="P5085">
            <v>0</v>
          </cell>
          <cell r="Q5085">
            <v>0.27059169999999999</v>
          </cell>
          <cell r="R5085">
            <v>0</v>
          </cell>
          <cell r="S5085">
            <v>0</v>
          </cell>
          <cell r="T5085">
            <v>0</v>
          </cell>
          <cell r="U5085">
            <v>81.246290000000002</v>
          </cell>
          <cell r="V5085">
            <v>0</v>
          </cell>
          <cell r="W5085">
            <v>0</v>
          </cell>
          <cell r="X5085">
            <v>0.28605740000000002</v>
          </cell>
          <cell r="Y5085">
            <v>0</v>
          </cell>
          <cell r="Z5085">
            <v>0</v>
          </cell>
          <cell r="AA5085">
            <v>0</v>
          </cell>
          <cell r="AB5085">
            <v>0.1015688</v>
          </cell>
        </row>
        <row r="5086">
          <cell r="A5086">
            <v>75214029</v>
          </cell>
          <cell r="B5086" t="str">
            <v>Cauliflower, cooked, from fresh, made with margarine</v>
          </cell>
          <cell r="I5086">
            <v>85</v>
          </cell>
          <cell r="J5086">
            <v>35.336874999999999</v>
          </cell>
          <cell r="K5086">
            <v>0.41572794117647061</v>
          </cell>
          <cell r="L5086">
            <v>1.8680599</v>
          </cell>
          <cell r="M5086">
            <v>0.43454209999999999</v>
          </cell>
          <cell r="N5086">
            <v>0</v>
          </cell>
          <cell r="O5086">
            <v>1.38087E-2</v>
          </cell>
          <cell r="P5086">
            <v>0</v>
          </cell>
          <cell r="Q5086">
            <v>1.0036548999999999</v>
          </cell>
          <cell r="R5086">
            <v>0</v>
          </cell>
          <cell r="S5086">
            <v>0</v>
          </cell>
          <cell r="T5086">
            <v>0</v>
          </cell>
          <cell r="U5086">
            <v>81.219994999999997</v>
          </cell>
          <cell r="V5086">
            <v>0</v>
          </cell>
          <cell r="W5086">
            <v>0</v>
          </cell>
          <cell r="X5086">
            <v>0.28712599999999999</v>
          </cell>
          <cell r="Y5086">
            <v>0</v>
          </cell>
          <cell r="Z5086">
            <v>0</v>
          </cell>
          <cell r="AA5086">
            <v>0</v>
          </cell>
          <cell r="AB5086">
            <v>0.1145002</v>
          </cell>
        </row>
        <row r="5087">
          <cell r="A5087">
            <v>75214031</v>
          </cell>
          <cell r="B5087" t="str">
            <v>Cauliflower, cooked, from frozen, made with butter</v>
          </cell>
          <cell r="I5087">
            <v>85</v>
          </cell>
          <cell r="J5087">
            <v>31.169547999999999</v>
          </cell>
          <cell r="K5087">
            <v>0.36670056470588236</v>
          </cell>
          <cell r="L5087">
            <v>2.2242084000000002</v>
          </cell>
          <cell r="M5087">
            <v>1.1397432999999999</v>
          </cell>
          <cell r="N5087">
            <v>0</v>
          </cell>
          <cell r="O5087">
            <v>1.4633500000000001E-2</v>
          </cell>
          <cell r="P5087">
            <v>0</v>
          </cell>
          <cell r="Q5087">
            <v>0.1523553</v>
          </cell>
          <cell r="R5087">
            <v>0</v>
          </cell>
          <cell r="S5087">
            <v>0</v>
          </cell>
          <cell r="T5087">
            <v>0</v>
          </cell>
          <cell r="U5087">
            <v>82.378089000000003</v>
          </cell>
          <cell r="V5087">
            <v>0</v>
          </cell>
          <cell r="W5087">
            <v>0</v>
          </cell>
          <cell r="X5087">
            <v>0.20612249999999999</v>
          </cell>
          <cell r="Y5087">
            <v>0</v>
          </cell>
          <cell r="Z5087">
            <v>0</v>
          </cell>
          <cell r="AA5087">
            <v>0</v>
          </cell>
          <cell r="AB5087">
            <v>7.0944300000000002E-2</v>
          </cell>
        </row>
        <row r="5088">
          <cell r="A5088">
            <v>75215000</v>
          </cell>
          <cell r="B5088" t="str">
            <v>Celery, cooked, NS as to fat added in cooking</v>
          </cell>
          <cell r="I5088">
            <v>85</v>
          </cell>
          <cell r="J5088">
            <v>31.344469</v>
          </cell>
          <cell r="K5088">
            <v>0.36875845882352942</v>
          </cell>
          <cell r="L5088">
            <v>1.309968</v>
          </cell>
          <cell r="M5088">
            <v>0.95307509999999995</v>
          </cell>
          <cell r="N5088">
            <v>0</v>
          </cell>
          <cell r="O5088">
            <v>3.5106199999999997E-2</v>
          </cell>
          <cell r="P5088">
            <v>0</v>
          </cell>
          <cell r="Q5088">
            <v>0.38189990000000001</v>
          </cell>
          <cell r="R5088">
            <v>0</v>
          </cell>
          <cell r="S5088">
            <v>0</v>
          </cell>
          <cell r="T5088">
            <v>0</v>
          </cell>
          <cell r="U5088">
            <v>81.872996999999998</v>
          </cell>
          <cell r="V5088">
            <v>0</v>
          </cell>
          <cell r="W5088">
            <v>0</v>
          </cell>
          <cell r="X5088">
            <v>0.3030195</v>
          </cell>
          <cell r="Y5088">
            <v>0</v>
          </cell>
          <cell r="Z5088">
            <v>0</v>
          </cell>
          <cell r="AA5088">
            <v>0</v>
          </cell>
          <cell r="AB5088">
            <v>8.8596499999999995E-2</v>
          </cell>
        </row>
        <row r="5089">
          <cell r="A5089">
            <v>75215010</v>
          </cell>
          <cell r="B5089" t="str">
            <v>Celery, cooked, fat not added in cooking</v>
          </cell>
          <cell r="I5089">
            <v>85</v>
          </cell>
          <cell r="J5089">
            <v>15.198675</v>
          </cell>
          <cell r="K5089">
            <v>0.17880794117647059</v>
          </cell>
          <cell r="L5089">
            <v>1.3509933999999999</v>
          </cell>
          <cell r="M5089">
            <v>3.3774800000000001E-2</v>
          </cell>
          <cell r="N5089">
            <v>0</v>
          </cell>
          <cell r="O5089">
            <v>3.5598699999999997E-2</v>
          </cell>
          <cell r="P5089">
            <v>0</v>
          </cell>
          <cell r="Q5089">
            <v>6.3327800000000004E-2</v>
          </cell>
          <cell r="R5089">
            <v>0</v>
          </cell>
          <cell r="S5089">
            <v>0</v>
          </cell>
          <cell r="T5089">
            <v>0</v>
          </cell>
          <cell r="U5089">
            <v>84.437085999999994</v>
          </cell>
          <cell r="V5089">
            <v>0</v>
          </cell>
          <cell r="W5089">
            <v>0</v>
          </cell>
          <cell r="X5089">
            <v>0.29501189999999999</v>
          </cell>
          <cell r="Y5089">
            <v>0</v>
          </cell>
          <cell r="Z5089">
            <v>0</v>
          </cell>
          <cell r="AA5089">
            <v>0</v>
          </cell>
          <cell r="AB5089">
            <v>0</v>
          </cell>
        </row>
        <row r="5090">
          <cell r="A5090">
            <v>75215020</v>
          </cell>
          <cell r="B5090" t="str">
            <v>Celery, cooked, fat added in cooking</v>
          </cell>
          <cell r="I5090">
            <v>85</v>
          </cell>
          <cell r="J5090">
            <v>28.725193000000001</v>
          </cell>
          <cell r="K5090">
            <v>0.33794344705882357</v>
          </cell>
          <cell r="L5090">
            <v>1.3110539999999999</v>
          </cell>
          <cell r="M5090">
            <v>0.3496843</v>
          </cell>
          <cell r="N5090">
            <v>0</v>
          </cell>
          <cell r="O5090">
            <v>3.5070700000000003E-2</v>
          </cell>
          <cell r="P5090">
            <v>0</v>
          </cell>
          <cell r="Q5090">
            <v>0.75571120000000003</v>
          </cell>
          <cell r="R5090">
            <v>0</v>
          </cell>
          <cell r="S5090">
            <v>0</v>
          </cell>
          <cell r="T5090">
            <v>0</v>
          </cell>
          <cell r="U5090">
            <v>81.940873999999994</v>
          </cell>
          <cell r="V5090">
            <v>0</v>
          </cell>
          <cell r="W5090">
            <v>0</v>
          </cell>
          <cell r="X5090">
            <v>0.26074019999999998</v>
          </cell>
          <cell r="Y5090">
            <v>0</v>
          </cell>
          <cell r="Z5090">
            <v>0</v>
          </cell>
          <cell r="AA5090">
            <v>0</v>
          </cell>
          <cell r="AB5090">
            <v>8.8596499999999995E-2</v>
          </cell>
        </row>
        <row r="5091">
          <cell r="A5091">
            <v>75215030</v>
          </cell>
          <cell r="B5091" t="str">
            <v>Celery, cooked, made with oil</v>
          </cell>
          <cell r="I5091">
            <v>85</v>
          </cell>
          <cell r="J5091">
            <v>36.736288999999999</v>
          </cell>
          <cell r="K5091">
            <v>0.43219163529411764</v>
          </cell>
          <cell r="L5091">
            <v>1.3115429000000001</v>
          </cell>
          <cell r="M5091">
            <v>0.37225350000000001</v>
          </cell>
          <cell r="N5091">
            <v>0</v>
          </cell>
          <cell r="O5091">
            <v>3.4565400000000003E-2</v>
          </cell>
          <cell r="P5091">
            <v>0</v>
          </cell>
          <cell r="Q5091">
            <v>1.0838471999999999</v>
          </cell>
          <cell r="R5091">
            <v>0</v>
          </cell>
          <cell r="S5091">
            <v>0</v>
          </cell>
          <cell r="T5091">
            <v>0</v>
          </cell>
          <cell r="U5091">
            <v>81.971429000000001</v>
          </cell>
          <cell r="V5091">
            <v>0</v>
          </cell>
          <cell r="W5091">
            <v>0</v>
          </cell>
          <cell r="X5091">
            <v>0.28640969999999999</v>
          </cell>
          <cell r="Y5091">
            <v>0</v>
          </cell>
          <cell r="Z5091">
            <v>0</v>
          </cell>
          <cell r="AA5091">
            <v>0</v>
          </cell>
          <cell r="AB5091">
            <v>8.7953000000000007E-3</v>
          </cell>
        </row>
        <row r="5092">
          <cell r="A5092">
            <v>75215040</v>
          </cell>
          <cell r="B5092" t="str">
            <v>Celery, cooked, made with butter</v>
          </cell>
          <cell r="I5092">
            <v>85</v>
          </cell>
          <cell r="J5092">
            <v>33.244219000000001</v>
          </cell>
          <cell r="K5092">
            <v>0.3911084588235294</v>
          </cell>
          <cell r="L5092">
            <v>1.309968</v>
          </cell>
          <cell r="M5092">
            <v>1.3586510999999999</v>
          </cell>
          <cell r="N5092">
            <v>0</v>
          </cell>
          <cell r="O5092">
            <v>3.5137099999999998E-2</v>
          </cell>
          <cell r="P5092">
            <v>0</v>
          </cell>
          <cell r="Q5092">
            <v>0.13995009999999999</v>
          </cell>
          <cell r="R5092">
            <v>0</v>
          </cell>
          <cell r="S5092">
            <v>0</v>
          </cell>
          <cell r="T5092">
            <v>0</v>
          </cell>
          <cell r="U5092">
            <v>81.872996999999998</v>
          </cell>
          <cell r="V5092">
            <v>0</v>
          </cell>
          <cell r="W5092">
            <v>0</v>
          </cell>
          <cell r="X5092">
            <v>0.30265029999999998</v>
          </cell>
          <cell r="Y5092">
            <v>0</v>
          </cell>
          <cell r="Z5092">
            <v>0</v>
          </cell>
          <cell r="AA5092">
            <v>0</v>
          </cell>
          <cell r="AB5092">
            <v>8.4611199999999998E-2</v>
          </cell>
        </row>
        <row r="5093">
          <cell r="A5093">
            <v>75215100</v>
          </cell>
          <cell r="B5093" t="str">
            <v>Fennel bulb, cooked, NS as to fat added in cooking</v>
          </cell>
          <cell r="I5093">
            <v>85</v>
          </cell>
          <cell r="J5093">
            <v>42.245164000000003</v>
          </cell>
          <cell r="K5093">
            <v>0.49700192941176474</v>
          </cell>
          <cell r="L5093">
            <v>2.5385355999999999</v>
          </cell>
          <cell r="M5093">
            <v>1.0080168</v>
          </cell>
          <cell r="N5093">
            <v>0</v>
          </cell>
          <cell r="O5093">
            <v>4.0840599999999998E-2</v>
          </cell>
          <cell r="P5093">
            <v>0</v>
          </cell>
          <cell r="Q5093">
            <v>0.46375870000000002</v>
          </cell>
          <cell r="R5093">
            <v>0</v>
          </cell>
          <cell r="S5093">
            <v>0</v>
          </cell>
          <cell r="T5093">
            <v>0</v>
          </cell>
          <cell r="U5093">
            <v>81.888247000000007</v>
          </cell>
          <cell r="V5093">
            <v>0</v>
          </cell>
          <cell r="W5093">
            <v>0</v>
          </cell>
          <cell r="X5093">
            <v>0.2502354</v>
          </cell>
          <cell r="Y5093">
            <v>0</v>
          </cell>
          <cell r="Z5093">
            <v>0</v>
          </cell>
          <cell r="AA5093">
            <v>0</v>
          </cell>
          <cell r="AB5093">
            <v>8.9943400000000007E-2</v>
          </cell>
        </row>
        <row r="5094">
          <cell r="A5094">
            <v>75215120</v>
          </cell>
          <cell r="B5094" t="str">
            <v>Fennel bulb, cooked, fat added in cooking</v>
          </cell>
          <cell r="I5094">
            <v>85</v>
          </cell>
          <cell r="J5094">
            <v>28.646094000000002</v>
          </cell>
          <cell r="K5094">
            <v>0.33701287058823531</v>
          </cell>
          <cell r="L5094">
            <v>1.3112984000000001</v>
          </cell>
          <cell r="M5094">
            <v>0.34783449999999999</v>
          </cell>
          <cell r="N5094">
            <v>0</v>
          </cell>
          <cell r="O5094">
            <v>3.5073899999999998E-2</v>
          </cell>
          <cell r="P5094">
            <v>0</v>
          </cell>
          <cell r="Q5094">
            <v>0.75165680000000001</v>
          </cell>
          <cell r="R5094">
            <v>0</v>
          </cell>
          <cell r="S5094">
            <v>0</v>
          </cell>
          <cell r="T5094">
            <v>0</v>
          </cell>
          <cell r="U5094">
            <v>81.956148999999996</v>
          </cell>
          <cell r="V5094">
            <v>0</v>
          </cell>
          <cell r="W5094">
            <v>0</v>
          </cell>
          <cell r="X5094">
            <v>0.26068730000000001</v>
          </cell>
          <cell r="Y5094">
            <v>0</v>
          </cell>
          <cell r="Z5094">
            <v>0</v>
          </cell>
          <cell r="AA5094">
            <v>0</v>
          </cell>
          <cell r="AB5094">
            <v>8.9943400000000007E-2</v>
          </cell>
        </row>
        <row r="5095">
          <cell r="A5095">
            <v>75215509</v>
          </cell>
          <cell r="B5095" t="str">
            <v>Christophine, cooked, NS as to fat added in cooking</v>
          </cell>
          <cell r="I5095">
            <v>85</v>
          </cell>
          <cell r="J5095">
            <v>35.300055</v>
          </cell>
          <cell r="K5095">
            <v>0.41529476470588234</v>
          </cell>
          <cell r="L5095">
            <v>2.2977270000000001</v>
          </cell>
          <cell r="M5095">
            <v>0.8647939</v>
          </cell>
          <cell r="N5095">
            <v>0</v>
          </cell>
          <cell r="O5095">
            <v>1.1344099999999999E-2</v>
          </cell>
          <cell r="P5095">
            <v>0</v>
          </cell>
          <cell r="Q5095">
            <v>0.3011566</v>
          </cell>
          <cell r="R5095">
            <v>0</v>
          </cell>
          <cell r="S5095">
            <v>0</v>
          </cell>
          <cell r="T5095">
            <v>0</v>
          </cell>
          <cell r="U5095">
            <v>82.061678999999998</v>
          </cell>
          <cell r="V5095">
            <v>0</v>
          </cell>
          <cell r="W5095">
            <v>0</v>
          </cell>
          <cell r="X5095">
            <v>0.21554719999999999</v>
          </cell>
          <cell r="Y5095">
            <v>0</v>
          </cell>
          <cell r="Z5095">
            <v>0</v>
          </cell>
          <cell r="AA5095">
            <v>0</v>
          </cell>
          <cell r="AB5095">
            <v>8.3250599999999994E-2</v>
          </cell>
        </row>
        <row r="5096">
          <cell r="A5096">
            <v>75215510</v>
          </cell>
          <cell r="B5096" t="str">
            <v>Christophine, cooked, fat not added in cooking</v>
          </cell>
          <cell r="I5096">
            <v>85</v>
          </cell>
          <cell r="J5096">
            <v>20.273292000000001</v>
          </cell>
          <cell r="K5096">
            <v>0.23850931764705885</v>
          </cell>
          <cell r="L5096">
            <v>2.3652174000000001</v>
          </cell>
          <cell r="M5096">
            <v>0</v>
          </cell>
          <cell r="N5096">
            <v>0</v>
          </cell>
          <cell r="O5096">
            <v>1.1108099999999999E-2</v>
          </cell>
          <cell r="P5096">
            <v>0</v>
          </cell>
          <cell r="Q5096">
            <v>0</v>
          </cell>
          <cell r="R5096">
            <v>0</v>
          </cell>
          <cell r="S5096">
            <v>0</v>
          </cell>
          <cell r="T5096">
            <v>0</v>
          </cell>
          <cell r="U5096">
            <v>84.472049999999996</v>
          </cell>
          <cell r="V5096">
            <v>0</v>
          </cell>
          <cell r="W5096">
            <v>0</v>
          </cell>
          <cell r="X5096">
            <v>0.2054677</v>
          </cell>
          <cell r="Y5096">
            <v>0</v>
          </cell>
          <cell r="Z5096">
            <v>0</v>
          </cell>
          <cell r="AA5096">
            <v>0</v>
          </cell>
          <cell r="AB5096">
            <v>0</v>
          </cell>
        </row>
        <row r="5097">
          <cell r="A5097">
            <v>75215511</v>
          </cell>
          <cell r="B5097" t="str">
            <v>Christophine, cooked, fat added in cooking</v>
          </cell>
          <cell r="I5097">
            <v>85</v>
          </cell>
          <cell r="J5097">
            <v>35.300055</v>
          </cell>
          <cell r="K5097">
            <v>0.41529476470588234</v>
          </cell>
          <cell r="L5097">
            <v>2.2977270000000001</v>
          </cell>
          <cell r="M5097">
            <v>0.8647939</v>
          </cell>
          <cell r="N5097">
            <v>0</v>
          </cell>
          <cell r="O5097">
            <v>1.1344099999999999E-2</v>
          </cell>
          <cell r="P5097">
            <v>0</v>
          </cell>
          <cell r="Q5097">
            <v>0.3011566</v>
          </cell>
          <cell r="R5097">
            <v>0</v>
          </cell>
          <cell r="S5097">
            <v>0</v>
          </cell>
          <cell r="T5097">
            <v>0</v>
          </cell>
          <cell r="U5097">
            <v>82.061678999999998</v>
          </cell>
          <cell r="V5097">
            <v>0</v>
          </cell>
          <cell r="W5097">
            <v>0</v>
          </cell>
          <cell r="X5097">
            <v>0.21554719999999999</v>
          </cell>
          <cell r="Y5097">
            <v>0</v>
          </cell>
          <cell r="Z5097">
            <v>0</v>
          </cell>
          <cell r="AA5097">
            <v>0</v>
          </cell>
          <cell r="AB5097">
            <v>8.3250599999999994E-2</v>
          </cell>
        </row>
        <row r="5098">
          <cell r="A5098">
            <v>75216000</v>
          </cell>
          <cell r="B5098" t="str">
            <v>Corn, cooked, NS as to form, NS as to color, NS as to fat added in cooking</v>
          </cell>
          <cell r="I5098">
            <v>85</v>
          </cell>
          <cell r="J5098">
            <v>81.763534000000007</v>
          </cell>
          <cell r="K5098">
            <v>0.96192392941176474</v>
          </cell>
          <cell r="L5098">
            <v>0</v>
          </cell>
          <cell r="M5098">
            <v>0.92900819999999995</v>
          </cell>
          <cell r="N5098">
            <v>0</v>
          </cell>
          <cell r="O5098">
            <v>3.1240999999999999E-3</v>
          </cell>
          <cell r="P5098">
            <v>1.9711422000000001</v>
          </cell>
          <cell r="Q5098">
            <v>0.55523560000000005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  <cell r="V5098">
            <v>0</v>
          </cell>
          <cell r="W5098">
            <v>0</v>
          </cell>
          <cell r="X5098">
            <v>0.21048739999999999</v>
          </cell>
          <cell r="Y5098">
            <v>0</v>
          </cell>
          <cell r="Z5098">
            <v>0</v>
          </cell>
          <cell r="AA5098">
            <v>0</v>
          </cell>
          <cell r="AB5098">
            <v>8.1288700000000005E-2</v>
          </cell>
        </row>
        <row r="5099">
          <cell r="A5099">
            <v>75216002</v>
          </cell>
          <cell r="B5099" t="str">
            <v>Corn, cooked, from frozen, NS as to color, NS as to fat added in cooking</v>
          </cell>
          <cell r="I5099">
            <v>85</v>
          </cell>
          <cell r="J5099">
            <v>81.763534000000007</v>
          </cell>
          <cell r="K5099">
            <v>0.96192392941176474</v>
          </cell>
          <cell r="L5099">
            <v>0</v>
          </cell>
          <cell r="M5099">
            <v>0.92900819999999995</v>
          </cell>
          <cell r="N5099">
            <v>0</v>
          </cell>
          <cell r="O5099">
            <v>3.1240999999999999E-3</v>
          </cell>
          <cell r="P5099">
            <v>1.9711422000000001</v>
          </cell>
          <cell r="Q5099">
            <v>0.55523560000000005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0</v>
          </cell>
          <cell r="W5099">
            <v>0</v>
          </cell>
          <cell r="X5099">
            <v>0.21048739999999999</v>
          </cell>
          <cell r="Y5099">
            <v>0</v>
          </cell>
          <cell r="Z5099">
            <v>0</v>
          </cell>
          <cell r="AA5099">
            <v>0</v>
          </cell>
          <cell r="AB5099">
            <v>8.1288700000000005E-2</v>
          </cell>
        </row>
        <row r="5100">
          <cell r="A5100">
            <v>75216003</v>
          </cell>
          <cell r="B5100" t="str">
            <v>Corn, cooked, from canned, NS as to color, NS as to fat added in cooking</v>
          </cell>
          <cell r="I5100">
            <v>130</v>
          </cell>
          <cell r="J5100">
            <v>107.84567</v>
          </cell>
          <cell r="K5100">
            <v>0.82958207692307695</v>
          </cell>
          <cell r="L5100">
            <v>0</v>
          </cell>
          <cell r="M5100">
            <v>1.6048784</v>
          </cell>
          <cell r="N5100">
            <v>0</v>
          </cell>
          <cell r="O5100">
            <v>4.6842999999999997E-3</v>
          </cell>
          <cell r="P5100">
            <v>2.5211524999999999</v>
          </cell>
          <cell r="Q5100">
            <v>1.1055723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0</v>
          </cell>
          <cell r="W5100">
            <v>0</v>
          </cell>
          <cell r="X5100">
            <v>0.40147490000000002</v>
          </cell>
          <cell r="Y5100">
            <v>0</v>
          </cell>
          <cell r="Z5100">
            <v>0</v>
          </cell>
          <cell r="AA5100">
            <v>0</v>
          </cell>
          <cell r="AB5100">
            <v>0.1247649</v>
          </cell>
        </row>
        <row r="5101">
          <cell r="A5101">
            <v>75216010</v>
          </cell>
          <cell r="B5101" t="str">
            <v>Corn, cooked, NS as to form, NS as to color, fat not added in cooking</v>
          </cell>
          <cell r="I5101">
            <v>85</v>
          </cell>
          <cell r="J5101">
            <v>68.432727</v>
          </cell>
          <cell r="K5101">
            <v>0.80509090588235299</v>
          </cell>
          <cell r="L5101">
            <v>0</v>
          </cell>
          <cell r="M5101">
            <v>8.7019399999999997E-2</v>
          </cell>
          <cell r="N5101">
            <v>0</v>
          </cell>
          <cell r="O5101">
            <v>2.6581999999999999E-3</v>
          </cell>
          <cell r="P5101">
            <v>2.0276364</v>
          </cell>
          <cell r="Q5101">
            <v>0.26866180000000001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0</v>
          </cell>
          <cell r="W5101">
            <v>0</v>
          </cell>
          <cell r="X5101">
            <v>0.2005073</v>
          </cell>
          <cell r="Y5101">
            <v>0</v>
          </cell>
          <cell r="Z5101">
            <v>0</v>
          </cell>
          <cell r="AA5101">
            <v>0</v>
          </cell>
          <cell r="AB5101">
            <v>0</v>
          </cell>
        </row>
        <row r="5102">
          <cell r="A5102">
            <v>75216011</v>
          </cell>
          <cell r="B5102" t="str">
            <v>Corn, cooked, from fresh, NS as to color, fat not added in cooking</v>
          </cell>
          <cell r="I5102">
            <v>85</v>
          </cell>
          <cell r="J5102">
            <v>81.105455000000006</v>
          </cell>
          <cell r="K5102">
            <v>0.95418182352941183</v>
          </cell>
          <cell r="L5102">
            <v>0</v>
          </cell>
          <cell r="M5102">
            <v>0.16643520000000001</v>
          </cell>
          <cell r="N5102">
            <v>0</v>
          </cell>
          <cell r="O5102">
            <v>2.6581999999999999E-3</v>
          </cell>
          <cell r="P5102">
            <v>2.0276364</v>
          </cell>
          <cell r="Q5102">
            <v>0.5094436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0.2005073</v>
          </cell>
          <cell r="Y5102">
            <v>0</v>
          </cell>
          <cell r="Z5102">
            <v>0</v>
          </cell>
          <cell r="AA5102">
            <v>0</v>
          </cell>
          <cell r="AB5102">
            <v>0</v>
          </cell>
        </row>
        <row r="5103">
          <cell r="A5103">
            <v>75216013</v>
          </cell>
          <cell r="B5103" t="str">
            <v>Corn, cooked, from canned, NS as to color, fat not added in cooking</v>
          </cell>
          <cell r="I5103">
            <v>130</v>
          </cell>
          <cell r="J5103">
            <v>86.888077999999993</v>
          </cell>
          <cell r="K5103">
            <v>0.66836983076923073</v>
          </cell>
          <cell r="L5103">
            <v>0</v>
          </cell>
          <cell r="M5103">
            <v>0.31772509999999998</v>
          </cell>
          <cell r="N5103">
            <v>0</v>
          </cell>
          <cell r="O5103">
            <v>3.9664000000000001E-3</v>
          </cell>
          <cell r="P5103">
            <v>2.593674</v>
          </cell>
          <cell r="Q5103">
            <v>0.67305839999999995</v>
          </cell>
          <cell r="R5103">
            <v>0</v>
          </cell>
          <cell r="S5103">
            <v>0</v>
          </cell>
          <cell r="T5103">
            <v>0</v>
          </cell>
          <cell r="U5103">
            <v>0</v>
          </cell>
          <cell r="V5103">
            <v>0</v>
          </cell>
          <cell r="W5103">
            <v>0</v>
          </cell>
          <cell r="X5103">
            <v>0.38844380000000001</v>
          </cell>
          <cell r="Y5103">
            <v>0</v>
          </cell>
          <cell r="Z5103">
            <v>0</v>
          </cell>
          <cell r="AA5103">
            <v>0</v>
          </cell>
          <cell r="AB5103">
            <v>0</v>
          </cell>
        </row>
        <row r="5104">
          <cell r="A5104">
            <v>75216020</v>
          </cell>
          <cell r="B5104" t="str">
            <v>Corn, cooked, NS as to form, NS as to color, fat added in cooking, NS as to type of fat</v>
          </cell>
          <cell r="I5104">
            <v>85</v>
          </cell>
          <cell r="J5104">
            <v>81.763534000000007</v>
          </cell>
          <cell r="K5104">
            <v>0.96192392941176474</v>
          </cell>
          <cell r="L5104">
            <v>0</v>
          </cell>
          <cell r="M5104">
            <v>0.92900819999999995</v>
          </cell>
          <cell r="N5104">
            <v>0</v>
          </cell>
          <cell r="O5104">
            <v>3.1240999999999999E-3</v>
          </cell>
          <cell r="P5104">
            <v>1.9711422000000001</v>
          </cell>
          <cell r="Q5104">
            <v>0.55523560000000005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  <cell r="V5104">
            <v>0</v>
          </cell>
          <cell r="W5104">
            <v>0</v>
          </cell>
          <cell r="X5104">
            <v>0.21048739999999999</v>
          </cell>
          <cell r="Y5104">
            <v>0</v>
          </cell>
          <cell r="Z5104">
            <v>0</v>
          </cell>
          <cell r="AA5104">
            <v>0</v>
          </cell>
          <cell r="AB5104">
            <v>8.1288700000000005E-2</v>
          </cell>
        </row>
        <row r="5105">
          <cell r="A5105">
            <v>75216021</v>
          </cell>
          <cell r="B5105" t="str">
            <v>Corn, cooked, from fresh, NS as to color, fat added in cooking</v>
          </cell>
          <cell r="I5105">
            <v>85</v>
          </cell>
          <cell r="J5105">
            <v>91.641375999999994</v>
          </cell>
          <cell r="K5105">
            <v>1.0781338352941177</v>
          </cell>
          <cell r="L5105">
            <v>0</v>
          </cell>
          <cell r="M5105">
            <v>0.45224249999999999</v>
          </cell>
          <cell r="N5105">
            <v>0</v>
          </cell>
          <cell r="O5105">
            <v>3.0836000000000001E-3</v>
          </cell>
          <cell r="P5105">
            <v>1.9707823</v>
          </cell>
          <cell r="Q5105">
            <v>1.1315054</v>
          </cell>
          <cell r="R5105">
            <v>0</v>
          </cell>
          <cell r="S5105">
            <v>0</v>
          </cell>
          <cell r="T5105">
            <v>0</v>
          </cell>
          <cell r="U5105">
            <v>0</v>
          </cell>
          <cell r="V5105">
            <v>0</v>
          </cell>
          <cell r="W5105">
            <v>0</v>
          </cell>
          <cell r="X5105">
            <v>0.20251630000000001</v>
          </cell>
          <cell r="Y5105">
            <v>0</v>
          </cell>
          <cell r="Z5105">
            <v>0</v>
          </cell>
          <cell r="AA5105">
            <v>0</v>
          </cell>
          <cell r="AB5105">
            <v>8.1288700000000005E-2</v>
          </cell>
        </row>
        <row r="5106">
          <cell r="A5106">
            <v>75216023</v>
          </cell>
          <cell r="B5106" t="str">
            <v>Corn, cooked, from canned, NS as to color, fat added in cooking</v>
          </cell>
          <cell r="I5106">
            <v>130</v>
          </cell>
          <cell r="J5106">
            <v>119.48294</v>
          </cell>
          <cell r="K5106">
            <v>0.91909953846153847</v>
          </cell>
          <cell r="L5106">
            <v>0</v>
          </cell>
          <cell r="M5106">
            <v>0.65012939999999997</v>
          </cell>
          <cell r="N5106">
            <v>0</v>
          </cell>
          <cell r="O5106">
            <v>5.8284000000000001E-3</v>
          </cell>
          <cell r="P5106">
            <v>2.3997630000000001</v>
          </cell>
          <cell r="Q5106">
            <v>1.5029294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0</v>
          </cell>
          <cell r="X5106">
            <v>0.25860139999999998</v>
          </cell>
          <cell r="Y5106">
            <v>0</v>
          </cell>
          <cell r="Z5106">
            <v>0</v>
          </cell>
          <cell r="AA5106">
            <v>0</v>
          </cell>
          <cell r="AB5106">
            <v>0.1247649</v>
          </cell>
        </row>
        <row r="5107">
          <cell r="A5107">
            <v>75216024</v>
          </cell>
          <cell r="B5107" t="str">
            <v>Corn, cooked, NS as to form, NS as to color, made with oil</v>
          </cell>
          <cell r="I5107">
            <v>85</v>
          </cell>
          <cell r="J5107">
            <v>86.765732999999997</v>
          </cell>
          <cell r="K5107">
            <v>1.0207733294117647</v>
          </cell>
          <cell r="L5107">
            <v>0</v>
          </cell>
          <cell r="M5107">
            <v>0.39612160000000002</v>
          </cell>
          <cell r="N5107">
            <v>0</v>
          </cell>
          <cell r="O5107">
            <v>2.5926999999999999E-3</v>
          </cell>
          <cell r="P5107">
            <v>1.9733163</v>
          </cell>
          <cell r="Q5107">
            <v>1.1994106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0.19514709999999999</v>
          </cell>
          <cell r="Y5107">
            <v>0</v>
          </cell>
          <cell r="Z5107">
            <v>0</v>
          </cell>
          <cell r="AA5107">
            <v>0</v>
          </cell>
          <cell r="AB5107">
            <v>1.3073599999999999E-2</v>
          </cell>
        </row>
        <row r="5108">
          <cell r="A5108">
            <v>75216025</v>
          </cell>
          <cell r="B5108" t="str">
            <v>Corn, cooked, NS as to form, NS as to color, made with butter</v>
          </cell>
          <cell r="I5108">
            <v>85</v>
          </cell>
          <cell r="J5108">
            <v>83.506584000000004</v>
          </cell>
          <cell r="K5108">
            <v>0.98243040000000004</v>
          </cell>
          <cell r="L5108">
            <v>0</v>
          </cell>
          <cell r="M5108">
            <v>1.3011305</v>
          </cell>
          <cell r="N5108">
            <v>0</v>
          </cell>
          <cell r="O5108">
            <v>3.1524999999999999E-3</v>
          </cell>
          <cell r="P5108">
            <v>1.9711422000000001</v>
          </cell>
          <cell r="Q5108">
            <v>0.33324300000000001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0.21014869999999999</v>
          </cell>
          <cell r="Y5108">
            <v>0</v>
          </cell>
          <cell r="Z5108">
            <v>0</v>
          </cell>
          <cell r="AA5108">
            <v>0</v>
          </cell>
          <cell r="AB5108">
            <v>7.7632099999999996E-2</v>
          </cell>
        </row>
        <row r="5109">
          <cell r="A5109">
            <v>75216028</v>
          </cell>
          <cell r="B5109" t="str">
            <v>Corn, cooked, from fresh, NS as to color, made with butter</v>
          </cell>
          <cell r="I5109">
            <v>85</v>
          </cell>
          <cell r="J5109">
            <v>95.826222999999999</v>
          </cell>
          <cell r="K5109">
            <v>1.1273673294117648</v>
          </cell>
          <cell r="L5109">
            <v>0</v>
          </cell>
          <cell r="M5109">
            <v>1.3783335999999999</v>
          </cell>
          <cell r="N5109">
            <v>0</v>
          </cell>
          <cell r="O5109">
            <v>3.1524999999999999E-3</v>
          </cell>
          <cell r="P5109">
            <v>1.9711422000000001</v>
          </cell>
          <cell r="Q5109">
            <v>0.56731609999999999</v>
          </cell>
          <cell r="R5109">
            <v>0</v>
          </cell>
          <cell r="S5109">
            <v>0</v>
          </cell>
          <cell r="T5109">
            <v>0</v>
          </cell>
          <cell r="U5109">
            <v>0</v>
          </cell>
          <cell r="V5109">
            <v>0</v>
          </cell>
          <cell r="W5109">
            <v>0</v>
          </cell>
          <cell r="X5109">
            <v>0.21014869999999999</v>
          </cell>
          <cell r="Y5109">
            <v>0</v>
          </cell>
          <cell r="Z5109">
            <v>0</v>
          </cell>
          <cell r="AA5109">
            <v>0</v>
          </cell>
          <cell r="AB5109">
            <v>7.7632099999999996E-2</v>
          </cell>
        </row>
        <row r="5110">
          <cell r="A5110">
            <v>75216036</v>
          </cell>
          <cell r="B5110" t="str">
            <v>Corn, cooked, from canned, NS as to color, made with margarine</v>
          </cell>
          <cell r="I5110">
            <v>130</v>
          </cell>
          <cell r="J5110">
            <v>103.97897</v>
          </cell>
          <cell r="K5110">
            <v>0.79983823076923077</v>
          </cell>
          <cell r="L5110">
            <v>0</v>
          </cell>
          <cell r="M5110">
            <v>0.7518724</v>
          </cell>
          <cell r="N5110">
            <v>0</v>
          </cell>
          <cell r="O5110">
            <v>4.6245000000000001E-3</v>
          </cell>
          <cell r="P5110">
            <v>2.5205266000000002</v>
          </cell>
          <cell r="Q5110">
            <v>1.6248003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0.40221790000000002</v>
          </cell>
          <cell r="Y5110">
            <v>0</v>
          </cell>
          <cell r="Z5110">
            <v>0</v>
          </cell>
          <cell r="AA5110">
            <v>0</v>
          </cell>
          <cell r="AB5110">
            <v>0.13433290000000001</v>
          </cell>
        </row>
        <row r="5111">
          <cell r="A5111">
            <v>75216050</v>
          </cell>
          <cell r="B5111" t="str">
            <v>Corn, NS as to form, NS as to color, cream style</v>
          </cell>
          <cell r="I5111">
            <v>130</v>
          </cell>
          <cell r="J5111">
            <v>93.6</v>
          </cell>
          <cell r="K5111">
            <v>0.72</v>
          </cell>
          <cell r="L5111">
            <v>0</v>
          </cell>
          <cell r="M5111">
            <v>8.4500000000000006E-2</v>
          </cell>
          <cell r="N5111">
            <v>0</v>
          </cell>
          <cell r="O5111">
            <v>3.8999999999999998E-3</v>
          </cell>
          <cell r="P5111">
            <v>1.56</v>
          </cell>
          <cell r="Q5111">
            <v>0.25740000000000002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0.33929999999999999</v>
          </cell>
          <cell r="Y5111">
            <v>0</v>
          </cell>
          <cell r="Z5111">
            <v>0</v>
          </cell>
          <cell r="AA5111">
            <v>0</v>
          </cell>
          <cell r="AB5111">
            <v>0</v>
          </cell>
        </row>
        <row r="5112">
          <cell r="A5112">
            <v>75216053</v>
          </cell>
          <cell r="B5112" t="str">
            <v>Corn, from canned, NS as to color, cream style</v>
          </cell>
          <cell r="I5112">
            <v>130</v>
          </cell>
          <cell r="J5112">
            <v>93.453978000000006</v>
          </cell>
          <cell r="K5112">
            <v>0.7188767538461539</v>
          </cell>
          <cell r="L5112">
            <v>0</v>
          </cell>
          <cell r="M5112">
            <v>8.4368200000000004E-2</v>
          </cell>
          <cell r="N5112">
            <v>0</v>
          </cell>
          <cell r="O5112">
            <v>3.9426000000000001E-3</v>
          </cell>
          <cell r="P5112">
            <v>1.5575663</v>
          </cell>
          <cell r="Q5112">
            <v>0.25699840000000002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  <cell r="V5112">
            <v>0</v>
          </cell>
          <cell r="W5112">
            <v>0</v>
          </cell>
          <cell r="X5112">
            <v>0.417375</v>
          </cell>
          <cell r="Y5112">
            <v>0</v>
          </cell>
          <cell r="Z5112">
            <v>0</v>
          </cell>
          <cell r="AA5112">
            <v>0</v>
          </cell>
          <cell r="AB5112">
            <v>0</v>
          </cell>
        </row>
        <row r="5113">
          <cell r="A5113">
            <v>75216070</v>
          </cell>
          <cell r="B5113" t="str">
            <v>Corn, dried, cooked</v>
          </cell>
          <cell r="I5113">
            <v>85</v>
          </cell>
          <cell r="J5113">
            <v>92.932692000000003</v>
          </cell>
          <cell r="K5113">
            <v>1.0933257882352942</v>
          </cell>
          <cell r="L5113">
            <v>0</v>
          </cell>
          <cell r="M5113">
            <v>0.9907473</v>
          </cell>
          <cell r="N5113">
            <v>0</v>
          </cell>
          <cell r="O5113">
            <v>1.1096399999999999E-2</v>
          </cell>
          <cell r="P5113">
            <v>1.3946973</v>
          </cell>
          <cell r="Q5113">
            <v>1.9897113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0.18508949999999999</v>
          </cell>
          <cell r="Y5113">
            <v>0</v>
          </cell>
          <cell r="Z5113">
            <v>0</v>
          </cell>
          <cell r="AA5113">
            <v>0</v>
          </cell>
          <cell r="AB5113">
            <v>0.22638829999999999</v>
          </cell>
        </row>
        <row r="5114">
          <cell r="A5114">
            <v>75216100</v>
          </cell>
          <cell r="B5114" t="str">
            <v>Corn, yellow, cooked, NS as to form, NS as to fat added in cooking</v>
          </cell>
          <cell r="I5114">
            <v>85</v>
          </cell>
          <cell r="J5114">
            <v>81.763534000000007</v>
          </cell>
          <cell r="K5114">
            <v>0.96192392941176474</v>
          </cell>
          <cell r="L5114">
            <v>0</v>
          </cell>
          <cell r="M5114">
            <v>0.92900819999999995</v>
          </cell>
          <cell r="N5114">
            <v>0</v>
          </cell>
          <cell r="O5114">
            <v>3.1240999999999999E-3</v>
          </cell>
          <cell r="P5114">
            <v>1.9711422000000001</v>
          </cell>
          <cell r="Q5114">
            <v>0.55523560000000005</v>
          </cell>
          <cell r="R5114">
            <v>0</v>
          </cell>
          <cell r="S5114">
            <v>0</v>
          </cell>
          <cell r="T5114">
            <v>0</v>
          </cell>
          <cell r="U5114">
            <v>0</v>
          </cell>
          <cell r="V5114">
            <v>0</v>
          </cell>
          <cell r="W5114">
            <v>0</v>
          </cell>
          <cell r="X5114">
            <v>0.21048739999999999</v>
          </cell>
          <cell r="Y5114">
            <v>0</v>
          </cell>
          <cell r="Z5114">
            <v>0</v>
          </cell>
          <cell r="AA5114">
            <v>0</v>
          </cell>
          <cell r="AB5114">
            <v>8.1288700000000005E-2</v>
          </cell>
        </row>
        <row r="5115">
          <cell r="A5115">
            <v>75216101</v>
          </cell>
          <cell r="B5115" t="str">
            <v>Corn, yellow, cooked, from fresh, NS as to fat added in cooking</v>
          </cell>
          <cell r="I5115">
            <v>85</v>
          </cell>
          <cell r="J5115">
            <v>94.083173000000002</v>
          </cell>
          <cell r="K5115">
            <v>1.1068608588235294</v>
          </cell>
          <cell r="L5115">
            <v>0</v>
          </cell>
          <cell r="M5115">
            <v>1.0062112000000001</v>
          </cell>
          <cell r="N5115">
            <v>0</v>
          </cell>
          <cell r="O5115">
            <v>3.1240999999999999E-3</v>
          </cell>
          <cell r="P5115">
            <v>1.9711422000000001</v>
          </cell>
          <cell r="Q5115">
            <v>0.78930880000000003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0</v>
          </cell>
          <cell r="W5115">
            <v>0</v>
          </cell>
          <cell r="X5115">
            <v>0.21048739999999999</v>
          </cell>
          <cell r="Y5115">
            <v>0</v>
          </cell>
          <cell r="Z5115">
            <v>0</v>
          </cell>
          <cell r="AA5115">
            <v>0</v>
          </cell>
          <cell r="AB5115">
            <v>8.1288700000000005E-2</v>
          </cell>
        </row>
        <row r="5116">
          <cell r="A5116">
            <v>75216102</v>
          </cell>
          <cell r="B5116" t="str">
            <v>Corn, yellow, cooked, from frozen, NS as to fat added in cooking</v>
          </cell>
          <cell r="I5116">
            <v>85</v>
          </cell>
          <cell r="J5116">
            <v>81.763534000000007</v>
          </cell>
          <cell r="K5116">
            <v>0.96192392941176474</v>
          </cell>
          <cell r="L5116">
            <v>0</v>
          </cell>
          <cell r="M5116">
            <v>0.92900819999999995</v>
          </cell>
          <cell r="N5116">
            <v>0</v>
          </cell>
          <cell r="O5116">
            <v>3.1240999999999999E-3</v>
          </cell>
          <cell r="P5116">
            <v>1.9711422000000001</v>
          </cell>
          <cell r="Q5116">
            <v>0.55523560000000005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0</v>
          </cell>
          <cell r="X5116">
            <v>0.21048739999999999</v>
          </cell>
          <cell r="Y5116">
            <v>0</v>
          </cell>
          <cell r="Z5116">
            <v>0</v>
          </cell>
          <cell r="AA5116">
            <v>0</v>
          </cell>
          <cell r="AB5116">
            <v>8.1288700000000005E-2</v>
          </cell>
        </row>
        <row r="5117">
          <cell r="A5117">
            <v>75216103</v>
          </cell>
          <cell r="B5117" t="str">
            <v>Corn, yellow, cooked, from canned, NS as to fat added in cooking</v>
          </cell>
          <cell r="I5117">
            <v>130</v>
          </cell>
          <cell r="J5117">
            <v>107.84567</v>
          </cell>
          <cell r="K5117">
            <v>0.82958207692307695</v>
          </cell>
          <cell r="L5117">
            <v>0</v>
          </cell>
          <cell r="M5117">
            <v>1.6048784</v>
          </cell>
          <cell r="N5117">
            <v>0</v>
          </cell>
          <cell r="O5117">
            <v>4.6842999999999997E-3</v>
          </cell>
          <cell r="P5117">
            <v>2.5211524999999999</v>
          </cell>
          <cell r="Q5117">
            <v>1.1055723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0.40147490000000002</v>
          </cell>
          <cell r="Y5117">
            <v>0</v>
          </cell>
          <cell r="Z5117">
            <v>0</v>
          </cell>
          <cell r="AA5117">
            <v>0</v>
          </cell>
          <cell r="AB5117">
            <v>0.1247649</v>
          </cell>
        </row>
        <row r="5118">
          <cell r="A5118">
            <v>75216110</v>
          </cell>
          <cell r="B5118" t="str">
            <v>Corn, yellow, cooked, NS as to form, fat not added in cooking</v>
          </cell>
          <cell r="I5118">
            <v>85</v>
          </cell>
          <cell r="J5118">
            <v>68.432727</v>
          </cell>
          <cell r="K5118">
            <v>0.80509090588235299</v>
          </cell>
          <cell r="L5118">
            <v>0</v>
          </cell>
          <cell r="M5118">
            <v>8.7019399999999997E-2</v>
          </cell>
          <cell r="N5118">
            <v>0</v>
          </cell>
          <cell r="O5118">
            <v>2.6581999999999999E-3</v>
          </cell>
          <cell r="P5118">
            <v>2.0276364</v>
          </cell>
          <cell r="Q5118">
            <v>0.26866180000000001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0.2005073</v>
          </cell>
          <cell r="Y5118">
            <v>0</v>
          </cell>
          <cell r="Z5118">
            <v>0</v>
          </cell>
          <cell r="AA5118">
            <v>0</v>
          </cell>
          <cell r="AB5118">
            <v>0</v>
          </cell>
        </row>
        <row r="5119">
          <cell r="A5119">
            <v>75216111</v>
          </cell>
          <cell r="B5119" t="str">
            <v>Corn, yellow, cooked, from fresh, fat not added in cooking</v>
          </cell>
          <cell r="I5119">
            <v>85</v>
          </cell>
          <cell r="J5119">
            <v>81.105455000000006</v>
          </cell>
          <cell r="K5119">
            <v>0.95418182352941183</v>
          </cell>
          <cell r="L5119">
            <v>0</v>
          </cell>
          <cell r="M5119">
            <v>0.16643520000000001</v>
          </cell>
          <cell r="N5119">
            <v>0</v>
          </cell>
          <cell r="O5119">
            <v>2.6581999999999999E-3</v>
          </cell>
          <cell r="P5119">
            <v>2.0276364</v>
          </cell>
          <cell r="Q5119">
            <v>0.5094436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0.2005073</v>
          </cell>
          <cell r="Y5119">
            <v>0</v>
          </cell>
          <cell r="Z5119">
            <v>0</v>
          </cell>
          <cell r="AA5119">
            <v>0</v>
          </cell>
          <cell r="AB5119">
            <v>0</v>
          </cell>
        </row>
        <row r="5120">
          <cell r="A5120">
            <v>75216112</v>
          </cell>
          <cell r="B5120" t="str">
            <v>Corn, yellow, cooked, from frozen, fat not added in cooking</v>
          </cell>
          <cell r="I5120">
            <v>85</v>
          </cell>
          <cell r="J5120">
            <v>68.432727</v>
          </cell>
          <cell r="K5120">
            <v>0.80509090588235299</v>
          </cell>
          <cell r="L5120">
            <v>0</v>
          </cell>
          <cell r="M5120">
            <v>8.7019399999999997E-2</v>
          </cell>
          <cell r="N5120">
            <v>0</v>
          </cell>
          <cell r="O5120">
            <v>2.6581999999999999E-3</v>
          </cell>
          <cell r="P5120">
            <v>2.0276364</v>
          </cell>
          <cell r="Q5120">
            <v>0.26866180000000001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0.2005073</v>
          </cell>
          <cell r="Y5120">
            <v>0</v>
          </cell>
          <cell r="Z5120">
            <v>0</v>
          </cell>
          <cell r="AA5120">
            <v>0</v>
          </cell>
          <cell r="AB5120">
            <v>0</v>
          </cell>
        </row>
        <row r="5121">
          <cell r="A5121">
            <v>75216113</v>
          </cell>
          <cell r="B5121" t="str">
            <v>Corn, yellow, cooked, from canned, fat not added in cooking</v>
          </cell>
          <cell r="I5121">
            <v>130</v>
          </cell>
          <cell r="J5121">
            <v>86.888077999999993</v>
          </cell>
          <cell r="K5121">
            <v>0.66836983076923073</v>
          </cell>
          <cell r="L5121">
            <v>0</v>
          </cell>
          <cell r="M5121">
            <v>0.31772509999999998</v>
          </cell>
          <cell r="N5121">
            <v>0</v>
          </cell>
          <cell r="O5121">
            <v>3.9664000000000001E-3</v>
          </cell>
          <cell r="P5121">
            <v>2.593674</v>
          </cell>
          <cell r="Q5121">
            <v>0.67305839999999995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0.38844380000000001</v>
          </cell>
          <cell r="Y5121">
            <v>0</v>
          </cell>
          <cell r="Z5121">
            <v>0</v>
          </cell>
          <cell r="AA5121">
            <v>0</v>
          </cell>
          <cell r="AB5121">
            <v>0</v>
          </cell>
        </row>
        <row r="5122">
          <cell r="A5122">
            <v>75216120</v>
          </cell>
          <cell r="B5122" t="str">
            <v>Corn, yellow, cooked, NS as to form, fat added in cooking, NS as to type of fat</v>
          </cell>
          <cell r="I5122">
            <v>85</v>
          </cell>
          <cell r="J5122">
            <v>81.763534000000007</v>
          </cell>
          <cell r="K5122">
            <v>0.96192392941176474</v>
          </cell>
          <cell r="L5122">
            <v>0</v>
          </cell>
          <cell r="M5122">
            <v>0.92900819999999995</v>
          </cell>
          <cell r="N5122">
            <v>0</v>
          </cell>
          <cell r="O5122">
            <v>3.1240999999999999E-3</v>
          </cell>
          <cell r="P5122">
            <v>1.9711422000000001</v>
          </cell>
          <cell r="Q5122">
            <v>0.55523560000000005</v>
          </cell>
          <cell r="R5122">
            <v>0</v>
          </cell>
          <cell r="S5122">
            <v>0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0.21048739999999999</v>
          </cell>
          <cell r="Y5122">
            <v>0</v>
          </cell>
          <cell r="Z5122">
            <v>0</v>
          </cell>
          <cell r="AA5122">
            <v>0</v>
          </cell>
          <cell r="AB5122">
            <v>8.1288700000000005E-2</v>
          </cell>
        </row>
        <row r="5123">
          <cell r="A5123">
            <v>75216121</v>
          </cell>
          <cell r="B5123" t="str">
            <v>Corn, yellow, cooked, from fresh, fat added in cooking, NS as to type of fat</v>
          </cell>
          <cell r="I5123">
            <v>85</v>
          </cell>
          <cell r="J5123">
            <v>94.083173000000002</v>
          </cell>
          <cell r="K5123">
            <v>1.1068608588235294</v>
          </cell>
          <cell r="L5123">
            <v>0</v>
          </cell>
          <cell r="M5123">
            <v>1.0062112000000001</v>
          </cell>
          <cell r="N5123">
            <v>0</v>
          </cell>
          <cell r="O5123">
            <v>3.1240999999999999E-3</v>
          </cell>
          <cell r="P5123">
            <v>1.9711422000000001</v>
          </cell>
          <cell r="Q5123">
            <v>0.78930880000000003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0.21048739999999999</v>
          </cell>
          <cell r="Y5123">
            <v>0</v>
          </cell>
          <cell r="Z5123">
            <v>0</v>
          </cell>
          <cell r="AA5123">
            <v>0</v>
          </cell>
          <cell r="AB5123">
            <v>8.1288700000000005E-2</v>
          </cell>
        </row>
        <row r="5124">
          <cell r="A5124">
            <v>75216122</v>
          </cell>
          <cell r="B5124" t="str">
            <v>Corn, yellow, cooked, from frozen, fat added in cooking, NS as to type of fat</v>
          </cell>
          <cell r="I5124">
            <v>85</v>
          </cell>
          <cell r="J5124">
            <v>81.763534000000007</v>
          </cell>
          <cell r="K5124">
            <v>0.96192392941176474</v>
          </cell>
          <cell r="L5124">
            <v>0</v>
          </cell>
          <cell r="M5124">
            <v>0.92900819999999995</v>
          </cell>
          <cell r="N5124">
            <v>0</v>
          </cell>
          <cell r="O5124">
            <v>3.1240999999999999E-3</v>
          </cell>
          <cell r="P5124">
            <v>1.9711422000000001</v>
          </cell>
          <cell r="Q5124">
            <v>0.55523560000000005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0.21048739999999999</v>
          </cell>
          <cell r="Y5124">
            <v>0</v>
          </cell>
          <cell r="Z5124">
            <v>0</v>
          </cell>
          <cell r="AA5124">
            <v>0</v>
          </cell>
          <cell r="AB5124">
            <v>8.1288700000000005E-2</v>
          </cell>
        </row>
        <row r="5125">
          <cell r="A5125">
            <v>75216123</v>
          </cell>
          <cell r="B5125" t="str">
            <v>Corn, yellow, cooked, from canned, fat added in cooking, NS as to type of fat</v>
          </cell>
          <cell r="I5125">
            <v>130</v>
          </cell>
          <cell r="J5125">
            <v>107.84567</v>
          </cell>
          <cell r="K5125">
            <v>0.82958207692307695</v>
          </cell>
          <cell r="L5125">
            <v>0</v>
          </cell>
          <cell r="M5125">
            <v>1.6048784</v>
          </cell>
          <cell r="N5125">
            <v>0</v>
          </cell>
          <cell r="O5125">
            <v>4.6842999999999997E-3</v>
          </cell>
          <cell r="P5125">
            <v>2.5211524999999999</v>
          </cell>
          <cell r="Q5125">
            <v>1.1055723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0.40147490000000002</v>
          </cell>
          <cell r="Y5125">
            <v>0</v>
          </cell>
          <cell r="Z5125">
            <v>0</v>
          </cell>
          <cell r="AA5125">
            <v>0</v>
          </cell>
          <cell r="AB5125">
            <v>0.1247649</v>
          </cell>
        </row>
        <row r="5126">
          <cell r="A5126">
            <v>75216133</v>
          </cell>
          <cell r="B5126" t="str">
            <v>Corn, yellow, cooked, NS as to form, made with margarine</v>
          </cell>
          <cell r="I5126">
            <v>85</v>
          </cell>
          <cell r="J5126">
            <v>79.241457999999994</v>
          </cell>
          <cell r="K5126">
            <v>0.93225244705882349</v>
          </cell>
          <cell r="L5126">
            <v>0</v>
          </cell>
          <cell r="M5126">
            <v>0.37327440000000001</v>
          </cell>
          <cell r="N5126">
            <v>0</v>
          </cell>
          <cell r="O5126">
            <v>3.0850999999999999E-3</v>
          </cell>
          <cell r="P5126">
            <v>1.9706546</v>
          </cell>
          <cell r="Q5126">
            <v>0.89357249999999999</v>
          </cell>
          <cell r="R5126">
            <v>0</v>
          </cell>
          <cell r="S5126">
            <v>0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0.21098439999999999</v>
          </cell>
          <cell r="Y5126">
            <v>0</v>
          </cell>
          <cell r="Z5126">
            <v>0</v>
          </cell>
          <cell r="AA5126">
            <v>0</v>
          </cell>
          <cell r="AB5126">
            <v>8.7522600000000006E-2</v>
          </cell>
        </row>
        <row r="5127">
          <cell r="A5127">
            <v>75216134</v>
          </cell>
          <cell r="B5127" t="str">
            <v>Corn, yellow, cooked, from fresh, made with oil</v>
          </cell>
          <cell r="I5127">
            <v>85</v>
          </cell>
          <cell r="J5127">
            <v>99.098960000000005</v>
          </cell>
          <cell r="K5127">
            <v>1.1658701176470589</v>
          </cell>
          <cell r="L5127">
            <v>0</v>
          </cell>
          <cell r="M5127">
            <v>0.47340989999999999</v>
          </cell>
          <cell r="N5127">
            <v>0</v>
          </cell>
          <cell r="O5127">
            <v>2.5926999999999999E-3</v>
          </cell>
          <cell r="P5127">
            <v>1.9733163</v>
          </cell>
          <cell r="Q5127">
            <v>1.4337419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0.19514709999999999</v>
          </cell>
          <cell r="Y5127">
            <v>0</v>
          </cell>
          <cell r="Z5127">
            <v>0</v>
          </cell>
          <cell r="AA5127">
            <v>0</v>
          </cell>
          <cell r="AB5127">
            <v>3.8141000000000001E-2</v>
          </cell>
        </row>
        <row r="5128">
          <cell r="A5128">
            <v>75216135</v>
          </cell>
          <cell r="B5128" t="str">
            <v>Corn, yellow, cooked, from fresh, made with butter</v>
          </cell>
          <cell r="I5128">
            <v>85</v>
          </cell>
          <cell r="J5128">
            <v>95.826222999999999</v>
          </cell>
          <cell r="K5128">
            <v>1.1273673294117648</v>
          </cell>
          <cell r="L5128">
            <v>0</v>
          </cell>
          <cell r="M5128">
            <v>1.3783335999999999</v>
          </cell>
          <cell r="N5128">
            <v>0</v>
          </cell>
          <cell r="O5128">
            <v>3.1524999999999999E-3</v>
          </cell>
          <cell r="P5128">
            <v>1.9711422000000001</v>
          </cell>
          <cell r="Q5128">
            <v>0.56731609999999999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0.21014869999999999</v>
          </cell>
          <cell r="Y5128">
            <v>0</v>
          </cell>
          <cell r="Z5128">
            <v>0</v>
          </cell>
          <cell r="AA5128">
            <v>0</v>
          </cell>
          <cell r="AB5128">
            <v>7.7632099999999996E-2</v>
          </cell>
        </row>
        <row r="5129">
          <cell r="A5129">
            <v>75216136</v>
          </cell>
          <cell r="B5129" t="str">
            <v>Corn, yellow, cooked, from fresh, made with margarine</v>
          </cell>
          <cell r="I5129">
            <v>85</v>
          </cell>
          <cell r="J5129">
            <v>91.558048999999997</v>
          </cell>
          <cell r="K5129">
            <v>1.0771535176470588</v>
          </cell>
          <cell r="L5129">
            <v>0</v>
          </cell>
          <cell r="M5129">
            <v>0.45045829999999998</v>
          </cell>
          <cell r="N5129">
            <v>0</v>
          </cell>
          <cell r="O5129">
            <v>3.0850999999999999E-3</v>
          </cell>
          <cell r="P5129">
            <v>1.9706546</v>
          </cell>
          <cell r="Q5129">
            <v>1.1275877999999999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0.21098439999999999</v>
          </cell>
          <cell r="Y5129">
            <v>0</v>
          </cell>
          <cell r="Z5129">
            <v>0</v>
          </cell>
          <cell r="AA5129">
            <v>0</v>
          </cell>
          <cell r="AB5129">
            <v>8.7522600000000006E-2</v>
          </cell>
        </row>
        <row r="5130">
          <cell r="A5130">
            <v>75216137</v>
          </cell>
          <cell r="B5130" t="str">
            <v>Corn, yellow, cooked, from frozen, made with oil</v>
          </cell>
          <cell r="I5130">
            <v>85</v>
          </cell>
          <cell r="J5130">
            <v>86.765732999999997</v>
          </cell>
          <cell r="K5130">
            <v>1.0207733294117647</v>
          </cell>
          <cell r="L5130">
            <v>0</v>
          </cell>
          <cell r="M5130">
            <v>0.39612160000000002</v>
          </cell>
          <cell r="N5130">
            <v>0</v>
          </cell>
          <cell r="O5130">
            <v>2.5926999999999999E-3</v>
          </cell>
          <cell r="P5130">
            <v>1.9733163</v>
          </cell>
          <cell r="Q5130">
            <v>1.1994106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0.19514709999999999</v>
          </cell>
          <cell r="Y5130">
            <v>0</v>
          </cell>
          <cell r="Z5130">
            <v>0</v>
          </cell>
          <cell r="AA5130">
            <v>0</v>
          </cell>
          <cell r="AB5130">
            <v>1.35038E-2</v>
          </cell>
        </row>
        <row r="5131">
          <cell r="A5131">
            <v>75216138</v>
          </cell>
          <cell r="B5131" t="str">
            <v>Corn, yellow, cooked, from frozen, made with butter</v>
          </cell>
          <cell r="I5131">
            <v>85</v>
          </cell>
          <cell r="J5131">
            <v>83.506584000000004</v>
          </cell>
          <cell r="K5131">
            <v>0.98243040000000004</v>
          </cell>
          <cell r="L5131">
            <v>0</v>
          </cell>
          <cell r="M5131">
            <v>1.3011305</v>
          </cell>
          <cell r="N5131">
            <v>0</v>
          </cell>
          <cell r="O5131">
            <v>3.1524999999999999E-3</v>
          </cell>
          <cell r="P5131">
            <v>1.9711422000000001</v>
          </cell>
          <cell r="Q5131">
            <v>0.33324300000000001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0.21014869999999999</v>
          </cell>
          <cell r="Y5131">
            <v>0</v>
          </cell>
          <cell r="Z5131">
            <v>0</v>
          </cell>
          <cell r="AA5131">
            <v>0</v>
          </cell>
          <cell r="AB5131">
            <v>7.7632099999999996E-2</v>
          </cell>
        </row>
        <row r="5132">
          <cell r="A5132">
            <v>75216139</v>
          </cell>
          <cell r="B5132" t="str">
            <v>Corn, yellow, cooked, from frozen, made with margarine</v>
          </cell>
          <cell r="I5132">
            <v>85</v>
          </cell>
          <cell r="J5132">
            <v>79.241457999999994</v>
          </cell>
          <cell r="K5132">
            <v>0.93225244705882349</v>
          </cell>
          <cell r="L5132">
            <v>0</v>
          </cell>
          <cell r="M5132">
            <v>0.37327440000000001</v>
          </cell>
          <cell r="N5132">
            <v>0</v>
          </cell>
          <cell r="O5132">
            <v>3.0850999999999999E-3</v>
          </cell>
          <cell r="P5132">
            <v>1.9706546</v>
          </cell>
          <cell r="Q5132">
            <v>0.89357249999999999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0.21098439999999999</v>
          </cell>
          <cell r="Y5132">
            <v>0</v>
          </cell>
          <cell r="Z5132">
            <v>0</v>
          </cell>
          <cell r="AA5132">
            <v>0</v>
          </cell>
          <cell r="AB5132">
            <v>8.7522600000000006E-2</v>
          </cell>
        </row>
        <row r="5133">
          <cell r="A5133">
            <v>75216141</v>
          </cell>
          <cell r="B5133" t="str">
            <v>Corn, yellow, cooked, from canned, made with oil</v>
          </cell>
          <cell r="I5133">
            <v>130</v>
          </cell>
          <cell r="J5133">
            <v>115.50422</v>
          </cell>
          <cell r="K5133">
            <v>0.88849400000000001</v>
          </cell>
          <cell r="L5133">
            <v>0</v>
          </cell>
          <cell r="M5133">
            <v>0.78718469999999996</v>
          </cell>
          <cell r="N5133">
            <v>0</v>
          </cell>
          <cell r="O5133">
            <v>3.8685E-3</v>
          </cell>
          <cell r="P5133">
            <v>2.5239430999999999</v>
          </cell>
          <cell r="Q5133">
            <v>2.0945638</v>
          </cell>
          <cell r="R5133">
            <v>0</v>
          </cell>
          <cell r="S5133">
            <v>0</v>
          </cell>
          <cell r="T5133">
            <v>0</v>
          </cell>
          <cell r="U5133">
            <v>0</v>
          </cell>
          <cell r="V5133">
            <v>0</v>
          </cell>
          <cell r="W5133">
            <v>0</v>
          </cell>
          <cell r="X5133">
            <v>0.37801800000000002</v>
          </cell>
          <cell r="Y5133">
            <v>0</v>
          </cell>
          <cell r="Z5133">
            <v>0</v>
          </cell>
          <cell r="AA5133">
            <v>0</v>
          </cell>
          <cell r="AB5133">
            <v>1.6117200000000002E-2</v>
          </cell>
        </row>
        <row r="5134">
          <cell r="A5134">
            <v>75216142</v>
          </cell>
          <cell r="B5134" t="str">
            <v>Corn, yellow, cooked, from canned, made with butter</v>
          </cell>
          <cell r="I5134">
            <v>130</v>
          </cell>
          <cell r="J5134">
            <v>110.52097000000001</v>
          </cell>
          <cell r="K5134">
            <v>0.85016130769230769</v>
          </cell>
          <cell r="L5134">
            <v>0</v>
          </cell>
          <cell r="M5134">
            <v>2.1760256999999998</v>
          </cell>
          <cell r="N5134">
            <v>0</v>
          </cell>
          <cell r="O5134">
            <v>4.7279000000000002E-3</v>
          </cell>
          <cell r="P5134">
            <v>2.5211524999999999</v>
          </cell>
          <cell r="Q5134">
            <v>0.76484960000000002</v>
          </cell>
          <cell r="R5134">
            <v>0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0.40095510000000001</v>
          </cell>
          <cell r="Y5134">
            <v>0</v>
          </cell>
          <cell r="Z5134">
            <v>0</v>
          </cell>
          <cell r="AA5134">
            <v>0</v>
          </cell>
          <cell r="AB5134">
            <v>0.1191526</v>
          </cell>
        </row>
        <row r="5135">
          <cell r="A5135">
            <v>75216143</v>
          </cell>
          <cell r="B5135" t="str">
            <v>Corn, yellow, cooked, from canned, made with margarine</v>
          </cell>
          <cell r="I5135">
            <v>130</v>
          </cell>
          <cell r="J5135">
            <v>103.97897</v>
          </cell>
          <cell r="K5135">
            <v>0.79983823076923077</v>
          </cell>
          <cell r="L5135">
            <v>0</v>
          </cell>
          <cell r="M5135">
            <v>0.7518724</v>
          </cell>
          <cell r="N5135">
            <v>0</v>
          </cell>
          <cell r="O5135">
            <v>4.6245000000000001E-3</v>
          </cell>
          <cell r="P5135">
            <v>2.5205266000000002</v>
          </cell>
          <cell r="Q5135">
            <v>1.6248003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0.40221790000000002</v>
          </cell>
          <cell r="Y5135">
            <v>0</v>
          </cell>
          <cell r="Z5135">
            <v>0</v>
          </cell>
          <cell r="AA5135">
            <v>0</v>
          </cell>
          <cell r="AB5135">
            <v>0.13433290000000001</v>
          </cell>
        </row>
        <row r="5136">
          <cell r="A5136">
            <v>75216150</v>
          </cell>
          <cell r="B5136" t="str">
            <v>Corn, yellow, NS as to form, cream style</v>
          </cell>
          <cell r="I5136">
            <v>130</v>
          </cell>
          <cell r="J5136">
            <v>93.235798000000003</v>
          </cell>
          <cell r="K5136">
            <v>0.7171984461538462</v>
          </cell>
          <cell r="L5136">
            <v>0</v>
          </cell>
          <cell r="M5136">
            <v>8.4171200000000002E-2</v>
          </cell>
          <cell r="N5136">
            <v>0</v>
          </cell>
          <cell r="O5136">
            <v>4.0061999999999997E-3</v>
          </cell>
          <cell r="P5136">
            <v>1.55393</v>
          </cell>
          <cell r="Q5136">
            <v>0.25639840000000003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0.5340319</v>
          </cell>
          <cell r="Y5136">
            <v>0</v>
          </cell>
          <cell r="Z5136">
            <v>0</v>
          </cell>
          <cell r="AA5136">
            <v>0</v>
          </cell>
          <cell r="AB5136">
            <v>0</v>
          </cell>
        </row>
        <row r="5137">
          <cell r="A5137">
            <v>75216153</v>
          </cell>
          <cell r="B5137" t="str">
            <v>Corn, yellow, from canned, cream style</v>
          </cell>
          <cell r="I5137">
            <v>130</v>
          </cell>
          <cell r="J5137">
            <v>93.453978000000006</v>
          </cell>
          <cell r="K5137">
            <v>0.7188767538461539</v>
          </cell>
          <cell r="L5137">
            <v>0</v>
          </cell>
          <cell r="M5137">
            <v>8.4368200000000004E-2</v>
          </cell>
          <cell r="N5137">
            <v>0</v>
          </cell>
          <cell r="O5137">
            <v>3.9426000000000001E-3</v>
          </cell>
          <cell r="P5137">
            <v>1.5575663</v>
          </cell>
          <cell r="Q5137">
            <v>0.25699840000000002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0.417375</v>
          </cell>
          <cell r="Y5137">
            <v>0</v>
          </cell>
          <cell r="Z5137">
            <v>0</v>
          </cell>
          <cell r="AA5137">
            <v>0</v>
          </cell>
          <cell r="AB5137">
            <v>0</v>
          </cell>
        </row>
        <row r="5138">
          <cell r="A5138">
            <v>75216171</v>
          </cell>
          <cell r="B5138" t="str">
            <v>Corn, yellow and white, cooked, from fresh, fat not added in cooking</v>
          </cell>
          <cell r="I5138">
            <v>85</v>
          </cell>
          <cell r="J5138">
            <v>81.507895000000005</v>
          </cell>
          <cell r="K5138">
            <v>0.95891641176470599</v>
          </cell>
          <cell r="L5138">
            <v>0</v>
          </cell>
          <cell r="M5138">
            <v>0.16641320000000001</v>
          </cell>
          <cell r="N5138">
            <v>0</v>
          </cell>
          <cell r="O5138">
            <v>2.2474000000000001E-3</v>
          </cell>
          <cell r="P5138">
            <v>2.1513157999999999</v>
          </cell>
          <cell r="Q5138">
            <v>0.5093763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0.2056605</v>
          </cell>
          <cell r="Y5138">
            <v>0</v>
          </cell>
          <cell r="Z5138">
            <v>0</v>
          </cell>
          <cell r="AA5138">
            <v>0</v>
          </cell>
          <cell r="AB5138">
            <v>0</v>
          </cell>
        </row>
        <row r="5139">
          <cell r="A5139">
            <v>75216173</v>
          </cell>
          <cell r="B5139" t="str">
            <v>Corn, yellow and white, cooked, from canned, fat not added in cooking</v>
          </cell>
          <cell r="I5139">
            <v>130</v>
          </cell>
          <cell r="J5139">
            <v>89.481752</v>
          </cell>
          <cell r="K5139">
            <v>0.68832116923076925</v>
          </cell>
          <cell r="L5139">
            <v>0</v>
          </cell>
          <cell r="M5139">
            <v>0.26325789999999999</v>
          </cell>
          <cell r="N5139">
            <v>0</v>
          </cell>
          <cell r="O5139">
            <v>3.9664000000000001E-3</v>
          </cell>
          <cell r="P5139">
            <v>2.7881995000000002</v>
          </cell>
          <cell r="Q5139">
            <v>0.60562289999999996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0.37547540000000001</v>
          </cell>
          <cell r="Y5139">
            <v>0</v>
          </cell>
          <cell r="Z5139">
            <v>0</v>
          </cell>
          <cell r="AA5139">
            <v>0</v>
          </cell>
          <cell r="AB5139">
            <v>0</v>
          </cell>
        </row>
        <row r="5140">
          <cell r="A5140">
            <v>75216177</v>
          </cell>
          <cell r="B5140" t="str">
            <v>Corn, yellow and white, cooked, from fresh, made with oil</v>
          </cell>
          <cell r="I5140">
            <v>85</v>
          </cell>
          <cell r="J5140">
            <v>99.869676999999996</v>
          </cell>
          <cell r="K5140">
            <v>1.1749373764705882</v>
          </cell>
          <cell r="L5140">
            <v>0</v>
          </cell>
          <cell r="M5140">
            <v>0.47985919999999999</v>
          </cell>
          <cell r="N5140">
            <v>0</v>
          </cell>
          <cell r="O5140">
            <v>2.1917E-3</v>
          </cell>
          <cell r="P5140">
            <v>2.0924676</v>
          </cell>
          <cell r="Q5140">
            <v>1.4531597000000001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0.20004640000000001</v>
          </cell>
          <cell r="Y5140">
            <v>0</v>
          </cell>
          <cell r="Z5140">
            <v>0</v>
          </cell>
          <cell r="AA5140">
            <v>0</v>
          </cell>
          <cell r="AB5140">
            <v>3.0896300000000002E-2</v>
          </cell>
        </row>
        <row r="5141">
          <cell r="A5141">
            <v>75216178</v>
          </cell>
          <cell r="B5141" t="str">
            <v>Corn, yellow and white, cooked, from fresh, made with butter</v>
          </cell>
          <cell r="I5141">
            <v>85</v>
          </cell>
          <cell r="J5141">
            <v>96.527164999999997</v>
          </cell>
          <cell r="K5141">
            <v>1.135613705882353</v>
          </cell>
          <cell r="L5141">
            <v>0</v>
          </cell>
          <cell r="M5141">
            <v>1.4038291000000001</v>
          </cell>
          <cell r="N5141">
            <v>0</v>
          </cell>
          <cell r="O5141">
            <v>2.7637999999999999E-3</v>
          </cell>
          <cell r="P5141">
            <v>2.0901136</v>
          </cell>
          <cell r="Q5141">
            <v>0.56846920000000001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0.21535840000000001</v>
          </cell>
          <cell r="Y5141">
            <v>0</v>
          </cell>
          <cell r="Z5141">
            <v>0</v>
          </cell>
          <cell r="AA5141">
            <v>0</v>
          </cell>
          <cell r="AB5141">
            <v>7.9266600000000006E-2</v>
          </cell>
        </row>
        <row r="5142">
          <cell r="A5142">
            <v>75216179</v>
          </cell>
          <cell r="B5142" t="str">
            <v>Corn, yellow and white, cooked, from fresh, made with margarine</v>
          </cell>
          <cell r="I5142">
            <v>85</v>
          </cell>
          <cell r="J5142">
            <v>92.168968000000007</v>
          </cell>
          <cell r="K5142">
            <v>1.0843408000000001</v>
          </cell>
          <cell r="L5142">
            <v>0</v>
          </cell>
          <cell r="M5142">
            <v>0.45641559999999998</v>
          </cell>
          <cell r="N5142">
            <v>0</v>
          </cell>
          <cell r="O5142">
            <v>2.6951000000000002E-3</v>
          </cell>
          <cell r="P5142">
            <v>2.0895857000000002</v>
          </cell>
          <cell r="Q5142">
            <v>1.1405342999999999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0.21621029999999999</v>
          </cell>
          <cell r="Y5142">
            <v>0</v>
          </cell>
          <cell r="Z5142">
            <v>0</v>
          </cell>
          <cell r="AA5142">
            <v>0</v>
          </cell>
          <cell r="AB5142">
            <v>8.9365E-2</v>
          </cell>
        </row>
        <row r="5143">
          <cell r="A5143">
            <v>75216181</v>
          </cell>
          <cell r="B5143" t="str">
            <v>Corn, yellow and white, cooked, from fresh, fat added in cooking</v>
          </cell>
          <cell r="I5143">
            <v>85</v>
          </cell>
          <cell r="J5143">
            <v>92.254090000000005</v>
          </cell>
          <cell r="K5143">
            <v>1.0853422352941178</v>
          </cell>
          <cell r="L5143">
            <v>0</v>
          </cell>
          <cell r="M5143">
            <v>0.45823770000000003</v>
          </cell>
          <cell r="N5143">
            <v>0</v>
          </cell>
          <cell r="O5143">
            <v>2.6935000000000001E-3</v>
          </cell>
          <cell r="P5143">
            <v>2.0897239000000001</v>
          </cell>
          <cell r="Q5143">
            <v>1.1445353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0.20756430000000001</v>
          </cell>
          <cell r="Y5143">
            <v>0</v>
          </cell>
          <cell r="Z5143">
            <v>0</v>
          </cell>
          <cell r="AA5143">
            <v>0</v>
          </cell>
          <cell r="AB5143">
            <v>8.3000199999999996E-2</v>
          </cell>
        </row>
        <row r="5144">
          <cell r="A5144">
            <v>75216193</v>
          </cell>
          <cell r="B5144" t="str">
            <v>Corn, yellow, from canned, cream style, fat added in cooking</v>
          </cell>
          <cell r="I5144">
            <v>130</v>
          </cell>
          <cell r="J5144">
            <v>106.90895999999999</v>
          </cell>
          <cell r="K5144">
            <v>0.82237661538461537</v>
          </cell>
          <cell r="L5144">
            <v>-2.8900000000000001E-16</v>
          </cell>
          <cell r="M5144">
            <v>0.92226249999999999</v>
          </cell>
          <cell r="N5144">
            <v>0</v>
          </cell>
          <cell r="O5144">
            <v>4.4079999999999996E-3</v>
          </cell>
          <cell r="P5144">
            <v>1.5293591</v>
          </cell>
          <cell r="Q5144">
            <v>0.54466539999999997</v>
          </cell>
          <cell r="R5144">
            <v>0</v>
          </cell>
          <cell r="S5144">
            <v>0</v>
          </cell>
          <cell r="T5144">
            <v>0</v>
          </cell>
          <cell r="U5144">
            <v>0</v>
          </cell>
          <cell r="V5144">
            <v>0</v>
          </cell>
          <cell r="W5144">
            <v>0</v>
          </cell>
          <cell r="X5144">
            <v>0.42529109999999998</v>
          </cell>
          <cell r="Y5144">
            <v>0</v>
          </cell>
          <cell r="Z5144">
            <v>0</v>
          </cell>
          <cell r="AA5144">
            <v>0</v>
          </cell>
          <cell r="AB5144">
            <v>8.0808199999999997E-2</v>
          </cell>
        </row>
        <row r="5145">
          <cell r="A5145">
            <v>75216200</v>
          </cell>
          <cell r="B5145" t="str">
            <v>Corn, white, cooked, NS as to form, NS as to fat added in cooking</v>
          </cell>
          <cell r="I5145">
            <v>85</v>
          </cell>
          <cell r="J5145">
            <v>80.942223999999996</v>
          </cell>
          <cell r="K5145">
            <v>0.95226145882352942</v>
          </cell>
          <cell r="L5145">
            <v>0</v>
          </cell>
          <cell r="M5145">
            <v>0.89861970000000002</v>
          </cell>
          <cell r="N5145">
            <v>0</v>
          </cell>
          <cell r="O5145">
            <v>3.9453999999999999E-3</v>
          </cell>
          <cell r="P5145">
            <v>1.9711422000000001</v>
          </cell>
          <cell r="Q5145">
            <v>0.4607851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0.21377260000000001</v>
          </cell>
          <cell r="Y5145">
            <v>0</v>
          </cell>
          <cell r="Z5145">
            <v>0</v>
          </cell>
          <cell r="AA5145">
            <v>0</v>
          </cell>
          <cell r="AB5145">
            <v>8.1288700000000005E-2</v>
          </cell>
        </row>
        <row r="5146">
          <cell r="A5146">
            <v>75216210</v>
          </cell>
          <cell r="B5146" t="str">
            <v>Corn, white, cooked, NS as to form, fat not added in cooking</v>
          </cell>
          <cell r="I5146">
            <v>85</v>
          </cell>
          <cell r="J5146">
            <v>81.948910999999995</v>
          </cell>
          <cell r="K5146">
            <v>0.96410483529411761</v>
          </cell>
          <cell r="L5146">
            <v>0</v>
          </cell>
          <cell r="M5146">
            <v>0.16643230000000001</v>
          </cell>
          <cell r="N5146">
            <v>0</v>
          </cell>
          <cell r="O5146">
            <v>1.8136000000000001E-3</v>
          </cell>
          <cell r="P5146">
            <v>2.2810522</v>
          </cell>
          <cell r="Q5146">
            <v>0.50943499999999997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0.20275309999999999</v>
          </cell>
          <cell r="Y5146">
            <v>0</v>
          </cell>
          <cell r="Z5146">
            <v>0</v>
          </cell>
          <cell r="AA5146">
            <v>0</v>
          </cell>
          <cell r="AB5146">
            <v>0</v>
          </cell>
        </row>
        <row r="5147">
          <cell r="A5147">
            <v>75216211</v>
          </cell>
          <cell r="B5147" t="str">
            <v>Corn, white, cooked, from fresh, fat not added in cooking</v>
          </cell>
          <cell r="I5147">
            <v>85</v>
          </cell>
          <cell r="J5147">
            <v>81.928165000000007</v>
          </cell>
          <cell r="K5147">
            <v>0.96386076470588244</v>
          </cell>
          <cell r="L5147">
            <v>0</v>
          </cell>
          <cell r="M5147">
            <v>0.16639019999999999</v>
          </cell>
          <cell r="N5147">
            <v>0</v>
          </cell>
          <cell r="O5147">
            <v>1.8184E-3</v>
          </cell>
          <cell r="P5147">
            <v>2.2804747000000001</v>
          </cell>
          <cell r="Q5147">
            <v>0.50930600000000004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0.21104210000000001</v>
          </cell>
          <cell r="Y5147">
            <v>0</v>
          </cell>
          <cell r="Z5147">
            <v>0</v>
          </cell>
          <cell r="AA5147">
            <v>0</v>
          </cell>
          <cell r="AB5147">
            <v>0</v>
          </cell>
        </row>
        <row r="5148">
          <cell r="A5148">
            <v>75216212</v>
          </cell>
          <cell r="B5148" t="str">
            <v>Corn, white, cooked, from frozen, fat not added in cooking</v>
          </cell>
          <cell r="I5148">
            <v>85</v>
          </cell>
          <cell r="J5148">
            <v>67.587879000000001</v>
          </cell>
          <cell r="K5148">
            <v>0.79515151764705883</v>
          </cell>
          <cell r="L5148">
            <v>0</v>
          </cell>
          <cell r="M5148">
            <v>5.5759999999999997E-2</v>
          </cell>
          <cell r="N5148">
            <v>0</v>
          </cell>
          <cell r="O5148">
            <v>3.503E-3</v>
          </cell>
          <cell r="P5148">
            <v>2.0276364</v>
          </cell>
          <cell r="Q5148">
            <v>0.1715042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0.2038867</v>
          </cell>
          <cell r="Y5148">
            <v>0</v>
          </cell>
          <cell r="Z5148">
            <v>0</v>
          </cell>
          <cell r="AA5148">
            <v>0</v>
          </cell>
          <cell r="AB5148">
            <v>0</v>
          </cell>
        </row>
        <row r="5149">
          <cell r="A5149">
            <v>75216213</v>
          </cell>
          <cell r="B5149" t="str">
            <v>Corn, white, cooked, from canned, fat not added in cooking</v>
          </cell>
          <cell r="I5149">
            <v>130</v>
          </cell>
          <cell r="J5149">
            <v>92.075425999999993</v>
          </cell>
          <cell r="K5149">
            <v>0.70827250769230765</v>
          </cell>
          <cell r="L5149">
            <v>0</v>
          </cell>
          <cell r="M5149">
            <v>0.2087908</v>
          </cell>
          <cell r="N5149">
            <v>0</v>
          </cell>
          <cell r="O5149">
            <v>3.9664000000000001E-3</v>
          </cell>
          <cell r="P5149">
            <v>2.9827251000000001</v>
          </cell>
          <cell r="Q5149">
            <v>0.53818730000000004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  <cell r="V5149">
            <v>0</v>
          </cell>
          <cell r="W5149">
            <v>0</v>
          </cell>
          <cell r="X5149">
            <v>0.36250710000000003</v>
          </cell>
          <cell r="Y5149">
            <v>0</v>
          </cell>
          <cell r="Z5149">
            <v>0</v>
          </cell>
          <cell r="AA5149">
            <v>0</v>
          </cell>
          <cell r="AB5149">
            <v>0</v>
          </cell>
        </row>
        <row r="5150">
          <cell r="A5150">
            <v>75216221</v>
          </cell>
          <cell r="B5150" t="str">
            <v>Corn, white, cooked, from fresh, fat added in cooking</v>
          </cell>
          <cell r="I5150">
            <v>85</v>
          </cell>
          <cell r="J5150">
            <v>92.893156000000005</v>
          </cell>
          <cell r="K5150">
            <v>1.0928606588235295</v>
          </cell>
          <cell r="L5150">
            <v>0</v>
          </cell>
          <cell r="M5150">
            <v>0.46449079999999998</v>
          </cell>
          <cell r="N5150">
            <v>0</v>
          </cell>
          <cell r="O5150">
            <v>2.2866000000000002E-3</v>
          </cell>
          <cell r="P5150">
            <v>2.213781</v>
          </cell>
          <cell r="Q5150">
            <v>1.1581254999999999</v>
          </cell>
          <cell r="R5150">
            <v>0</v>
          </cell>
          <cell r="S5150">
            <v>0</v>
          </cell>
          <cell r="T5150">
            <v>0</v>
          </cell>
          <cell r="U5150">
            <v>0</v>
          </cell>
          <cell r="V5150">
            <v>0</v>
          </cell>
          <cell r="W5150">
            <v>0</v>
          </cell>
          <cell r="X5150">
            <v>0.2128294</v>
          </cell>
          <cell r="Y5150">
            <v>0</v>
          </cell>
          <cell r="Z5150">
            <v>0</v>
          </cell>
          <cell r="AA5150">
            <v>0</v>
          </cell>
          <cell r="AB5150">
            <v>8.4785399999999997E-2</v>
          </cell>
        </row>
        <row r="5151">
          <cell r="A5151">
            <v>75216224</v>
          </cell>
          <cell r="B5151" t="str">
            <v>Corn, white, cooked, NS as to form, made with oil</v>
          </cell>
          <cell r="I5151">
            <v>85</v>
          </cell>
          <cell r="J5151">
            <v>85.943517999999997</v>
          </cell>
          <cell r="K5151">
            <v>1.0111002117647059</v>
          </cell>
          <cell r="L5151">
            <v>0</v>
          </cell>
          <cell r="M5151">
            <v>0.36569970000000002</v>
          </cell>
          <cell r="N5151">
            <v>0</v>
          </cell>
          <cell r="O5151">
            <v>3.4148999999999998E-3</v>
          </cell>
          <cell r="P5151">
            <v>1.9733163</v>
          </cell>
          <cell r="Q5151">
            <v>1.1048557999999999</v>
          </cell>
          <cell r="R5151">
            <v>0</v>
          </cell>
          <cell r="S5151">
            <v>0</v>
          </cell>
          <cell r="T5151">
            <v>0</v>
          </cell>
          <cell r="U5151">
            <v>0</v>
          </cell>
          <cell r="V5151">
            <v>0</v>
          </cell>
          <cell r="W5151">
            <v>0</v>
          </cell>
          <cell r="X5151">
            <v>0.198436</v>
          </cell>
          <cell r="Y5151">
            <v>0</v>
          </cell>
          <cell r="Z5151">
            <v>0</v>
          </cell>
          <cell r="AA5151">
            <v>0</v>
          </cell>
          <cell r="AB5151">
            <v>1.02086E-2</v>
          </cell>
        </row>
        <row r="5152">
          <cell r="A5152">
            <v>75216227</v>
          </cell>
          <cell r="B5152" t="str">
            <v>Corn, white, cooked, from fresh, made with oil</v>
          </cell>
          <cell r="I5152">
            <v>85</v>
          </cell>
          <cell r="J5152">
            <v>100.67359</v>
          </cell>
          <cell r="K5152">
            <v>1.1843951764705882</v>
          </cell>
          <cell r="L5152">
            <v>0</v>
          </cell>
          <cell r="M5152">
            <v>0.48658630000000003</v>
          </cell>
          <cell r="N5152">
            <v>0</v>
          </cell>
          <cell r="O5152">
            <v>1.7734999999999999E-3</v>
          </cell>
          <cell r="P5152">
            <v>2.2167501000000001</v>
          </cell>
          <cell r="Q5152">
            <v>1.4734138000000001</v>
          </cell>
          <cell r="R5152">
            <v>0</v>
          </cell>
          <cell r="S5152">
            <v>0</v>
          </cell>
          <cell r="T5152">
            <v>0</v>
          </cell>
          <cell r="U5152">
            <v>0</v>
          </cell>
          <cell r="V5152">
            <v>0</v>
          </cell>
          <cell r="W5152">
            <v>0</v>
          </cell>
          <cell r="X5152">
            <v>0.2051567</v>
          </cell>
          <cell r="Y5152">
            <v>0</v>
          </cell>
          <cell r="Z5152">
            <v>0</v>
          </cell>
          <cell r="AA5152">
            <v>0</v>
          </cell>
          <cell r="AB5152">
            <v>4.3886500000000002E-2</v>
          </cell>
        </row>
        <row r="5153">
          <cell r="A5153">
            <v>75216228</v>
          </cell>
          <cell r="B5153" t="str">
            <v>Corn, white, cooked, from fresh, made with butter</v>
          </cell>
          <cell r="I5153">
            <v>85</v>
          </cell>
          <cell r="J5153">
            <v>97.258257999999998</v>
          </cell>
          <cell r="K5153">
            <v>1.1442147999999999</v>
          </cell>
          <cell r="L5153">
            <v>0</v>
          </cell>
          <cell r="M5153">
            <v>1.4304212999999999</v>
          </cell>
          <cell r="N5153">
            <v>0</v>
          </cell>
          <cell r="O5153">
            <v>2.3582999999999998E-3</v>
          </cell>
          <cell r="P5153">
            <v>2.2142027999999998</v>
          </cell>
          <cell r="Q5153">
            <v>0.56967190000000001</v>
          </cell>
          <cell r="R5153">
            <v>0</v>
          </cell>
          <cell r="S5153">
            <v>0</v>
          </cell>
          <cell r="T5153">
            <v>0</v>
          </cell>
          <cell r="U5153">
            <v>0</v>
          </cell>
          <cell r="V5153">
            <v>0</v>
          </cell>
          <cell r="W5153">
            <v>0</v>
          </cell>
          <cell r="X5153">
            <v>0.22079209999999999</v>
          </cell>
          <cell r="Y5153">
            <v>0</v>
          </cell>
          <cell r="Z5153">
            <v>0</v>
          </cell>
          <cell r="AA5153">
            <v>0</v>
          </cell>
          <cell r="AB5153">
            <v>8.0971500000000002E-2</v>
          </cell>
        </row>
        <row r="5154">
          <cell r="A5154">
            <v>75216232</v>
          </cell>
          <cell r="B5154" t="str">
            <v>Corn, white, cooked, from frozen, made with oil</v>
          </cell>
          <cell r="I5154">
            <v>85</v>
          </cell>
          <cell r="J5154">
            <v>85.943517999999997</v>
          </cell>
          <cell r="K5154">
            <v>1.0111002117647059</v>
          </cell>
          <cell r="L5154">
            <v>0</v>
          </cell>
          <cell r="M5154">
            <v>0.36569970000000002</v>
          </cell>
          <cell r="N5154">
            <v>0</v>
          </cell>
          <cell r="O5154">
            <v>3.4148999999999998E-3</v>
          </cell>
          <cell r="P5154">
            <v>1.9733163</v>
          </cell>
          <cell r="Q5154">
            <v>1.1048557999999999</v>
          </cell>
          <cell r="R5154">
            <v>0</v>
          </cell>
          <cell r="S5154">
            <v>0</v>
          </cell>
          <cell r="T5154">
            <v>0</v>
          </cell>
          <cell r="U5154">
            <v>0</v>
          </cell>
          <cell r="V5154">
            <v>0</v>
          </cell>
          <cell r="W5154">
            <v>0</v>
          </cell>
          <cell r="X5154">
            <v>0.198436</v>
          </cell>
          <cell r="Y5154">
            <v>0</v>
          </cell>
          <cell r="Z5154">
            <v>0</v>
          </cell>
          <cell r="AA5154">
            <v>0</v>
          </cell>
          <cell r="AB5154">
            <v>1.6466999999999999E-2</v>
          </cell>
        </row>
        <row r="5155">
          <cell r="A5155">
            <v>75216233</v>
          </cell>
          <cell r="B5155" t="str">
            <v>Corn, white, cooked, from frozen, made with butter</v>
          </cell>
          <cell r="I5155">
            <v>85</v>
          </cell>
          <cell r="J5155">
            <v>82.685275000000004</v>
          </cell>
          <cell r="K5155">
            <v>0.97276794117647059</v>
          </cell>
          <cell r="L5155">
            <v>0</v>
          </cell>
          <cell r="M5155">
            <v>1.2707421000000001</v>
          </cell>
          <cell r="N5155">
            <v>0</v>
          </cell>
          <cell r="O5155">
            <v>3.9738000000000004E-3</v>
          </cell>
          <cell r="P5155">
            <v>1.9711422000000001</v>
          </cell>
          <cell r="Q5155">
            <v>0.23879239999999999</v>
          </cell>
          <cell r="R5155">
            <v>0</v>
          </cell>
          <cell r="S5155">
            <v>0</v>
          </cell>
          <cell r="T5155">
            <v>0</v>
          </cell>
          <cell r="U5155">
            <v>0</v>
          </cell>
          <cell r="V5155">
            <v>0</v>
          </cell>
          <cell r="W5155">
            <v>0</v>
          </cell>
          <cell r="X5155">
            <v>0.21343400000000001</v>
          </cell>
          <cell r="Y5155">
            <v>0</v>
          </cell>
          <cell r="Z5155">
            <v>0</v>
          </cell>
          <cell r="AA5155">
            <v>0</v>
          </cell>
          <cell r="AB5155">
            <v>7.7632099999999996E-2</v>
          </cell>
        </row>
        <row r="5156">
          <cell r="A5156">
            <v>75216250</v>
          </cell>
          <cell r="B5156" t="str">
            <v>Corn, white, NS as to form, cream style</v>
          </cell>
          <cell r="I5156">
            <v>130</v>
          </cell>
          <cell r="J5156">
            <v>95.825681000000003</v>
          </cell>
          <cell r="K5156">
            <v>0.73712062307692305</v>
          </cell>
          <cell r="L5156">
            <v>0</v>
          </cell>
          <cell r="M5156">
            <v>8.4171200000000002E-2</v>
          </cell>
          <cell r="N5156">
            <v>0</v>
          </cell>
          <cell r="O5156">
            <v>5.3011999999999998E-3</v>
          </cell>
          <cell r="P5156">
            <v>1.55393</v>
          </cell>
          <cell r="Q5156">
            <v>0.25769340000000002</v>
          </cell>
          <cell r="R5156">
            <v>0</v>
          </cell>
          <cell r="S5156">
            <v>0</v>
          </cell>
          <cell r="T5156">
            <v>0</v>
          </cell>
          <cell r="U5156">
            <v>0</v>
          </cell>
          <cell r="V5156">
            <v>0</v>
          </cell>
          <cell r="W5156">
            <v>0</v>
          </cell>
          <cell r="X5156">
            <v>0.5340319</v>
          </cell>
          <cell r="Y5156">
            <v>0</v>
          </cell>
          <cell r="Z5156">
            <v>0</v>
          </cell>
          <cell r="AA5156">
            <v>0</v>
          </cell>
          <cell r="AB5156">
            <v>0</v>
          </cell>
        </row>
        <row r="5157">
          <cell r="A5157">
            <v>75216300</v>
          </cell>
          <cell r="B5157" t="str">
            <v>Corn, yellow, canned, low sodium, NS as to fat added in cooking</v>
          </cell>
          <cell r="I5157">
            <v>130</v>
          </cell>
          <cell r="J5157">
            <v>99.909227000000001</v>
          </cell>
          <cell r="K5157">
            <v>0.76853251538461542</v>
          </cell>
          <cell r="L5157">
            <v>0</v>
          </cell>
          <cell r="M5157">
            <v>1.3590959</v>
          </cell>
          <cell r="N5157">
            <v>0</v>
          </cell>
          <cell r="O5157">
            <v>5.8653000000000004E-3</v>
          </cell>
          <cell r="P5157">
            <v>2.1498425999999999</v>
          </cell>
          <cell r="Q5157">
            <v>0.73530229999999996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3.84351E-2</v>
          </cell>
          <cell r="Y5157">
            <v>0</v>
          </cell>
          <cell r="Z5157">
            <v>0</v>
          </cell>
          <cell r="AA5157">
            <v>0</v>
          </cell>
          <cell r="AB5157">
            <v>0.1214614</v>
          </cell>
        </row>
        <row r="5158">
          <cell r="A5158">
            <v>75216310</v>
          </cell>
          <cell r="B5158" t="str">
            <v>Corn, yellow, canned, low sodium, fat not added in cooking</v>
          </cell>
          <cell r="I5158">
            <v>130</v>
          </cell>
          <cell r="J5158">
            <v>79.3</v>
          </cell>
          <cell r="K5158">
            <v>0.61</v>
          </cell>
          <cell r="L5158">
            <v>0</v>
          </cell>
          <cell r="M5158">
            <v>0.10009999999999999</v>
          </cell>
          <cell r="N5158">
            <v>0</v>
          </cell>
          <cell r="O5158">
            <v>5.1999999999999998E-3</v>
          </cell>
          <cell r="P5158">
            <v>2.21</v>
          </cell>
          <cell r="Q5158">
            <v>0.30420000000000003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1.5599999999999999E-2</v>
          </cell>
          <cell r="Y5158">
            <v>0</v>
          </cell>
          <cell r="Z5158">
            <v>0</v>
          </cell>
          <cell r="AA5158">
            <v>0</v>
          </cell>
          <cell r="AB5158">
            <v>0</v>
          </cell>
        </row>
        <row r="5159">
          <cell r="A5159">
            <v>75216320</v>
          </cell>
          <cell r="B5159" t="str">
            <v>Corn, yellow, canned, low sodium, fat added in cooking</v>
          </cell>
          <cell r="I5159">
            <v>130</v>
          </cell>
          <cell r="J5159">
            <v>140.9545</v>
          </cell>
          <cell r="K5159">
            <v>1.0842653846153847</v>
          </cell>
          <cell r="L5159">
            <v>0</v>
          </cell>
          <cell r="M5159">
            <v>0.69559859999999996</v>
          </cell>
          <cell r="N5159">
            <v>0</v>
          </cell>
          <cell r="O5159">
            <v>4.5653999999999998E-3</v>
          </cell>
          <cell r="P5159">
            <v>3.0312796</v>
          </cell>
          <cell r="Q5159">
            <v>1.7403796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2.4940299999999999E-2</v>
          </cell>
          <cell r="Y5159">
            <v>0</v>
          </cell>
          <cell r="Z5159">
            <v>0</v>
          </cell>
          <cell r="AA5159">
            <v>0</v>
          </cell>
          <cell r="AB5159">
            <v>0.1214614</v>
          </cell>
        </row>
        <row r="5160">
          <cell r="A5160">
            <v>75216322</v>
          </cell>
          <cell r="B5160" t="str">
            <v>Corn, yellow, canned, low sodium, made with butter</v>
          </cell>
          <cell r="I5160">
            <v>130</v>
          </cell>
          <cell r="J5160">
            <v>102.51369</v>
          </cell>
          <cell r="K5160">
            <v>0.78856684615384609</v>
          </cell>
          <cell r="L5160">
            <v>0</v>
          </cell>
          <cell r="M5160">
            <v>1.9151203999999999</v>
          </cell>
          <cell r="N5160">
            <v>0</v>
          </cell>
          <cell r="O5160">
            <v>5.9077000000000001E-3</v>
          </cell>
          <cell r="P5160">
            <v>2.1498425999999999</v>
          </cell>
          <cell r="Q5160">
            <v>0.4036013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3.7928999999999997E-2</v>
          </cell>
          <cell r="Y5160">
            <v>0</v>
          </cell>
          <cell r="Z5160">
            <v>0</v>
          </cell>
          <cell r="AA5160">
            <v>0</v>
          </cell>
          <cell r="AB5160">
            <v>0.1159977</v>
          </cell>
        </row>
        <row r="5161">
          <cell r="A5161">
            <v>75216323</v>
          </cell>
          <cell r="B5161" t="str">
            <v>Corn, yellow, canned, low sodium, made with margarine</v>
          </cell>
          <cell r="I5161">
            <v>130</v>
          </cell>
          <cell r="J5161">
            <v>96.146801999999994</v>
          </cell>
          <cell r="K5161">
            <v>0.73959078461538452</v>
          </cell>
          <cell r="L5161">
            <v>0</v>
          </cell>
          <cell r="M5161">
            <v>0.52872980000000003</v>
          </cell>
          <cell r="N5161">
            <v>0</v>
          </cell>
          <cell r="O5161">
            <v>5.8068E-3</v>
          </cell>
          <cell r="P5161">
            <v>2.1493229999999999</v>
          </cell>
          <cell r="Q5161">
            <v>1.240875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3.9246200000000002E-2</v>
          </cell>
          <cell r="Y5161">
            <v>0</v>
          </cell>
          <cell r="Z5161">
            <v>0</v>
          </cell>
          <cell r="AA5161">
            <v>0</v>
          </cell>
          <cell r="AB5161">
            <v>0.1307769</v>
          </cell>
        </row>
        <row r="5162">
          <cell r="A5162">
            <v>75216700</v>
          </cell>
          <cell r="B5162" t="str">
            <v>Cucumber, cooked, NS as to fat added in cooking</v>
          </cell>
          <cell r="I5162">
            <v>85</v>
          </cell>
          <cell r="J5162">
            <v>29.143044</v>
          </cell>
          <cell r="K5162">
            <v>0.3428593411764706</v>
          </cell>
          <cell r="L5162">
            <v>0.40944120000000001</v>
          </cell>
          <cell r="M5162">
            <v>0.96461600000000003</v>
          </cell>
          <cell r="N5162">
            <v>0</v>
          </cell>
          <cell r="O5162">
            <v>1.38175E-2</v>
          </cell>
          <cell r="P5162">
            <v>0</v>
          </cell>
          <cell r="Q5162">
            <v>0.35157179999999999</v>
          </cell>
          <cell r="R5162">
            <v>0</v>
          </cell>
          <cell r="S5162">
            <v>0</v>
          </cell>
          <cell r="T5162">
            <v>0</v>
          </cell>
          <cell r="U5162">
            <v>81.888247000000007</v>
          </cell>
          <cell r="V5162">
            <v>0</v>
          </cell>
          <cell r="W5162">
            <v>0</v>
          </cell>
          <cell r="X5162">
            <v>0.20929130000000001</v>
          </cell>
          <cell r="Y5162">
            <v>0</v>
          </cell>
          <cell r="Z5162">
            <v>0</v>
          </cell>
          <cell r="AA5162">
            <v>0</v>
          </cell>
          <cell r="AB5162">
            <v>8.9943400000000007E-2</v>
          </cell>
        </row>
        <row r="5163">
          <cell r="A5163">
            <v>75216710</v>
          </cell>
          <cell r="B5163" t="str">
            <v>Cucumber, cooked, fat not added in cooking</v>
          </cell>
          <cell r="I5163">
            <v>85</v>
          </cell>
          <cell r="J5163">
            <v>12.673956</v>
          </cell>
          <cell r="K5163">
            <v>0.14910536470588237</v>
          </cell>
          <cell r="L5163">
            <v>0.42246519999999999</v>
          </cell>
          <cell r="M5163">
            <v>3.1262400000000003E-2</v>
          </cell>
          <cell r="N5163">
            <v>0</v>
          </cell>
          <cell r="O5163">
            <v>1.3640599999999999E-2</v>
          </cell>
          <cell r="P5163">
            <v>0</v>
          </cell>
          <cell r="Q5163">
            <v>2.7037800000000001E-2</v>
          </cell>
          <cell r="R5163">
            <v>0</v>
          </cell>
          <cell r="S5163">
            <v>0</v>
          </cell>
          <cell r="T5163">
            <v>0</v>
          </cell>
          <cell r="U5163">
            <v>84.493042000000003</v>
          </cell>
          <cell r="V5163">
            <v>0</v>
          </cell>
          <cell r="W5163">
            <v>0</v>
          </cell>
          <cell r="X5163">
            <v>0.19817670000000001</v>
          </cell>
          <cell r="Y5163">
            <v>0</v>
          </cell>
          <cell r="Z5163">
            <v>0</v>
          </cell>
          <cell r="AA5163">
            <v>0</v>
          </cell>
          <cell r="AB5163">
            <v>0</v>
          </cell>
        </row>
        <row r="5164">
          <cell r="A5164">
            <v>75216720</v>
          </cell>
          <cell r="B5164" t="str">
            <v>Cucumber, cooked, fat added in cooking</v>
          </cell>
          <cell r="I5164">
            <v>85</v>
          </cell>
          <cell r="J5164">
            <v>26.250095999999999</v>
          </cell>
          <cell r="K5164">
            <v>0.30882465882352939</v>
          </cell>
          <cell r="L5164">
            <v>0.40944120000000001</v>
          </cell>
          <cell r="M5164">
            <v>0.34700310000000001</v>
          </cell>
          <cell r="N5164">
            <v>0</v>
          </cell>
          <cell r="O5164">
            <v>1.3770299999999999E-2</v>
          </cell>
          <cell r="P5164">
            <v>0</v>
          </cell>
          <cell r="Q5164">
            <v>0.72001389999999998</v>
          </cell>
          <cell r="R5164">
            <v>0</v>
          </cell>
          <cell r="S5164">
            <v>0</v>
          </cell>
          <cell r="T5164">
            <v>0</v>
          </cell>
          <cell r="U5164">
            <v>81.888247000000007</v>
          </cell>
          <cell r="V5164">
            <v>0</v>
          </cell>
          <cell r="W5164">
            <v>0</v>
          </cell>
          <cell r="X5164">
            <v>0.20885110000000001</v>
          </cell>
          <cell r="Y5164">
            <v>0</v>
          </cell>
          <cell r="Z5164">
            <v>0</v>
          </cell>
          <cell r="AA5164">
            <v>0</v>
          </cell>
          <cell r="AB5164">
            <v>8.9943400000000007E-2</v>
          </cell>
        </row>
        <row r="5165">
          <cell r="A5165">
            <v>75216721</v>
          </cell>
          <cell r="B5165" t="str">
            <v>Cucumber, cooked, made with oil</v>
          </cell>
          <cell r="I5165">
            <v>85</v>
          </cell>
          <cell r="J5165">
            <v>35.489711</v>
          </cell>
          <cell r="K5165">
            <v>0.41752601176470588</v>
          </cell>
          <cell r="L5165">
            <v>0.40944120000000001</v>
          </cell>
          <cell r="M5165">
            <v>0.38868219999999998</v>
          </cell>
          <cell r="N5165">
            <v>0</v>
          </cell>
          <cell r="O5165">
            <v>1.32266E-2</v>
          </cell>
          <cell r="P5165">
            <v>0</v>
          </cell>
          <cell r="Q5165">
            <v>1.1055503</v>
          </cell>
          <cell r="R5165">
            <v>0</v>
          </cell>
          <cell r="S5165">
            <v>0</v>
          </cell>
          <cell r="T5165">
            <v>0</v>
          </cell>
          <cell r="U5165">
            <v>81.888247000000007</v>
          </cell>
          <cell r="V5165">
            <v>0</v>
          </cell>
          <cell r="W5165">
            <v>0</v>
          </cell>
          <cell r="X5165">
            <v>0.19208030000000001</v>
          </cell>
          <cell r="Y5165">
            <v>0</v>
          </cell>
          <cell r="Z5165">
            <v>0</v>
          </cell>
          <cell r="AA5165">
            <v>0</v>
          </cell>
          <cell r="AB5165">
            <v>1.14313E-2</v>
          </cell>
        </row>
        <row r="5166">
          <cell r="A5166">
            <v>75217000</v>
          </cell>
          <cell r="B5166" t="str">
            <v>Eggplant, cooked, NS as to fat added in cooking</v>
          </cell>
          <cell r="I5166">
            <v>85</v>
          </cell>
          <cell r="J5166">
            <v>53.497456999999997</v>
          </cell>
          <cell r="K5166">
            <v>0.6293818470588235</v>
          </cell>
          <cell r="L5166">
            <v>2.0053279000000002</v>
          </cell>
          <cell r="M5166">
            <v>1.4441489000000001</v>
          </cell>
          <cell r="N5166">
            <v>0</v>
          </cell>
          <cell r="O5166">
            <v>5.9141999999999997E-3</v>
          </cell>
          <cell r="P5166">
            <v>0</v>
          </cell>
          <cell r="Q5166">
            <v>0.56521920000000003</v>
          </cell>
          <cell r="R5166">
            <v>0</v>
          </cell>
          <cell r="S5166">
            <v>0</v>
          </cell>
          <cell r="T5166">
            <v>0</v>
          </cell>
          <cell r="U5166">
            <v>80.213115000000002</v>
          </cell>
          <cell r="V5166">
            <v>0</v>
          </cell>
          <cell r="W5166">
            <v>0</v>
          </cell>
          <cell r="X5166">
            <v>0.35061799999999999</v>
          </cell>
          <cell r="Y5166">
            <v>0</v>
          </cell>
          <cell r="Z5166">
            <v>0</v>
          </cell>
          <cell r="AA5166">
            <v>0</v>
          </cell>
          <cell r="AB5166">
            <v>0.13562550000000001</v>
          </cell>
        </row>
        <row r="5167">
          <cell r="A5167">
            <v>75217010</v>
          </cell>
          <cell r="B5167" t="str">
            <v>Eggplant, cooked, fat not added in cooking</v>
          </cell>
          <cell r="I5167">
            <v>85</v>
          </cell>
          <cell r="J5167">
            <v>29.443299</v>
          </cell>
          <cell r="K5167">
            <v>0.34639175294117647</v>
          </cell>
          <cell r="L5167">
            <v>2.1030928000000002</v>
          </cell>
          <cell r="M5167">
            <v>3.7014400000000003E-2</v>
          </cell>
          <cell r="N5167">
            <v>0</v>
          </cell>
          <cell r="O5167">
            <v>5.2576999999999997E-3</v>
          </cell>
          <cell r="P5167">
            <v>0</v>
          </cell>
          <cell r="Q5167">
            <v>7.8235100000000002E-2</v>
          </cell>
          <cell r="R5167">
            <v>0</v>
          </cell>
          <cell r="S5167">
            <v>0</v>
          </cell>
          <cell r="T5167">
            <v>0</v>
          </cell>
          <cell r="U5167">
            <v>84.123711</v>
          </cell>
          <cell r="V5167">
            <v>0</v>
          </cell>
          <cell r="W5167">
            <v>0</v>
          </cell>
          <cell r="X5167">
            <v>0.34047319999999998</v>
          </cell>
          <cell r="Y5167">
            <v>0</v>
          </cell>
          <cell r="Z5167">
            <v>0</v>
          </cell>
          <cell r="AA5167">
            <v>0</v>
          </cell>
          <cell r="AB5167">
            <v>0</v>
          </cell>
        </row>
        <row r="5168">
          <cell r="A5168">
            <v>75217020</v>
          </cell>
          <cell r="B5168" t="str">
            <v>Eggplant, cooked, fat added in cooking, NS as to type of fat</v>
          </cell>
          <cell r="I5168">
            <v>85</v>
          </cell>
          <cell r="J5168">
            <v>53.497456999999997</v>
          </cell>
          <cell r="K5168">
            <v>0.6293818470588235</v>
          </cell>
          <cell r="L5168">
            <v>2.0053279000000002</v>
          </cell>
          <cell r="M5168">
            <v>1.4441489000000001</v>
          </cell>
          <cell r="N5168">
            <v>0</v>
          </cell>
          <cell r="O5168">
            <v>5.9141999999999997E-3</v>
          </cell>
          <cell r="P5168">
            <v>0</v>
          </cell>
          <cell r="Q5168">
            <v>0.56521920000000003</v>
          </cell>
          <cell r="R5168">
            <v>0</v>
          </cell>
          <cell r="S5168">
            <v>0</v>
          </cell>
          <cell r="T5168">
            <v>0</v>
          </cell>
          <cell r="U5168">
            <v>80.213115000000002</v>
          </cell>
          <cell r="V5168">
            <v>0</v>
          </cell>
          <cell r="W5168">
            <v>0</v>
          </cell>
          <cell r="X5168">
            <v>0.35061799999999999</v>
          </cell>
          <cell r="Y5168">
            <v>0</v>
          </cell>
          <cell r="Z5168">
            <v>0</v>
          </cell>
          <cell r="AA5168">
            <v>0</v>
          </cell>
          <cell r="AB5168">
            <v>0.13562550000000001</v>
          </cell>
        </row>
        <row r="5169">
          <cell r="A5169">
            <v>75217021</v>
          </cell>
          <cell r="B5169" t="str">
            <v>Eggplant, cooked, made with oil</v>
          </cell>
          <cell r="I5169">
            <v>85</v>
          </cell>
          <cell r="J5169">
            <v>61.797443000000001</v>
          </cell>
          <cell r="K5169">
            <v>0.72702874117647065</v>
          </cell>
          <cell r="L5169">
            <v>2.0090208999999999</v>
          </cell>
          <cell r="M5169">
            <v>0.55535109999999999</v>
          </cell>
          <cell r="N5169">
            <v>0</v>
          </cell>
          <cell r="O5169">
            <v>5.0321000000000003E-3</v>
          </cell>
          <cell r="P5169">
            <v>0</v>
          </cell>
          <cell r="Q5169">
            <v>1.6407995</v>
          </cell>
          <cell r="R5169">
            <v>0</v>
          </cell>
          <cell r="S5169">
            <v>0</v>
          </cell>
          <cell r="T5169">
            <v>0</v>
          </cell>
          <cell r="U5169">
            <v>80.360836000000006</v>
          </cell>
          <cell r="V5169">
            <v>0</v>
          </cell>
          <cell r="W5169">
            <v>0</v>
          </cell>
          <cell r="X5169">
            <v>0.32526280000000002</v>
          </cell>
          <cell r="Y5169">
            <v>0</v>
          </cell>
          <cell r="Z5169">
            <v>0</v>
          </cell>
          <cell r="AA5169">
            <v>0</v>
          </cell>
          <cell r="AB5169">
            <v>1.5693700000000001E-2</v>
          </cell>
        </row>
        <row r="5170">
          <cell r="A5170">
            <v>75217022</v>
          </cell>
          <cell r="B5170" t="str">
            <v>Eggplant, cooked, made with butter</v>
          </cell>
          <cell r="I5170">
            <v>85</v>
          </cell>
          <cell r="J5170">
            <v>56.405636999999999</v>
          </cell>
          <cell r="K5170">
            <v>0.6635957294117647</v>
          </cell>
          <cell r="L5170">
            <v>2.0053279000000002</v>
          </cell>
          <cell r="M5170">
            <v>2.0650137000000002</v>
          </cell>
          <cell r="N5170">
            <v>0</v>
          </cell>
          <cell r="O5170">
            <v>5.9616000000000001E-3</v>
          </cell>
          <cell r="P5170">
            <v>0</v>
          </cell>
          <cell r="Q5170">
            <v>0.19483719999999999</v>
          </cell>
          <cell r="R5170">
            <v>0</v>
          </cell>
          <cell r="S5170">
            <v>0</v>
          </cell>
          <cell r="T5170">
            <v>0</v>
          </cell>
          <cell r="U5170">
            <v>80.213115000000002</v>
          </cell>
          <cell r="V5170">
            <v>0</v>
          </cell>
          <cell r="W5170">
            <v>0</v>
          </cell>
          <cell r="X5170">
            <v>0.3500529</v>
          </cell>
          <cell r="Y5170">
            <v>0</v>
          </cell>
          <cell r="Z5170">
            <v>0</v>
          </cell>
          <cell r="AA5170">
            <v>0</v>
          </cell>
          <cell r="AB5170">
            <v>0.12952459999999999</v>
          </cell>
        </row>
        <row r="5171">
          <cell r="A5171">
            <v>75217301</v>
          </cell>
          <cell r="B5171" t="str">
            <v>Flowers or blossoms of sesbania, squash, or lily, fat added in cooking</v>
          </cell>
          <cell r="I5171">
            <v>85</v>
          </cell>
          <cell r="J5171">
            <v>30.736231</v>
          </cell>
          <cell r="K5171">
            <v>0.36160271764705881</v>
          </cell>
          <cell r="L5171">
            <v>0.73363440000000002</v>
          </cell>
          <cell r="M5171">
            <v>1.0591311000000001</v>
          </cell>
          <cell r="N5171">
            <v>0</v>
          </cell>
          <cell r="O5171">
            <v>3.0962400000000001E-2</v>
          </cell>
          <cell r="P5171">
            <v>0</v>
          </cell>
          <cell r="Q5171">
            <v>0.36045480000000002</v>
          </cell>
          <cell r="R5171">
            <v>0</v>
          </cell>
          <cell r="S5171">
            <v>0</v>
          </cell>
          <cell r="T5171">
            <v>0</v>
          </cell>
          <cell r="U5171">
            <v>81.514932000000002</v>
          </cell>
          <cell r="V5171">
            <v>0</v>
          </cell>
          <cell r="W5171">
            <v>0</v>
          </cell>
          <cell r="X5171">
            <v>0.25957259999999999</v>
          </cell>
          <cell r="Y5171">
            <v>0</v>
          </cell>
          <cell r="Z5171">
            <v>0</v>
          </cell>
          <cell r="AA5171">
            <v>0</v>
          </cell>
          <cell r="AB5171">
            <v>9.8741499999999996E-2</v>
          </cell>
        </row>
        <row r="5172">
          <cell r="A5172">
            <v>75217400</v>
          </cell>
          <cell r="B5172" t="str">
            <v>Garlic, cooked</v>
          </cell>
          <cell r="I5172">
            <v>4</v>
          </cell>
          <cell r="J5172">
            <v>5.9244532999999997</v>
          </cell>
          <cell r="K5172">
            <v>1.4811133249999999</v>
          </cell>
          <cell r="L5172">
            <v>8.3499000000000004E-2</v>
          </cell>
          <cell r="M5172">
            <v>3.5387999999999999E-3</v>
          </cell>
          <cell r="N5172">
            <v>0</v>
          </cell>
          <cell r="O5172">
            <v>7.2024999999999997E-3</v>
          </cell>
          <cell r="P5172">
            <v>0</v>
          </cell>
          <cell r="Q5172">
            <v>9.9006000000000007E-3</v>
          </cell>
          <cell r="R5172">
            <v>0</v>
          </cell>
          <cell r="S5172">
            <v>0</v>
          </cell>
          <cell r="T5172">
            <v>0</v>
          </cell>
          <cell r="U5172">
            <v>3.9761430999999998</v>
          </cell>
          <cell r="V5172">
            <v>0</v>
          </cell>
          <cell r="W5172">
            <v>0</v>
          </cell>
          <cell r="X5172">
            <v>9.9223999999999996E-3</v>
          </cell>
          <cell r="Y5172">
            <v>0</v>
          </cell>
          <cell r="Z5172">
            <v>0</v>
          </cell>
          <cell r="AA5172">
            <v>0</v>
          </cell>
          <cell r="AB5172">
            <v>0</v>
          </cell>
        </row>
        <row r="5173">
          <cell r="A5173">
            <v>75217490</v>
          </cell>
          <cell r="B5173" t="str">
            <v>Hominy, cooked, NS as to fat added in cooking</v>
          </cell>
          <cell r="I5173">
            <v>85</v>
          </cell>
          <cell r="J5173">
            <v>74.294600000000003</v>
          </cell>
          <cell r="K5173">
            <v>0.87405411764705887</v>
          </cell>
          <cell r="L5173">
            <v>3.7750000000000002E-16</v>
          </cell>
          <cell r="M5173">
            <v>0.94050909999999999</v>
          </cell>
          <cell r="N5173">
            <v>0</v>
          </cell>
          <cell r="O5173">
            <v>8.8710999999999998E-3</v>
          </cell>
          <cell r="P5173">
            <v>2.0536932999999999</v>
          </cell>
          <cell r="Q5173">
            <v>0.6201063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0.4918477</v>
          </cell>
          <cell r="Y5173">
            <v>0</v>
          </cell>
          <cell r="Z5173">
            <v>0</v>
          </cell>
          <cell r="AA5173">
            <v>0</v>
          </cell>
          <cell r="AB5173">
            <v>8.9609999999999995E-2</v>
          </cell>
        </row>
        <row r="5174">
          <cell r="A5174">
            <v>75217500</v>
          </cell>
          <cell r="B5174" t="str">
            <v>Hominy, cooked, fat not added in cooking</v>
          </cell>
          <cell r="I5174">
            <v>85</v>
          </cell>
          <cell r="J5174">
            <v>60.831325</v>
          </cell>
          <cell r="K5174">
            <v>0.71566264705882354</v>
          </cell>
          <cell r="L5174">
            <v>0</v>
          </cell>
          <cell r="M5174">
            <v>0.1039202</v>
          </cell>
          <cell r="N5174">
            <v>0</v>
          </cell>
          <cell r="O5174">
            <v>8.5716999999999998E-3</v>
          </cell>
          <cell r="P5174">
            <v>2.1121987999999998</v>
          </cell>
          <cell r="Q5174">
            <v>0.33710689999999999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0.48994310000000002</v>
          </cell>
          <cell r="Y5174">
            <v>0</v>
          </cell>
          <cell r="Z5174">
            <v>0</v>
          </cell>
          <cell r="AA5174">
            <v>0</v>
          </cell>
          <cell r="AB5174">
            <v>2.2191300000000001E-2</v>
          </cell>
        </row>
        <row r="5175">
          <cell r="A5175">
            <v>75218010</v>
          </cell>
          <cell r="B5175" t="str">
            <v>Kohlrabi, cooked, fat not added in cooking</v>
          </cell>
          <cell r="I5175">
            <v>85</v>
          </cell>
          <cell r="J5175">
            <v>24.501505999999999</v>
          </cell>
          <cell r="K5175">
            <v>0.28825301176470586</v>
          </cell>
          <cell r="L5175">
            <v>0.92936750000000001</v>
          </cell>
          <cell r="M5175">
            <v>1.18283E-2</v>
          </cell>
          <cell r="N5175">
            <v>0</v>
          </cell>
          <cell r="O5175">
            <v>2.1244900000000001E-2</v>
          </cell>
          <cell r="P5175">
            <v>0</v>
          </cell>
          <cell r="Q5175">
            <v>4.4778600000000002E-2</v>
          </cell>
          <cell r="R5175">
            <v>0</v>
          </cell>
          <cell r="S5175">
            <v>0</v>
          </cell>
          <cell r="T5175">
            <v>0</v>
          </cell>
          <cell r="U5175">
            <v>84.487952000000007</v>
          </cell>
          <cell r="V5175">
            <v>0</v>
          </cell>
          <cell r="W5175">
            <v>0</v>
          </cell>
          <cell r="X5175">
            <v>0.21620210000000001</v>
          </cell>
          <cell r="Y5175">
            <v>0</v>
          </cell>
          <cell r="Z5175">
            <v>0</v>
          </cell>
          <cell r="AA5175">
            <v>0</v>
          </cell>
          <cell r="AB5175">
            <v>0</v>
          </cell>
        </row>
        <row r="5176">
          <cell r="A5176">
            <v>75218011</v>
          </cell>
          <cell r="B5176" t="str">
            <v>Kohlrabi, cooked, fat added in cooking</v>
          </cell>
          <cell r="I5176">
            <v>85</v>
          </cell>
          <cell r="J5176">
            <v>38.971075999999996</v>
          </cell>
          <cell r="K5176">
            <v>0.45848324705882348</v>
          </cell>
          <cell r="L5176">
            <v>0.90362500000000001</v>
          </cell>
          <cell r="M5176">
            <v>0.85096810000000001</v>
          </cell>
          <cell r="N5176">
            <v>0</v>
          </cell>
          <cell r="O5176">
            <v>2.1193199999999999E-2</v>
          </cell>
          <cell r="P5176">
            <v>0</v>
          </cell>
          <cell r="Q5176">
            <v>0.33587519999999998</v>
          </cell>
          <cell r="R5176">
            <v>0</v>
          </cell>
          <cell r="S5176">
            <v>0</v>
          </cell>
          <cell r="T5176">
            <v>0</v>
          </cell>
          <cell r="U5176">
            <v>82.147730999999993</v>
          </cell>
          <cell r="V5176">
            <v>0</v>
          </cell>
          <cell r="W5176">
            <v>0</v>
          </cell>
          <cell r="X5176">
            <v>0.2256891</v>
          </cell>
          <cell r="Y5176">
            <v>0</v>
          </cell>
          <cell r="Z5176">
            <v>0</v>
          </cell>
          <cell r="AA5176">
            <v>0</v>
          </cell>
          <cell r="AB5176">
            <v>8.0812599999999998E-2</v>
          </cell>
        </row>
        <row r="5177">
          <cell r="A5177">
            <v>75218400</v>
          </cell>
          <cell r="B5177" t="str">
            <v>Leek, cooked, NS as to fat added in cooking</v>
          </cell>
          <cell r="I5177">
            <v>85</v>
          </cell>
          <cell r="J5177">
            <v>66.811638000000002</v>
          </cell>
          <cell r="K5177">
            <v>0.78601927058823529</v>
          </cell>
          <cell r="L5177">
            <v>1.4739884000000001</v>
          </cell>
          <cell r="M5177">
            <v>0.96707270000000001</v>
          </cell>
          <cell r="N5177">
            <v>0</v>
          </cell>
          <cell r="O5177">
            <v>4.9029400000000001E-2</v>
          </cell>
          <cell r="P5177">
            <v>0</v>
          </cell>
          <cell r="Q5177">
            <v>0.46130199999999999</v>
          </cell>
          <cell r="R5177">
            <v>0</v>
          </cell>
          <cell r="S5177">
            <v>0</v>
          </cell>
          <cell r="T5177">
            <v>0</v>
          </cell>
          <cell r="U5177">
            <v>81.888247000000007</v>
          </cell>
          <cell r="V5177">
            <v>0</v>
          </cell>
          <cell r="W5177">
            <v>0</v>
          </cell>
          <cell r="X5177">
            <v>0.22403120000000001</v>
          </cell>
          <cell r="Y5177">
            <v>0</v>
          </cell>
          <cell r="Z5177">
            <v>0</v>
          </cell>
          <cell r="AA5177">
            <v>0</v>
          </cell>
          <cell r="AB5177">
            <v>8.9943400000000007E-2</v>
          </cell>
        </row>
        <row r="5178">
          <cell r="A5178">
            <v>75218499</v>
          </cell>
          <cell r="B5178" t="str">
            <v>Lotus root, cooked, NS as to fat added in cooking</v>
          </cell>
          <cell r="I5178">
            <v>85</v>
          </cell>
          <cell r="J5178">
            <v>80.857687999999996</v>
          </cell>
          <cell r="K5178">
            <v>0.95126691764705873</v>
          </cell>
          <cell r="L5178">
            <v>0</v>
          </cell>
          <cell r="M5178">
            <v>0.4376468</v>
          </cell>
          <cell r="N5178">
            <v>0</v>
          </cell>
          <cell r="O5178">
            <v>2.12946E-2</v>
          </cell>
          <cell r="P5178">
            <v>2.5186790000000001</v>
          </cell>
          <cell r="Q5178">
            <v>1.2780525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0.29899340000000002</v>
          </cell>
          <cell r="Y5178">
            <v>0</v>
          </cell>
          <cell r="Z5178">
            <v>0</v>
          </cell>
          <cell r="AA5178">
            <v>0</v>
          </cell>
          <cell r="AB5178">
            <v>1.08971E-2</v>
          </cell>
        </row>
        <row r="5179">
          <cell r="A5179">
            <v>75218500</v>
          </cell>
          <cell r="B5179" t="str">
            <v>Lotus root, cooked, fat not added in cooking</v>
          </cell>
          <cell r="I5179">
            <v>85</v>
          </cell>
          <cell r="J5179">
            <v>55.636364</v>
          </cell>
          <cell r="K5179">
            <v>0.65454545882352944</v>
          </cell>
          <cell r="L5179">
            <v>3.7750000000000002E-16</v>
          </cell>
          <cell r="M5179">
            <v>1.7702499999999999E-2</v>
          </cell>
          <cell r="N5179">
            <v>0</v>
          </cell>
          <cell r="O5179">
            <v>2.2086000000000001E-2</v>
          </cell>
          <cell r="P5179">
            <v>2.6132230999999999</v>
          </cell>
          <cell r="Q5179">
            <v>1.18017E-2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0.3102008</v>
          </cell>
          <cell r="Y5179">
            <v>0</v>
          </cell>
          <cell r="Z5179">
            <v>0</v>
          </cell>
          <cell r="AA5179">
            <v>0</v>
          </cell>
          <cell r="AB5179">
            <v>0</v>
          </cell>
        </row>
        <row r="5180">
          <cell r="A5180">
            <v>75218501</v>
          </cell>
          <cell r="B5180" t="str">
            <v>Lotus root, cooked, fat added in cooking</v>
          </cell>
          <cell r="I5180">
            <v>85</v>
          </cell>
          <cell r="J5180">
            <v>103.52195</v>
          </cell>
          <cell r="K5180">
            <v>1.2179052941176471</v>
          </cell>
          <cell r="L5180">
            <v>0</v>
          </cell>
          <cell r="M5180">
            <v>0.82194710000000004</v>
          </cell>
          <cell r="N5180">
            <v>0</v>
          </cell>
          <cell r="O5180">
            <v>2.0557300000000001E-2</v>
          </cell>
          <cell r="P5180">
            <v>2.4121937</v>
          </cell>
          <cell r="Q5180">
            <v>2.4371436000000002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0.53768930000000004</v>
          </cell>
          <cell r="Y5180">
            <v>0</v>
          </cell>
          <cell r="Z5180">
            <v>0</v>
          </cell>
          <cell r="AA5180">
            <v>0</v>
          </cell>
          <cell r="AB5180">
            <v>2.0872700000000001E-2</v>
          </cell>
        </row>
        <row r="5181">
          <cell r="A5181">
            <v>75219000</v>
          </cell>
          <cell r="B5181" t="str">
            <v>Mushrooms, cooked, NS as to form, NS as to fat added in cooking</v>
          </cell>
          <cell r="I5181">
            <v>85</v>
          </cell>
          <cell r="J5181">
            <v>38.948134000000003</v>
          </cell>
          <cell r="K5181">
            <v>0.45821334117647061</v>
          </cell>
          <cell r="L5181">
            <v>1.8037581</v>
          </cell>
          <cell r="M5181">
            <v>0.93619589999999997</v>
          </cell>
          <cell r="N5181">
            <v>0</v>
          </cell>
          <cell r="O5181">
            <v>5.6122000000000003E-3</v>
          </cell>
          <cell r="P5181">
            <v>0</v>
          </cell>
          <cell r="Q5181">
            <v>0.45864490000000002</v>
          </cell>
          <cell r="R5181">
            <v>0</v>
          </cell>
          <cell r="S5181">
            <v>0</v>
          </cell>
          <cell r="T5181">
            <v>0</v>
          </cell>
          <cell r="U5181">
            <v>81.989006000000003</v>
          </cell>
          <cell r="V5181">
            <v>0</v>
          </cell>
          <cell r="W5181">
            <v>0</v>
          </cell>
          <cell r="X5181">
            <v>0.22167709999999999</v>
          </cell>
          <cell r="Y5181">
            <v>0</v>
          </cell>
          <cell r="Z5181">
            <v>0</v>
          </cell>
          <cell r="AA5181">
            <v>0</v>
          </cell>
          <cell r="AB5181">
            <v>8.5309700000000002E-2</v>
          </cell>
        </row>
        <row r="5182">
          <cell r="A5182">
            <v>75219001</v>
          </cell>
          <cell r="B5182" t="str">
            <v>Mushrooms, cooked, from fresh, NS as to fat added in cooking</v>
          </cell>
          <cell r="I5182">
            <v>85</v>
          </cell>
          <cell r="J5182">
            <v>38.948134000000003</v>
          </cell>
          <cell r="K5182">
            <v>0.45821334117647061</v>
          </cell>
          <cell r="L5182">
            <v>1.8037581</v>
          </cell>
          <cell r="M5182">
            <v>0.93619589999999997</v>
          </cell>
          <cell r="N5182">
            <v>0</v>
          </cell>
          <cell r="O5182">
            <v>5.6122000000000003E-3</v>
          </cell>
          <cell r="P5182">
            <v>0</v>
          </cell>
          <cell r="Q5182">
            <v>0.45864490000000002</v>
          </cell>
          <cell r="R5182">
            <v>0</v>
          </cell>
          <cell r="S5182">
            <v>0</v>
          </cell>
          <cell r="T5182">
            <v>0</v>
          </cell>
          <cell r="U5182">
            <v>81.989006000000003</v>
          </cell>
          <cell r="V5182">
            <v>0</v>
          </cell>
          <cell r="W5182">
            <v>0</v>
          </cell>
          <cell r="X5182">
            <v>0.22167709999999999</v>
          </cell>
          <cell r="Y5182">
            <v>0</v>
          </cell>
          <cell r="Z5182">
            <v>0</v>
          </cell>
          <cell r="AA5182">
            <v>0</v>
          </cell>
          <cell r="AB5182">
            <v>8.5309700000000002E-2</v>
          </cell>
        </row>
        <row r="5183">
          <cell r="A5183">
            <v>75219002</v>
          </cell>
          <cell r="B5183" t="str">
            <v>Mushrooms, cooked, from frozen, NS as to fat added in cooking</v>
          </cell>
          <cell r="I5183">
            <v>85</v>
          </cell>
          <cell r="J5183">
            <v>38.948134000000003</v>
          </cell>
          <cell r="K5183">
            <v>0.45821334117647061</v>
          </cell>
          <cell r="L5183">
            <v>1.8037581</v>
          </cell>
          <cell r="M5183">
            <v>0.93619589999999997</v>
          </cell>
          <cell r="N5183">
            <v>0</v>
          </cell>
          <cell r="O5183">
            <v>5.6122000000000003E-3</v>
          </cell>
          <cell r="P5183">
            <v>0</v>
          </cell>
          <cell r="Q5183">
            <v>0.45864490000000002</v>
          </cell>
          <cell r="R5183">
            <v>0</v>
          </cell>
          <cell r="S5183">
            <v>0</v>
          </cell>
          <cell r="T5183">
            <v>0</v>
          </cell>
          <cell r="U5183">
            <v>81.989006000000003</v>
          </cell>
          <cell r="V5183">
            <v>0</v>
          </cell>
          <cell r="W5183">
            <v>0</v>
          </cell>
          <cell r="X5183">
            <v>0.22167709999999999</v>
          </cell>
          <cell r="Y5183">
            <v>0</v>
          </cell>
          <cell r="Z5183">
            <v>0</v>
          </cell>
          <cell r="AA5183">
            <v>0</v>
          </cell>
          <cell r="AB5183">
            <v>8.5309700000000002E-2</v>
          </cell>
        </row>
        <row r="5184">
          <cell r="A5184">
            <v>75219010</v>
          </cell>
          <cell r="B5184" t="str">
            <v>Mushrooms, cooked, NS as to form, fat not added in cooking</v>
          </cell>
          <cell r="I5184">
            <v>85</v>
          </cell>
          <cell r="J5184">
            <v>23.648408</v>
          </cell>
          <cell r="K5184">
            <v>0.27821656470588235</v>
          </cell>
          <cell r="L5184">
            <v>1.8580892</v>
          </cell>
          <cell r="M5184">
            <v>5.1519700000000002E-2</v>
          </cell>
          <cell r="N5184">
            <v>0</v>
          </cell>
          <cell r="O5184">
            <v>5.1974999999999999E-3</v>
          </cell>
          <cell r="P5184">
            <v>0</v>
          </cell>
          <cell r="Q5184">
            <v>0.15455920000000001</v>
          </cell>
          <cell r="R5184">
            <v>0</v>
          </cell>
          <cell r="S5184">
            <v>0</v>
          </cell>
          <cell r="T5184">
            <v>0</v>
          </cell>
          <cell r="U5184">
            <v>84.458599000000007</v>
          </cell>
          <cell r="V5184">
            <v>0</v>
          </cell>
          <cell r="W5184">
            <v>0</v>
          </cell>
          <cell r="X5184">
            <v>0.21152550000000001</v>
          </cell>
          <cell r="Y5184">
            <v>0</v>
          </cell>
          <cell r="Z5184">
            <v>0</v>
          </cell>
          <cell r="AA5184">
            <v>0</v>
          </cell>
          <cell r="AB5184">
            <v>0</v>
          </cell>
        </row>
        <row r="5185">
          <cell r="A5185">
            <v>75219011</v>
          </cell>
          <cell r="B5185" t="str">
            <v>Mushrooms, cooked, from fresh, fat not added in cooking</v>
          </cell>
          <cell r="I5185">
            <v>85</v>
          </cell>
          <cell r="J5185">
            <v>23.648408</v>
          </cell>
          <cell r="K5185">
            <v>0.27821656470588235</v>
          </cell>
          <cell r="L5185">
            <v>1.8580892</v>
          </cell>
          <cell r="M5185">
            <v>5.1519700000000002E-2</v>
          </cell>
          <cell r="N5185">
            <v>0</v>
          </cell>
          <cell r="O5185">
            <v>5.1974999999999999E-3</v>
          </cell>
          <cell r="P5185">
            <v>0</v>
          </cell>
          <cell r="Q5185">
            <v>0.15455920000000001</v>
          </cell>
          <cell r="R5185">
            <v>0</v>
          </cell>
          <cell r="S5185">
            <v>0</v>
          </cell>
          <cell r="T5185">
            <v>0</v>
          </cell>
          <cell r="U5185">
            <v>84.458599000000007</v>
          </cell>
          <cell r="V5185">
            <v>0</v>
          </cell>
          <cell r="W5185">
            <v>0</v>
          </cell>
          <cell r="X5185">
            <v>0.21152550000000001</v>
          </cell>
          <cell r="Y5185">
            <v>0</v>
          </cell>
          <cell r="Z5185">
            <v>0</v>
          </cell>
          <cell r="AA5185">
            <v>0</v>
          </cell>
          <cell r="AB5185">
            <v>0</v>
          </cell>
        </row>
        <row r="5186">
          <cell r="A5186">
            <v>75219020</v>
          </cell>
          <cell r="B5186" t="str">
            <v>Mushrooms, cooked, NS as to form, fat added in cooking, NS asa to type of fat</v>
          </cell>
          <cell r="I5186">
            <v>85</v>
          </cell>
          <cell r="J5186">
            <v>38.948134000000003</v>
          </cell>
          <cell r="K5186">
            <v>0.45821334117647061</v>
          </cell>
          <cell r="L5186">
            <v>1.8037581</v>
          </cell>
          <cell r="M5186">
            <v>0.93619589999999997</v>
          </cell>
          <cell r="N5186">
            <v>0</v>
          </cell>
          <cell r="O5186">
            <v>5.6122000000000003E-3</v>
          </cell>
          <cell r="P5186">
            <v>0</v>
          </cell>
          <cell r="Q5186">
            <v>0.45864490000000002</v>
          </cell>
          <cell r="R5186">
            <v>0</v>
          </cell>
          <cell r="S5186">
            <v>0</v>
          </cell>
          <cell r="T5186">
            <v>0</v>
          </cell>
          <cell r="U5186">
            <v>81.989006000000003</v>
          </cell>
          <cell r="V5186">
            <v>0</v>
          </cell>
          <cell r="W5186">
            <v>0</v>
          </cell>
          <cell r="X5186">
            <v>0.22167709999999999</v>
          </cell>
          <cell r="Y5186">
            <v>0</v>
          </cell>
          <cell r="Z5186">
            <v>0</v>
          </cell>
          <cell r="AA5186">
            <v>0</v>
          </cell>
          <cell r="AB5186">
            <v>8.5309700000000002E-2</v>
          </cell>
        </row>
        <row r="5187">
          <cell r="A5187">
            <v>75219021</v>
          </cell>
          <cell r="B5187" t="str">
            <v>Mushrooms, cooked, from fresh, fat added in cooking, NS as to type of fat</v>
          </cell>
          <cell r="I5187">
            <v>85</v>
          </cell>
          <cell r="J5187">
            <v>38.948134000000003</v>
          </cell>
          <cell r="K5187">
            <v>0.45821334117647061</v>
          </cell>
          <cell r="L5187">
            <v>1.8037581</v>
          </cell>
          <cell r="M5187">
            <v>0.93619589999999997</v>
          </cell>
          <cell r="N5187">
            <v>0</v>
          </cell>
          <cell r="O5187">
            <v>5.6122000000000003E-3</v>
          </cell>
          <cell r="P5187">
            <v>0</v>
          </cell>
          <cell r="Q5187">
            <v>0.45864490000000002</v>
          </cell>
          <cell r="R5187">
            <v>0</v>
          </cell>
          <cell r="S5187">
            <v>0</v>
          </cell>
          <cell r="T5187">
            <v>0</v>
          </cell>
          <cell r="U5187">
            <v>81.989006000000003</v>
          </cell>
          <cell r="V5187">
            <v>0</v>
          </cell>
          <cell r="W5187">
            <v>0</v>
          </cell>
          <cell r="X5187">
            <v>0.22167709999999999</v>
          </cell>
          <cell r="Y5187">
            <v>0</v>
          </cell>
          <cell r="Z5187">
            <v>0</v>
          </cell>
          <cell r="AA5187">
            <v>0</v>
          </cell>
          <cell r="AB5187">
            <v>8.5309700000000002E-2</v>
          </cell>
        </row>
        <row r="5188">
          <cell r="A5188">
            <v>75219022</v>
          </cell>
          <cell r="B5188" t="str">
            <v>Mushrooms, cooked, from frozen, fat added in cooking</v>
          </cell>
          <cell r="I5188">
            <v>85</v>
          </cell>
          <cell r="J5188">
            <v>36.396141999999998</v>
          </cell>
          <cell r="K5188">
            <v>0.42818990588235289</v>
          </cell>
          <cell r="L5188">
            <v>1.8034125000000001</v>
          </cell>
          <cell r="M5188">
            <v>0.35484349999999998</v>
          </cell>
          <cell r="N5188">
            <v>0</v>
          </cell>
          <cell r="O5188">
            <v>5.5690999999999996E-3</v>
          </cell>
          <cell r="P5188">
            <v>0</v>
          </cell>
          <cell r="Q5188">
            <v>0.81782860000000002</v>
          </cell>
          <cell r="R5188">
            <v>0</v>
          </cell>
          <cell r="S5188">
            <v>0</v>
          </cell>
          <cell r="T5188">
            <v>0</v>
          </cell>
          <cell r="U5188">
            <v>81.973293999999996</v>
          </cell>
          <cell r="V5188">
            <v>0</v>
          </cell>
          <cell r="W5188">
            <v>0</v>
          </cell>
          <cell r="X5188">
            <v>0.21330959999999999</v>
          </cell>
          <cell r="Y5188">
            <v>0</v>
          </cell>
          <cell r="Z5188">
            <v>0</v>
          </cell>
          <cell r="AA5188">
            <v>0</v>
          </cell>
          <cell r="AB5188">
            <v>8.5309700000000002E-2</v>
          </cell>
        </row>
        <row r="5189">
          <cell r="A5189">
            <v>75219030</v>
          </cell>
          <cell r="B5189" t="str">
            <v>Mushrooms, cooked, NS as to form, made with oil</v>
          </cell>
          <cell r="I5189">
            <v>85</v>
          </cell>
          <cell r="J5189">
            <v>44.148493000000002</v>
          </cell>
          <cell r="K5189">
            <v>0.51939403529411765</v>
          </cell>
          <cell r="L5189">
            <v>1.8058462</v>
          </cell>
          <cell r="M5189">
            <v>0.37692769999999998</v>
          </cell>
          <cell r="N5189">
            <v>0</v>
          </cell>
          <cell r="O5189">
            <v>5.0572999999999998E-3</v>
          </cell>
          <cell r="P5189">
            <v>0</v>
          </cell>
          <cell r="Q5189">
            <v>1.1346094</v>
          </cell>
          <cell r="R5189">
            <v>0</v>
          </cell>
          <cell r="S5189">
            <v>0</v>
          </cell>
          <cell r="T5189">
            <v>0</v>
          </cell>
          <cell r="U5189">
            <v>82.083916000000002</v>
          </cell>
          <cell r="V5189">
            <v>0</v>
          </cell>
          <cell r="W5189">
            <v>0</v>
          </cell>
          <cell r="X5189">
            <v>0.2055901</v>
          </cell>
          <cell r="Y5189">
            <v>0</v>
          </cell>
          <cell r="Z5189">
            <v>0</v>
          </cell>
          <cell r="AA5189">
            <v>0</v>
          </cell>
          <cell r="AB5189">
            <v>3.6479999999999999E-2</v>
          </cell>
        </row>
        <row r="5190">
          <cell r="A5190">
            <v>75219031</v>
          </cell>
          <cell r="B5190" t="str">
            <v>Mushrooms, cooked, NS as to form, made with butter</v>
          </cell>
          <cell r="I5190">
            <v>85</v>
          </cell>
          <cell r="J5190">
            <v>40.777405999999999</v>
          </cell>
          <cell r="K5190">
            <v>0.47973418823529412</v>
          </cell>
          <cell r="L5190">
            <v>1.8037581</v>
          </cell>
          <cell r="M5190">
            <v>1.3267255</v>
          </cell>
          <cell r="N5190">
            <v>0</v>
          </cell>
          <cell r="O5190">
            <v>5.6420000000000003E-3</v>
          </cell>
          <cell r="P5190">
            <v>0</v>
          </cell>
          <cell r="Q5190">
            <v>0.22567129999999999</v>
          </cell>
          <cell r="R5190">
            <v>0</v>
          </cell>
          <cell r="S5190">
            <v>0</v>
          </cell>
          <cell r="T5190">
            <v>0</v>
          </cell>
          <cell r="U5190">
            <v>81.989006000000003</v>
          </cell>
          <cell r="V5190">
            <v>0</v>
          </cell>
          <cell r="W5190">
            <v>0</v>
          </cell>
          <cell r="X5190">
            <v>0.22132170000000001</v>
          </cell>
          <cell r="Y5190">
            <v>0</v>
          </cell>
          <cell r="Z5190">
            <v>0</v>
          </cell>
          <cell r="AA5190">
            <v>0</v>
          </cell>
          <cell r="AB5190">
            <v>8.1472199999999995E-2</v>
          </cell>
        </row>
        <row r="5191">
          <cell r="A5191">
            <v>75219033</v>
          </cell>
          <cell r="B5191" t="str">
            <v>Mushrooms, cooked, from fresh, made with oil</v>
          </cell>
          <cell r="I5191">
            <v>85</v>
          </cell>
          <cell r="J5191">
            <v>44.148493000000002</v>
          </cell>
          <cell r="K5191">
            <v>0.51939403529411765</v>
          </cell>
          <cell r="L5191">
            <v>1.8058462</v>
          </cell>
          <cell r="M5191">
            <v>0.37692769999999998</v>
          </cell>
          <cell r="N5191">
            <v>0</v>
          </cell>
          <cell r="O5191">
            <v>5.0572999999999998E-3</v>
          </cell>
          <cell r="P5191">
            <v>0</v>
          </cell>
          <cell r="Q5191">
            <v>1.1346094</v>
          </cell>
          <cell r="R5191">
            <v>0</v>
          </cell>
          <cell r="S5191">
            <v>0</v>
          </cell>
          <cell r="T5191">
            <v>0</v>
          </cell>
          <cell r="U5191">
            <v>82.083916000000002</v>
          </cell>
          <cell r="V5191">
            <v>0</v>
          </cell>
          <cell r="W5191">
            <v>0</v>
          </cell>
          <cell r="X5191">
            <v>0.2055901</v>
          </cell>
          <cell r="Y5191">
            <v>0</v>
          </cell>
          <cell r="Z5191">
            <v>0</v>
          </cell>
          <cell r="AA5191">
            <v>0</v>
          </cell>
          <cell r="AB5191">
            <v>3.4827299999999999E-2</v>
          </cell>
        </row>
        <row r="5192">
          <cell r="A5192">
            <v>75219034</v>
          </cell>
          <cell r="B5192" t="str">
            <v>Mushrooms, cooked, from fresh, made with butter</v>
          </cell>
          <cell r="I5192">
            <v>85</v>
          </cell>
          <cell r="J5192">
            <v>40.777405999999999</v>
          </cell>
          <cell r="K5192">
            <v>0.47973418823529412</v>
          </cell>
          <cell r="L5192">
            <v>1.8037581</v>
          </cell>
          <cell r="M5192">
            <v>1.3267255</v>
          </cell>
          <cell r="N5192">
            <v>0</v>
          </cell>
          <cell r="O5192">
            <v>5.6420000000000003E-3</v>
          </cell>
          <cell r="P5192">
            <v>0</v>
          </cell>
          <cell r="Q5192">
            <v>0.22567129999999999</v>
          </cell>
          <cell r="R5192">
            <v>0</v>
          </cell>
          <cell r="S5192">
            <v>0</v>
          </cell>
          <cell r="T5192">
            <v>0</v>
          </cell>
          <cell r="U5192">
            <v>81.989006000000003</v>
          </cell>
          <cell r="V5192">
            <v>0</v>
          </cell>
          <cell r="W5192">
            <v>0</v>
          </cell>
          <cell r="X5192">
            <v>0.22132170000000001</v>
          </cell>
          <cell r="Y5192">
            <v>0</v>
          </cell>
          <cell r="Z5192">
            <v>0</v>
          </cell>
          <cell r="AA5192">
            <v>0</v>
          </cell>
          <cell r="AB5192">
            <v>8.1472199999999995E-2</v>
          </cell>
        </row>
        <row r="5193">
          <cell r="A5193">
            <v>75219035</v>
          </cell>
          <cell r="B5193" t="str">
            <v>Mushrooms, cooked, from fresh, made with margarine</v>
          </cell>
          <cell r="I5193">
            <v>85</v>
          </cell>
          <cell r="J5193">
            <v>36.312451000000003</v>
          </cell>
          <cell r="K5193">
            <v>0.42720530588235295</v>
          </cell>
          <cell r="L5193">
            <v>1.8032897999999999</v>
          </cell>
          <cell r="M5193">
            <v>0.35297770000000001</v>
          </cell>
          <cell r="N5193">
            <v>0</v>
          </cell>
          <cell r="O5193">
            <v>5.5706000000000002E-3</v>
          </cell>
          <cell r="P5193">
            <v>0</v>
          </cell>
          <cell r="Q5193">
            <v>0.81373859999999998</v>
          </cell>
          <cell r="R5193">
            <v>0</v>
          </cell>
          <cell r="S5193">
            <v>0</v>
          </cell>
          <cell r="T5193">
            <v>0</v>
          </cell>
          <cell r="U5193">
            <v>81.96772</v>
          </cell>
          <cell r="V5193">
            <v>0</v>
          </cell>
          <cell r="W5193">
            <v>0</v>
          </cell>
          <cell r="X5193">
            <v>0.2221958</v>
          </cell>
          <cell r="Y5193">
            <v>0</v>
          </cell>
          <cell r="Z5193">
            <v>0</v>
          </cell>
          <cell r="AA5193">
            <v>0</v>
          </cell>
          <cell r="AB5193">
            <v>9.1850799999999996E-2</v>
          </cell>
        </row>
        <row r="5194">
          <cell r="A5194">
            <v>75219036</v>
          </cell>
          <cell r="B5194" t="str">
            <v>Mushrooms, cooked, from frozen, made with oil</v>
          </cell>
          <cell r="I5194">
            <v>85</v>
          </cell>
          <cell r="J5194">
            <v>44.148493000000002</v>
          </cell>
          <cell r="K5194">
            <v>0.51939403529411765</v>
          </cell>
          <cell r="L5194">
            <v>1.8058462</v>
          </cell>
          <cell r="M5194">
            <v>0.37692769999999998</v>
          </cell>
          <cell r="N5194">
            <v>0</v>
          </cell>
          <cell r="O5194">
            <v>5.0572999999999998E-3</v>
          </cell>
          <cell r="P5194">
            <v>0</v>
          </cell>
          <cell r="Q5194">
            <v>1.1346094</v>
          </cell>
          <cell r="R5194">
            <v>0</v>
          </cell>
          <cell r="S5194">
            <v>0</v>
          </cell>
          <cell r="T5194">
            <v>0</v>
          </cell>
          <cell r="U5194">
            <v>82.083916000000002</v>
          </cell>
          <cell r="V5194">
            <v>0</v>
          </cell>
          <cell r="W5194">
            <v>0</v>
          </cell>
          <cell r="X5194">
            <v>0.2055901</v>
          </cell>
          <cell r="Y5194">
            <v>0</v>
          </cell>
          <cell r="Z5194">
            <v>0</v>
          </cell>
          <cell r="AA5194">
            <v>0</v>
          </cell>
          <cell r="AB5194">
            <v>3.8452500000000001E-2</v>
          </cell>
        </row>
        <row r="5195">
          <cell r="A5195">
            <v>75219100</v>
          </cell>
          <cell r="B5195" t="str">
            <v>Mushroom, Asian, cooked, from dried</v>
          </cell>
          <cell r="I5195">
            <v>85</v>
          </cell>
          <cell r="J5195">
            <v>47.273972999999998</v>
          </cell>
          <cell r="K5195">
            <v>0.55616438823529413</v>
          </cell>
          <cell r="L5195">
            <v>1.7727740000000001</v>
          </cell>
          <cell r="M5195">
            <v>4.2208900000000001E-2</v>
          </cell>
          <cell r="N5195">
            <v>0</v>
          </cell>
          <cell r="O5195">
            <v>2.6722999999999998E-3</v>
          </cell>
          <cell r="P5195">
            <v>0</v>
          </cell>
          <cell r="Q5195">
            <v>2.8702100000000001E-2</v>
          </cell>
          <cell r="R5195">
            <v>0</v>
          </cell>
          <cell r="S5195">
            <v>0</v>
          </cell>
          <cell r="T5195">
            <v>0</v>
          </cell>
          <cell r="U5195">
            <v>84.417807999999994</v>
          </cell>
          <cell r="V5195">
            <v>0</v>
          </cell>
          <cell r="W5195">
            <v>0</v>
          </cell>
          <cell r="X5195">
            <v>0.22902259999999999</v>
          </cell>
          <cell r="Y5195">
            <v>0</v>
          </cell>
          <cell r="Z5195">
            <v>0</v>
          </cell>
          <cell r="AA5195">
            <v>0</v>
          </cell>
          <cell r="AB5195">
            <v>0</v>
          </cell>
        </row>
        <row r="5196">
          <cell r="A5196">
            <v>75220000</v>
          </cell>
          <cell r="B5196" t="str">
            <v>Okra, cooked, NS as to form, NS as to fat added in cooking</v>
          </cell>
          <cell r="I5196">
            <v>85</v>
          </cell>
          <cell r="J5196">
            <v>37.536923000000002</v>
          </cell>
          <cell r="K5196">
            <v>0.44161085882352941</v>
          </cell>
          <cell r="L5196">
            <v>1.7311007</v>
          </cell>
          <cell r="M5196">
            <v>0.80733370000000004</v>
          </cell>
          <cell r="N5196">
            <v>0</v>
          </cell>
          <cell r="O5196">
            <v>6.1591300000000002E-2</v>
          </cell>
          <cell r="P5196">
            <v>0</v>
          </cell>
          <cell r="Q5196">
            <v>0.31581880000000001</v>
          </cell>
          <cell r="R5196">
            <v>0</v>
          </cell>
          <cell r="S5196">
            <v>0</v>
          </cell>
          <cell r="T5196">
            <v>0</v>
          </cell>
          <cell r="U5196">
            <v>82.433364999999995</v>
          </cell>
          <cell r="V5196">
            <v>0</v>
          </cell>
          <cell r="W5196">
            <v>0</v>
          </cell>
          <cell r="X5196">
            <v>0.1900375</v>
          </cell>
          <cell r="Y5196">
            <v>0</v>
          </cell>
          <cell r="Z5196">
            <v>0</v>
          </cell>
          <cell r="AA5196">
            <v>0</v>
          </cell>
          <cell r="AB5196">
            <v>7.2719800000000001E-2</v>
          </cell>
        </row>
        <row r="5197">
          <cell r="A5197">
            <v>75220010</v>
          </cell>
          <cell r="B5197" t="str">
            <v>Okra, cooked, NS as to form, fat not added in cooking</v>
          </cell>
          <cell r="I5197">
            <v>85</v>
          </cell>
          <cell r="J5197">
            <v>21.761101</v>
          </cell>
          <cell r="K5197">
            <v>0.25601295294117649</v>
          </cell>
          <cell r="L5197">
            <v>1.9323543000000001</v>
          </cell>
          <cell r="M5197">
            <v>4.6176000000000002E-2</v>
          </cell>
          <cell r="N5197">
            <v>0</v>
          </cell>
          <cell r="O5197">
            <v>6.38436E-2</v>
          </cell>
          <cell r="P5197">
            <v>0</v>
          </cell>
          <cell r="Q5197">
            <v>4.7021300000000002E-2</v>
          </cell>
          <cell r="R5197">
            <v>0</v>
          </cell>
          <cell r="S5197">
            <v>0</v>
          </cell>
          <cell r="T5197">
            <v>0</v>
          </cell>
          <cell r="U5197">
            <v>84.528215000000003</v>
          </cell>
          <cell r="V5197">
            <v>0</v>
          </cell>
          <cell r="W5197">
            <v>0</v>
          </cell>
          <cell r="X5197">
            <v>0.18656990000000001</v>
          </cell>
          <cell r="Y5197">
            <v>0</v>
          </cell>
          <cell r="Z5197">
            <v>0</v>
          </cell>
          <cell r="AA5197">
            <v>0</v>
          </cell>
          <cell r="AB5197">
            <v>0</v>
          </cell>
        </row>
        <row r="5198">
          <cell r="A5198">
            <v>75220011</v>
          </cell>
          <cell r="B5198" t="str">
            <v>Okra, cooked, from fresh, fat not added in cooking</v>
          </cell>
          <cell r="I5198">
            <v>85</v>
          </cell>
          <cell r="J5198">
            <v>18.583850999999999</v>
          </cell>
          <cell r="K5198">
            <v>0.21863354117647057</v>
          </cell>
          <cell r="L5198">
            <v>2.1118011999999999</v>
          </cell>
          <cell r="M5198">
            <v>3.8012400000000002E-2</v>
          </cell>
          <cell r="N5198">
            <v>0</v>
          </cell>
          <cell r="O5198">
            <v>6.5170199999999998E-2</v>
          </cell>
          <cell r="P5198">
            <v>0</v>
          </cell>
          <cell r="Q5198">
            <v>3.8857099999999999E-2</v>
          </cell>
          <cell r="R5198">
            <v>0</v>
          </cell>
          <cell r="S5198">
            <v>0</v>
          </cell>
          <cell r="T5198">
            <v>0</v>
          </cell>
          <cell r="U5198">
            <v>84.472049999999996</v>
          </cell>
          <cell r="V5198">
            <v>0</v>
          </cell>
          <cell r="W5198">
            <v>0</v>
          </cell>
          <cell r="X5198">
            <v>0.2096913</v>
          </cell>
          <cell r="Y5198">
            <v>0</v>
          </cell>
          <cell r="Z5198">
            <v>0</v>
          </cell>
          <cell r="AA5198">
            <v>0</v>
          </cell>
          <cell r="AB5198">
            <v>0</v>
          </cell>
        </row>
        <row r="5199">
          <cell r="A5199">
            <v>75220012</v>
          </cell>
          <cell r="B5199" t="str">
            <v>Okra, cooked, from frozen, fat not added in cooking</v>
          </cell>
          <cell r="I5199">
            <v>85</v>
          </cell>
          <cell r="J5199">
            <v>24.516756999999998</v>
          </cell>
          <cell r="K5199">
            <v>0.28843243529411761</v>
          </cell>
          <cell r="L5199">
            <v>1.7753513999999999</v>
          </cell>
          <cell r="M5199">
            <v>5.3260500000000002E-2</v>
          </cell>
          <cell r="N5199">
            <v>0</v>
          </cell>
          <cell r="O5199">
            <v>6.2670299999999998E-2</v>
          </cell>
          <cell r="P5199">
            <v>0</v>
          </cell>
          <cell r="Q5199">
            <v>5.4105899999999998E-2</v>
          </cell>
          <cell r="R5199">
            <v>0</v>
          </cell>
          <cell r="S5199">
            <v>0</v>
          </cell>
          <cell r="T5199">
            <v>0</v>
          </cell>
          <cell r="U5199">
            <v>84.540541000000005</v>
          </cell>
          <cell r="V5199">
            <v>0</v>
          </cell>
          <cell r="W5199">
            <v>0</v>
          </cell>
          <cell r="X5199">
            <v>0.18061350000000001</v>
          </cell>
          <cell r="Y5199">
            <v>0</v>
          </cell>
          <cell r="Z5199">
            <v>0</v>
          </cell>
          <cell r="AA5199">
            <v>0</v>
          </cell>
          <cell r="AB5199">
            <v>0</v>
          </cell>
        </row>
        <row r="5200">
          <cell r="A5200">
            <v>75220020</v>
          </cell>
          <cell r="B5200" t="str">
            <v>Okra, cooked, NS as to form, fat added in cooking, NS as to type of fat</v>
          </cell>
          <cell r="I5200">
            <v>85</v>
          </cell>
          <cell r="J5200">
            <v>37.536923000000002</v>
          </cell>
          <cell r="K5200">
            <v>0.44161085882352941</v>
          </cell>
          <cell r="L5200">
            <v>1.7311007</v>
          </cell>
          <cell r="M5200">
            <v>0.80733370000000004</v>
          </cell>
          <cell r="N5200">
            <v>0</v>
          </cell>
          <cell r="O5200">
            <v>6.1591300000000002E-2</v>
          </cell>
          <cell r="P5200">
            <v>0</v>
          </cell>
          <cell r="Q5200">
            <v>0.31581880000000001</v>
          </cell>
          <cell r="R5200">
            <v>0</v>
          </cell>
          <cell r="S5200">
            <v>0</v>
          </cell>
          <cell r="T5200">
            <v>0</v>
          </cell>
          <cell r="U5200">
            <v>82.433364999999995</v>
          </cell>
          <cell r="V5200">
            <v>0</v>
          </cell>
          <cell r="W5200">
            <v>0</v>
          </cell>
          <cell r="X5200">
            <v>0.1900375</v>
          </cell>
          <cell r="Y5200">
            <v>0</v>
          </cell>
          <cell r="Z5200">
            <v>0</v>
          </cell>
          <cell r="AA5200">
            <v>0</v>
          </cell>
          <cell r="AB5200">
            <v>7.2719800000000001E-2</v>
          </cell>
        </row>
        <row r="5201">
          <cell r="A5201">
            <v>75220021</v>
          </cell>
          <cell r="B5201" t="str">
            <v>Okra, cooked, from fresh, fat added in cooking</v>
          </cell>
          <cell r="I5201">
            <v>85</v>
          </cell>
          <cell r="J5201">
            <v>31.124337000000001</v>
          </cell>
          <cell r="K5201">
            <v>0.36616867058823532</v>
          </cell>
          <cell r="L5201">
            <v>2.0481927999999998</v>
          </cell>
          <cell r="M5201">
            <v>0.33392100000000002</v>
          </cell>
          <cell r="N5201">
            <v>0</v>
          </cell>
          <cell r="O5201">
            <v>6.3747999999999999E-2</v>
          </cell>
          <cell r="P5201">
            <v>0</v>
          </cell>
          <cell r="Q5201">
            <v>0.68844669999999997</v>
          </cell>
          <cell r="R5201">
            <v>0</v>
          </cell>
          <cell r="S5201">
            <v>0</v>
          </cell>
          <cell r="T5201">
            <v>0</v>
          </cell>
          <cell r="U5201">
            <v>81.927711000000002</v>
          </cell>
          <cell r="V5201">
            <v>0</v>
          </cell>
          <cell r="W5201">
            <v>0</v>
          </cell>
          <cell r="X5201">
            <v>0.25880959999999997</v>
          </cell>
          <cell r="Y5201">
            <v>0</v>
          </cell>
          <cell r="Z5201">
            <v>0</v>
          </cell>
          <cell r="AA5201">
            <v>0</v>
          </cell>
          <cell r="AB5201">
            <v>8.3250599999999994E-2</v>
          </cell>
        </row>
        <row r="5202">
          <cell r="A5202">
            <v>75220022</v>
          </cell>
          <cell r="B5202" t="str">
            <v>Okra, cooked, from frozen, fat added in cooking</v>
          </cell>
          <cell r="I5202">
            <v>85</v>
          </cell>
          <cell r="J5202">
            <v>35.317053000000001</v>
          </cell>
          <cell r="K5202">
            <v>0.41549474117647062</v>
          </cell>
          <cell r="L5202">
            <v>1.7286315999999999</v>
          </cell>
          <cell r="M5202">
            <v>0.3113899</v>
          </cell>
          <cell r="N5202">
            <v>0</v>
          </cell>
          <cell r="O5202">
            <v>6.14935E-2</v>
          </cell>
          <cell r="P5202">
            <v>0</v>
          </cell>
          <cell r="Q5202">
            <v>0.62124080000000004</v>
          </cell>
          <cell r="R5202">
            <v>0</v>
          </cell>
          <cell r="S5202">
            <v>0</v>
          </cell>
          <cell r="T5202">
            <v>0</v>
          </cell>
          <cell r="U5202">
            <v>82.315788999999995</v>
          </cell>
          <cell r="V5202">
            <v>0</v>
          </cell>
          <cell r="W5202">
            <v>0</v>
          </cell>
          <cell r="X5202">
            <v>0.22429260000000001</v>
          </cell>
          <cell r="Y5202">
            <v>0</v>
          </cell>
          <cell r="Z5202">
            <v>0</v>
          </cell>
          <cell r="AA5202">
            <v>0</v>
          </cell>
          <cell r="AB5202">
            <v>7.2719800000000001E-2</v>
          </cell>
        </row>
        <row r="5203">
          <cell r="A5203">
            <v>75220027</v>
          </cell>
          <cell r="B5203" t="str">
            <v>Okra, cooked, from fresh, made with oil</v>
          </cell>
          <cell r="I5203">
            <v>85</v>
          </cell>
          <cell r="J5203">
            <v>38.727549000000003</v>
          </cell>
          <cell r="K5203">
            <v>0.45561822352941178</v>
          </cell>
          <cell r="L5203">
            <v>2.0538593999999999</v>
          </cell>
          <cell r="M5203">
            <v>0.35592810000000003</v>
          </cell>
          <cell r="N5203">
            <v>0</v>
          </cell>
          <cell r="O5203">
            <v>6.3387899999999997E-2</v>
          </cell>
          <cell r="P5203">
            <v>0</v>
          </cell>
          <cell r="Q5203">
            <v>0.99840079999999998</v>
          </cell>
          <cell r="R5203">
            <v>0</v>
          </cell>
          <cell r="S5203">
            <v>0</v>
          </cell>
          <cell r="T5203">
            <v>0</v>
          </cell>
          <cell r="U5203">
            <v>82.154377999999994</v>
          </cell>
          <cell r="V5203">
            <v>0</v>
          </cell>
          <cell r="W5203">
            <v>0</v>
          </cell>
          <cell r="X5203">
            <v>0.20394960000000001</v>
          </cell>
          <cell r="Y5203">
            <v>0</v>
          </cell>
          <cell r="Z5203">
            <v>0</v>
          </cell>
          <cell r="AA5203">
            <v>0</v>
          </cell>
          <cell r="AB5203">
            <v>8.2640000000000005E-3</v>
          </cell>
        </row>
        <row r="5204">
          <cell r="A5204">
            <v>75220028</v>
          </cell>
          <cell r="B5204" t="str">
            <v>Okra, cooked, from fresh, made with butter</v>
          </cell>
          <cell r="I5204">
            <v>85</v>
          </cell>
          <cell r="J5204">
            <v>35.443942</v>
          </cell>
          <cell r="K5204">
            <v>0.41698755294117645</v>
          </cell>
          <cell r="L5204">
            <v>2.051542</v>
          </cell>
          <cell r="M5204">
            <v>1.2828255</v>
          </cell>
          <cell r="N5204">
            <v>0</v>
          </cell>
          <cell r="O5204">
            <v>6.3892699999999997E-2</v>
          </cell>
          <cell r="P5204">
            <v>0</v>
          </cell>
          <cell r="Q5204">
            <v>0.1115544</v>
          </cell>
          <cell r="R5204">
            <v>0</v>
          </cell>
          <cell r="S5204">
            <v>0</v>
          </cell>
          <cell r="T5204">
            <v>0</v>
          </cell>
          <cell r="U5204">
            <v>82.061678999999998</v>
          </cell>
          <cell r="V5204">
            <v>0</v>
          </cell>
          <cell r="W5204">
            <v>0</v>
          </cell>
          <cell r="X5204">
            <v>0.21930340000000001</v>
          </cell>
          <cell r="Y5204">
            <v>0</v>
          </cell>
          <cell r="Z5204">
            <v>0</v>
          </cell>
          <cell r="AA5204">
            <v>0</v>
          </cell>
          <cell r="AB5204">
            <v>7.9505800000000001E-2</v>
          </cell>
        </row>
        <row r="5205">
          <cell r="A5205">
            <v>75220031</v>
          </cell>
          <cell r="B5205" t="str">
            <v>Okra, cooked, from frozen, made with oil</v>
          </cell>
          <cell r="I5205">
            <v>85</v>
          </cell>
          <cell r="J5205">
            <v>41.967669000000001</v>
          </cell>
          <cell r="K5205">
            <v>0.49373728235294118</v>
          </cell>
          <cell r="L5205">
            <v>1.7328086</v>
          </cell>
          <cell r="M5205">
            <v>0.33055610000000002</v>
          </cell>
          <cell r="N5205">
            <v>0</v>
          </cell>
          <cell r="O5205">
            <v>6.1173600000000002E-2</v>
          </cell>
          <cell r="P5205">
            <v>0</v>
          </cell>
          <cell r="Q5205">
            <v>0.89178579999999996</v>
          </cell>
          <cell r="R5205">
            <v>0</v>
          </cell>
          <cell r="S5205">
            <v>0</v>
          </cell>
          <cell r="T5205">
            <v>0</v>
          </cell>
          <cell r="U5205">
            <v>82.514692999999994</v>
          </cell>
          <cell r="V5205">
            <v>0</v>
          </cell>
          <cell r="W5205">
            <v>0</v>
          </cell>
          <cell r="X5205">
            <v>0.1762957</v>
          </cell>
          <cell r="Y5205">
            <v>0</v>
          </cell>
          <cell r="Z5205">
            <v>0</v>
          </cell>
          <cell r="AA5205">
            <v>0</v>
          </cell>
          <cell r="AB5205">
            <v>7.2176000000000002E-3</v>
          </cell>
        </row>
        <row r="5206">
          <cell r="A5206">
            <v>75220033</v>
          </cell>
          <cell r="B5206" t="str">
            <v>Okra, cooked, from frozen, made with margarine</v>
          </cell>
          <cell r="I5206">
            <v>85</v>
          </cell>
          <cell r="J5206">
            <v>35.290436999999997</v>
          </cell>
          <cell r="K5206">
            <v>0.41518161176470586</v>
          </cell>
          <cell r="L5206">
            <v>1.7307174999999999</v>
          </cell>
          <cell r="M5206">
            <v>0.31019580000000002</v>
          </cell>
          <cell r="N5206">
            <v>0</v>
          </cell>
          <cell r="O5206">
            <v>6.1543500000000001E-2</v>
          </cell>
          <cell r="P5206">
            <v>0</v>
          </cell>
          <cell r="Q5206">
            <v>0.61855130000000003</v>
          </cell>
          <cell r="R5206">
            <v>0</v>
          </cell>
          <cell r="S5206">
            <v>0</v>
          </cell>
          <cell r="T5206">
            <v>0</v>
          </cell>
          <cell r="U5206">
            <v>82.415120999999999</v>
          </cell>
          <cell r="V5206">
            <v>0</v>
          </cell>
          <cell r="W5206">
            <v>0</v>
          </cell>
          <cell r="X5206">
            <v>0.19048660000000001</v>
          </cell>
          <cell r="Y5206">
            <v>0</v>
          </cell>
          <cell r="Z5206">
            <v>0</v>
          </cell>
          <cell r="AA5206">
            <v>0</v>
          </cell>
          <cell r="AB5206">
            <v>7.8298599999999996E-2</v>
          </cell>
        </row>
        <row r="5207">
          <cell r="A5207">
            <v>75220049</v>
          </cell>
          <cell r="B5207" t="str">
            <v>Lettuce, cooked, NS as to fat added in cooking</v>
          </cell>
          <cell r="I5207">
            <v>85</v>
          </cell>
          <cell r="J5207">
            <v>28.324162000000001</v>
          </cell>
          <cell r="K5207">
            <v>0.33322543529411763</v>
          </cell>
          <cell r="L5207">
            <v>0.98265899999999995</v>
          </cell>
          <cell r="M5207">
            <v>0.94905729999999999</v>
          </cell>
          <cell r="N5207">
            <v>0</v>
          </cell>
          <cell r="O5207">
            <v>1.54553E-2</v>
          </cell>
          <cell r="P5207">
            <v>0</v>
          </cell>
          <cell r="Q5207">
            <v>0.3859649</v>
          </cell>
          <cell r="R5207">
            <v>0</v>
          </cell>
          <cell r="S5207">
            <v>0</v>
          </cell>
          <cell r="T5207">
            <v>0</v>
          </cell>
          <cell r="U5207">
            <v>81.888247000000007</v>
          </cell>
          <cell r="V5207">
            <v>0</v>
          </cell>
          <cell r="W5207">
            <v>0</v>
          </cell>
          <cell r="X5207">
            <v>0.21584239999999999</v>
          </cell>
          <cell r="Y5207">
            <v>0</v>
          </cell>
          <cell r="Z5207">
            <v>0</v>
          </cell>
          <cell r="AA5207">
            <v>0</v>
          </cell>
          <cell r="AB5207">
            <v>8.9943400000000007E-2</v>
          </cell>
        </row>
        <row r="5208">
          <cell r="A5208">
            <v>75220050</v>
          </cell>
          <cell r="B5208" t="str">
            <v>Lettuce, cooked, fat not added in cooking</v>
          </cell>
          <cell r="I5208">
            <v>85</v>
          </cell>
          <cell r="J5208">
            <v>11.829026000000001</v>
          </cell>
          <cell r="K5208">
            <v>0.13916501176470589</v>
          </cell>
          <cell r="L5208">
            <v>1.0139165000000001</v>
          </cell>
          <cell r="M5208">
            <v>1.52087E-2</v>
          </cell>
          <cell r="N5208">
            <v>0</v>
          </cell>
          <cell r="O5208">
            <v>1.5330399999999999E-2</v>
          </cell>
          <cell r="P5208">
            <v>0</v>
          </cell>
          <cell r="Q5208">
            <v>6.2524899999999994E-2</v>
          </cell>
          <cell r="R5208">
            <v>0</v>
          </cell>
          <cell r="S5208">
            <v>0</v>
          </cell>
          <cell r="T5208">
            <v>0</v>
          </cell>
          <cell r="U5208">
            <v>84.493042000000003</v>
          </cell>
          <cell r="V5208">
            <v>0</v>
          </cell>
          <cell r="W5208">
            <v>0</v>
          </cell>
          <cell r="X5208">
            <v>0.20493620000000001</v>
          </cell>
          <cell r="Y5208">
            <v>0</v>
          </cell>
          <cell r="Z5208">
            <v>0</v>
          </cell>
          <cell r="AA5208">
            <v>0</v>
          </cell>
          <cell r="AB5208">
            <v>0</v>
          </cell>
        </row>
        <row r="5209">
          <cell r="A5209">
            <v>75220051</v>
          </cell>
          <cell r="B5209" t="str">
            <v>Lettuce, cooked, fat added in cooking</v>
          </cell>
          <cell r="I5209">
            <v>85</v>
          </cell>
          <cell r="J5209">
            <v>28.324162000000001</v>
          </cell>
          <cell r="K5209">
            <v>0.33322543529411763</v>
          </cell>
          <cell r="L5209">
            <v>0.98265899999999995</v>
          </cell>
          <cell r="M5209">
            <v>0.94905729999999999</v>
          </cell>
          <cell r="N5209">
            <v>0</v>
          </cell>
          <cell r="O5209">
            <v>1.54553E-2</v>
          </cell>
          <cell r="P5209">
            <v>0</v>
          </cell>
          <cell r="Q5209">
            <v>0.3859649</v>
          </cell>
          <cell r="R5209">
            <v>0</v>
          </cell>
          <cell r="S5209">
            <v>0</v>
          </cell>
          <cell r="T5209">
            <v>0</v>
          </cell>
          <cell r="U5209">
            <v>81.888247000000007</v>
          </cell>
          <cell r="V5209">
            <v>0</v>
          </cell>
          <cell r="W5209">
            <v>0</v>
          </cell>
          <cell r="X5209">
            <v>0.21584239999999999</v>
          </cell>
          <cell r="Y5209">
            <v>0</v>
          </cell>
          <cell r="Z5209">
            <v>0</v>
          </cell>
          <cell r="AA5209">
            <v>0</v>
          </cell>
          <cell r="AB5209">
            <v>8.9943400000000007E-2</v>
          </cell>
        </row>
        <row r="5210">
          <cell r="A5210">
            <v>75220100</v>
          </cell>
          <cell r="B5210" t="str">
            <v>Luffa (Chinese okra), cooked, fat not added in cooking</v>
          </cell>
          <cell r="I5210">
            <v>85</v>
          </cell>
          <cell r="J5210">
            <v>18.588469</v>
          </cell>
          <cell r="K5210">
            <v>0.2186878705882353</v>
          </cell>
          <cell r="L5210">
            <v>2.1123259999999999</v>
          </cell>
          <cell r="M5210">
            <v>3.8021899999999997E-2</v>
          </cell>
          <cell r="N5210">
            <v>0</v>
          </cell>
          <cell r="O5210">
            <v>6.5181299999999998E-2</v>
          </cell>
          <cell r="P5210">
            <v>0</v>
          </cell>
          <cell r="Q5210">
            <v>3.88668E-2</v>
          </cell>
          <cell r="R5210">
            <v>0</v>
          </cell>
          <cell r="S5210">
            <v>0</v>
          </cell>
          <cell r="T5210">
            <v>0</v>
          </cell>
          <cell r="U5210">
            <v>84.493042000000003</v>
          </cell>
          <cell r="V5210">
            <v>0</v>
          </cell>
          <cell r="W5210">
            <v>0</v>
          </cell>
          <cell r="X5210">
            <v>0.2015565</v>
          </cell>
          <cell r="Y5210">
            <v>0</v>
          </cell>
          <cell r="Z5210">
            <v>0</v>
          </cell>
          <cell r="AA5210">
            <v>0</v>
          </cell>
          <cell r="AB5210">
            <v>0</v>
          </cell>
        </row>
        <row r="5211">
          <cell r="A5211">
            <v>75220101</v>
          </cell>
          <cell r="B5211" t="str">
            <v>Luffa (Chinese okra), cooked, fat added in cooking</v>
          </cell>
          <cell r="I5211">
            <v>85</v>
          </cell>
          <cell r="J5211">
            <v>38.727549000000003</v>
          </cell>
          <cell r="K5211">
            <v>0.45561822352941178</v>
          </cell>
          <cell r="L5211">
            <v>2.0538593999999999</v>
          </cell>
          <cell r="M5211">
            <v>0.35592810000000003</v>
          </cell>
          <cell r="N5211">
            <v>0</v>
          </cell>
          <cell r="O5211">
            <v>6.3387899999999997E-2</v>
          </cell>
          <cell r="P5211">
            <v>0</v>
          </cell>
          <cell r="Q5211">
            <v>0.99840079999999998</v>
          </cell>
          <cell r="R5211">
            <v>0</v>
          </cell>
          <cell r="S5211">
            <v>0</v>
          </cell>
          <cell r="T5211">
            <v>0</v>
          </cell>
          <cell r="U5211">
            <v>82.154377999999994</v>
          </cell>
          <cell r="V5211">
            <v>0</v>
          </cell>
          <cell r="W5211">
            <v>0</v>
          </cell>
          <cell r="X5211">
            <v>0.20394960000000001</v>
          </cell>
          <cell r="Y5211">
            <v>0</v>
          </cell>
          <cell r="Z5211">
            <v>0</v>
          </cell>
          <cell r="AA5211">
            <v>0</v>
          </cell>
          <cell r="AB5211">
            <v>8.2640000000000005E-3</v>
          </cell>
        </row>
        <row r="5212">
          <cell r="A5212">
            <v>75221000</v>
          </cell>
          <cell r="B5212" t="str">
            <v>Onions, cooked, NS as to form, NS as to fat added in cooking</v>
          </cell>
          <cell r="I5212">
            <v>85</v>
          </cell>
          <cell r="J5212">
            <v>33.769896000000003</v>
          </cell>
          <cell r="K5212">
            <v>0.39729289411764707</v>
          </cell>
          <cell r="L5212">
            <v>1.4943291000000001</v>
          </cell>
          <cell r="M5212">
            <v>0.59653290000000003</v>
          </cell>
          <cell r="N5212">
            <v>0</v>
          </cell>
          <cell r="O5212">
            <v>1.37389E-2</v>
          </cell>
          <cell r="P5212">
            <v>0</v>
          </cell>
          <cell r="Q5212">
            <v>0.23465839999999999</v>
          </cell>
          <cell r="R5212">
            <v>0</v>
          </cell>
          <cell r="S5212">
            <v>0</v>
          </cell>
          <cell r="T5212">
            <v>0</v>
          </cell>
          <cell r="U5212">
            <v>83.018283999999994</v>
          </cell>
          <cell r="V5212">
            <v>0</v>
          </cell>
          <cell r="W5212">
            <v>0</v>
          </cell>
          <cell r="X5212">
            <v>0.154782</v>
          </cell>
          <cell r="Y5212">
            <v>0</v>
          </cell>
          <cell r="Z5212">
            <v>0</v>
          </cell>
          <cell r="AA5212">
            <v>0</v>
          </cell>
          <cell r="AB5212">
            <v>5.61474E-2</v>
          </cell>
        </row>
        <row r="5213">
          <cell r="A5213">
            <v>75221001</v>
          </cell>
          <cell r="B5213" t="str">
            <v>Onions, cooked, from fresh, NS as to fat added in cooking</v>
          </cell>
          <cell r="I5213">
            <v>85</v>
          </cell>
          <cell r="J5213">
            <v>48.395175000000002</v>
          </cell>
          <cell r="K5213">
            <v>0.56935500000000006</v>
          </cell>
          <cell r="L5213">
            <v>1.1583977999999999</v>
          </cell>
          <cell r="M5213">
            <v>0.69000890000000004</v>
          </cell>
          <cell r="N5213">
            <v>0</v>
          </cell>
          <cell r="O5213">
            <v>1.8722800000000001E-2</v>
          </cell>
          <cell r="P5213">
            <v>0</v>
          </cell>
          <cell r="Q5213">
            <v>0.29175899999999999</v>
          </cell>
          <cell r="R5213">
            <v>0</v>
          </cell>
          <cell r="S5213">
            <v>0</v>
          </cell>
          <cell r="T5213">
            <v>0</v>
          </cell>
          <cell r="U5213">
            <v>82.742699999999999</v>
          </cell>
          <cell r="V5213">
            <v>0</v>
          </cell>
          <cell r="W5213">
            <v>0</v>
          </cell>
          <cell r="X5213">
            <v>0.16744120000000001</v>
          </cell>
          <cell r="Y5213">
            <v>0</v>
          </cell>
          <cell r="Z5213">
            <v>0</v>
          </cell>
          <cell r="AA5213">
            <v>0</v>
          </cell>
          <cell r="AB5213">
            <v>6.3955499999999998E-2</v>
          </cell>
        </row>
        <row r="5214">
          <cell r="A5214">
            <v>75221010</v>
          </cell>
          <cell r="B5214" t="str">
            <v>Onions, mature, cooked, NS as to form, fat not added in cooking</v>
          </cell>
          <cell r="I5214">
            <v>85</v>
          </cell>
          <cell r="J5214">
            <v>37.229807000000001</v>
          </cell>
          <cell r="K5214">
            <v>0.43799772941176474</v>
          </cell>
          <cell r="L5214">
            <v>1.1845848000000001</v>
          </cell>
          <cell r="M5214">
            <v>2.6230099999999999E-2</v>
          </cell>
          <cell r="N5214">
            <v>0</v>
          </cell>
          <cell r="O5214">
            <v>1.8707700000000001E-2</v>
          </cell>
          <cell r="P5214">
            <v>0</v>
          </cell>
          <cell r="Q5214">
            <v>6.1767599999999999E-2</v>
          </cell>
          <cell r="R5214">
            <v>0</v>
          </cell>
          <cell r="S5214">
            <v>0</v>
          </cell>
          <cell r="T5214">
            <v>0</v>
          </cell>
          <cell r="U5214">
            <v>84.613197</v>
          </cell>
          <cell r="V5214">
            <v>0</v>
          </cell>
          <cell r="W5214">
            <v>0</v>
          </cell>
          <cell r="X5214">
            <v>0.1524556</v>
          </cell>
          <cell r="Y5214">
            <v>0</v>
          </cell>
          <cell r="Z5214">
            <v>0</v>
          </cell>
          <cell r="AA5214">
            <v>0</v>
          </cell>
          <cell r="AB5214">
            <v>0</v>
          </cell>
        </row>
        <row r="5215">
          <cell r="A5215">
            <v>75221011</v>
          </cell>
          <cell r="B5215" t="str">
            <v>Onions, cooked, from fresh, fat not added in cooking</v>
          </cell>
          <cell r="I5215">
            <v>85</v>
          </cell>
          <cell r="J5215">
            <v>37.222749</v>
          </cell>
          <cell r="K5215">
            <v>0.43791469411764705</v>
          </cell>
          <cell r="L5215">
            <v>1.1843602</v>
          </cell>
          <cell r="M5215">
            <v>2.6225100000000001E-2</v>
          </cell>
          <cell r="N5215">
            <v>0</v>
          </cell>
          <cell r="O5215">
            <v>1.8708099999999998E-2</v>
          </cell>
          <cell r="P5215">
            <v>0</v>
          </cell>
          <cell r="Q5215">
            <v>6.1755900000000002E-2</v>
          </cell>
          <cell r="R5215">
            <v>0</v>
          </cell>
          <cell r="S5215">
            <v>0</v>
          </cell>
          <cell r="T5215">
            <v>0</v>
          </cell>
          <cell r="U5215">
            <v>84.597155999999998</v>
          </cell>
          <cell r="V5215">
            <v>0</v>
          </cell>
          <cell r="W5215">
            <v>0</v>
          </cell>
          <cell r="X5215">
            <v>0.15867200000000001</v>
          </cell>
          <cell r="Y5215">
            <v>0</v>
          </cell>
          <cell r="Z5215">
            <v>0</v>
          </cell>
          <cell r="AA5215">
            <v>0</v>
          </cell>
          <cell r="AB5215">
            <v>0</v>
          </cell>
        </row>
        <row r="5216">
          <cell r="A5216">
            <v>75221014</v>
          </cell>
          <cell r="B5216" t="str">
            <v>Onions, cooked, NS as to form, made with oil</v>
          </cell>
          <cell r="I5216">
            <v>85</v>
          </cell>
          <cell r="J5216">
            <v>37.187266999999999</v>
          </cell>
          <cell r="K5216">
            <v>0.43749725882352941</v>
          </cell>
          <cell r="L5216">
            <v>1.4954672</v>
          </cell>
          <cell r="M5216">
            <v>0.2283318</v>
          </cell>
          <cell r="N5216">
            <v>0</v>
          </cell>
          <cell r="O5216">
            <v>1.3380100000000001E-2</v>
          </cell>
          <cell r="P5216">
            <v>0</v>
          </cell>
          <cell r="Q5216">
            <v>0.67920460000000005</v>
          </cell>
          <cell r="R5216">
            <v>0</v>
          </cell>
          <cell r="S5216">
            <v>0</v>
          </cell>
          <cell r="T5216">
            <v>0</v>
          </cell>
          <cell r="U5216">
            <v>83.081508999999997</v>
          </cell>
          <cell r="V5216">
            <v>0</v>
          </cell>
          <cell r="W5216">
            <v>0</v>
          </cell>
          <cell r="X5216">
            <v>0.14414740000000001</v>
          </cell>
          <cell r="Y5216">
            <v>0</v>
          </cell>
          <cell r="Z5216">
            <v>0</v>
          </cell>
          <cell r="AA5216">
            <v>0</v>
          </cell>
          <cell r="AB5216">
            <v>8.1229000000000006E-3</v>
          </cell>
        </row>
        <row r="5217">
          <cell r="A5217">
            <v>75221015</v>
          </cell>
          <cell r="B5217" t="str">
            <v>Onions, cooked, NS as to form, made with butter</v>
          </cell>
          <cell r="I5217">
            <v>85</v>
          </cell>
          <cell r="J5217">
            <v>34.973849000000001</v>
          </cell>
          <cell r="K5217">
            <v>0.41145704705882352</v>
          </cell>
          <cell r="L5217">
            <v>1.4943291000000001</v>
          </cell>
          <cell r="M5217">
            <v>0.85356379999999998</v>
          </cell>
          <cell r="N5217">
            <v>0</v>
          </cell>
          <cell r="O5217">
            <v>1.37585E-2</v>
          </cell>
          <cell r="P5217">
            <v>0</v>
          </cell>
          <cell r="Q5217">
            <v>8.1324499999999994E-2</v>
          </cell>
          <cell r="R5217">
            <v>0</v>
          </cell>
          <cell r="S5217">
            <v>0</v>
          </cell>
          <cell r="T5217">
            <v>0</v>
          </cell>
          <cell r="U5217">
            <v>83.018283999999994</v>
          </cell>
          <cell r="V5217">
            <v>0</v>
          </cell>
          <cell r="W5217">
            <v>0</v>
          </cell>
          <cell r="X5217">
            <v>0.15454799999999999</v>
          </cell>
          <cell r="Y5217">
            <v>0</v>
          </cell>
          <cell r="Z5217">
            <v>0</v>
          </cell>
          <cell r="AA5217">
            <v>0</v>
          </cell>
          <cell r="AB5217">
            <v>5.3621700000000001E-2</v>
          </cell>
        </row>
        <row r="5218">
          <cell r="A5218">
            <v>75221017</v>
          </cell>
          <cell r="B5218" t="str">
            <v>Onions, cooked, from fresh, made with oil</v>
          </cell>
          <cell r="I5218">
            <v>85</v>
          </cell>
          <cell r="J5218">
            <v>52.300877999999997</v>
          </cell>
          <cell r="K5218">
            <v>0.61530444705882348</v>
          </cell>
          <cell r="L5218">
            <v>1.1594028000000001</v>
          </cell>
          <cell r="M5218">
            <v>0.27064129999999997</v>
          </cell>
          <cell r="N5218">
            <v>0</v>
          </cell>
          <cell r="O5218">
            <v>1.8318299999999999E-2</v>
          </cell>
          <cell r="P5218">
            <v>0</v>
          </cell>
          <cell r="Q5218">
            <v>0.79822850000000001</v>
          </cell>
          <cell r="R5218">
            <v>0</v>
          </cell>
          <cell r="S5218">
            <v>0</v>
          </cell>
          <cell r="T5218">
            <v>0</v>
          </cell>
          <cell r="U5218">
            <v>82.814486000000002</v>
          </cell>
          <cell r="V5218">
            <v>0</v>
          </cell>
          <cell r="W5218">
            <v>0</v>
          </cell>
          <cell r="X5218">
            <v>0.15533739999999999</v>
          </cell>
          <cell r="Y5218">
            <v>0</v>
          </cell>
          <cell r="Z5218">
            <v>0</v>
          </cell>
          <cell r="AA5218">
            <v>0</v>
          </cell>
          <cell r="AB5218">
            <v>1.0300800000000001E-2</v>
          </cell>
        </row>
        <row r="5219">
          <cell r="A5219">
            <v>75221018</v>
          </cell>
          <cell r="B5219" t="str">
            <v>Onions, cooked, from fresh, made with butter</v>
          </cell>
          <cell r="I5219">
            <v>85</v>
          </cell>
          <cell r="J5219">
            <v>49.766554999999997</v>
          </cell>
          <cell r="K5219">
            <v>0.58548888235294116</v>
          </cell>
          <cell r="L5219">
            <v>1.1583977999999999</v>
          </cell>
          <cell r="M5219">
            <v>0.98278339999999997</v>
          </cell>
          <cell r="N5219">
            <v>0</v>
          </cell>
          <cell r="O5219">
            <v>1.8745100000000001E-2</v>
          </cell>
          <cell r="P5219">
            <v>0</v>
          </cell>
          <cell r="Q5219">
            <v>0.117102</v>
          </cell>
          <cell r="R5219">
            <v>0</v>
          </cell>
          <cell r="S5219">
            <v>0</v>
          </cell>
          <cell r="T5219">
            <v>0</v>
          </cell>
          <cell r="U5219">
            <v>82.742699999999999</v>
          </cell>
          <cell r="V5219">
            <v>0</v>
          </cell>
          <cell r="W5219">
            <v>0</v>
          </cell>
          <cell r="X5219">
            <v>0.16717470000000001</v>
          </cell>
          <cell r="Y5219">
            <v>0</v>
          </cell>
          <cell r="Z5219">
            <v>0</v>
          </cell>
          <cell r="AA5219">
            <v>0</v>
          </cell>
          <cell r="AB5219">
            <v>6.1078500000000001E-2</v>
          </cell>
        </row>
        <row r="5220">
          <cell r="A5220">
            <v>75221020</v>
          </cell>
          <cell r="B5220" t="str">
            <v>Onions, cooked, NS as to form, fat added in cooking, NS as to type of fat</v>
          </cell>
          <cell r="I5220">
            <v>85</v>
          </cell>
          <cell r="J5220">
            <v>33.769896000000003</v>
          </cell>
          <cell r="K5220">
            <v>0.39729289411764707</v>
          </cell>
          <cell r="L5220">
            <v>1.4943291000000001</v>
          </cell>
          <cell r="M5220">
            <v>0.59653290000000003</v>
          </cell>
          <cell r="N5220">
            <v>0</v>
          </cell>
          <cell r="O5220">
            <v>1.37389E-2</v>
          </cell>
          <cell r="P5220">
            <v>0</v>
          </cell>
          <cell r="Q5220">
            <v>0.23465839999999999</v>
          </cell>
          <cell r="R5220">
            <v>0</v>
          </cell>
          <cell r="S5220">
            <v>0</v>
          </cell>
          <cell r="T5220">
            <v>0</v>
          </cell>
          <cell r="U5220">
            <v>83.018283999999994</v>
          </cell>
          <cell r="V5220">
            <v>0</v>
          </cell>
          <cell r="W5220">
            <v>0</v>
          </cell>
          <cell r="X5220">
            <v>0.154782</v>
          </cell>
          <cell r="Y5220">
            <v>0</v>
          </cell>
          <cell r="Z5220">
            <v>0</v>
          </cell>
          <cell r="AA5220">
            <v>0</v>
          </cell>
          <cell r="AB5220">
            <v>5.61474E-2</v>
          </cell>
        </row>
        <row r="5221">
          <cell r="A5221">
            <v>75221021</v>
          </cell>
          <cell r="B5221" t="str">
            <v>Onions, mature, cooked or sauteed, from fresh, fat added in cooking</v>
          </cell>
          <cell r="I5221">
            <v>85</v>
          </cell>
          <cell r="J5221">
            <v>46.480533999999999</v>
          </cell>
          <cell r="K5221">
            <v>0.54682981176470591</v>
          </cell>
          <cell r="L5221">
            <v>1.1582314</v>
          </cell>
          <cell r="M5221">
            <v>0.25419160000000002</v>
          </cell>
          <cell r="N5221">
            <v>0</v>
          </cell>
          <cell r="O5221">
            <v>1.8688699999999999E-2</v>
          </cell>
          <cell r="P5221">
            <v>0</v>
          </cell>
          <cell r="Q5221">
            <v>0.56107090000000004</v>
          </cell>
          <cell r="R5221">
            <v>0</v>
          </cell>
          <cell r="S5221">
            <v>0</v>
          </cell>
          <cell r="T5221">
            <v>0</v>
          </cell>
          <cell r="U5221">
            <v>82.730812</v>
          </cell>
          <cell r="V5221">
            <v>0</v>
          </cell>
          <cell r="W5221">
            <v>0</v>
          </cell>
          <cell r="X5221">
            <v>0.16117570000000001</v>
          </cell>
          <cell r="Y5221">
            <v>0</v>
          </cell>
          <cell r="Z5221">
            <v>0</v>
          </cell>
          <cell r="AA5221">
            <v>0</v>
          </cell>
          <cell r="AB5221">
            <v>6.3955499999999998E-2</v>
          </cell>
        </row>
        <row r="5222">
          <cell r="A5222">
            <v>75221022</v>
          </cell>
          <cell r="B5222" t="str">
            <v>Onions, mature, cooked or sauteed, from frozen, fat added in cooking</v>
          </cell>
          <cell r="I5222">
            <v>85</v>
          </cell>
          <cell r="J5222">
            <v>32.629745</v>
          </cell>
          <cell r="K5222">
            <v>0.38387935294117648</v>
          </cell>
          <cell r="L5222">
            <v>1.3371035</v>
          </cell>
          <cell r="M5222">
            <v>0.2242422</v>
          </cell>
          <cell r="N5222">
            <v>0</v>
          </cell>
          <cell r="O5222">
            <v>1.79711E-2</v>
          </cell>
          <cell r="P5222">
            <v>0</v>
          </cell>
          <cell r="Q5222">
            <v>0.49266409999999999</v>
          </cell>
          <cell r="R5222">
            <v>0</v>
          </cell>
          <cell r="S5222">
            <v>0</v>
          </cell>
          <cell r="T5222">
            <v>0</v>
          </cell>
          <cell r="U5222">
            <v>82.878315000000001</v>
          </cell>
          <cell r="V5222">
            <v>0</v>
          </cell>
          <cell r="W5222">
            <v>0</v>
          </cell>
          <cell r="X5222">
            <v>0.15677659999999999</v>
          </cell>
          <cell r="Y5222">
            <v>0</v>
          </cell>
          <cell r="Z5222">
            <v>0</v>
          </cell>
          <cell r="AA5222">
            <v>0</v>
          </cell>
          <cell r="AB5222">
            <v>5.61474E-2</v>
          </cell>
        </row>
        <row r="5223">
          <cell r="A5223">
            <v>75221030</v>
          </cell>
          <cell r="B5223" t="str">
            <v>Onions, pearl, cooked, NS as to form</v>
          </cell>
          <cell r="I5223">
            <v>85</v>
          </cell>
          <cell r="J5223">
            <v>23.687204000000001</v>
          </cell>
          <cell r="K5223">
            <v>0.27867298823529413</v>
          </cell>
          <cell r="L5223">
            <v>1.1843602</v>
          </cell>
          <cell r="M5223">
            <v>7.6137000000000002E-3</v>
          </cell>
          <cell r="N5223">
            <v>0</v>
          </cell>
          <cell r="O5223">
            <v>2.2937900000000001E-2</v>
          </cell>
          <cell r="P5223">
            <v>0</v>
          </cell>
          <cell r="Q5223">
            <v>1.6919400000000001E-2</v>
          </cell>
          <cell r="R5223">
            <v>0</v>
          </cell>
          <cell r="S5223">
            <v>0</v>
          </cell>
          <cell r="T5223">
            <v>0</v>
          </cell>
          <cell r="U5223">
            <v>84.597155999999998</v>
          </cell>
          <cell r="V5223">
            <v>0</v>
          </cell>
          <cell r="W5223">
            <v>0</v>
          </cell>
          <cell r="X5223">
            <v>0.16290189999999999</v>
          </cell>
          <cell r="Y5223">
            <v>0</v>
          </cell>
          <cell r="Z5223">
            <v>0</v>
          </cell>
          <cell r="AA5223">
            <v>0</v>
          </cell>
          <cell r="AB5223">
            <v>0</v>
          </cell>
        </row>
        <row r="5224">
          <cell r="A5224">
            <v>75221031</v>
          </cell>
          <cell r="B5224" t="str">
            <v>Onions, pearl, cooked, from fresh</v>
          </cell>
          <cell r="I5224">
            <v>85</v>
          </cell>
          <cell r="J5224">
            <v>37.222749</v>
          </cell>
          <cell r="K5224">
            <v>0.43791469411764705</v>
          </cell>
          <cell r="L5224">
            <v>1.1843602</v>
          </cell>
          <cell r="M5224">
            <v>2.6225100000000001E-2</v>
          </cell>
          <cell r="N5224">
            <v>0</v>
          </cell>
          <cell r="O5224">
            <v>1.8708099999999998E-2</v>
          </cell>
          <cell r="P5224">
            <v>0</v>
          </cell>
          <cell r="Q5224">
            <v>6.1755900000000002E-2</v>
          </cell>
          <cell r="R5224">
            <v>0</v>
          </cell>
          <cell r="S5224">
            <v>0</v>
          </cell>
          <cell r="T5224">
            <v>0</v>
          </cell>
          <cell r="U5224">
            <v>84.597155999999998</v>
          </cell>
          <cell r="V5224">
            <v>0</v>
          </cell>
          <cell r="W5224">
            <v>0</v>
          </cell>
          <cell r="X5224">
            <v>0.15867200000000001</v>
          </cell>
          <cell r="Y5224">
            <v>0</v>
          </cell>
          <cell r="Z5224">
            <v>0</v>
          </cell>
          <cell r="AA5224">
            <v>0</v>
          </cell>
          <cell r="AB5224">
            <v>0</v>
          </cell>
        </row>
        <row r="5225">
          <cell r="A5225">
            <v>75221051</v>
          </cell>
          <cell r="B5225" t="str">
            <v>Onions, green, cooked, from fresh, fat not added in cooking</v>
          </cell>
          <cell r="I5225">
            <v>30</v>
          </cell>
          <cell r="J5225">
            <v>9.5049504999999996</v>
          </cell>
          <cell r="K5225">
            <v>0.31683168333333334</v>
          </cell>
          <cell r="L5225">
            <v>0.7722772</v>
          </cell>
          <cell r="M5225">
            <v>9.5049999999999996E-3</v>
          </cell>
          <cell r="N5225">
            <v>0</v>
          </cell>
          <cell r="O5225">
            <v>2.1457400000000001E-2</v>
          </cell>
          <cell r="P5225">
            <v>0</v>
          </cell>
          <cell r="Q5225">
            <v>2.1980199999999998E-2</v>
          </cell>
          <cell r="R5225">
            <v>0</v>
          </cell>
          <cell r="S5225">
            <v>0</v>
          </cell>
          <cell r="T5225">
            <v>0</v>
          </cell>
          <cell r="U5225">
            <v>29.702970000000001</v>
          </cell>
          <cell r="V5225">
            <v>0</v>
          </cell>
          <cell r="W5225">
            <v>0</v>
          </cell>
          <cell r="X5225">
            <v>0.1198752</v>
          </cell>
          <cell r="Y5225">
            <v>0</v>
          </cell>
          <cell r="Z5225">
            <v>0</v>
          </cell>
          <cell r="AA5225">
            <v>0</v>
          </cell>
          <cell r="AB5225">
            <v>0</v>
          </cell>
        </row>
        <row r="5226">
          <cell r="A5226">
            <v>75221060</v>
          </cell>
          <cell r="B5226" t="str">
            <v>Onion, young green, cooked, NS as to form, fat added in cooking</v>
          </cell>
          <cell r="I5226">
            <v>30</v>
          </cell>
          <cell r="J5226">
            <v>14.178034999999999</v>
          </cell>
          <cell r="K5226">
            <v>0.47260116666666663</v>
          </cell>
          <cell r="L5226">
            <v>0.75144509999999998</v>
          </cell>
          <cell r="M5226">
            <v>0.1210266</v>
          </cell>
          <cell r="N5226">
            <v>0</v>
          </cell>
          <cell r="O5226">
            <v>2.1045100000000001E-2</v>
          </cell>
          <cell r="P5226">
            <v>0</v>
          </cell>
          <cell r="Q5226">
            <v>0.26626129999999998</v>
          </cell>
          <cell r="R5226">
            <v>0</v>
          </cell>
          <cell r="S5226">
            <v>0</v>
          </cell>
          <cell r="T5226">
            <v>0</v>
          </cell>
          <cell r="U5226">
            <v>28.901734000000001</v>
          </cell>
          <cell r="V5226">
            <v>0</v>
          </cell>
          <cell r="W5226">
            <v>0</v>
          </cell>
          <cell r="X5226">
            <v>7.7758400000000005E-2</v>
          </cell>
          <cell r="Y5226">
            <v>0</v>
          </cell>
          <cell r="Z5226">
            <v>0</v>
          </cell>
          <cell r="AA5226">
            <v>0</v>
          </cell>
          <cell r="AB5226">
            <v>3.1744700000000001E-2</v>
          </cell>
        </row>
        <row r="5227">
          <cell r="A5227">
            <v>75221061</v>
          </cell>
          <cell r="B5227" t="str">
            <v>Onions, green, cooked, from fresh, fat added in cooking</v>
          </cell>
          <cell r="I5227">
            <v>30</v>
          </cell>
          <cell r="J5227">
            <v>14.178034999999999</v>
          </cell>
          <cell r="K5227">
            <v>0.47260116666666663</v>
          </cell>
          <cell r="L5227">
            <v>0.75144509999999998</v>
          </cell>
          <cell r="M5227">
            <v>0.1210266</v>
          </cell>
          <cell r="N5227">
            <v>0</v>
          </cell>
          <cell r="O5227">
            <v>2.1045100000000001E-2</v>
          </cell>
          <cell r="P5227">
            <v>0</v>
          </cell>
          <cell r="Q5227">
            <v>0.26626129999999998</v>
          </cell>
          <cell r="R5227">
            <v>0</v>
          </cell>
          <cell r="S5227">
            <v>0</v>
          </cell>
          <cell r="T5227">
            <v>0</v>
          </cell>
          <cell r="U5227">
            <v>28.901734000000001</v>
          </cell>
          <cell r="V5227">
            <v>0</v>
          </cell>
          <cell r="W5227">
            <v>0</v>
          </cell>
          <cell r="X5227">
            <v>7.7758400000000005E-2</v>
          </cell>
          <cell r="Y5227">
            <v>0</v>
          </cell>
          <cell r="Z5227">
            <v>0</v>
          </cell>
          <cell r="AA5227">
            <v>0</v>
          </cell>
          <cell r="AB5227">
            <v>3.3886699999999999E-2</v>
          </cell>
        </row>
        <row r="5228">
          <cell r="A5228">
            <v>75221160</v>
          </cell>
          <cell r="B5228" t="str">
            <v>Palm hearts, cooked, assume fat not added in cooking</v>
          </cell>
          <cell r="I5228">
            <v>85</v>
          </cell>
          <cell r="J5228">
            <v>97.166998000000007</v>
          </cell>
          <cell r="K5228">
            <v>1.1431411529411766</v>
          </cell>
          <cell r="L5228">
            <v>1.2673956</v>
          </cell>
          <cell r="M5228">
            <v>3.88668E-2</v>
          </cell>
          <cell r="N5228">
            <v>0</v>
          </cell>
          <cell r="O5228">
            <v>1.5330399999999999E-2</v>
          </cell>
          <cell r="P5228">
            <v>0</v>
          </cell>
          <cell r="Q5228">
            <v>7.5198799999999996E-2</v>
          </cell>
          <cell r="R5228">
            <v>0</v>
          </cell>
          <cell r="S5228">
            <v>0</v>
          </cell>
          <cell r="T5228">
            <v>0</v>
          </cell>
          <cell r="U5228">
            <v>84.493042000000003</v>
          </cell>
          <cell r="V5228">
            <v>0</v>
          </cell>
          <cell r="W5228">
            <v>0</v>
          </cell>
          <cell r="X5228">
            <v>0.2083159</v>
          </cell>
          <cell r="Y5228">
            <v>0</v>
          </cell>
          <cell r="Z5228">
            <v>0</v>
          </cell>
          <cell r="AA5228">
            <v>0</v>
          </cell>
          <cell r="AB5228">
            <v>0</v>
          </cell>
        </row>
        <row r="5229">
          <cell r="A5229">
            <v>75222000</v>
          </cell>
          <cell r="B5229" t="str">
            <v>Parsnips, cooked, NS as to fat added in cooking</v>
          </cell>
          <cell r="I5229">
            <v>85</v>
          </cell>
          <cell r="J5229">
            <v>74.203406999999999</v>
          </cell>
          <cell r="K5229">
            <v>0.87298125882352939</v>
          </cell>
          <cell r="L5229">
            <v>0</v>
          </cell>
          <cell r="M5229">
            <v>0.92717709999999998</v>
          </cell>
          <cell r="N5229">
            <v>0</v>
          </cell>
          <cell r="O5229">
            <v>3.1028699999999999E-2</v>
          </cell>
          <cell r="P5229">
            <v>2.9516041999999998</v>
          </cell>
          <cell r="Q5229">
            <v>0.3471399</v>
          </cell>
          <cell r="R5229">
            <v>0</v>
          </cell>
          <cell r="S5229">
            <v>0</v>
          </cell>
          <cell r="T5229">
            <v>0</v>
          </cell>
          <cell r="U5229">
            <v>0</v>
          </cell>
          <cell r="V5229">
            <v>0</v>
          </cell>
          <cell r="W5229">
            <v>0</v>
          </cell>
          <cell r="X5229">
            <v>0.2282362</v>
          </cell>
          <cell r="Y5229">
            <v>0</v>
          </cell>
          <cell r="Z5229">
            <v>0</v>
          </cell>
          <cell r="AA5229">
            <v>0</v>
          </cell>
          <cell r="AB5229">
            <v>8.5309700000000002E-2</v>
          </cell>
        </row>
        <row r="5230">
          <cell r="A5230">
            <v>75222010</v>
          </cell>
          <cell r="B5230" t="str">
            <v>Parsnips, cooked, fat not added in cooking</v>
          </cell>
          <cell r="I5230">
            <v>85</v>
          </cell>
          <cell r="J5230">
            <v>59.99006</v>
          </cell>
          <cell r="K5230">
            <v>0.70576541176470586</v>
          </cell>
          <cell r="L5230">
            <v>0</v>
          </cell>
          <cell r="M5230">
            <v>4.2246499999999999E-2</v>
          </cell>
          <cell r="N5230">
            <v>0</v>
          </cell>
          <cell r="O5230">
            <v>3.1384099999999998E-2</v>
          </cell>
          <cell r="P5230">
            <v>3.0417494999999999</v>
          </cell>
          <cell r="Q5230">
            <v>3.9711700000000003E-2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  <cell r="V5230">
            <v>0</v>
          </cell>
          <cell r="W5230">
            <v>0</v>
          </cell>
          <cell r="X5230">
            <v>0.20493620000000001</v>
          </cell>
          <cell r="Y5230">
            <v>0</v>
          </cell>
          <cell r="Z5230">
            <v>0</v>
          </cell>
          <cell r="AA5230">
            <v>0</v>
          </cell>
          <cell r="AB5230">
            <v>0</v>
          </cell>
        </row>
        <row r="5231">
          <cell r="A5231">
            <v>75222022</v>
          </cell>
          <cell r="B5231" t="str">
            <v>Parsnips, cooked, made with butter</v>
          </cell>
          <cell r="I5231">
            <v>85</v>
          </cell>
          <cell r="J5231">
            <v>76.032678000000004</v>
          </cell>
          <cell r="K5231">
            <v>0.89450209411764714</v>
          </cell>
          <cell r="L5231">
            <v>0</v>
          </cell>
          <cell r="M5231">
            <v>1.3177067</v>
          </cell>
          <cell r="N5231">
            <v>0</v>
          </cell>
          <cell r="O5231">
            <v>3.1058599999999999E-2</v>
          </cell>
          <cell r="P5231">
            <v>2.9516041999999998</v>
          </cell>
          <cell r="Q5231">
            <v>0.1141663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0.22788079999999999</v>
          </cell>
          <cell r="Y5231">
            <v>0</v>
          </cell>
          <cell r="Z5231">
            <v>0</v>
          </cell>
          <cell r="AA5231">
            <v>0</v>
          </cell>
          <cell r="AB5231">
            <v>8.1472199999999995E-2</v>
          </cell>
        </row>
        <row r="5232">
          <cell r="A5232">
            <v>75223000</v>
          </cell>
          <cell r="B5232" t="str">
            <v>Peas, cowpeas, field peas, or blackeye peas (not dried), cooked, NS as to form, NS as to fat added in cooking</v>
          </cell>
          <cell r="I5232">
            <v>85</v>
          </cell>
          <cell r="J5232">
            <v>92.403899999999993</v>
          </cell>
          <cell r="K5232">
            <v>1.0871047058823529</v>
          </cell>
          <cell r="L5232">
            <v>7.5500000000000004E-16</v>
          </cell>
          <cell r="M5232">
            <v>0.36762050000000002</v>
          </cell>
          <cell r="N5232">
            <v>0</v>
          </cell>
          <cell r="O5232">
            <v>0.10574649999999999</v>
          </cell>
          <cell r="P5232">
            <v>4.1066409000000004</v>
          </cell>
          <cell r="Q5232">
            <v>0.76485369999999997</v>
          </cell>
          <cell r="R5232">
            <v>0</v>
          </cell>
          <cell r="S5232">
            <v>0</v>
          </cell>
          <cell r="T5232">
            <v>0</v>
          </cell>
          <cell r="U5232">
            <v>0</v>
          </cell>
          <cell r="V5232">
            <v>0</v>
          </cell>
          <cell r="W5232">
            <v>0</v>
          </cell>
          <cell r="X5232">
            <v>0.20379929999999999</v>
          </cell>
          <cell r="Y5232">
            <v>0</v>
          </cell>
          <cell r="Z5232">
            <v>0</v>
          </cell>
          <cell r="AA5232">
            <v>0</v>
          </cell>
          <cell r="AB5232">
            <v>7.8513200000000005E-2</v>
          </cell>
        </row>
        <row r="5233">
          <cell r="A5233">
            <v>75223002</v>
          </cell>
          <cell r="B5233" t="str">
            <v>Peas, cowpeas, field peas, or blackeye peas (not dried), cooked, from frozen, NS as to fat added in cooking</v>
          </cell>
          <cell r="I5233">
            <v>85</v>
          </cell>
          <cell r="J5233">
            <v>120.89577</v>
          </cell>
          <cell r="K5233">
            <v>1.4223031764705882</v>
          </cell>
          <cell r="L5233">
            <v>0</v>
          </cell>
          <cell r="M5233">
            <v>0.42443320000000001</v>
          </cell>
          <cell r="N5233">
            <v>0</v>
          </cell>
          <cell r="O5233">
            <v>1.95082E-2</v>
          </cell>
          <cell r="P5233">
            <v>5.2617205</v>
          </cell>
          <cell r="Q5233">
            <v>0.8448234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0.1989205</v>
          </cell>
          <cell r="Y5233">
            <v>0</v>
          </cell>
          <cell r="Z5233">
            <v>0</v>
          </cell>
          <cell r="AA5233">
            <v>0</v>
          </cell>
          <cell r="AB5233">
            <v>7.8513200000000005E-2</v>
          </cell>
        </row>
        <row r="5234">
          <cell r="A5234">
            <v>75223003</v>
          </cell>
          <cell r="B5234" t="str">
            <v>Peas, cowpeas, field peas, or blackeye peas, not dried, cooked, from canned, NS as to fat added in cooking</v>
          </cell>
          <cell r="I5234">
            <v>130</v>
          </cell>
          <cell r="J5234">
            <v>187.81958</v>
          </cell>
          <cell r="K5234">
            <v>1.444766</v>
          </cell>
          <cell r="L5234">
            <v>-1.15E-15</v>
          </cell>
          <cell r="M5234">
            <v>1.4620360999999999</v>
          </cell>
          <cell r="N5234">
            <v>0</v>
          </cell>
          <cell r="O5234">
            <v>2.99052E-2</v>
          </cell>
          <cell r="P5234">
            <v>8.0190952000000006</v>
          </cell>
          <cell r="Q5234">
            <v>0.78361670000000005</v>
          </cell>
          <cell r="R5234">
            <v>0</v>
          </cell>
          <cell r="S5234">
            <v>0</v>
          </cell>
          <cell r="T5234">
            <v>0</v>
          </cell>
          <cell r="U5234">
            <v>0</v>
          </cell>
          <cell r="V5234">
            <v>0</v>
          </cell>
          <cell r="W5234">
            <v>0</v>
          </cell>
          <cell r="X5234">
            <v>0.5005233</v>
          </cell>
          <cell r="Y5234">
            <v>0</v>
          </cell>
          <cell r="Z5234">
            <v>0</v>
          </cell>
          <cell r="AA5234">
            <v>0</v>
          </cell>
          <cell r="AB5234">
            <v>0.11963650000000001</v>
          </cell>
        </row>
        <row r="5235">
          <cell r="A5235">
            <v>75223011</v>
          </cell>
          <cell r="B5235" t="str">
            <v>Peas, cowpeas, field peas, or blackeye peas, not dried, cooked, from fresh, fat not added in cooking</v>
          </cell>
          <cell r="I5235">
            <v>85</v>
          </cell>
          <cell r="J5235">
            <v>81.953312999999994</v>
          </cell>
          <cell r="K5235">
            <v>0.96415662352941167</v>
          </cell>
          <cell r="L5235">
            <v>0</v>
          </cell>
          <cell r="M5235">
            <v>8.1108399999999997E-2</v>
          </cell>
          <cell r="N5235">
            <v>0</v>
          </cell>
          <cell r="O5235">
            <v>0.1082675</v>
          </cell>
          <cell r="P5235">
            <v>4.2243975999999996</v>
          </cell>
          <cell r="Q5235">
            <v>0.1360256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0</v>
          </cell>
          <cell r="W5235">
            <v>0</v>
          </cell>
          <cell r="X5235">
            <v>0.2018392</v>
          </cell>
          <cell r="Y5235">
            <v>0</v>
          </cell>
          <cell r="Z5235">
            <v>0</v>
          </cell>
          <cell r="AA5235">
            <v>0</v>
          </cell>
          <cell r="AB5235">
            <v>0</v>
          </cell>
        </row>
        <row r="5236">
          <cell r="A5236">
            <v>75223012</v>
          </cell>
          <cell r="B5236" t="str">
            <v>Peas, cowpeas, field peas, or blackeye peas, not dried, cooked, from frozen, fat not added in cooking</v>
          </cell>
          <cell r="I5236">
            <v>85</v>
          </cell>
          <cell r="J5236">
            <v>111.54386</v>
          </cell>
          <cell r="K5236">
            <v>1.3122807058823529</v>
          </cell>
          <cell r="L5236">
            <v>7.5500000000000004E-16</v>
          </cell>
          <cell r="M5236">
            <v>0.14788009999999999</v>
          </cell>
          <cell r="N5236">
            <v>0</v>
          </cell>
          <cell r="O5236">
            <v>1.9554999999999999E-2</v>
          </cell>
          <cell r="P5236">
            <v>5.4081871000000001</v>
          </cell>
          <cell r="Q5236">
            <v>0.23660819999999999</v>
          </cell>
          <cell r="R5236">
            <v>0</v>
          </cell>
          <cell r="S5236">
            <v>0</v>
          </cell>
          <cell r="T5236">
            <v>0</v>
          </cell>
          <cell r="U5236">
            <v>0</v>
          </cell>
          <cell r="V5236">
            <v>0</v>
          </cell>
          <cell r="W5236">
            <v>0</v>
          </cell>
          <cell r="X5236">
            <v>0.1968819</v>
          </cell>
          <cell r="Y5236">
            <v>0</v>
          </cell>
          <cell r="Z5236">
            <v>0</v>
          </cell>
          <cell r="AA5236">
            <v>0</v>
          </cell>
          <cell r="AB5236">
            <v>0</v>
          </cell>
        </row>
        <row r="5237">
          <cell r="A5237">
            <v>75223013</v>
          </cell>
          <cell r="B5237" t="str">
            <v>Peas, cowpeas, field peas, or blackeye peas (not dried), cooked, from canned, fat not added in cooking</v>
          </cell>
          <cell r="I5237">
            <v>130</v>
          </cell>
          <cell r="J5237">
            <v>169.95048</v>
          </cell>
          <cell r="K5237">
            <v>1.3073113846153845</v>
          </cell>
          <cell r="L5237">
            <v>0</v>
          </cell>
          <cell r="M5237">
            <v>0.22531309999999999</v>
          </cell>
          <cell r="N5237">
            <v>0</v>
          </cell>
          <cell r="O5237">
            <v>2.9912500000000002E-2</v>
          </cell>
          <cell r="P5237">
            <v>8.2400233000000007</v>
          </cell>
          <cell r="Q5237">
            <v>0.36050100000000002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0.49077140000000002</v>
          </cell>
          <cell r="Y5237">
            <v>0</v>
          </cell>
          <cell r="Z5237">
            <v>0</v>
          </cell>
          <cell r="AA5237">
            <v>0</v>
          </cell>
          <cell r="AB5237">
            <v>0</v>
          </cell>
        </row>
        <row r="5238">
          <cell r="A5238">
            <v>75223020</v>
          </cell>
          <cell r="B5238" t="str">
            <v>Peas, cowpeas, field peas, or blackeye peas (not dried), cooked, NS as to form, fat added in cooking</v>
          </cell>
          <cell r="I5238">
            <v>85</v>
          </cell>
          <cell r="J5238">
            <v>92.403899999999993</v>
          </cell>
          <cell r="K5238">
            <v>1.0871047058823529</v>
          </cell>
          <cell r="L5238">
            <v>7.5500000000000004E-16</v>
          </cell>
          <cell r="M5238">
            <v>0.36762050000000002</v>
          </cell>
          <cell r="N5238">
            <v>0</v>
          </cell>
          <cell r="O5238">
            <v>0.10574649999999999</v>
          </cell>
          <cell r="P5238">
            <v>4.1066409000000004</v>
          </cell>
          <cell r="Q5238">
            <v>0.76485369999999997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0.20379929999999999</v>
          </cell>
          <cell r="Y5238">
            <v>0</v>
          </cell>
          <cell r="Z5238">
            <v>0</v>
          </cell>
          <cell r="AA5238">
            <v>0</v>
          </cell>
          <cell r="AB5238">
            <v>7.8513200000000005E-2</v>
          </cell>
        </row>
        <row r="5239">
          <cell r="A5239">
            <v>75223021</v>
          </cell>
          <cell r="B5239" t="str">
            <v>Peas, cowpeas, field peas, or blackeye peas (not dried), cooked, from fresh, fat added in cooking</v>
          </cell>
          <cell r="I5239">
            <v>85</v>
          </cell>
          <cell r="J5239">
            <v>92.403899999999993</v>
          </cell>
          <cell r="K5239">
            <v>1.0871047058823529</v>
          </cell>
          <cell r="L5239">
            <v>7.5500000000000004E-16</v>
          </cell>
          <cell r="M5239">
            <v>0.36762050000000002</v>
          </cell>
          <cell r="N5239">
            <v>0</v>
          </cell>
          <cell r="O5239">
            <v>0.10574649999999999</v>
          </cell>
          <cell r="P5239">
            <v>4.1066409000000004</v>
          </cell>
          <cell r="Q5239">
            <v>0.76485369999999997</v>
          </cell>
          <cell r="R5239">
            <v>0</v>
          </cell>
          <cell r="S5239">
            <v>0</v>
          </cell>
          <cell r="T5239">
            <v>0</v>
          </cell>
          <cell r="U5239">
            <v>0</v>
          </cell>
          <cell r="V5239">
            <v>0</v>
          </cell>
          <cell r="W5239">
            <v>0</v>
          </cell>
          <cell r="X5239">
            <v>0.20379929999999999</v>
          </cell>
          <cell r="Y5239">
            <v>0</v>
          </cell>
          <cell r="Z5239">
            <v>0</v>
          </cell>
          <cell r="AA5239">
            <v>0</v>
          </cell>
          <cell r="AB5239">
            <v>8.0812599999999998E-2</v>
          </cell>
        </row>
        <row r="5240">
          <cell r="A5240">
            <v>75223022</v>
          </cell>
          <cell r="B5240" t="str">
            <v>Peas, cowpeas, field peas, or blackeye peas (not dried), cooked, from frozen, fat added in cooking</v>
          </cell>
          <cell r="I5240">
            <v>85</v>
          </cell>
          <cell r="J5240">
            <v>120.89577</v>
          </cell>
          <cell r="K5240">
            <v>1.4223031764705882</v>
          </cell>
          <cell r="L5240">
            <v>0</v>
          </cell>
          <cell r="M5240">
            <v>0.42443320000000001</v>
          </cell>
          <cell r="N5240">
            <v>0</v>
          </cell>
          <cell r="O5240">
            <v>1.95082E-2</v>
          </cell>
          <cell r="P5240">
            <v>5.2617205</v>
          </cell>
          <cell r="Q5240">
            <v>0.8448234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>
            <v>0.1989205</v>
          </cell>
          <cell r="Y5240">
            <v>0</v>
          </cell>
          <cell r="Z5240">
            <v>0</v>
          </cell>
          <cell r="AA5240">
            <v>0</v>
          </cell>
          <cell r="AB5240">
            <v>7.8513200000000005E-2</v>
          </cell>
        </row>
        <row r="5241">
          <cell r="A5241">
            <v>75223028</v>
          </cell>
          <cell r="B5241" t="str">
            <v>Peas, cowpeas, field peas, or blackeye peas, not dried, cooked, from fresh, made with butter</v>
          </cell>
          <cell r="I5241">
            <v>85</v>
          </cell>
          <cell r="J5241">
            <v>96.564374000000001</v>
          </cell>
          <cell r="K5241">
            <v>1.1360514588235293</v>
          </cell>
          <cell r="L5241">
            <v>7.5500000000000004E-16</v>
          </cell>
          <cell r="M5241">
            <v>1.2882719</v>
          </cell>
          <cell r="N5241">
            <v>0</v>
          </cell>
          <cell r="O5241">
            <v>0.1058336</v>
          </cell>
          <cell r="P5241">
            <v>4.1073865999999999</v>
          </cell>
          <cell r="Q5241">
            <v>0.20390240000000001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0</v>
          </cell>
          <cell r="W5241">
            <v>0</v>
          </cell>
          <cell r="X5241">
            <v>0.2113873</v>
          </cell>
          <cell r="Y5241">
            <v>0</v>
          </cell>
          <cell r="Z5241">
            <v>0</v>
          </cell>
          <cell r="AA5241">
            <v>0</v>
          </cell>
          <cell r="AB5241">
            <v>7.7177399999999993E-2</v>
          </cell>
        </row>
        <row r="5242">
          <cell r="A5242">
            <v>75223030</v>
          </cell>
          <cell r="B5242" t="str">
            <v>Peas, cowpeas, field peas, or blackeye peas, not dried, cooked, from frozen, made with oil</v>
          </cell>
          <cell r="I5242">
            <v>85</v>
          </cell>
          <cell r="J5242">
            <v>128.13478000000001</v>
          </cell>
          <cell r="K5242">
            <v>1.507468</v>
          </cell>
          <cell r="L5242">
            <v>0</v>
          </cell>
          <cell r="M5242">
            <v>0.44484259999999998</v>
          </cell>
          <cell r="N5242">
            <v>0</v>
          </cell>
          <cell r="O5242">
            <v>1.9054499999999999E-2</v>
          </cell>
          <cell r="P5242">
            <v>5.2682548999999996</v>
          </cell>
          <cell r="Q5242">
            <v>1.1363734000000001</v>
          </cell>
          <cell r="R5242">
            <v>0</v>
          </cell>
          <cell r="S5242">
            <v>0</v>
          </cell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>
            <v>0.19179869999999999</v>
          </cell>
          <cell r="Y5242">
            <v>0</v>
          </cell>
          <cell r="Z5242">
            <v>0</v>
          </cell>
          <cell r="AA5242">
            <v>0</v>
          </cell>
          <cell r="AB5242">
            <v>7.7932000000000001E-3</v>
          </cell>
        </row>
        <row r="5243">
          <cell r="A5243">
            <v>75223033</v>
          </cell>
          <cell r="B5243" t="str">
            <v>Peas, cowpeas, field peas, or blackeye peas (not dried), cooked, from canned, made with oil</v>
          </cell>
          <cell r="I5243">
            <v>130</v>
          </cell>
          <cell r="J5243">
            <v>195.24788000000001</v>
          </cell>
          <cell r="K5243">
            <v>1.5019067692307693</v>
          </cell>
          <cell r="L5243">
            <v>-1.15E-15</v>
          </cell>
          <cell r="M5243">
            <v>0.67783760000000004</v>
          </cell>
          <cell r="N5243">
            <v>0</v>
          </cell>
          <cell r="O5243">
            <v>2.91498E-2</v>
          </cell>
          <cell r="P5243">
            <v>8.0276061999999992</v>
          </cell>
          <cell r="Q5243">
            <v>1.7315712000000001</v>
          </cell>
          <cell r="R5243">
            <v>0</v>
          </cell>
          <cell r="S5243">
            <v>0</v>
          </cell>
          <cell r="T5243">
            <v>0</v>
          </cell>
          <cell r="U5243">
            <v>0</v>
          </cell>
          <cell r="V5243">
            <v>0</v>
          </cell>
          <cell r="W5243">
            <v>0</v>
          </cell>
          <cell r="X5243">
            <v>0.47813670000000003</v>
          </cell>
          <cell r="Y5243">
            <v>0</v>
          </cell>
          <cell r="Z5243">
            <v>0</v>
          </cell>
          <cell r="AA5243">
            <v>0</v>
          </cell>
          <cell r="AB5243">
            <v>1.18751E-2</v>
          </cell>
        </row>
        <row r="5244">
          <cell r="A5244">
            <v>75223034</v>
          </cell>
          <cell r="B5244" t="str">
            <v>Peas, cowpeas, field peas, or blackeye peas, not dried, cooked, from canned, made with butter</v>
          </cell>
          <cell r="I5244">
            <v>130</v>
          </cell>
          <cell r="J5244">
            <v>190.38490999999999</v>
          </cell>
          <cell r="K5244">
            <v>1.4644993076923076</v>
          </cell>
          <cell r="L5244">
            <v>-1.15E-15</v>
          </cell>
          <cell r="M5244">
            <v>2.0097067000000002</v>
          </cell>
          <cell r="N5244">
            <v>0</v>
          </cell>
          <cell r="O5244">
            <v>2.9947000000000001E-2</v>
          </cell>
          <cell r="P5244">
            <v>8.0190952000000006</v>
          </cell>
          <cell r="Q5244">
            <v>0.45689940000000001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0.50002480000000005</v>
          </cell>
          <cell r="Y5244">
            <v>0</v>
          </cell>
          <cell r="Z5244">
            <v>0</v>
          </cell>
          <cell r="AA5244">
            <v>0</v>
          </cell>
          <cell r="AB5244">
            <v>0.11425490000000001</v>
          </cell>
        </row>
        <row r="5245">
          <cell r="A5245">
            <v>75224010</v>
          </cell>
          <cell r="B5245" t="str">
            <v>Peas, green, cooked, NS as to form, NS as to fat added in cooking</v>
          </cell>
          <cell r="I5245">
            <v>85</v>
          </cell>
          <cell r="J5245">
            <v>79.613361999999995</v>
          </cell>
          <cell r="K5245">
            <v>0.93662778823529402</v>
          </cell>
          <cell r="L5245">
            <v>7.5500000000000004E-16</v>
          </cell>
          <cell r="M5245">
            <v>0.90500409999999998</v>
          </cell>
          <cell r="N5245">
            <v>0</v>
          </cell>
          <cell r="O5245">
            <v>2.0370900000000001E-2</v>
          </cell>
          <cell r="P5245">
            <v>3.6927756</v>
          </cell>
          <cell r="Q5245">
            <v>0.40701619999999999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0.27381100000000003</v>
          </cell>
          <cell r="Y5245">
            <v>0</v>
          </cell>
          <cell r="Z5245">
            <v>0</v>
          </cell>
          <cell r="AA5245">
            <v>0</v>
          </cell>
          <cell r="AB5245">
            <v>8.3250599999999994E-2</v>
          </cell>
        </row>
        <row r="5246">
          <cell r="A5246">
            <v>75224011</v>
          </cell>
          <cell r="B5246" t="str">
            <v>Peas, green, cooked, from fresh, NS as to fat added in cooking</v>
          </cell>
          <cell r="I5246">
            <v>85</v>
          </cell>
          <cell r="J5246">
            <v>84.537062000000006</v>
          </cell>
          <cell r="K5246">
            <v>0.99455367058823541</v>
          </cell>
          <cell r="L5246">
            <v>0</v>
          </cell>
          <cell r="M5246">
            <v>0.89679790000000004</v>
          </cell>
          <cell r="N5246">
            <v>0</v>
          </cell>
          <cell r="O5246">
            <v>2.2832700000000001E-2</v>
          </cell>
          <cell r="P5246">
            <v>4.5133922999999996</v>
          </cell>
          <cell r="Q5246">
            <v>0.38485950000000002</v>
          </cell>
          <cell r="R5246">
            <v>0</v>
          </cell>
          <cell r="S5246">
            <v>0</v>
          </cell>
          <cell r="T5246">
            <v>0</v>
          </cell>
          <cell r="U5246">
            <v>0</v>
          </cell>
          <cell r="V5246">
            <v>0</v>
          </cell>
          <cell r="W5246">
            <v>0</v>
          </cell>
          <cell r="X5246">
            <v>0.2171884</v>
          </cell>
          <cell r="Y5246">
            <v>0</v>
          </cell>
          <cell r="Z5246">
            <v>0</v>
          </cell>
          <cell r="AA5246">
            <v>0</v>
          </cell>
          <cell r="AB5246">
            <v>8.3250599999999994E-2</v>
          </cell>
        </row>
        <row r="5247">
          <cell r="A5247">
            <v>75224013</v>
          </cell>
          <cell r="B5247" t="str">
            <v>Peas, green, cooked, from canned, NS as to fat added in cooking</v>
          </cell>
          <cell r="I5247">
            <v>130</v>
          </cell>
          <cell r="J5247">
            <v>108.39684</v>
          </cell>
          <cell r="K5247">
            <v>0.83382184615384614</v>
          </cell>
          <cell r="L5247">
            <v>0</v>
          </cell>
          <cell r="M5247">
            <v>1.4320899</v>
          </cell>
          <cell r="N5247">
            <v>0</v>
          </cell>
          <cell r="O5247">
            <v>2.98959E-2</v>
          </cell>
          <cell r="P5247">
            <v>6.1834419</v>
          </cell>
          <cell r="Q5247">
            <v>0.90909289999999998</v>
          </cell>
          <cell r="R5247">
            <v>0</v>
          </cell>
          <cell r="S5247">
            <v>0</v>
          </cell>
          <cell r="T5247">
            <v>0</v>
          </cell>
          <cell r="U5247">
            <v>0</v>
          </cell>
          <cell r="V5247">
            <v>0</v>
          </cell>
          <cell r="W5247">
            <v>0</v>
          </cell>
          <cell r="X5247">
            <v>0.48266160000000002</v>
          </cell>
          <cell r="Y5247">
            <v>0</v>
          </cell>
          <cell r="Z5247">
            <v>0</v>
          </cell>
          <cell r="AA5247">
            <v>0</v>
          </cell>
          <cell r="AB5247">
            <v>0.1204904</v>
          </cell>
        </row>
        <row r="5248">
          <cell r="A5248">
            <v>75224020</v>
          </cell>
          <cell r="B5248" t="str">
            <v>Peas, green, cooked, NS as to form, fat not added in cooking</v>
          </cell>
          <cell r="I5248">
            <v>85</v>
          </cell>
          <cell r="J5248">
            <v>65.888199</v>
          </cell>
          <cell r="K5248">
            <v>0.77515528235294118</v>
          </cell>
          <cell r="L5248">
            <v>7.5500000000000004E-16</v>
          </cell>
          <cell r="M5248">
            <v>4.1391299999999999E-2</v>
          </cell>
          <cell r="N5248">
            <v>0</v>
          </cell>
          <cell r="O5248">
            <v>2.0400000000000001E-2</v>
          </cell>
          <cell r="P5248">
            <v>3.8012421999999999</v>
          </cell>
          <cell r="Q5248">
            <v>0.10896889999999999</v>
          </cell>
          <cell r="R5248">
            <v>0</v>
          </cell>
          <cell r="S5248">
            <v>0</v>
          </cell>
          <cell r="T5248">
            <v>0</v>
          </cell>
          <cell r="U5248">
            <v>0</v>
          </cell>
          <cell r="V5248">
            <v>0</v>
          </cell>
          <cell r="W5248">
            <v>0</v>
          </cell>
          <cell r="X5248">
            <v>0.26544289999999998</v>
          </cell>
          <cell r="Y5248">
            <v>0</v>
          </cell>
          <cell r="Z5248">
            <v>0</v>
          </cell>
          <cell r="AA5248">
            <v>0</v>
          </cell>
          <cell r="AB5248">
            <v>0</v>
          </cell>
        </row>
        <row r="5249">
          <cell r="A5249">
            <v>75224021</v>
          </cell>
          <cell r="B5249" t="str">
            <v>Peas, green, cooked, from fresh, fat not added in cooking</v>
          </cell>
          <cell r="I5249">
            <v>85</v>
          </cell>
          <cell r="J5249">
            <v>70.956522000000007</v>
          </cell>
          <cell r="K5249">
            <v>0.83478261176470592</v>
          </cell>
          <cell r="L5249">
            <v>7.5500000000000004E-16</v>
          </cell>
          <cell r="M5249">
            <v>3.2944099999999997E-2</v>
          </cell>
          <cell r="N5249">
            <v>0</v>
          </cell>
          <cell r="O5249">
            <v>2.2934199999999998E-2</v>
          </cell>
          <cell r="P5249">
            <v>4.6459627000000001</v>
          </cell>
          <cell r="Q5249">
            <v>8.6161500000000002E-2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  <cell r="V5249">
            <v>0</v>
          </cell>
          <cell r="W5249">
            <v>0</v>
          </cell>
          <cell r="X5249">
            <v>0.20715710000000001</v>
          </cell>
          <cell r="Y5249">
            <v>0</v>
          </cell>
          <cell r="Z5249">
            <v>0</v>
          </cell>
          <cell r="AA5249">
            <v>0</v>
          </cell>
          <cell r="AB5249">
            <v>0</v>
          </cell>
        </row>
        <row r="5250">
          <cell r="A5250">
            <v>75224022</v>
          </cell>
          <cell r="B5250" t="str">
            <v>Peas, green, cooked, from frozen, fat not added in cooking</v>
          </cell>
          <cell r="I5250">
            <v>85</v>
          </cell>
          <cell r="J5250">
            <v>65.888199</v>
          </cell>
          <cell r="K5250">
            <v>0.77515528235294118</v>
          </cell>
          <cell r="L5250">
            <v>7.5500000000000004E-16</v>
          </cell>
          <cell r="M5250">
            <v>4.1391299999999999E-2</v>
          </cell>
          <cell r="N5250">
            <v>0</v>
          </cell>
          <cell r="O5250">
            <v>2.0400000000000001E-2</v>
          </cell>
          <cell r="P5250">
            <v>3.8012421999999999</v>
          </cell>
          <cell r="Q5250">
            <v>0.10896889999999999</v>
          </cell>
          <cell r="R5250">
            <v>0</v>
          </cell>
          <cell r="S5250">
            <v>0</v>
          </cell>
          <cell r="T5250">
            <v>0</v>
          </cell>
          <cell r="U5250">
            <v>0</v>
          </cell>
          <cell r="V5250">
            <v>0</v>
          </cell>
          <cell r="W5250">
            <v>0</v>
          </cell>
          <cell r="X5250">
            <v>0.26544289999999998</v>
          </cell>
          <cell r="Y5250">
            <v>0</v>
          </cell>
          <cell r="Z5250">
            <v>0</v>
          </cell>
          <cell r="AA5250">
            <v>0</v>
          </cell>
          <cell r="AB5250">
            <v>0</v>
          </cell>
        </row>
        <row r="5251">
          <cell r="A5251">
            <v>75224023</v>
          </cell>
          <cell r="B5251" t="str">
            <v>Peas, green, cooked, from canned, fat not added in cooking</v>
          </cell>
          <cell r="I5251">
            <v>130</v>
          </cell>
          <cell r="J5251">
            <v>88.192487999999997</v>
          </cell>
          <cell r="K5251">
            <v>0.67840375384615381</v>
          </cell>
          <cell r="L5251">
            <v>0</v>
          </cell>
          <cell r="M5251">
            <v>0.18546360000000001</v>
          </cell>
          <cell r="N5251">
            <v>0</v>
          </cell>
          <cell r="O5251">
            <v>2.9903099999999998E-2</v>
          </cell>
          <cell r="P5251">
            <v>6.3550468999999996</v>
          </cell>
          <cell r="Q5251">
            <v>0.4863556</v>
          </cell>
          <cell r="R5251">
            <v>0</v>
          </cell>
          <cell r="S5251">
            <v>0</v>
          </cell>
          <cell r="T5251">
            <v>0</v>
          </cell>
          <cell r="U5251">
            <v>0</v>
          </cell>
          <cell r="V5251">
            <v>0</v>
          </cell>
          <cell r="W5251">
            <v>0</v>
          </cell>
          <cell r="X5251">
            <v>0.4723425</v>
          </cell>
          <cell r="Y5251">
            <v>0</v>
          </cell>
          <cell r="Z5251">
            <v>0</v>
          </cell>
          <cell r="AA5251">
            <v>0</v>
          </cell>
          <cell r="AB5251">
            <v>0</v>
          </cell>
        </row>
        <row r="5252">
          <cell r="A5252">
            <v>75224030</v>
          </cell>
          <cell r="B5252" t="str">
            <v>Peas, green, cooked, NS as to form, fat added in cooking, NS as to type of fat</v>
          </cell>
          <cell r="I5252">
            <v>85</v>
          </cell>
          <cell r="J5252">
            <v>79.632581999999999</v>
          </cell>
          <cell r="K5252">
            <v>0.93685390588235296</v>
          </cell>
          <cell r="L5252">
            <v>0</v>
          </cell>
          <cell r="M5252">
            <v>0.90522259999999999</v>
          </cell>
          <cell r="N5252">
            <v>0</v>
          </cell>
          <cell r="O5252">
            <v>2.0370900000000001E-2</v>
          </cell>
          <cell r="P5252">
            <v>3.6936670999999999</v>
          </cell>
          <cell r="Q5252">
            <v>0.40711449999999999</v>
          </cell>
          <cell r="R5252">
            <v>0</v>
          </cell>
          <cell r="S5252">
            <v>0</v>
          </cell>
          <cell r="T5252">
            <v>0</v>
          </cell>
          <cell r="U5252">
            <v>0</v>
          </cell>
          <cell r="V5252">
            <v>0</v>
          </cell>
          <cell r="W5252">
            <v>0</v>
          </cell>
          <cell r="X5252">
            <v>0.26592379999999999</v>
          </cell>
          <cell r="Y5252">
            <v>0</v>
          </cell>
          <cell r="Z5252">
            <v>0</v>
          </cell>
          <cell r="AA5252">
            <v>0</v>
          </cell>
          <cell r="AB5252">
            <v>8.3270700000000003E-2</v>
          </cell>
        </row>
        <row r="5253">
          <cell r="A5253">
            <v>75224031</v>
          </cell>
          <cell r="B5253" t="str">
            <v>Peas, green, cooked, from fresh, fat added in cooking</v>
          </cell>
          <cell r="I5253">
            <v>85</v>
          </cell>
          <cell r="J5253">
            <v>82.038127000000003</v>
          </cell>
          <cell r="K5253">
            <v>0.96515443529411771</v>
          </cell>
          <cell r="L5253">
            <v>0</v>
          </cell>
          <cell r="M5253">
            <v>0.32948169999999999</v>
          </cell>
          <cell r="N5253">
            <v>0</v>
          </cell>
          <cell r="O5253">
            <v>2.2787499999999999E-2</v>
          </cell>
          <cell r="P5253">
            <v>4.5125482999999997</v>
          </cell>
          <cell r="Q5253">
            <v>0.73538950000000003</v>
          </cell>
          <cell r="R5253">
            <v>0</v>
          </cell>
          <cell r="S5253">
            <v>0</v>
          </cell>
          <cell r="T5253">
            <v>0</v>
          </cell>
          <cell r="U5253">
            <v>0</v>
          </cell>
          <cell r="V5253">
            <v>0</v>
          </cell>
          <cell r="W5253">
            <v>0</v>
          </cell>
          <cell r="X5253">
            <v>0.20902370000000001</v>
          </cell>
          <cell r="Y5253">
            <v>0</v>
          </cell>
          <cell r="Z5253">
            <v>0</v>
          </cell>
          <cell r="AA5253">
            <v>0</v>
          </cell>
          <cell r="AB5253">
            <v>8.3250599999999994E-2</v>
          </cell>
        </row>
        <row r="5254">
          <cell r="A5254">
            <v>75224032</v>
          </cell>
          <cell r="B5254" t="str">
            <v>Peas, green, cooked, from frozen, fat added in cooking</v>
          </cell>
          <cell r="I5254">
            <v>85</v>
          </cell>
          <cell r="J5254">
            <v>77.115347</v>
          </cell>
          <cell r="K5254">
            <v>0.90723937647058828</v>
          </cell>
          <cell r="L5254">
            <v>0</v>
          </cell>
          <cell r="M5254">
            <v>0.33768629999999999</v>
          </cell>
          <cell r="N5254">
            <v>0</v>
          </cell>
          <cell r="O5254">
            <v>2.0326199999999999E-2</v>
          </cell>
          <cell r="P5254">
            <v>4.5125482999999997</v>
          </cell>
          <cell r="Q5254">
            <v>0.75754200000000005</v>
          </cell>
          <cell r="R5254">
            <v>0</v>
          </cell>
          <cell r="S5254">
            <v>0</v>
          </cell>
          <cell r="T5254">
            <v>0</v>
          </cell>
          <cell r="U5254">
            <v>0</v>
          </cell>
          <cell r="V5254">
            <v>0</v>
          </cell>
          <cell r="W5254">
            <v>0</v>
          </cell>
          <cell r="X5254">
            <v>0.26563569999999997</v>
          </cell>
          <cell r="Y5254">
            <v>0</v>
          </cell>
          <cell r="Z5254">
            <v>0</v>
          </cell>
          <cell r="AA5254">
            <v>0</v>
          </cell>
          <cell r="AB5254">
            <v>8.3250599999999994E-2</v>
          </cell>
        </row>
        <row r="5255">
          <cell r="A5255">
            <v>75224033</v>
          </cell>
          <cell r="B5255" t="str">
            <v>Peas, green, cooked, from canned, fat added in cooking</v>
          </cell>
          <cell r="I5255">
            <v>130</v>
          </cell>
          <cell r="J5255">
            <v>104.99954</v>
          </cell>
          <cell r="K5255">
            <v>0.80768876923076915</v>
          </cell>
          <cell r="L5255">
            <v>0</v>
          </cell>
          <cell r="M5255">
            <v>0.61224049999999997</v>
          </cell>
          <cell r="N5255">
            <v>0</v>
          </cell>
          <cell r="O5255">
            <v>2.98286E-2</v>
          </cell>
          <cell r="P5255">
            <v>6.1950801000000002</v>
          </cell>
          <cell r="Q5255">
            <v>1.4192876000000001</v>
          </cell>
          <cell r="R5255">
            <v>0</v>
          </cell>
          <cell r="S5255">
            <v>0</v>
          </cell>
          <cell r="T5255">
            <v>0</v>
          </cell>
          <cell r="U5255">
            <v>0</v>
          </cell>
          <cell r="V5255">
            <v>0</v>
          </cell>
          <cell r="W5255">
            <v>0</v>
          </cell>
          <cell r="X5255">
            <v>0.36801899999999999</v>
          </cell>
          <cell r="Y5255">
            <v>0</v>
          </cell>
          <cell r="Z5255">
            <v>0</v>
          </cell>
          <cell r="AA5255">
            <v>0</v>
          </cell>
          <cell r="AB5255">
            <v>0.1204904</v>
          </cell>
        </row>
        <row r="5256">
          <cell r="A5256">
            <v>75224040</v>
          </cell>
          <cell r="B5256" t="str">
            <v>Peas, green, cooked, NS as to form, made with oil</v>
          </cell>
          <cell r="I5256">
            <v>85</v>
          </cell>
          <cell r="J5256">
            <v>84.734001000000006</v>
          </cell>
          <cell r="K5256">
            <v>0.99687060000000005</v>
          </cell>
          <cell r="L5256">
            <v>7.5500000000000004E-16</v>
          </cell>
          <cell r="M5256">
            <v>0.35921429999999999</v>
          </cell>
          <cell r="N5256">
            <v>0</v>
          </cell>
          <cell r="O5256">
            <v>1.9846099999999998E-2</v>
          </cell>
          <cell r="P5256">
            <v>3.6969470000000002</v>
          </cell>
          <cell r="Q5256">
            <v>1.0665889</v>
          </cell>
          <cell r="R5256">
            <v>0</v>
          </cell>
          <cell r="S5256">
            <v>0</v>
          </cell>
          <cell r="T5256">
            <v>0</v>
          </cell>
          <cell r="U5256">
            <v>0</v>
          </cell>
          <cell r="V5256">
            <v>0</v>
          </cell>
          <cell r="W5256">
            <v>0</v>
          </cell>
          <cell r="X5256">
            <v>0.2581715</v>
          </cell>
          <cell r="Y5256">
            <v>0</v>
          </cell>
          <cell r="Z5256">
            <v>0</v>
          </cell>
          <cell r="AA5256">
            <v>0</v>
          </cell>
          <cell r="AB5256">
            <v>9.7883999999999992E-3</v>
          </cell>
        </row>
        <row r="5257">
          <cell r="A5257">
            <v>75224043</v>
          </cell>
          <cell r="B5257" t="str">
            <v>Peas, green, cooked, from fresh, made with oil</v>
          </cell>
          <cell r="I5257">
            <v>85</v>
          </cell>
          <cell r="J5257">
            <v>89.663263000000001</v>
          </cell>
          <cell r="K5257">
            <v>1.0548619176470588</v>
          </cell>
          <cell r="L5257">
            <v>0</v>
          </cell>
          <cell r="M5257">
            <v>0.3509989</v>
          </cell>
          <cell r="N5257">
            <v>0</v>
          </cell>
          <cell r="O5257">
            <v>2.2310699999999999E-2</v>
          </cell>
          <cell r="P5257">
            <v>4.5184908000000004</v>
          </cell>
          <cell r="Q5257">
            <v>1.0444073</v>
          </cell>
          <cell r="R5257">
            <v>0</v>
          </cell>
          <cell r="S5257">
            <v>0</v>
          </cell>
          <cell r="T5257">
            <v>0</v>
          </cell>
          <cell r="U5257">
            <v>0</v>
          </cell>
          <cell r="V5257">
            <v>0</v>
          </cell>
          <cell r="W5257">
            <v>0</v>
          </cell>
          <cell r="X5257">
            <v>0.201485</v>
          </cell>
          <cell r="Y5257">
            <v>0</v>
          </cell>
          <cell r="Z5257">
            <v>0</v>
          </cell>
          <cell r="AA5257">
            <v>0</v>
          </cell>
          <cell r="AB5257">
            <v>8.2640000000000005E-3</v>
          </cell>
        </row>
        <row r="5258">
          <cell r="A5258">
            <v>75224046</v>
          </cell>
          <cell r="B5258" t="str">
            <v>Peas, green, cooked, from frozen, made with oil</v>
          </cell>
          <cell r="I5258">
            <v>85</v>
          </cell>
          <cell r="J5258">
            <v>84.734001000000006</v>
          </cell>
          <cell r="K5258">
            <v>0.99687060000000005</v>
          </cell>
          <cell r="L5258">
            <v>7.5500000000000004E-16</v>
          </cell>
          <cell r="M5258">
            <v>0.35921429999999999</v>
          </cell>
          <cell r="N5258">
            <v>0</v>
          </cell>
          <cell r="O5258">
            <v>1.9846099999999998E-2</v>
          </cell>
          <cell r="P5258">
            <v>3.6969470000000002</v>
          </cell>
          <cell r="Q5258">
            <v>1.0665889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0.2581715</v>
          </cell>
          <cell r="Y5258">
            <v>0</v>
          </cell>
          <cell r="Z5258">
            <v>0</v>
          </cell>
          <cell r="AA5258">
            <v>0</v>
          </cell>
          <cell r="AB5258">
            <v>8.2640000000000005E-3</v>
          </cell>
        </row>
        <row r="5259">
          <cell r="A5259">
            <v>75224047</v>
          </cell>
          <cell r="B5259" t="str">
            <v>Peas, green, cooked, from frozen, made with butter</v>
          </cell>
          <cell r="I5259">
            <v>85</v>
          </cell>
          <cell r="J5259">
            <v>81.398482000000001</v>
          </cell>
          <cell r="K5259">
            <v>0.95762920000000007</v>
          </cell>
          <cell r="L5259">
            <v>7.5500000000000004E-16</v>
          </cell>
          <cell r="M5259">
            <v>1.2861079</v>
          </cell>
          <cell r="N5259">
            <v>0</v>
          </cell>
          <cell r="O5259">
            <v>2.0400000000000001E-2</v>
          </cell>
          <cell r="P5259">
            <v>3.6927756</v>
          </cell>
          <cell r="Q5259">
            <v>0.17966560000000001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0.27346409999999999</v>
          </cell>
          <cell r="Y5259">
            <v>0</v>
          </cell>
          <cell r="Z5259">
            <v>0</v>
          </cell>
          <cell r="AA5259">
            <v>0</v>
          </cell>
          <cell r="AB5259">
            <v>7.9505800000000001E-2</v>
          </cell>
        </row>
        <row r="5260">
          <cell r="A5260">
            <v>75224048</v>
          </cell>
          <cell r="B5260" t="str">
            <v>Peas, green, cooked, from frozen, made with margarine</v>
          </cell>
          <cell r="I5260">
            <v>85</v>
          </cell>
          <cell r="J5260">
            <v>77.030974000000001</v>
          </cell>
          <cell r="K5260">
            <v>0.90624675294117651</v>
          </cell>
          <cell r="L5260">
            <v>0</v>
          </cell>
          <cell r="M5260">
            <v>0.33586670000000002</v>
          </cell>
          <cell r="N5260">
            <v>0</v>
          </cell>
          <cell r="O5260">
            <v>2.03266E-2</v>
          </cell>
          <cell r="P5260">
            <v>3.6918399000000002</v>
          </cell>
          <cell r="Q5260">
            <v>0.75355459999999996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0.27430389999999999</v>
          </cell>
          <cell r="Y5260">
            <v>0</v>
          </cell>
          <cell r="Z5260">
            <v>0</v>
          </cell>
          <cell r="AA5260">
            <v>0</v>
          </cell>
          <cell r="AB5260">
            <v>8.9634500000000006E-2</v>
          </cell>
        </row>
        <row r="5261">
          <cell r="A5261">
            <v>75224050</v>
          </cell>
          <cell r="B5261" t="str">
            <v>Peas, green, cooked, from canned, made with butter</v>
          </cell>
          <cell r="I5261">
            <v>130</v>
          </cell>
          <cell r="J5261">
            <v>110.98048</v>
          </cell>
          <cell r="K5261">
            <v>0.85369600000000001</v>
          </cell>
          <cell r="L5261">
            <v>0</v>
          </cell>
          <cell r="M5261">
            <v>1.9836695</v>
          </cell>
          <cell r="N5261">
            <v>0</v>
          </cell>
          <cell r="O5261">
            <v>2.9938099999999999E-2</v>
          </cell>
          <cell r="P5261">
            <v>6.1834419</v>
          </cell>
          <cell r="Q5261">
            <v>0.58004359999999999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0</v>
          </cell>
          <cell r="X5261">
            <v>0.48215960000000002</v>
          </cell>
          <cell r="Y5261">
            <v>0</v>
          </cell>
          <cell r="Z5261">
            <v>0</v>
          </cell>
          <cell r="AA5261">
            <v>0</v>
          </cell>
          <cell r="AB5261">
            <v>0.1150704</v>
          </cell>
        </row>
        <row r="5262">
          <cell r="A5262">
            <v>75224051</v>
          </cell>
          <cell r="B5262" t="str">
            <v>Peas, green, cooked, from canned, made with margarine</v>
          </cell>
          <cell r="I5262">
            <v>130</v>
          </cell>
          <cell r="J5262">
            <v>104.66245000000001</v>
          </cell>
          <cell r="K5262">
            <v>0.80509576923076931</v>
          </cell>
          <cell r="L5262">
            <v>0</v>
          </cell>
          <cell r="M5262">
            <v>0.60834270000000001</v>
          </cell>
          <cell r="N5262">
            <v>0</v>
          </cell>
          <cell r="O5262">
            <v>2.98322E-2</v>
          </cell>
          <cell r="P5262">
            <v>6.1819592999999999</v>
          </cell>
          <cell r="Q5262">
            <v>1.4105833999999999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0</v>
          </cell>
          <cell r="W5262">
            <v>0</v>
          </cell>
          <cell r="X5262">
            <v>0.48335980000000001</v>
          </cell>
          <cell r="Y5262">
            <v>0</v>
          </cell>
          <cell r="Z5262">
            <v>0</v>
          </cell>
          <cell r="AA5262">
            <v>0</v>
          </cell>
          <cell r="AB5262">
            <v>0.12973170000000001</v>
          </cell>
        </row>
        <row r="5263">
          <cell r="A5263">
            <v>75224120</v>
          </cell>
          <cell r="B5263" t="str">
            <v>Peas, green, canned, low sodium, fat not added in cooking</v>
          </cell>
          <cell r="I5263">
            <v>130</v>
          </cell>
          <cell r="J5263">
            <v>68.900000000000006</v>
          </cell>
          <cell r="K5263">
            <v>0.53</v>
          </cell>
          <cell r="L5263">
            <v>0</v>
          </cell>
          <cell r="M5263">
            <v>7.0199999999999999E-2</v>
          </cell>
          <cell r="N5263">
            <v>0</v>
          </cell>
          <cell r="O5263">
            <v>2.3400000000000001E-2</v>
          </cell>
          <cell r="P5263">
            <v>4.29</v>
          </cell>
          <cell r="Q5263">
            <v>0.18459999999999999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1.17E-2</v>
          </cell>
          <cell r="Y5263">
            <v>0</v>
          </cell>
          <cell r="Z5263">
            <v>0</v>
          </cell>
          <cell r="AA5263">
            <v>0</v>
          </cell>
          <cell r="AB5263">
            <v>0</v>
          </cell>
        </row>
        <row r="5264">
          <cell r="A5264">
            <v>75224130</v>
          </cell>
          <cell r="B5264" t="str">
            <v>Peas, green, canned, low sodium, fat added in cooking</v>
          </cell>
          <cell r="I5264">
            <v>130</v>
          </cell>
          <cell r="J5264">
            <v>80.677869999999999</v>
          </cell>
          <cell r="K5264">
            <v>0.62059900000000001</v>
          </cell>
          <cell r="L5264">
            <v>0</v>
          </cell>
          <cell r="M5264">
            <v>0.36543189999999998</v>
          </cell>
          <cell r="N5264">
            <v>0</v>
          </cell>
          <cell r="O5264">
            <v>2.3473600000000001E-2</v>
          </cell>
          <cell r="P5264">
            <v>4.2090271000000001</v>
          </cell>
          <cell r="Q5264">
            <v>0.83078790000000002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2.7195299999999999E-2</v>
          </cell>
          <cell r="Y5264">
            <v>0</v>
          </cell>
          <cell r="Z5264">
            <v>0</v>
          </cell>
          <cell r="AA5264">
            <v>0</v>
          </cell>
          <cell r="AB5264">
            <v>8.3493999999999999E-2</v>
          </cell>
        </row>
        <row r="5265">
          <cell r="A5265">
            <v>75224132</v>
          </cell>
          <cell r="B5265" t="str">
            <v>Peas, green, canned, low sodium, made with butter</v>
          </cell>
          <cell r="I5265">
            <v>130</v>
          </cell>
          <cell r="J5265">
            <v>85.051975999999996</v>
          </cell>
          <cell r="K5265">
            <v>0.65424596923076916</v>
          </cell>
          <cell r="L5265">
            <v>5.7730000000000003E-16</v>
          </cell>
          <cell r="M5265">
            <v>1.3184267000000001</v>
          </cell>
          <cell r="N5265">
            <v>0</v>
          </cell>
          <cell r="O5265">
            <v>2.3546000000000001E-2</v>
          </cell>
          <cell r="P5265">
            <v>4.2097265999999998</v>
          </cell>
          <cell r="Q5265">
            <v>0.25516759999999999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2.7122199999999999E-2</v>
          </cell>
          <cell r="Y5265">
            <v>0</v>
          </cell>
          <cell r="Z5265">
            <v>0</v>
          </cell>
          <cell r="AA5265">
            <v>0</v>
          </cell>
          <cell r="AB5265">
            <v>7.9738199999999995E-2</v>
          </cell>
        </row>
        <row r="5266">
          <cell r="A5266">
            <v>75225010</v>
          </cell>
          <cell r="B5266" t="str">
            <v>Pigeon peas, cooked, NS as to form, fat not added in cooking</v>
          </cell>
          <cell r="I5266">
            <v>85</v>
          </cell>
          <cell r="J5266">
            <v>93.737337999999994</v>
          </cell>
          <cell r="K5266">
            <v>1.1027922117647058</v>
          </cell>
          <cell r="L5266">
            <v>0</v>
          </cell>
          <cell r="M5266">
            <v>0.30823539999999999</v>
          </cell>
          <cell r="N5266">
            <v>0</v>
          </cell>
          <cell r="O5266">
            <v>3.4756200000000001E-2</v>
          </cell>
          <cell r="P5266">
            <v>3.5468182000000001</v>
          </cell>
          <cell r="Q5266">
            <v>0.75918799999999997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0.21814639999999999</v>
          </cell>
          <cell r="Y5266">
            <v>0</v>
          </cell>
          <cell r="Z5266">
            <v>0</v>
          </cell>
          <cell r="AA5266">
            <v>0</v>
          </cell>
          <cell r="AB5266">
            <v>0</v>
          </cell>
        </row>
        <row r="5267">
          <cell r="A5267">
            <v>75225013</v>
          </cell>
          <cell r="B5267" t="str">
            <v>Pigeon peas, cooked, from canned, fat not added in cooking</v>
          </cell>
          <cell r="I5267">
            <v>130</v>
          </cell>
          <cell r="J5267">
            <v>143.40022999999999</v>
          </cell>
          <cell r="K5267">
            <v>1.1030786923076923</v>
          </cell>
          <cell r="L5267">
            <v>0</v>
          </cell>
          <cell r="M5267">
            <v>0.14469209999999999</v>
          </cell>
          <cell r="N5267">
            <v>0</v>
          </cell>
          <cell r="O5267">
            <v>5.31622E-2</v>
          </cell>
          <cell r="P5267">
            <v>8.0097427999999997</v>
          </cell>
          <cell r="Q5267">
            <v>1.4843862000000001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0.32063190000000003</v>
          </cell>
          <cell r="Y5267">
            <v>0</v>
          </cell>
          <cell r="Z5267">
            <v>0</v>
          </cell>
          <cell r="AA5267">
            <v>0</v>
          </cell>
          <cell r="AB5267">
            <v>0</v>
          </cell>
        </row>
        <row r="5268">
          <cell r="A5268">
            <v>75225014</v>
          </cell>
          <cell r="B5268" t="str">
            <v>Pigeon peas, cooked, NS as to form, NS as to fat added in cooking</v>
          </cell>
          <cell r="I5268">
            <v>85</v>
          </cell>
          <cell r="J5268">
            <v>107.23808</v>
          </cell>
          <cell r="K5268">
            <v>1.2616244705882353</v>
          </cell>
          <cell r="L5268">
            <v>0</v>
          </cell>
          <cell r="M5268">
            <v>1.2019837</v>
          </cell>
          <cell r="N5268">
            <v>0</v>
          </cell>
          <cell r="O5268">
            <v>3.4298099999999998E-2</v>
          </cell>
          <cell r="P5268">
            <v>3.4411480999999999</v>
          </cell>
          <cell r="Q5268">
            <v>1.0510073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0.22829269999999999</v>
          </cell>
          <cell r="Y5268">
            <v>0</v>
          </cell>
          <cell r="Z5268">
            <v>0</v>
          </cell>
          <cell r="AA5268">
            <v>0</v>
          </cell>
          <cell r="AB5268">
            <v>8.6921999999999999E-2</v>
          </cell>
        </row>
        <row r="5269">
          <cell r="A5269">
            <v>75225015</v>
          </cell>
          <cell r="B5269" t="str">
            <v>Pigeon peas, cooked, NS as to form, fat added in cooking</v>
          </cell>
          <cell r="I5269">
            <v>85</v>
          </cell>
          <cell r="J5269">
            <v>107.23808</v>
          </cell>
          <cell r="K5269">
            <v>1.2616244705882353</v>
          </cell>
          <cell r="L5269">
            <v>0</v>
          </cell>
          <cell r="M5269">
            <v>1.2019837</v>
          </cell>
          <cell r="N5269">
            <v>0</v>
          </cell>
          <cell r="O5269">
            <v>3.4298099999999998E-2</v>
          </cell>
          <cell r="P5269">
            <v>3.4411480999999999</v>
          </cell>
          <cell r="Q5269">
            <v>1.0510073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0.22829269999999999</v>
          </cell>
          <cell r="Y5269">
            <v>0</v>
          </cell>
          <cell r="Z5269">
            <v>0</v>
          </cell>
          <cell r="AA5269">
            <v>0</v>
          </cell>
          <cell r="AB5269">
            <v>8.6921999999999999E-2</v>
          </cell>
        </row>
        <row r="5270">
          <cell r="A5270">
            <v>75226000</v>
          </cell>
          <cell r="B5270" t="str">
            <v>Peppers, green, cooked, NS as to fat added in cooking</v>
          </cell>
          <cell r="I5270">
            <v>85</v>
          </cell>
          <cell r="J5270">
            <v>41.085754000000001</v>
          </cell>
          <cell r="K5270">
            <v>0.48336181176470588</v>
          </cell>
          <cell r="L5270">
            <v>0.97876929999999995</v>
          </cell>
          <cell r="M5270">
            <v>1.0348892999999999</v>
          </cell>
          <cell r="N5270">
            <v>0</v>
          </cell>
          <cell r="O5270">
            <v>8.1312999999999993E-3</v>
          </cell>
          <cell r="P5270">
            <v>0</v>
          </cell>
          <cell r="Q5270">
            <v>0.43861159999999999</v>
          </cell>
          <cell r="R5270">
            <v>0</v>
          </cell>
          <cell r="S5270">
            <v>0</v>
          </cell>
          <cell r="T5270">
            <v>0</v>
          </cell>
          <cell r="U5270">
            <v>81.564111999999994</v>
          </cell>
          <cell r="V5270">
            <v>0</v>
          </cell>
          <cell r="W5270">
            <v>0</v>
          </cell>
          <cell r="X5270">
            <v>0.25271900000000003</v>
          </cell>
          <cell r="Y5270">
            <v>0</v>
          </cell>
          <cell r="Z5270">
            <v>0</v>
          </cell>
          <cell r="AA5270">
            <v>0</v>
          </cell>
          <cell r="AB5270">
            <v>9.7348100000000007E-2</v>
          </cell>
        </row>
        <row r="5271">
          <cell r="A5271">
            <v>75226010</v>
          </cell>
          <cell r="B5271" t="str">
            <v>Peppers, green, cooked, fat not added in cooking</v>
          </cell>
          <cell r="I5271">
            <v>85</v>
          </cell>
          <cell r="J5271">
            <v>23.626277000000002</v>
          </cell>
          <cell r="K5271">
            <v>0.27795620000000004</v>
          </cell>
          <cell r="L5271">
            <v>1.0125546999999999</v>
          </cell>
          <cell r="M5271">
            <v>2.4470100000000002E-2</v>
          </cell>
          <cell r="N5271">
            <v>0</v>
          </cell>
          <cell r="O5271">
            <v>7.7431000000000002E-3</v>
          </cell>
          <cell r="P5271">
            <v>0</v>
          </cell>
          <cell r="Q5271">
            <v>8.9442300000000002E-2</v>
          </cell>
          <cell r="R5271">
            <v>0</v>
          </cell>
          <cell r="S5271">
            <v>0</v>
          </cell>
          <cell r="T5271">
            <v>0</v>
          </cell>
          <cell r="U5271">
            <v>84.379562000000007</v>
          </cell>
          <cell r="V5271">
            <v>0</v>
          </cell>
          <cell r="W5271">
            <v>0</v>
          </cell>
          <cell r="X5271">
            <v>0.24215690000000001</v>
          </cell>
          <cell r="Y5271">
            <v>0</v>
          </cell>
          <cell r="Z5271">
            <v>0</v>
          </cell>
          <cell r="AA5271">
            <v>0</v>
          </cell>
          <cell r="AB5271">
            <v>0</v>
          </cell>
        </row>
        <row r="5272">
          <cell r="A5272">
            <v>75226020</v>
          </cell>
          <cell r="B5272" t="str">
            <v>Peppers, green, cooked, fat added in cooking, NS as to type of fat</v>
          </cell>
          <cell r="I5272">
            <v>85</v>
          </cell>
          <cell r="J5272">
            <v>41.085754000000001</v>
          </cell>
          <cell r="K5272">
            <v>0.48336181176470588</v>
          </cell>
          <cell r="L5272">
            <v>0.97876929999999995</v>
          </cell>
          <cell r="M5272">
            <v>1.0348892999999999</v>
          </cell>
          <cell r="N5272">
            <v>0</v>
          </cell>
          <cell r="O5272">
            <v>8.1312999999999993E-3</v>
          </cell>
          <cell r="P5272">
            <v>0</v>
          </cell>
          <cell r="Q5272">
            <v>0.43861159999999999</v>
          </cell>
          <cell r="R5272">
            <v>0</v>
          </cell>
          <cell r="S5272">
            <v>0</v>
          </cell>
          <cell r="T5272">
            <v>0</v>
          </cell>
          <cell r="U5272">
            <v>81.564111999999994</v>
          </cell>
          <cell r="V5272">
            <v>0</v>
          </cell>
          <cell r="W5272">
            <v>0</v>
          </cell>
          <cell r="X5272">
            <v>0.25271900000000003</v>
          </cell>
          <cell r="Y5272">
            <v>0</v>
          </cell>
          <cell r="Z5272">
            <v>0</v>
          </cell>
          <cell r="AA5272">
            <v>0</v>
          </cell>
          <cell r="AB5272">
            <v>9.7348100000000007E-2</v>
          </cell>
        </row>
        <row r="5273">
          <cell r="A5273">
            <v>75226021</v>
          </cell>
          <cell r="B5273" t="str">
            <v>Peppers, green, cooked, made with oil</v>
          </cell>
          <cell r="I5273">
            <v>85</v>
          </cell>
          <cell r="J5273">
            <v>47.023752000000002</v>
          </cell>
          <cell r="K5273">
            <v>0.55322061176470594</v>
          </cell>
          <cell r="L5273">
            <v>0.98006249999999995</v>
          </cell>
          <cell r="M5273">
            <v>0.39672649999999998</v>
          </cell>
          <cell r="N5273">
            <v>0</v>
          </cell>
          <cell r="O5273">
            <v>7.5014000000000001E-3</v>
          </cell>
          <cell r="P5273">
            <v>0</v>
          </cell>
          <cell r="Q5273">
            <v>1.2100639</v>
          </cell>
          <cell r="R5273">
            <v>0</v>
          </cell>
          <cell r="S5273">
            <v>0</v>
          </cell>
          <cell r="T5273">
            <v>0</v>
          </cell>
          <cell r="U5273">
            <v>81.671870999999996</v>
          </cell>
          <cell r="V5273">
            <v>0</v>
          </cell>
          <cell r="W5273">
            <v>0</v>
          </cell>
          <cell r="X5273">
            <v>0.23439989999999999</v>
          </cell>
          <cell r="Y5273">
            <v>0</v>
          </cell>
          <cell r="Z5273">
            <v>0</v>
          </cell>
          <cell r="AA5273">
            <v>0</v>
          </cell>
          <cell r="AB5273">
            <v>9.8084999999999995E-3</v>
          </cell>
        </row>
        <row r="5274">
          <cell r="A5274">
            <v>75226022</v>
          </cell>
          <cell r="B5274" t="str">
            <v>Peppers, green, cooked, made with butter</v>
          </cell>
          <cell r="I5274">
            <v>85</v>
          </cell>
          <cell r="J5274">
            <v>43.173161999999998</v>
          </cell>
          <cell r="K5274">
            <v>0.50791955294117641</v>
          </cell>
          <cell r="L5274">
            <v>0.97876929999999995</v>
          </cell>
          <cell r="M5274">
            <v>1.4805282</v>
          </cell>
          <cell r="N5274">
            <v>0</v>
          </cell>
          <cell r="O5274">
            <v>8.1653999999999997E-3</v>
          </cell>
          <cell r="P5274">
            <v>0</v>
          </cell>
          <cell r="Q5274">
            <v>0.1727621</v>
          </cell>
          <cell r="R5274">
            <v>0</v>
          </cell>
          <cell r="S5274">
            <v>0</v>
          </cell>
          <cell r="T5274">
            <v>0</v>
          </cell>
          <cell r="U5274">
            <v>81.564111999999994</v>
          </cell>
          <cell r="V5274">
            <v>0</v>
          </cell>
          <cell r="W5274">
            <v>0</v>
          </cell>
          <cell r="X5274">
            <v>0.25231350000000002</v>
          </cell>
          <cell r="Y5274">
            <v>0</v>
          </cell>
          <cell r="Z5274">
            <v>0</v>
          </cell>
          <cell r="AA5274">
            <v>0</v>
          </cell>
          <cell r="AB5274">
            <v>9.2969099999999999E-2</v>
          </cell>
        </row>
        <row r="5275">
          <cell r="A5275">
            <v>75226040</v>
          </cell>
          <cell r="B5275" t="str">
            <v>Peppers, red, cooked, NS as to fat added in cooking</v>
          </cell>
          <cell r="I5275">
            <v>85</v>
          </cell>
          <cell r="J5275">
            <v>41.085754000000001</v>
          </cell>
          <cell r="K5275">
            <v>0.48336181176470588</v>
          </cell>
          <cell r="L5275">
            <v>0.97876929999999995</v>
          </cell>
          <cell r="M5275">
            <v>1.0348892999999999</v>
          </cell>
          <cell r="N5275">
            <v>0</v>
          </cell>
          <cell r="O5275">
            <v>8.1312999999999993E-3</v>
          </cell>
          <cell r="P5275">
            <v>0</v>
          </cell>
          <cell r="Q5275">
            <v>0.43861159999999999</v>
          </cell>
          <cell r="R5275">
            <v>0</v>
          </cell>
          <cell r="S5275">
            <v>0</v>
          </cell>
          <cell r="T5275">
            <v>0</v>
          </cell>
          <cell r="U5275">
            <v>81.564111999999994</v>
          </cell>
          <cell r="V5275">
            <v>0</v>
          </cell>
          <cell r="W5275">
            <v>0</v>
          </cell>
          <cell r="X5275">
            <v>0.25271900000000003</v>
          </cell>
          <cell r="Y5275">
            <v>0</v>
          </cell>
          <cell r="Z5275">
            <v>0</v>
          </cell>
          <cell r="AA5275">
            <v>0</v>
          </cell>
          <cell r="AB5275">
            <v>9.7348100000000007E-2</v>
          </cell>
        </row>
        <row r="5276">
          <cell r="A5276">
            <v>75226050</v>
          </cell>
          <cell r="B5276" t="str">
            <v>Peppers, red, cooked, fat not added in cooking</v>
          </cell>
          <cell r="I5276">
            <v>85</v>
          </cell>
          <cell r="J5276">
            <v>23.626277000000002</v>
          </cell>
          <cell r="K5276">
            <v>0.27795620000000004</v>
          </cell>
          <cell r="L5276">
            <v>1.0125546999999999</v>
          </cell>
          <cell r="M5276">
            <v>2.4470100000000002E-2</v>
          </cell>
          <cell r="N5276">
            <v>0</v>
          </cell>
          <cell r="O5276">
            <v>7.7431000000000002E-3</v>
          </cell>
          <cell r="P5276">
            <v>0</v>
          </cell>
          <cell r="Q5276">
            <v>8.9442300000000002E-2</v>
          </cell>
          <cell r="R5276">
            <v>0</v>
          </cell>
          <cell r="S5276">
            <v>0</v>
          </cell>
          <cell r="T5276">
            <v>0</v>
          </cell>
          <cell r="U5276">
            <v>84.379562000000007</v>
          </cell>
          <cell r="V5276">
            <v>0</v>
          </cell>
          <cell r="W5276">
            <v>0</v>
          </cell>
          <cell r="X5276">
            <v>0.24215690000000001</v>
          </cell>
          <cell r="Y5276">
            <v>0</v>
          </cell>
          <cell r="Z5276">
            <v>0</v>
          </cell>
          <cell r="AA5276">
            <v>0</v>
          </cell>
          <cell r="AB5276">
            <v>0</v>
          </cell>
        </row>
        <row r="5277">
          <cell r="A5277">
            <v>75226060</v>
          </cell>
          <cell r="B5277" t="str">
            <v>Peppers, red, cooked, fat added in cooking, NS as to type of fat</v>
          </cell>
          <cell r="I5277">
            <v>85</v>
          </cell>
          <cell r="J5277">
            <v>41.085754000000001</v>
          </cell>
          <cell r="K5277">
            <v>0.48336181176470588</v>
          </cell>
          <cell r="L5277">
            <v>0.97876929999999995</v>
          </cell>
          <cell r="M5277">
            <v>1.0348892999999999</v>
          </cell>
          <cell r="N5277">
            <v>0</v>
          </cell>
          <cell r="O5277">
            <v>8.1312999999999993E-3</v>
          </cell>
          <cell r="P5277">
            <v>0</v>
          </cell>
          <cell r="Q5277">
            <v>0.43861159999999999</v>
          </cell>
          <cell r="R5277">
            <v>0</v>
          </cell>
          <cell r="S5277">
            <v>0</v>
          </cell>
          <cell r="T5277">
            <v>0</v>
          </cell>
          <cell r="U5277">
            <v>81.564111999999994</v>
          </cell>
          <cell r="V5277">
            <v>0</v>
          </cell>
          <cell r="W5277">
            <v>0</v>
          </cell>
          <cell r="X5277">
            <v>0.25271900000000003</v>
          </cell>
          <cell r="Y5277">
            <v>0</v>
          </cell>
          <cell r="Z5277">
            <v>0</v>
          </cell>
          <cell r="AA5277">
            <v>0</v>
          </cell>
          <cell r="AB5277">
            <v>9.7348100000000007E-2</v>
          </cell>
        </row>
        <row r="5278">
          <cell r="A5278">
            <v>75226061</v>
          </cell>
          <cell r="B5278" t="str">
            <v>Peppers, red, cooked, made with oil</v>
          </cell>
          <cell r="I5278">
            <v>85</v>
          </cell>
          <cell r="J5278">
            <v>47.023752000000002</v>
          </cell>
          <cell r="K5278">
            <v>0.55322061176470594</v>
          </cell>
          <cell r="L5278">
            <v>0.98006249999999995</v>
          </cell>
          <cell r="M5278">
            <v>0.39672649999999998</v>
          </cell>
          <cell r="N5278">
            <v>0</v>
          </cell>
          <cell r="O5278">
            <v>7.5014000000000001E-3</v>
          </cell>
          <cell r="P5278">
            <v>0</v>
          </cell>
          <cell r="Q5278">
            <v>1.2100639</v>
          </cell>
          <cell r="R5278">
            <v>0</v>
          </cell>
          <cell r="S5278">
            <v>0</v>
          </cell>
          <cell r="T5278">
            <v>0</v>
          </cell>
          <cell r="U5278">
            <v>81.671870999999996</v>
          </cell>
          <cell r="V5278">
            <v>0</v>
          </cell>
          <cell r="W5278">
            <v>0</v>
          </cell>
          <cell r="X5278">
            <v>0.23439989999999999</v>
          </cell>
          <cell r="Y5278">
            <v>0</v>
          </cell>
          <cell r="Z5278">
            <v>0</v>
          </cell>
          <cell r="AA5278">
            <v>0</v>
          </cell>
          <cell r="AB5278">
            <v>9.6652000000000005E-3</v>
          </cell>
        </row>
        <row r="5279">
          <cell r="A5279">
            <v>75226062</v>
          </cell>
          <cell r="B5279" t="str">
            <v>Peppers, red, cooked, made with butter</v>
          </cell>
          <cell r="I5279">
            <v>85</v>
          </cell>
          <cell r="J5279">
            <v>43.173161999999998</v>
          </cell>
          <cell r="K5279">
            <v>0.50791955294117641</v>
          </cell>
          <cell r="L5279">
            <v>0.97876929999999995</v>
          </cell>
          <cell r="M5279">
            <v>1.4805282</v>
          </cell>
          <cell r="N5279">
            <v>0</v>
          </cell>
          <cell r="O5279">
            <v>8.1653999999999997E-3</v>
          </cell>
          <cell r="P5279">
            <v>0</v>
          </cell>
          <cell r="Q5279">
            <v>0.1727621</v>
          </cell>
          <cell r="R5279">
            <v>0</v>
          </cell>
          <cell r="S5279">
            <v>0</v>
          </cell>
          <cell r="T5279">
            <v>0</v>
          </cell>
          <cell r="U5279">
            <v>81.564111999999994</v>
          </cell>
          <cell r="V5279">
            <v>0</v>
          </cell>
          <cell r="W5279">
            <v>0</v>
          </cell>
          <cell r="X5279">
            <v>0.25231350000000002</v>
          </cell>
          <cell r="Y5279">
            <v>0</v>
          </cell>
          <cell r="Z5279">
            <v>0</v>
          </cell>
          <cell r="AA5279">
            <v>0</v>
          </cell>
          <cell r="AB5279">
            <v>9.2969099999999999E-2</v>
          </cell>
        </row>
        <row r="5280">
          <cell r="A5280">
            <v>75226090</v>
          </cell>
          <cell r="B5280" t="str">
            <v>Peppers, hot, cooked, NS as to form, NS as to fat added in cooking</v>
          </cell>
          <cell r="I5280">
            <v>30</v>
          </cell>
          <cell r="J5280">
            <v>17.511213999999999</v>
          </cell>
          <cell r="K5280">
            <v>0.58370713333333335</v>
          </cell>
          <cell r="L5280">
            <v>0.43352600000000002</v>
          </cell>
          <cell r="M5280">
            <v>0.33582840000000003</v>
          </cell>
          <cell r="N5280">
            <v>0</v>
          </cell>
          <cell r="O5280">
            <v>5.4548000000000001E-3</v>
          </cell>
          <cell r="P5280">
            <v>0</v>
          </cell>
          <cell r="Q5280">
            <v>0.14633850000000001</v>
          </cell>
          <cell r="R5280">
            <v>0</v>
          </cell>
          <cell r="S5280">
            <v>0</v>
          </cell>
          <cell r="T5280">
            <v>0</v>
          </cell>
          <cell r="U5280">
            <v>28.901734000000001</v>
          </cell>
          <cell r="V5280">
            <v>0</v>
          </cell>
          <cell r="W5280">
            <v>0</v>
          </cell>
          <cell r="X5280">
            <v>7.5312599999999993E-2</v>
          </cell>
          <cell r="Y5280">
            <v>0</v>
          </cell>
          <cell r="Z5280">
            <v>0</v>
          </cell>
          <cell r="AA5280">
            <v>0</v>
          </cell>
          <cell r="AB5280">
            <v>3.1744700000000001E-2</v>
          </cell>
        </row>
        <row r="5281">
          <cell r="A5281">
            <v>75226091</v>
          </cell>
          <cell r="B5281" t="str">
            <v>Peppers, hot, cooked, from fresh, NS as to fat added in cooking</v>
          </cell>
          <cell r="I5281">
            <v>30</v>
          </cell>
          <cell r="J5281">
            <v>17.511213999999999</v>
          </cell>
          <cell r="K5281">
            <v>0.58370713333333335</v>
          </cell>
          <cell r="L5281">
            <v>0.43352600000000002</v>
          </cell>
          <cell r="M5281">
            <v>0.33582840000000003</v>
          </cell>
          <cell r="N5281">
            <v>0</v>
          </cell>
          <cell r="O5281">
            <v>5.4548000000000001E-3</v>
          </cell>
          <cell r="P5281">
            <v>0</v>
          </cell>
          <cell r="Q5281">
            <v>0.14633850000000001</v>
          </cell>
          <cell r="R5281">
            <v>0</v>
          </cell>
          <cell r="S5281">
            <v>0</v>
          </cell>
          <cell r="T5281">
            <v>0</v>
          </cell>
          <cell r="U5281">
            <v>28.901734000000001</v>
          </cell>
          <cell r="V5281">
            <v>0</v>
          </cell>
          <cell r="W5281">
            <v>0</v>
          </cell>
          <cell r="X5281">
            <v>7.5312599999999993E-2</v>
          </cell>
          <cell r="Y5281">
            <v>0</v>
          </cell>
          <cell r="Z5281">
            <v>0</v>
          </cell>
          <cell r="AA5281">
            <v>0</v>
          </cell>
          <cell r="AB5281">
            <v>3.1744700000000001E-2</v>
          </cell>
        </row>
        <row r="5282">
          <cell r="A5282">
            <v>75226093</v>
          </cell>
          <cell r="B5282" t="str">
            <v>Peppers, hot, cooked, from canned, NS as to fat added in cooking</v>
          </cell>
          <cell r="I5282">
            <v>30</v>
          </cell>
          <cell r="J5282">
            <v>12.019883999999999</v>
          </cell>
          <cell r="K5282">
            <v>0.40066279999999999</v>
          </cell>
          <cell r="L5282">
            <v>0.37572250000000001</v>
          </cell>
          <cell r="M5282">
            <v>0.33264919999999998</v>
          </cell>
          <cell r="N5282">
            <v>0</v>
          </cell>
          <cell r="O5282">
            <v>2.2756E-3</v>
          </cell>
          <cell r="P5282">
            <v>0</v>
          </cell>
          <cell r="Q5282">
            <v>0.1307316</v>
          </cell>
          <cell r="R5282">
            <v>0</v>
          </cell>
          <cell r="S5282">
            <v>0</v>
          </cell>
          <cell r="T5282">
            <v>0</v>
          </cell>
          <cell r="U5282">
            <v>28.901734000000001</v>
          </cell>
          <cell r="V5282">
            <v>0</v>
          </cell>
          <cell r="W5282">
            <v>0</v>
          </cell>
          <cell r="X5282">
            <v>0.41230679999999997</v>
          </cell>
          <cell r="Y5282">
            <v>0</v>
          </cell>
          <cell r="Z5282">
            <v>0</v>
          </cell>
          <cell r="AA5282">
            <v>0</v>
          </cell>
          <cell r="AB5282">
            <v>3.1744700000000001E-2</v>
          </cell>
        </row>
        <row r="5283">
          <cell r="A5283">
            <v>75226100</v>
          </cell>
          <cell r="B5283" t="str">
            <v>Peppers, hot, cooked, NS as to form, fat not added in cooking</v>
          </cell>
          <cell r="I5283">
            <v>30</v>
          </cell>
          <cell r="J5283">
            <v>11.928429</v>
          </cell>
          <cell r="K5283">
            <v>0.39761429999999998</v>
          </cell>
          <cell r="L5283">
            <v>0.44731609999999999</v>
          </cell>
          <cell r="M5283">
            <v>6.2624000000000004E-3</v>
          </cell>
          <cell r="N5283">
            <v>0</v>
          </cell>
          <cell r="O5283">
            <v>5.4107000000000001E-3</v>
          </cell>
          <cell r="P5283">
            <v>0</v>
          </cell>
          <cell r="Q5283">
            <v>3.2504999999999999E-2</v>
          </cell>
          <cell r="R5283">
            <v>0</v>
          </cell>
          <cell r="S5283">
            <v>0</v>
          </cell>
          <cell r="T5283">
            <v>0</v>
          </cell>
          <cell r="U5283">
            <v>29.821073999999999</v>
          </cell>
          <cell r="V5283">
            <v>0</v>
          </cell>
          <cell r="W5283">
            <v>0</v>
          </cell>
          <cell r="X5283">
            <v>7.1435799999999994E-2</v>
          </cell>
          <cell r="Y5283">
            <v>0</v>
          </cell>
          <cell r="Z5283">
            <v>0</v>
          </cell>
          <cell r="AA5283">
            <v>0</v>
          </cell>
          <cell r="AB5283">
            <v>0</v>
          </cell>
        </row>
        <row r="5284">
          <cell r="A5284">
            <v>75226101</v>
          </cell>
          <cell r="B5284" t="str">
            <v>Peppers, hot, cooked, from fresh, fat not added in cooking</v>
          </cell>
          <cell r="I5284">
            <v>30</v>
          </cell>
          <cell r="J5284">
            <v>11.928429</v>
          </cell>
          <cell r="K5284">
            <v>0.39761429999999998</v>
          </cell>
          <cell r="L5284">
            <v>0.44731609999999999</v>
          </cell>
          <cell r="M5284">
            <v>6.2624000000000004E-3</v>
          </cell>
          <cell r="N5284">
            <v>0</v>
          </cell>
          <cell r="O5284">
            <v>5.4107000000000001E-3</v>
          </cell>
          <cell r="P5284">
            <v>0</v>
          </cell>
          <cell r="Q5284">
            <v>3.2504999999999999E-2</v>
          </cell>
          <cell r="R5284">
            <v>0</v>
          </cell>
          <cell r="S5284">
            <v>0</v>
          </cell>
          <cell r="T5284">
            <v>0</v>
          </cell>
          <cell r="U5284">
            <v>29.821073999999999</v>
          </cell>
          <cell r="V5284">
            <v>0</v>
          </cell>
          <cell r="W5284">
            <v>0</v>
          </cell>
          <cell r="X5284">
            <v>7.1435799999999994E-2</v>
          </cell>
          <cell r="Y5284">
            <v>0</v>
          </cell>
          <cell r="Z5284">
            <v>0</v>
          </cell>
          <cell r="AA5284">
            <v>0</v>
          </cell>
          <cell r="AB5284">
            <v>0</v>
          </cell>
        </row>
        <row r="5285">
          <cell r="A5285">
            <v>75226102</v>
          </cell>
          <cell r="B5285" t="str">
            <v>Peppers, hot, cooked, from frozen, fat not added in cooking</v>
          </cell>
          <cell r="I5285">
            <v>30</v>
          </cell>
          <cell r="J5285">
            <v>12</v>
          </cell>
          <cell r="K5285">
            <v>0.4</v>
          </cell>
          <cell r="L5285">
            <v>0.45</v>
          </cell>
          <cell r="M5285">
            <v>6.3E-3</v>
          </cell>
          <cell r="N5285">
            <v>0</v>
          </cell>
          <cell r="O5285">
            <v>5.4000000000000003E-3</v>
          </cell>
          <cell r="P5285">
            <v>0</v>
          </cell>
          <cell r="Q5285">
            <v>3.27E-2</v>
          </cell>
          <cell r="R5285">
            <v>0</v>
          </cell>
          <cell r="S5285">
            <v>0</v>
          </cell>
          <cell r="T5285">
            <v>0</v>
          </cell>
          <cell r="U5285">
            <v>30</v>
          </cell>
          <cell r="V5285">
            <v>0</v>
          </cell>
          <cell r="W5285">
            <v>0</v>
          </cell>
          <cell r="X5285">
            <v>2.0999999999999999E-3</v>
          </cell>
          <cell r="Y5285">
            <v>0</v>
          </cell>
          <cell r="Z5285">
            <v>0</v>
          </cell>
          <cell r="AA5285">
            <v>0</v>
          </cell>
          <cell r="AB5285">
            <v>0</v>
          </cell>
        </row>
        <row r="5286">
          <cell r="A5286">
            <v>75226103</v>
          </cell>
          <cell r="B5286" t="str">
            <v>Peppers, hot, cooked, from canned, fat not added in cooking</v>
          </cell>
          <cell r="I5286">
            <v>30</v>
          </cell>
          <cell r="J5286">
            <v>6.2624253999999997</v>
          </cell>
          <cell r="K5286">
            <v>0.20874751333333333</v>
          </cell>
          <cell r="L5286">
            <v>0.38767400000000002</v>
          </cell>
          <cell r="M5286">
            <v>2.9821000000000001E-3</v>
          </cell>
          <cell r="N5286">
            <v>0</v>
          </cell>
          <cell r="O5286">
            <v>2.1304000000000002E-3</v>
          </cell>
          <cell r="P5286">
            <v>0</v>
          </cell>
          <cell r="Q5286">
            <v>1.6401599999999999E-2</v>
          </cell>
          <cell r="R5286">
            <v>0</v>
          </cell>
          <cell r="S5286">
            <v>0</v>
          </cell>
          <cell r="T5286">
            <v>0</v>
          </cell>
          <cell r="U5286">
            <v>29.821073999999999</v>
          </cell>
          <cell r="V5286">
            <v>0</v>
          </cell>
          <cell r="W5286">
            <v>0</v>
          </cell>
          <cell r="X5286">
            <v>0.41914950000000001</v>
          </cell>
          <cell r="Y5286">
            <v>0</v>
          </cell>
          <cell r="Z5286">
            <v>0</v>
          </cell>
          <cell r="AA5286">
            <v>0</v>
          </cell>
          <cell r="AB5286">
            <v>0</v>
          </cell>
        </row>
        <row r="5287">
          <cell r="A5287">
            <v>75226110</v>
          </cell>
          <cell r="B5287" t="str">
            <v>Peppers, hot, cooked, NS as to form, fat added in cooking, NS as to type of fat</v>
          </cell>
          <cell r="I5287">
            <v>30</v>
          </cell>
          <cell r="J5287">
            <v>17.511213999999999</v>
          </cell>
          <cell r="K5287">
            <v>0.58370713333333335</v>
          </cell>
          <cell r="L5287">
            <v>0.43352600000000002</v>
          </cell>
          <cell r="M5287">
            <v>0.33582840000000003</v>
          </cell>
          <cell r="N5287">
            <v>0</v>
          </cell>
          <cell r="O5287">
            <v>5.4548000000000001E-3</v>
          </cell>
          <cell r="P5287">
            <v>0</v>
          </cell>
          <cell r="Q5287">
            <v>0.14633850000000001</v>
          </cell>
          <cell r="R5287">
            <v>0</v>
          </cell>
          <cell r="S5287">
            <v>0</v>
          </cell>
          <cell r="T5287">
            <v>0</v>
          </cell>
          <cell r="U5287">
            <v>28.901734000000001</v>
          </cell>
          <cell r="V5287">
            <v>0</v>
          </cell>
          <cell r="W5287">
            <v>0</v>
          </cell>
          <cell r="X5287">
            <v>7.5312599999999993E-2</v>
          </cell>
          <cell r="Y5287">
            <v>0</v>
          </cell>
          <cell r="Z5287">
            <v>0</v>
          </cell>
          <cell r="AA5287">
            <v>0</v>
          </cell>
          <cell r="AB5287">
            <v>3.1744700000000001E-2</v>
          </cell>
        </row>
        <row r="5288">
          <cell r="A5288">
            <v>75226111</v>
          </cell>
          <cell r="B5288" t="str">
            <v>Peppers, hot, cooked, from fresh, fat added in cooking, NS as to type of fat</v>
          </cell>
          <cell r="I5288">
            <v>30</v>
          </cell>
          <cell r="J5288">
            <v>17.511213999999999</v>
          </cell>
          <cell r="K5288">
            <v>0.58370713333333335</v>
          </cell>
          <cell r="L5288">
            <v>0.43352600000000002</v>
          </cell>
          <cell r="M5288">
            <v>0.33582840000000003</v>
          </cell>
          <cell r="N5288">
            <v>0</v>
          </cell>
          <cell r="O5288">
            <v>5.4548000000000001E-3</v>
          </cell>
          <cell r="P5288">
            <v>0</v>
          </cell>
          <cell r="Q5288">
            <v>0.14633850000000001</v>
          </cell>
          <cell r="R5288">
            <v>0</v>
          </cell>
          <cell r="S5288">
            <v>0</v>
          </cell>
          <cell r="T5288">
            <v>0</v>
          </cell>
          <cell r="U5288">
            <v>28.901734000000001</v>
          </cell>
          <cell r="V5288">
            <v>0</v>
          </cell>
          <cell r="W5288">
            <v>0</v>
          </cell>
          <cell r="X5288">
            <v>7.5312599999999993E-2</v>
          </cell>
          <cell r="Y5288">
            <v>0</v>
          </cell>
          <cell r="Z5288">
            <v>0</v>
          </cell>
          <cell r="AA5288">
            <v>0</v>
          </cell>
          <cell r="AB5288">
            <v>3.1744700000000001E-2</v>
          </cell>
        </row>
        <row r="5289">
          <cell r="A5289">
            <v>75227100</v>
          </cell>
          <cell r="B5289" t="str">
            <v>Radish, daikon, cooked, fat not added in cooking</v>
          </cell>
          <cell r="I5289">
            <v>85</v>
          </cell>
          <cell r="J5289">
            <v>14.352365000000001</v>
          </cell>
          <cell r="K5289">
            <v>0.16885135294117648</v>
          </cell>
          <cell r="L5289">
            <v>1.3508108000000001</v>
          </cell>
          <cell r="M5289">
            <v>6.1630699999999997E-2</v>
          </cell>
          <cell r="N5289">
            <v>0</v>
          </cell>
          <cell r="O5289">
            <v>1.44902E-2</v>
          </cell>
          <cell r="P5289">
            <v>0</v>
          </cell>
          <cell r="Q5289">
            <v>9.1179700000000002E-2</v>
          </cell>
          <cell r="R5289">
            <v>0</v>
          </cell>
          <cell r="S5289">
            <v>0</v>
          </cell>
          <cell r="T5289">
            <v>0</v>
          </cell>
          <cell r="U5289">
            <v>84.425675999999996</v>
          </cell>
          <cell r="V5289">
            <v>0</v>
          </cell>
          <cell r="W5289">
            <v>0</v>
          </cell>
          <cell r="X5289">
            <v>0.233572</v>
          </cell>
          <cell r="Y5289">
            <v>0</v>
          </cell>
          <cell r="Z5289">
            <v>0</v>
          </cell>
          <cell r="AA5289">
            <v>0</v>
          </cell>
          <cell r="AB5289">
            <v>0</v>
          </cell>
        </row>
        <row r="5290">
          <cell r="A5290">
            <v>75227110</v>
          </cell>
          <cell r="B5290" t="str">
            <v>Radish, Japanese (daikon), cooked, fat added in cooking</v>
          </cell>
          <cell r="I5290">
            <v>85</v>
          </cell>
          <cell r="J5290">
            <v>36.338751999999999</v>
          </cell>
          <cell r="K5290">
            <v>0.42751472941176472</v>
          </cell>
          <cell r="L5290">
            <v>1.3105899000000001</v>
          </cell>
          <cell r="M5290">
            <v>0.40593679999999999</v>
          </cell>
          <cell r="N5290">
            <v>0</v>
          </cell>
          <cell r="O5290">
            <v>1.4065100000000001E-2</v>
          </cell>
          <cell r="P5290">
            <v>0</v>
          </cell>
          <cell r="Q5290">
            <v>1.1309400999999999</v>
          </cell>
          <cell r="R5290">
            <v>0</v>
          </cell>
          <cell r="S5290">
            <v>0</v>
          </cell>
          <cell r="T5290">
            <v>0</v>
          </cell>
          <cell r="U5290">
            <v>81.911867000000001</v>
          </cell>
          <cell r="V5290">
            <v>0</v>
          </cell>
          <cell r="W5290">
            <v>0</v>
          </cell>
          <cell r="X5290">
            <v>0.2266299</v>
          </cell>
          <cell r="Y5290">
            <v>0</v>
          </cell>
          <cell r="Z5290">
            <v>0</v>
          </cell>
          <cell r="AA5290">
            <v>0</v>
          </cell>
          <cell r="AB5290">
            <v>8.9683000000000002E-3</v>
          </cell>
        </row>
        <row r="5291">
          <cell r="A5291">
            <v>75228000</v>
          </cell>
          <cell r="B5291" t="str">
            <v>Rutabaga, cooked, NS as to fat added in cooking</v>
          </cell>
          <cell r="I5291">
            <v>85</v>
          </cell>
          <cell r="J5291">
            <v>39.385888999999999</v>
          </cell>
          <cell r="K5291">
            <v>0.46336339999999998</v>
          </cell>
          <cell r="L5291">
            <v>1.4801200000000001</v>
          </cell>
          <cell r="M5291">
            <v>0.83942850000000002</v>
          </cell>
          <cell r="N5291">
            <v>0</v>
          </cell>
          <cell r="O5291">
            <v>1.5438800000000001E-2</v>
          </cell>
          <cell r="P5291">
            <v>0</v>
          </cell>
          <cell r="Q5291">
            <v>0.36213649999999997</v>
          </cell>
          <cell r="R5291">
            <v>0</v>
          </cell>
          <cell r="S5291">
            <v>0</v>
          </cell>
          <cell r="T5291">
            <v>0</v>
          </cell>
          <cell r="U5291">
            <v>82.228887</v>
          </cell>
          <cell r="V5291">
            <v>0</v>
          </cell>
          <cell r="W5291">
            <v>0</v>
          </cell>
          <cell r="X5291">
            <v>0.20661879999999999</v>
          </cell>
          <cell r="Y5291">
            <v>0</v>
          </cell>
          <cell r="Z5291">
            <v>0</v>
          </cell>
          <cell r="AA5291">
            <v>0</v>
          </cell>
          <cell r="AB5291">
            <v>7.8513200000000005E-2</v>
          </cell>
        </row>
        <row r="5292">
          <cell r="A5292">
            <v>75228010</v>
          </cell>
          <cell r="B5292" t="str">
            <v>Rutabaga, cooked, fat not added in cooking</v>
          </cell>
          <cell r="I5292">
            <v>85</v>
          </cell>
          <cell r="J5292">
            <v>25.350877000000001</v>
          </cell>
          <cell r="K5292">
            <v>0.29824561176470588</v>
          </cell>
          <cell r="L5292">
            <v>1.5210526</v>
          </cell>
          <cell r="M5292">
            <v>2.4505800000000001E-2</v>
          </cell>
          <cell r="N5292">
            <v>0</v>
          </cell>
          <cell r="O5292">
            <v>1.5329799999999999E-2</v>
          </cell>
          <cell r="P5292">
            <v>0</v>
          </cell>
          <cell r="Q5292">
            <v>8.0277799999999996E-2</v>
          </cell>
          <cell r="R5292">
            <v>0</v>
          </cell>
          <cell r="S5292">
            <v>0</v>
          </cell>
          <cell r="T5292">
            <v>0</v>
          </cell>
          <cell r="U5292">
            <v>84.502923999999993</v>
          </cell>
          <cell r="V5292">
            <v>0</v>
          </cell>
          <cell r="W5292">
            <v>0</v>
          </cell>
          <cell r="X5292">
            <v>0.1968819</v>
          </cell>
          <cell r="Y5292">
            <v>0</v>
          </cell>
          <cell r="Z5292">
            <v>0</v>
          </cell>
          <cell r="AA5292">
            <v>0</v>
          </cell>
          <cell r="AB5292">
            <v>0</v>
          </cell>
        </row>
        <row r="5293">
          <cell r="A5293">
            <v>75228020</v>
          </cell>
          <cell r="B5293" t="str">
            <v>Rutabaga, cooked, fat added in cooking</v>
          </cell>
          <cell r="I5293">
            <v>85</v>
          </cell>
          <cell r="J5293">
            <v>38.533332999999999</v>
          </cell>
          <cell r="K5293">
            <v>0.45333332941176469</v>
          </cell>
          <cell r="L5293">
            <v>1.4739884000000001</v>
          </cell>
          <cell r="M5293">
            <v>0.34045199999999998</v>
          </cell>
          <cell r="N5293">
            <v>0</v>
          </cell>
          <cell r="O5293">
            <v>1.5408099999999999E-2</v>
          </cell>
          <cell r="P5293">
            <v>0</v>
          </cell>
          <cell r="Q5293">
            <v>0.7716035</v>
          </cell>
          <cell r="R5293">
            <v>0</v>
          </cell>
          <cell r="S5293">
            <v>0</v>
          </cell>
          <cell r="T5293">
            <v>0</v>
          </cell>
          <cell r="U5293">
            <v>81.888247000000007</v>
          </cell>
          <cell r="V5293">
            <v>0</v>
          </cell>
          <cell r="W5293">
            <v>0</v>
          </cell>
          <cell r="X5293">
            <v>0.21130769999999999</v>
          </cell>
          <cell r="Y5293">
            <v>0</v>
          </cell>
          <cell r="Z5293">
            <v>0</v>
          </cell>
          <cell r="AA5293">
            <v>0</v>
          </cell>
          <cell r="AB5293">
            <v>7.8513200000000005E-2</v>
          </cell>
        </row>
        <row r="5294">
          <cell r="A5294">
            <v>75228021</v>
          </cell>
          <cell r="B5294" t="str">
            <v>Rutabaga, cooked, made with oil</v>
          </cell>
          <cell r="I5294">
            <v>85</v>
          </cell>
          <cell r="J5294">
            <v>44.171970000000002</v>
          </cell>
          <cell r="K5294">
            <v>0.51967023529411771</v>
          </cell>
          <cell r="L5294">
            <v>1.4816967000000001</v>
          </cell>
          <cell r="M5294">
            <v>0.32466050000000002</v>
          </cell>
          <cell r="N5294">
            <v>0</v>
          </cell>
          <cell r="O5294">
            <v>1.4938699999999999E-2</v>
          </cell>
          <cell r="P5294">
            <v>0</v>
          </cell>
          <cell r="Q5294">
            <v>0.98408799999999996</v>
          </cell>
          <cell r="R5294">
            <v>0</v>
          </cell>
          <cell r="S5294">
            <v>0</v>
          </cell>
          <cell r="T5294">
            <v>0</v>
          </cell>
          <cell r="U5294">
            <v>82.316483000000005</v>
          </cell>
          <cell r="V5294">
            <v>0</v>
          </cell>
          <cell r="W5294">
            <v>0</v>
          </cell>
          <cell r="X5294">
            <v>0.19179869999999999</v>
          </cell>
          <cell r="Y5294">
            <v>0</v>
          </cell>
          <cell r="Z5294">
            <v>0</v>
          </cell>
          <cell r="AA5294">
            <v>0</v>
          </cell>
          <cell r="AB5294">
            <v>7.7932000000000001E-3</v>
          </cell>
        </row>
        <row r="5295">
          <cell r="A5295">
            <v>75230000</v>
          </cell>
          <cell r="B5295" t="str">
            <v>Sauerkraut, cooked, NS as to fat added in cooking</v>
          </cell>
          <cell r="I5295">
            <v>85</v>
          </cell>
          <cell r="J5295">
            <v>33.255476000000002</v>
          </cell>
          <cell r="K5295">
            <v>0.39124089411764706</v>
          </cell>
          <cell r="L5295">
            <v>0</v>
          </cell>
          <cell r="M5295">
            <v>1.004745</v>
          </cell>
          <cell r="N5295">
            <v>0</v>
          </cell>
          <cell r="O5295">
            <v>2.53028E-2</v>
          </cell>
          <cell r="P5295">
            <v>2.3855542999999999</v>
          </cell>
          <cell r="Q5295">
            <v>0.39526810000000001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0.56174860000000004</v>
          </cell>
          <cell r="Y5295">
            <v>0</v>
          </cell>
          <cell r="Z5295">
            <v>0</v>
          </cell>
          <cell r="AA5295">
            <v>0</v>
          </cell>
          <cell r="AB5295">
            <v>9.4030799999999998E-2</v>
          </cell>
        </row>
        <row r="5296">
          <cell r="A5296">
            <v>75230010</v>
          </cell>
          <cell r="B5296" t="str">
            <v>Sauerkraut, cooked, fat not added in cooking</v>
          </cell>
          <cell r="I5296">
            <v>85</v>
          </cell>
          <cell r="J5296">
            <v>16.149999999999999</v>
          </cell>
          <cell r="K5296">
            <v>0.18999999999999997</v>
          </cell>
          <cell r="L5296">
            <v>0</v>
          </cell>
          <cell r="M5296">
            <v>2.8899999999999999E-2</v>
          </cell>
          <cell r="N5296">
            <v>0</v>
          </cell>
          <cell r="O5296">
            <v>2.5499999999999998E-2</v>
          </cell>
          <cell r="P5296">
            <v>2.4649999999999999</v>
          </cell>
          <cell r="Q5296">
            <v>5.6950000000000001E-2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0.56184999999999996</v>
          </cell>
          <cell r="Y5296">
            <v>0</v>
          </cell>
          <cell r="Z5296">
            <v>0</v>
          </cell>
          <cell r="AA5296">
            <v>0</v>
          </cell>
          <cell r="AB5296">
            <v>0</v>
          </cell>
        </row>
        <row r="5297">
          <cell r="A5297">
            <v>75230020</v>
          </cell>
          <cell r="B5297" t="str">
            <v>Sauerkraut, cooked, fat added in cooking</v>
          </cell>
          <cell r="I5297">
            <v>85</v>
          </cell>
          <cell r="J5297">
            <v>26.57612</v>
          </cell>
          <cell r="K5297">
            <v>0.31266023529411763</v>
          </cell>
          <cell r="L5297">
            <v>0</v>
          </cell>
          <cell r="M5297">
            <v>0.62369649999999999</v>
          </cell>
          <cell r="N5297">
            <v>0</v>
          </cell>
          <cell r="O5297">
            <v>2.5379800000000001E-2</v>
          </cell>
          <cell r="P5297">
            <v>2.4165763</v>
          </cell>
          <cell r="Q5297">
            <v>0.26316139999999999</v>
          </cell>
          <cell r="R5297">
            <v>0</v>
          </cell>
          <cell r="S5297">
            <v>0</v>
          </cell>
          <cell r="T5297">
            <v>0</v>
          </cell>
          <cell r="U5297">
            <v>0</v>
          </cell>
          <cell r="V5297">
            <v>0</v>
          </cell>
          <cell r="W5297">
            <v>0</v>
          </cell>
          <cell r="X5297">
            <v>0.56178819999999996</v>
          </cell>
          <cell r="Y5297">
            <v>0</v>
          </cell>
          <cell r="Z5297">
            <v>0</v>
          </cell>
          <cell r="AA5297">
            <v>0</v>
          </cell>
          <cell r="AB5297">
            <v>5.7313599999999999E-2</v>
          </cell>
        </row>
        <row r="5298">
          <cell r="A5298">
            <v>75231000</v>
          </cell>
          <cell r="B5298" t="str">
            <v>Snowpea (pea pod), cooked, NS as to form, NS as to fat added in cooking</v>
          </cell>
          <cell r="I5298">
            <v>85</v>
          </cell>
          <cell r="J5298">
            <v>63.373862000000003</v>
          </cell>
          <cell r="K5298">
            <v>0.7455748470588236</v>
          </cell>
          <cell r="L5298">
            <v>2.5467857</v>
          </cell>
          <cell r="M5298">
            <v>0.37893139999999997</v>
          </cell>
          <cell r="N5298">
            <v>0</v>
          </cell>
          <cell r="O5298">
            <v>4.86001E-2</v>
          </cell>
          <cell r="P5298">
            <v>0</v>
          </cell>
          <cell r="Q5298">
            <v>1.0978076000000001</v>
          </cell>
          <cell r="R5298">
            <v>0</v>
          </cell>
          <cell r="S5298">
            <v>0</v>
          </cell>
          <cell r="T5298">
            <v>0</v>
          </cell>
          <cell r="U5298">
            <v>82.154377999999994</v>
          </cell>
          <cell r="V5298">
            <v>0</v>
          </cell>
          <cell r="W5298">
            <v>0</v>
          </cell>
          <cell r="X5298">
            <v>0.20312810000000001</v>
          </cell>
          <cell r="Y5298">
            <v>0</v>
          </cell>
          <cell r="Z5298">
            <v>0</v>
          </cell>
          <cell r="AA5298">
            <v>0</v>
          </cell>
          <cell r="AB5298">
            <v>3.2661799999999998E-2</v>
          </cell>
        </row>
        <row r="5299">
          <cell r="A5299">
            <v>75231010</v>
          </cell>
          <cell r="B5299" t="str">
            <v>Snowpea, cooked, NS as to form, fat not added in cooking</v>
          </cell>
          <cell r="I5299">
            <v>85</v>
          </cell>
          <cell r="J5299">
            <v>43.925466</v>
          </cell>
          <cell r="K5299">
            <v>0.51677018823529408</v>
          </cell>
          <cell r="L5299">
            <v>2.6186335000000001</v>
          </cell>
          <cell r="M5299">
            <v>6.16646E-2</v>
          </cell>
          <cell r="N5299">
            <v>0</v>
          </cell>
          <cell r="O5299">
            <v>4.9965200000000001E-2</v>
          </cell>
          <cell r="P5299">
            <v>0</v>
          </cell>
          <cell r="Q5299">
            <v>0.14106830000000001</v>
          </cell>
          <cell r="R5299">
            <v>0</v>
          </cell>
          <cell r="S5299">
            <v>0</v>
          </cell>
          <cell r="T5299">
            <v>0</v>
          </cell>
          <cell r="U5299">
            <v>84.472049999999996</v>
          </cell>
          <cell r="V5299">
            <v>0</v>
          </cell>
          <cell r="W5299">
            <v>0</v>
          </cell>
          <cell r="X5299">
            <v>0.20884659999999999</v>
          </cell>
          <cell r="Y5299">
            <v>0</v>
          </cell>
          <cell r="Z5299">
            <v>0</v>
          </cell>
          <cell r="AA5299">
            <v>0</v>
          </cell>
          <cell r="AB5299">
            <v>0</v>
          </cell>
        </row>
        <row r="5300">
          <cell r="A5300">
            <v>75231011</v>
          </cell>
          <cell r="B5300" t="str">
            <v>Snowpea (pea pod), cooked, from fresh, fat not added in cooking</v>
          </cell>
          <cell r="I5300">
            <v>85</v>
          </cell>
          <cell r="J5300">
            <v>35.478261000000003</v>
          </cell>
          <cell r="K5300">
            <v>0.41739130588235296</v>
          </cell>
          <cell r="L5300">
            <v>2.3652174000000001</v>
          </cell>
          <cell r="M5300">
            <v>3.7167699999999998E-2</v>
          </cell>
          <cell r="N5300">
            <v>0</v>
          </cell>
          <cell r="O5300">
            <v>3.5604999999999998E-2</v>
          </cell>
          <cell r="P5300">
            <v>0</v>
          </cell>
          <cell r="Q5300">
            <v>8.4472000000000005E-2</v>
          </cell>
          <cell r="R5300">
            <v>0</v>
          </cell>
          <cell r="S5300">
            <v>0</v>
          </cell>
          <cell r="T5300">
            <v>0</v>
          </cell>
          <cell r="U5300">
            <v>84.472049999999996</v>
          </cell>
          <cell r="V5300">
            <v>0</v>
          </cell>
          <cell r="W5300">
            <v>0</v>
          </cell>
          <cell r="X5300">
            <v>0.20800189999999999</v>
          </cell>
          <cell r="Y5300">
            <v>0</v>
          </cell>
          <cell r="Z5300">
            <v>0</v>
          </cell>
          <cell r="AA5300">
            <v>0</v>
          </cell>
          <cell r="AB5300">
            <v>0</v>
          </cell>
        </row>
        <row r="5301">
          <cell r="A5301">
            <v>75231021</v>
          </cell>
          <cell r="B5301" t="str">
            <v>Snowpea, cooked, from fresh, fat added in cooking, NS as to type of fat</v>
          </cell>
          <cell r="I5301">
            <v>85</v>
          </cell>
          <cell r="J5301">
            <v>55.158425000000001</v>
          </cell>
          <cell r="K5301">
            <v>0.64892264705882352</v>
          </cell>
          <cell r="L5301">
            <v>2.3003225999999999</v>
          </cell>
          <cell r="M5301">
            <v>0.35510659999999999</v>
          </cell>
          <cell r="N5301">
            <v>0</v>
          </cell>
          <cell r="O5301">
            <v>3.4633900000000002E-2</v>
          </cell>
          <cell r="P5301">
            <v>0</v>
          </cell>
          <cell r="Q5301">
            <v>1.0427641999999999</v>
          </cell>
          <cell r="R5301">
            <v>0</v>
          </cell>
          <cell r="S5301">
            <v>0</v>
          </cell>
          <cell r="T5301">
            <v>0</v>
          </cell>
          <cell r="U5301">
            <v>82.154377999999994</v>
          </cell>
          <cell r="V5301">
            <v>0</v>
          </cell>
          <cell r="W5301">
            <v>0</v>
          </cell>
          <cell r="X5301">
            <v>0.2023065</v>
          </cell>
          <cell r="Y5301">
            <v>0</v>
          </cell>
          <cell r="Z5301">
            <v>0</v>
          </cell>
          <cell r="AA5301">
            <v>0</v>
          </cell>
          <cell r="AB5301">
            <v>5.1643300000000003E-2</v>
          </cell>
        </row>
        <row r="5302">
          <cell r="A5302">
            <v>75231026</v>
          </cell>
          <cell r="B5302" t="str">
            <v>Snowpea, cooked, from fresh, made with oil</v>
          </cell>
          <cell r="I5302">
            <v>85</v>
          </cell>
          <cell r="J5302">
            <v>55.158425000000001</v>
          </cell>
          <cell r="K5302">
            <v>0.64892264705882352</v>
          </cell>
          <cell r="L5302">
            <v>2.3003225999999999</v>
          </cell>
          <cell r="M5302">
            <v>0.35510659999999999</v>
          </cell>
          <cell r="N5302">
            <v>0</v>
          </cell>
          <cell r="O5302">
            <v>3.4633900000000002E-2</v>
          </cell>
          <cell r="P5302">
            <v>0</v>
          </cell>
          <cell r="Q5302">
            <v>1.0427641999999999</v>
          </cell>
          <cell r="R5302">
            <v>0</v>
          </cell>
          <cell r="S5302">
            <v>0</v>
          </cell>
          <cell r="T5302">
            <v>0</v>
          </cell>
          <cell r="U5302">
            <v>82.154377999999994</v>
          </cell>
          <cell r="V5302">
            <v>0</v>
          </cell>
          <cell r="W5302">
            <v>0</v>
          </cell>
          <cell r="X5302">
            <v>0.2023065</v>
          </cell>
          <cell r="Y5302">
            <v>0</v>
          </cell>
          <cell r="Z5302">
            <v>0</v>
          </cell>
          <cell r="AA5302">
            <v>0</v>
          </cell>
          <cell r="AB5302">
            <v>8.2640000000000005E-3</v>
          </cell>
        </row>
        <row r="5303">
          <cell r="A5303">
            <v>75231029</v>
          </cell>
          <cell r="B5303" t="str">
            <v>Snowpea, cooked, from frozen, made with oil</v>
          </cell>
          <cell r="I5303">
            <v>85</v>
          </cell>
          <cell r="J5303">
            <v>63.373862000000003</v>
          </cell>
          <cell r="K5303">
            <v>0.7455748470588236</v>
          </cell>
          <cell r="L5303">
            <v>2.5467857</v>
          </cell>
          <cell r="M5303">
            <v>0.37893139999999997</v>
          </cell>
          <cell r="N5303">
            <v>0</v>
          </cell>
          <cell r="O5303">
            <v>4.86001E-2</v>
          </cell>
          <cell r="P5303">
            <v>0</v>
          </cell>
          <cell r="Q5303">
            <v>1.0978076000000001</v>
          </cell>
          <cell r="R5303">
            <v>0</v>
          </cell>
          <cell r="S5303">
            <v>0</v>
          </cell>
          <cell r="T5303">
            <v>0</v>
          </cell>
          <cell r="U5303">
            <v>82.154377999999994</v>
          </cell>
          <cell r="V5303">
            <v>0</v>
          </cell>
          <cell r="W5303">
            <v>0</v>
          </cell>
          <cell r="X5303">
            <v>0.20312810000000001</v>
          </cell>
          <cell r="Y5303">
            <v>0</v>
          </cell>
          <cell r="Z5303">
            <v>0</v>
          </cell>
          <cell r="AA5303">
            <v>0</v>
          </cell>
          <cell r="AB5303">
            <v>8.2640000000000005E-3</v>
          </cell>
        </row>
        <row r="5304">
          <cell r="A5304">
            <v>75232000</v>
          </cell>
          <cell r="B5304" t="str">
            <v>Seaweed, dried</v>
          </cell>
          <cell r="I5304">
            <v>4</v>
          </cell>
          <cell r="J5304">
            <v>11.92</v>
          </cell>
          <cell r="K5304">
            <v>2.98</v>
          </cell>
          <cell r="L5304">
            <v>0.22600000000000001</v>
          </cell>
          <cell r="M5304">
            <v>5.4219999999999997E-2</v>
          </cell>
          <cell r="N5304">
            <v>0</v>
          </cell>
          <cell r="O5304">
            <v>1.49E-2</v>
          </cell>
          <cell r="P5304">
            <v>0</v>
          </cell>
          <cell r="Q5304">
            <v>4.3639999999999998E-2</v>
          </cell>
          <cell r="R5304">
            <v>0</v>
          </cell>
          <cell r="S5304">
            <v>0</v>
          </cell>
          <cell r="T5304">
            <v>0</v>
          </cell>
          <cell r="U5304">
            <v>4</v>
          </cell>
          <cell r="V5304">
            <v>0</v>
          </cell>
          <cell r="W5304">
            <v>0</v>
          </cell>
          <cell r="X5304">
            <v>2.3E-2</v>
          </cell>
          <cell r="Y5304">
            <v>0</v>
          </cell>
          <cell r="Z5304">
            <v>0</v>
          </cell>
          <cell r="AA5304">
            <v>0</v>
          </cell>
          <cell r="AB5304">
            <v>0</v>
          </cell>
        </row>
        <row r="5305">
          <cell r="A5305">
            <v>75232050</v>
          </cell>
          <cell r="B5305" t="str">
            <v>Seaweed, prepared with soy sauce</v>
          </cell>
          <cell r="I5305">
            <v>110</v>
          </cell>
          <cell r="J5305">
            <v>46.926631999999998</v>
          </cell>
          <cell r="K5305">
            <v>0.42660574545454544</v>
          </cell>
          <cell r="L5305">
            <v>0.66344650000000005</v>
          </cell>
          <cell r="M5305">
            <v>0.14948800000000001</v>
          </cell>
          <cell r="N5305">
            <v>0</v>
          </cell>
          <cell r="O5305">
            <v>0.12760289999999999</v>
          </cell>
          <cell r="P5305">
            <v>0.12177549999999999</v>
          </cell>
          <cell r="Q5305">
            <v>0.15850629999999999</v>
          </cell>
          <cell r="R5305">
            <v>0</v>
          </cell>
          <cell r="S5305">
            <v>0</v>
          </cell>
          <cell r="T5305">
            <v>0</v>
          </cell>
          <cell r="U5305">
            <v>94.778068000000005</v>
          </cell>
          <cell r="V5305">
            <v>0</v>
          </cell>
          <cell r="W5305">
            <v>0</v>
          </cell>
          <cell r="X5305">
            <v>1.2004044</v>
          </cell>
          <cell r="Y5305">
            <v>0</v>
          </cell>
          <cell r="Z5305">
            <v>0</v>
          </cell>
          <cell r="AA5305">
            <v>0</v>
          </cell>
          <cell r="AB5305">
            <v>0</v>
          </cell>
        </row>
        <row r="5306">
          <cell r="A5306">
            <v>75232100</v>
          </cell>
          <cell r="B5306" t="str">
            <v>Seaweed, cooked, NS as to fat added in cooking</v>
          </cell>
          <cell r="I5306">
            <v>110</v>
          </cell>
          <cell r="J5306">
            <v>67.122466000000003</v>
          </cell>
          <cell r="K5306">
            <v>0.61020423636363641</v>
          </cell>
          <cell r="L5306">
            <v>0.31791910000000001</v>
          </cell>
          <cell r="M5306">
            <v>0.52843410000000002</v>
          </cell>
          <cell r="N5306">
            <v>0</v>
          </cell>
          <cell r="O5306">
            <v>7.4342199999999997E-2</v>
          </cell>
          <cell r="P5306">
            <v>0</v>
          </cell>
          <cell r="Q5306">
            <v>1.5133711000000001</v>
          </cell>
          <cell r="R5306">
            <v>0</v>
          </cell>
          <cell r="S5306">
            <v>0</v>
          </cell>
          <cell r="T5306">
            <v>0</v>
          </cell>
          <cell r="U5306">
            <v>105.97302999999999</v>
          </cell>
          <cell r="V5306">
            <v>0</v>
          </cell>
          <cell r="W5306">
            <v>0</v>
          </cell>
          <cell r="X5306">
            <v>0.29732219999999998</v>
          </cell>
          <cell r="Y5306">
            <v>0</v>
          </cell>
          <cell r="Z5306">
            <v>0</v>
          </cell>
          <cell r="AA5306">
            <v>0</v>
          </cell>
          <cell r="AB5306">
            <v>1.2016499999999999E-2</v>
          </cell>
        </row>
        <row r="5307">
          <cell r="A5307">
            <v>75232110</v>
          </cell>
          <cell r="B5307" t="str">
            <v>Seaweed, cooked, fat not added in cooking</v>
          </cell>
          <cell r="I5307">
            <v>110</v>
          </cell>
          <cell r="J5307">
            <v>38.270378000000001</v>
          </cell>
          <cell r="K5307">
            <v>0.34791252727272726</v>
          </cell>
          <cell r="L5307">
            <v>0.32803179999999998</v>
          </cell>
          <cell r="M5307">
            <v>6.6699800000000004E-2</v>
          </cell>
          <cell r="N5307">
            <v>0</v>
          </cell>
          <cell r="O5307">
            <v>7.6698199999999994E-2</v>
          </cell>
          <cell r="P5307">
            <v>0</v>
          </cell>
          <cell r="Q5307">
            <v>0.1202783</v>
          </cell>
          <cell r="R5307">
            <v>0</v>
          </cell>
          <cell r="S5307">
            <v>0</v>
          </cell>
          <cell r="T5307">
            <v>0</v>
          </cell>
          <cell r="U5307">
            <v>109.34394</v>
          </cell>
          <cell r="V5307">
            <v>0</v>
          </cell>
          <cell r="W5307">
            <v>0</v>
          </cell>
          <cell r="X5307">
            <v>0.30676219999999998</v>
          </cell>
          <cell r="Y5307">
            <v>0</v>
          </cell>
          <cell r="Z5307">
            <v>0</v>
          </cell>
          <cell r="AA5307">
            <v>0</v>
          </cell>
          <cell r="AB5307">
            <v>0</v>
          </cell>
        </row>
        <row r="5308">
          <cell r="A5308">
            <v>75232120</v>
          </cell>
          <cell r="B5308" t="str">
            <v>Seaweed, cooked, fat added in cooking, NS as to type of fat</v>
          </cell>
          <cell r="I5308">
            <v>110</v>
          </cell>
          <cell r="J5308">
            <v>67.122466000000003</v>
          </cell>
          <cell r="K5308">
            <v>0.61020423636363641</v>
          </cell>
          <cell r="L5308">
            <v>0.31791910000000001</v>
          </cell>
          <cell r="M5308">
            <v>0.52843410000000002</v>
          </cell>
          <cell r="N5308">
            <v>0</v>
          </cell>
          <cell r="O5308">
            <v>7.4342199999999997E-2</v>
          </cell>
          <cell r="P5308">
            <v>0</v>
          </cell>
          <cell r="Q5308">
            <v>1.5133711000000001</v>
          </cell>
          <cell r="R5308">
            <v>0</v>
          </cell>
          <cell r="S5308">
            <v>0</v>
          </cell>
          <cell r="T5308">
            <v>0</v>
          </cell>
          <cell r="U5308">
            <v>105.97302999999999</v>
          </cell>
          <cell r="V5308">
            <v>0</v>
          </cell>
          <cell r="W5308">
            <v>0</v>
          </cell>
          <cell r="X5308">
            <v>0.29732219999999998</v>
          </cell>
          <cell r="Y5308">
            <v>0</v>
          </cell>
          <cell r="Z5308">
            <v>0</v>
          </cell>
          <cell r="AA5308">
            <v>0</v>
          </cell>
          <cell r="AB5308">
            <v>1.2016499999999999E-2</v>
          </cell>
        </row>
        <row r="5309">
          <cell r="A5309">
            <v>75232121</v>
          </cell>
          <cell r="B5309" t="str">
            <v>Seaweed, cooked, made with oil</v>
          </cell>
          <cell r="I5309">
            <v>110</v>
          </cell>
          <cell r="J5309">
            <v>67.122466000000003</v>
          </cell>
          <cell r="K5309">
            <v>0.61020423636363641</v>
          </cell>
          <cell r="L5309">
            <v>0.31791910000000001</v>
          </cell>
          <cell r="M5309">
            <v>0.52843410000000002</v>
          </cell>
          <cell r="N5309">
            <v>0</v>
          </cell>
          <cell r="O5309">
            <v>7.4342199999999997E-2</v>
          </cell>
          <cell r="P5309">
            <v>0</v>
          </cell>
          <cell r="Q5309">
            <v>1.5133711000000001</v>
          </cell>
          <cell r="R5309">
            <v>0</v>
          </cell>
          <cell r="S5309">
            <v>0</v>
          </cell>
          <cell r="T5309">
            <v>0</v>
          </cell>
          <cell r="U5309">
            <v>105.97302999999999</v>
          </cell>
          <cell r="V5309">
            <v>0</v>
          </cell>
          <cell r="W5309">
            <v>0</v>
          </cell>
          <cell r="X5309">
            <v>0.29732219999999998</v>
          </cell>
          <cell r="Y5309">
            <v>0</v>
          </cell>
          <cell r="Z5309">
            <v>0</v>
          </cell>
          <cell r="AA5309">
            <v>0</v>
          </cell>
          <cell r="AB5309">
            <v>1.2016499999999999E-2</v>
          </cell>
        </row>
        <row r="5310">
          <cell r="A5310">
            <v>75233000</v>
          </cell>
          <cell r="B5310" t="str">
            <v>Squash, summer, yellow or green, cooked, NS as to form, NS as to fat added in cooking</v>
          </cell>
          <cell r="I5310">
            <v>85</v>
          </cell>
          <cell r="J5310">
            <v>29.217573999999999</v>
          </cell>
          <cell r="K5310">
            <v>0.34373616470588236</v>
          </cell>
          <cell r="L5310">
            <v>1.1135596999999999</v>
          </cell>
          <cell r="M5310">
            <v>0.69787359999999998</v>
          </cell>
          <cell r="N5310">
            <v>0</v>
          </cell>
          <cell r="O5310">
            <v>1.5732300000000001E-2</v>
          </cell>
          <cell r="P5310">
            <v>0</v>
          </cell>
          <cell r="Q5310">
            <v>0.2893271</v>
          </cell>
          <cell r="R5310">
            <v>0</v>
          </cell>
          <cell r="S5310">
            <v>0</v>
          </cell>
          <cell r="T5310">
            <v>0</v>
          </cell>
          <cell r="U5310">
            <v>82.721576999999996</v>
          </cell>
          <cell r="V5310">
            <v>0</v>
          </cell>
          <cell r="W5310">
            <v>0</v>
          </cell>
          <cell r="X5310">
            <v>0.1696841</v>
          </cell>
          <cell r="Y5310">
            <v>0</v>
          </cell>
          <cell r="Z5310">
            <v>0</v>
          </cell>
          <cell r="AA5310">
            <v>0</v>
          </cell>
          <cell r="AB5310">
            <v>6.4553899999999997E-2</v>
          </cell>
        </row>
        <row r="5311">
          <cell r="A5311">
            <v>75233001</v>
          </cell>
          <cell r="B5311" t="str">
            <v>Squash, summer, yellow or green, cooked, from fresh, NS as to fat added in cooking</v>
          </cell>
          <cell r="I5311">
            <v>85</v>
          </cell>
          <cell r="J5311">
            <v>30.400437</v>
          </cell>
          <cell r="K5311">
            <v>0.35765219999999998</v>
          </cell>
          <cell r="L5311">
            <v>1.1532932</v>
          </cell>
          <cell r="M5311">
            <v>0.8243916</v>
          </cell>
          <cell r="N5311">
            <v>0</v>
          </cell>
          <cell r="O5311">
            <v>2.2845399999999998E-2</v>
          </cell>
          <cell r="P5311">
            <v>0</v>
          </cell>
          <cell r="Q5311">
            <v>0.37664219999999998</v>
          </cell>
          <cell r="R5311">
            <v>0</v>
          </cell>
          <cell r="S5311">
            <v>0</v>
          </cell>
          <cell r="T5311">
            <v>0</v>
          </cell>
          <cell r="U5311">
            <v>82.378089000000003</v>
          </cell>
          <cell r="V5311">
            <v>0</v>
          </cell>
          <cell r="W5311">
            <v>0</v>
          </cell>
          <cell r="X5311">
            <v>0.19242780000000001</v>
          </cell>
          <cell r="Y5311">
            <v>0</v>
          </cell>
          <cell r="Z5311">
            <v>0</v>
          </cell>
          <cell r="AA5311">
            <v>0</v>
          </cell>
          <cell r="AB5311">
            <v>7.4285900000000002E-2</v>
          </cell>
        </row>
        <row r="5312">
          <cell r="A5312">
            <v>75233002</v>
          </cell>
          <cell r="B5312" t="str">
            <v>Squash, summer, cooked, from frozen, NS as to fat added in cooking</v>
          </cell>
          <cell r="I5312">
            <v>85</v>
          </cell>
          <cell r="J5312">
            <v>27.287799</v>
          </cell>
          <cell r="K5312">
            <v>0.3210329294117647</v>
          </cell>
          <cell r="L5312">
            <v>1.1133982</v>
          </cell>
          <cell r="M5312">
            <v>0.25797750000000003</v>
          </cell>
          <cell r="N5312">
            <v>0</v>
          </cell>
          <cell r="O5312">
            <v>1.5698299999999998E-2</v>
          </cell>
          <cell r="P5312">
            <v>0</v>
          </cell>
          <cell r="Q5312">
            <v>0.56115910000000002</v>
          </cell>
          <cell r="R5312">
            <v>0</v>
          </cell>
          <cell r="S5312">
            <v>0</v>
          </cell>
          <cell r="T5312">
            <v>0</v>
          </cell>
          <cell r="U5312">
            <v>82.709581</v>
          </cell>
          <cell r="V5312">
            <v>0</v>
          </cell>
          <cell r="W5312">
            <v>0</v>
          </cell>
          <cell r="X5312">
            <v>0.1633597</v>
          </cell>
          <cell r="Y5312">
            <v>0</v>
          </cell>
          <cell r="Z5312">
            <v>0</v>
          </cell>
          <cell r="AA5312">
            <v>0</v>
          </cell>
          <cell r="AB5312">
            <v>6.4553899999999997E-2</v>
          </cell>
        </row>
        <row r="5313">
          <cell r="A5313">
            <v>75233010</v>
          </cell>
          <cell r="B5313" t="str">
            <v>Squash, summer, yellow or green, cooked, NS as to form, fat not added in cooking</v>
          </cell>
          <cell r="I5313">
            <v>85</v>
          </cell>
          <cell r="J5313">
            <v>17.504306</v>
          </cell>
          <cell r="K5313">
            <v>0.20593301176470588</v>
          </cell>
          <cell r="L5313">
            <v>1.1387560000000001</v>
          </cell>
          <cell r="M5313">
            <v>2.7915800000000001E-2</v>
          </cell>
          <cell r="N5313">
            <v>0</v>
          </cell>
          <cell r="O5313">
            <v>1.5649799999999998E-2</v>
          </cell>
          <cell r="P5313">
            <v>0</v>
          </cell>
          <cell r="Q5313">
            <v>5.7067899999999998E-2</v>
          </cell>
          <cell r="R5313">
            <v>0</v>
          </cell>
          <cell r="S5313">
            <v>0</v>
          </cell>
          <cell r="T5313">
            <v>0</v>
          </cell>
          <cell r="U5313">
            <v>84.593300999999997</v>
          </cell>
          <cell r="V5313">
            <v>0</v>
          </cell>
          <cell r="W5313">
            <v>0</v>
          </cell>
          <cell r="X5313">
            <v>0.16088179999999999</v>
          </cell>
          <cell r="Y5313">
            <v>0</v>
          </cell>
          <cell r="Z5313">
            <v>0</v>
          </cell>
          <cell r="AA5313">
            <v>0</v>
          </cell>
          <cell r="AB5313">
            <v>0</v>
          </cell>
        </row>
        <row r="5314">
          <cell r="A5314">
            <v>75233011</v>
          </cell>
          <cell r="B5314" t="str">
            <v>Squash, summer, yellow or green, cooked, from fresh, fat not added in cooking</v>
          </cell>
          <cell r="I5314">
            <v>85</v>
          </cell>
          <cell r="J5314">
            <v>16.906077</v>
          </cell>
          <cell r="K5314">
            <v>0.19889502352941177</v>
          </cell>
          <cell r="L5314">
            <v>1.1834254</v>
          </cell>
          <cell r="M5314">
            <v>5.4099399999999999E-2</v>
          </cell>
          <cell r="N5314">
            <v>0</v>
          </cell>
          <cell r="O5314">
            <v>2.2935899999999999E-2</v>
          </cell>
          <cell r="P5314">
            <v>0</v>
          </cell>
          <cell r="Q5314">
            <v>0.11073479999999999</v>
          </cell>
          <cell r="R5314">
            <v>0</v>
          </cell>
          <cell r="S5314">
            <v>0</v>
          </cell>
          <cell r="T5314">
            <v>0</v>
          </cell>
          <cell r="U5314">
            <v>84.530387000000005</v>
          </cell>
          <cell r="V5314">
            <v>0</v>
          </cell>
          <cell r="W5314">
            <v>0</v>
          </cell>
          <cell r="X5314">
            <v>0.18285799999999999</v>
          </cell>
          <cell r="Y5314">
            <v>0</v>
          </cell>
          <cell r="Z5314">
            <v>0</v>
          </cell>
          <cell r="AA5314">
            <v>0</v>
          </cell>
          <cell r="AB5314">
            <v>0</v>
          </cell>
        </row>
        <row r="5315">
          <cell r="A5315">
            <v>75233020</v>
          </cell>
          <cell r="B5315" t="str">
            <v>Squash, summer, yellow or green, cooked, NS as to form, fat added in cooking, NS as to type of fat</v>
          </cell>
          <cell r="I5315">
            <v>85</v>
          </cell>
          <cell r="J5315">
            <v>29.217573999999999</v>
          </cell>
          <cell r="K5315">
            <v>0.34373616470588236</v>
          </cell>
          <cell r="L5315">
            <v>1.1135596999999999</v>
          </cell>
          <cell r="M5315">
            <v>0.69787359999999998</v>
          </cell>
          <cell r="N5315">
            <v>0</v>
          </cell>
          <cell r="O5315">
            <v>1.5732300000000001E-2</v>
          </cell>
          <cell r="P5315">
            <v>0</v>
          </cell>
          <cell r="Q5315">
            <v>0.2893271</v>
          </cell>
          <cell r="R5315">
            <v>0</v>
          </cell>
          <cell r="S5315">
            <v>0</v>
          </cell>
          <cell r="T5315">
            <v>0</v>
          </cell>
          <cell r="U5315">
            <v>82.721576999999996</v>
          </cell>
          <cell r="V5315">
            <v>0</v>
          </cell>
          <cell r="W5315">
            <v>0</v>
          </cell>
          <cell r="X5315">
            <v>0.1696841</v>
          </cell>
          <cell r="Y5315">
            <v>0</v>
          </cell>
          <cell r="Z5315">
            <v>0</v>
          </cell>
          <cell r="AA5315">
            <v>0</v>
          </cell>
          <cell r="AB5315">
            <v>6.4553899999999997E-2</v>
          </cell>
        </row>
        <row r="5316">
          <cell r="A5316">
            <v>75233021</v>
          </cell>
          <cell r="B5316" t="str">
            <v>Squash, summer, cooked, from fresh, fat added in cooking</v>
          </cell>
          <cell r="I5316">
            <v>85</v>
          </cell>
          <cell r="J5316">
            <v>28.179587000000001</v>
          </cell>
          <cell r="K5316">
            <v>0.3315245529411765</v>
          </cell>
          <cell r="L5316">
            <v>1.1531008</v>
          </cell>
          <cell r="M5316">
            <v>0.31816800000000001</v>
          </cell>
          <cell r="N5316">
            <v>0</v>
          </cell>
          <cell r="O5316">
            <v>2.2804999999999999E-2</v>
          </cell>
          <cell r="P5316">
            <v>0</v>
          </cell>
          <cell r="Q5316">
            <v>0.68943350000000003</v>
          </cell>
          <cell r="R5316">
            <v>0</v>
          </cell>
          <cell r="S5316">
            <v>0</v>
          </cell>
          <cell r="T5316">
            <v>0</v>
          </cell>
          <cell r="U5316">
            <v>82.364340999999996</v>
          </cell>
          <cell r="V5316">
            <v>0</v>
          </cell>
          <cell r="W5316">
            <v>0</v>
          </cell>
          <cell r="X5316">
            <v>0.18514630000000001</v>
          </cell>
          <cell r="Y5316">
            <v>0</v>
          </cell>
          <cell r="Z5316">
            <v>0</v>
          </cell>
          <cell r="AA5316">
            <v>0</v>
          </cell>
          <cell r="AB5316">
            <v>7.4285900000000002E-2</v>
          </cell>
        </row>
        <row r="5317">
          <cell r="A5317">
            <v>75233022</v>
          </cell>
          <cell r="B5317" t="str">
            <v>Squash, summer, cooked, from frozen, fat added in cooking</v>
          </cell>
          <cell r="I5317">
            <v>85</v>
          </cell>
          <cell r="J5317">
            <v>27.287799</v>
          </cell>
          <cell r="K5317">
            <v>0.3210329294117647</v>
          </cell>
          <cell r="L5317">
            <v>1.1133982</v>
          </cell>
          <cell r="M5317">
            <v>0.25797750000000003</v>
          </cell>
          <cell r="N5317">
            <v>0</v>
          </cell>
          <cell r="O5317">
            <v>1.5698299999999998E-2</v>
          </cell>
          <cell r="P5317">
            <v>0</v>
          </cell>
          <cell r="Q5317">
            <v>0.56115910000000002</v>
          </cell>
          <cell r="R5317">
            <v>0</v>
          </cell>
          <cell r="S5317">
            <v>0</v>
          </cell>
          <cell r="T5317">
            <v>0</v>
          </cell>
          <cell r="U5317">
            <v>82.709581</v>
          </cell>
          <cell r="V5317">
            <v>0</v>
          </cell>
          <cell r="W5317">
            <v>0</v>
          </cell>
          <cell r="X5317">
            <v>0.1633597</v>
          </cell>
          <cell r="Y5317">
            <v>0</v>
          </cell>
          <cell r="Z5317">
            <v>0</v>
          </cell>
          <cell r="AA5317">
            <v>0</v>
          </cell>
          <cell r="AB5317">
            <v>6.4553899999999997E-2</v>
          </cell>
        </row>
        <row r="5318">
          <cell r="A5318">
            <v>75233024</v>
          </cell>
          <cell r="B5318" t="str">
            <v>Squash, summer, yellow or green, cooked, NS as to form, made with oil</v>
          </cell>
          <cell r="I5318">
            <v>85</v>
          </cell>
          <cell r="J5318">
            <v>33.143062999999998</v>
          </cell>
          <cell r="K5318">
            <v>0.38991838823529407</v>
          </cell>
          <cell r="L5318">
            <v>1.1145347999999999</v>
          </cell>
          <cell r="M5318">
            <v>0.27458510000000003</v>
          </cell>
          <cell r="N5318">
            <v>0</v>
          </cell>
          <cell r="O5318">
            <v>1.5321400000000001E-2</v>
          </cell>
          <cell r="P5318">
            <v>0</v>
          </cell>
          <cell r="Q5318">
            <v>0.80053790000000002</v>
          </cell>
          <cell r="R5318">
            <v>0</v>
          </cell>
          <cell r="S5318">
            <v>0</v>
          </cell>
          <cell r="T5318">
            <v>0</v>
          </cell>
          <cell r="U5318">
            <v>82.794016999999997</v>
          </cell>
          <cell r="V5318">
            <v>0</v>
          </cell>
          <cell r="W5318">
            <v>0</v>
          </cell>
          <cell r="X5318">
            <v>0.15746889999999999</v>
          </cell>
          <cell r="Y5318">
            <v>0</v>
          </cell>
          <cell r="Z5318">
            <v>0</v>
          </cell>
          <cell r="AA5318">
            <v>0</v>
          </cell>
          <cell r="AB5318">
            <v>6.4063999999999996E-3</v>
          </cell>
        </row>
        <row r="5319">
          <cell r="A5319">
            <v>75233027</v>
          </cell>
          <cell r="B5319" t="str">
            <v>Squash, summer, yellow or green, cooked, from fresh, made with oil</v>
          </cell>
          <cell r="I5319">
            <v>85</v>
          </cell>
          <cell r="J5319">
            <v>34.919511</v>
          </cell>
          <cell r="K5319">
            <v>0.41081777647058826</v>
          </cell>
          <cell r="L5319">
            <v>1.1544555999999999</v>
          </cell>
          <cell r="M5319">
            <v>0.3373525</v>
          </cell>
          <cell r="N5319">
            <v>0</v>
          </cell>
          <cell r="O5319">
            <v>2.2379699999999999E-2</v>
          </cell>
          <cell r="P5319">
            <v>0</v>
          </cell>
          <cell r="Q5319">
            <v>0.96508749999999999</v>
          </cell>
          <cell r="R5319">
            <v>0</v>
          </cell>
          <cell r="S5319">
            <v>0</v>
          </cell>
          <cell r="T5319">
            <v>0</v>
          </cell>
          <cell r="U5319">
            <v>82.461113999999995</v>
          </cell>
          <cell r="V5319">
            <v>0</v>
          </cell>
          <cell r="W5319">
            <v>0</v>
          </cell>
          <cell r="X5319">
            <v>0.1783921</v>
          </cell>
          <cell r="Y5319">
            <v>0</v>
          </cell>
          <cell r="Z5319">
            <v>0</v>
          </cell>
          <cell r="AA5319">
            <v>0</v>
          </cell>
          <cell r="AB5319">
            <v>7.3731999999999999E-3</v>
          </cell>
        </row>
        <row r="5320">
          <cell r="A5320">
            <v>75233028</v>
          </cell>
          <cell r="B5320" t="str">
            <v>Squash, summer, yellow or green, cooked, from fresh, made with butter</v>
          </cell>
          <cell r="I5320">
            <v>85</v>
          </cell>
          <cell r="J5320">
            <v>31.993328999999999</v>
          </cell>
          <cell r="K5320">
            <v>0.37639210588235295</v>
          </cell>
          <cell r="L5320">
            <v>1.1532932</v>
          </cell>
          <cell r="M5320">
            <v>1.1644566999999999</v>
          </cell>
          <cell r="N5320">
            <v>0</v>
          </cell>
          <cell r="O5320">
            <v>2.2871300000000001E-2</v>
          </cell>
          <cell r="P5320">
            <v>0</v>
          </cell>
          <cell r="Q5320">
            <v>0.1737736</v>
          </cell>
          <cell r="R5320">
            <v>0</v>
          </cell>
          <cell r="S5320">
            <v>0</v>
          </cell>
          <cell r="T5320">
            <v>0</v>
          </cell>
          <cell r="U5320">
            <v>82.378089000000003</v>
          </cell>
          <cell r="V5320">
            <v>0</v>
          </cell>
          <cell r="W5320">
            <v>0</v>
          </cell>
          <cell r="X5320">
            <v>0.19211829999999999</v>
          </cell>
          <cell r="Y5320">
            <v>0</v>
          </cell>
          <cell r="Z5320">
            <v>0</v>
          </cell>
          <cell r="AA5320">
            <v>0</v>
          </cell>
          <cell r="AB5320">
            <v>7.0944300000000002E-2</v>
          </cell>
        </row>
        <row r="5321">
          <cell r="A5321">
            <v>75233029</v>
          </cell>
          <cell r="B5321" t="str">
            <v>Squash, summer, yellow or green, cooked, from fresh, made with margarine</v>
          </cell>
          <cell r="I5321">
            <v>85</v>
          </cell>
          <cell r="J5321">
            <v>28.107194</v>
          </cell>
          <cell r="K5321">
            <v>0.3306728705882353</v>
          </cell>
          <cell r="L5321">
            <v>1.1530324999999999</v>
          </cell>
          <cell r="M5321">
            <v>0.31654539999999998</v>
          </cell>
          <cell r="N5321">
            <v>0</v>
          </cell>
          <cell r="O5321">
            <v>2.2805300000000001E-2</v>
          </cell>
          <cell r="P5321">
            <v>0</v>
          </cell>
          <cell r="Q5321">
            <v>0.68587940000000003</v>
          </cell>
          <cell r="R5321">
            <v>0</v>
          </cell>
          <cell r="S5321">
            <v>0</v>
          </cell>
          <cell r="T5321">
            <v>0</v>
          </cell>
          <cell r="U5321">
            <v>82.359464000000003</v>
          </cell>
          <cell r="V5321">
            <v>0</v>
          </cell>
          <cell r="W5321">
            <v>0</v>
          </cell>
          <cell r="X5321">
            <v>0.192886</v>
          </cell>
          <cell r="Y5321">
            <v>0</v>
          </cell>
          <cell r="Z5321">
            <v>0</v>
          </cell>
          <cell r="AA5321">
            <v>0</v>
          </cell>
          <cell r="AB5321">
            <v>7.99845E-2</v>
          </cell>
        </row>
        <row r="5322">
          <cell r="A5322">
            <v>75233030</v>
          </cell>
          <cell r="B5322" t="str">
            <v>Squash, summer, yellow or green, cooked, from frozen, made with oil</v>
          </cell>
          <cell r="I5322">
            <v>85</v>
          </cell>
          <cell r="J5322">
            <v>37.961728999999998</v>
          </cell>
          <cell r="K5322">
            <v>0.44660857647058821</v>
          </cell>
          <cell r="L5322">
            <v>1.1566148000000001</v>
          </cell>
          <cell r="M5322">
            <v>0.3003364</v>
          </cell>
          <cell r="N5322">
            <v>0</v>
          </cell>
          <cell r="O5322">
            <v>1.6631199999999999E-2</v>
          </cell>
          <cell r="P5322">
            <v>0</v>
          </cell>
          <cell r="Q5322">
            <v>0.87274439999999998</v>
          </cell>
          <cell r="R5322">
            <v>0</v>
          </cell>
          <cell r="S5322">
            <v>0</v>
          </cell>
          <cell r="T5322">
            <v>0</v>
          </cell>
          <cell r="U5322">
            <v>82.615342999999996</v>
          </cell>
          <cell r="V5322">
            <v>0</v>
          </cell>
          <cell r="W5322">
            <v>0</v>
          </cell>
          <cell r="X5322">
            <v>0.1717378</v>
          </cell>
          <cell r="Y5322">
            <v>0</v>
          </cell>
          <cell r="Z5322">
            <v>0</v>
          </cell>
          <cell r="AA5322">
            <v>0</v>
          </cell>
          <cell r="AB5322">
            <v>6.9252999999999997E-3</v>
          </cell>
        </row>
        <row r="5323">
          <cell r="A5323">
            <v>75233220</v>
          </cell>
          <cell r="B5323" t="str">
            <v>Squash, spaghetti, cooked, fat not added in cooking</v>
          </cell>
          <cell r="I5323">
            <v>85</v>
          </cell>
          <cell r="J5323">
            <v>22.802885</v>
          </cell>
          <cell r="K5323">
            <v>0.26826923529411767</v>
          </cell>
          <cell r="L5323">
            <v>1.1823718000000001</v>
          </cell>
          <cell r="M5323">
            <v>5.2362199999999998E-2</v>
          </cell>
          <cell r="N5323">
            <v>0</v>
          </cell>
          <cell r="O5323">
            <v>1.7866300000000002E-2</v>
          </cell>
          <cell r="P5323">
            <v>0</v>
          </cell>
          <cell r="Q5323">
            <v>0.10641349999999999</v>
          </cell>
          <cell r="R5323">
            <v>0</v>
          </cell>
          <cell r="S5323">
            <v>0</v>
          </cell>
          <cell r="T5323">
            <v>0</v>
          </cell>
          <cell r="U5323">
            <v>84.455128000000002</v>
          </cell>
          <cell r="V5323">
            <v>0</v>
          </cell>
          <cell r="W5323">
            <v>0</v>
          </cell>
          <cell r="X5323">
            <v>0.22638330000000001</v>
          </cell>
          <cell r="Y5323">
            <v>0</v>
          </cell>
          <cell r="Z5323">
            <v>0</v>
          </cell>
          <cell r="AA5323">
            <v>0</v>
          </cell>
          <cell r="AB5323">
            <v>0</v>
          </cell>
        </row>
        <row r="5324">
          <cell r="A5324">
            <v>75234011</v>
          </cell>
          <cell r="B5324" t="str">
            <v>Turnip, cooked, from fresh, fat not added in cooking</v>
          </cell>
          <cell r="I5324">
            <v>85</v>
          </cell>
          <cell r="J5324">
            <v>18.580891999999999</v>
          </cell>
          <cell r="K5324">
            <v>0.2185987294117647</v>
          </cell>
          <cell r="L5324">
            <v>1.6891719999999999</v>
          </cell>
          <cell r="M5324">
            <v>6.7567E-3</v>
          </cell>
          <cell r="N5324">
            <v>0</v>
          </cell>
          <cell r="O5324">
            <v>2.80013E-2</v>
          </cell>
          <cell r="P5324">
            <v>0</v>
          </cell>
          <cell r="Q5324">
            <v>3.54726E-2</v>
          </cell>
          <cell r="R5324">
            <v>0</v>
          </cell>
          <cell r="S5324">
            <v>0</v>
          </cell>
          <cell r="T5324">
            <v>0</v>
          </cell>
          <cell r="U5324">
            <v>84.458599000000007</v>
          </cell>
          <cell r="V5324">
            <v>0</v>
          </cell>
          <cell r="W5324">
            <v>0</v>
          </cell>
          <cell r="X5324">
            <v>0.22334970000000001</v>
          </cell>
          <cell r="Y5324">
            <v>0</v>
          </cell>
          <cell r="Z5324">
            <v>0</v>
          </cell>
          <cell r="AA5324">
            <v>0</v>
          </cell>
          <cell r="AB5324">
            <v>0</v>
          </cell>
        </row>
        <row r="5325">
          <cell r="A5325">
            <v>75234021</v>
          </cell>
          <cell r="B5325" t="str">
            <v>Turnip, cooked, from fresh, fat added in cooking</v>
          </cell>
          <cell r="I5325">
            <v>85</v>
          </cell>
          <cell r="J5325">
            <v>31.477744999999999</v>
          </cell>
          <cell r="K5325">
            <v>0.37032641176470588</v>
          </cell>
          <cell r="L5325">
            <v>1.6394659</v>
          </cell>
          <cell r="M5325">
            <v>0.3113976</v>
          </cell>
          <cell r="N5325">
            <v>0</v>
          </cell>
          <cell r="O5325">
            <v>2.7701900000000002E-2</v>
          </cell>
          <cell r="P5325">
            <v>0</v>
          </cell>
          <cell r="Q5325">
            <v>0.70224629999999999</v>
          </cell>
          <cell r="R5325">
            <v>0</v>
          </cell>
          <cell r="S5325">
            <v>0</v>
          </cell>
          <cell r="T5325">
            <v>0</v>
          </cell>
          <cell r="U5325">
            <v>81.973293999999996</v>
          </cell>
          <cell r="V5325">
            <v>0</v>
          </cell>
          <cell r="W5325">
            <v>0</v>
          </cell>
          <cell r="X5325">
            <v>0.22478590000000001</v>
          </cell>
          <cell r="Y5325">
            <v>0</v>
          </cell>
          <cell r="Z5325">
            <v>0</v>
          </cell>
          <cell r="AA5325">
            <v>0</v>
          </cell>
          <cell r="AB5325">
            <v>8.5309700000000002E-2</v>
          </cell>
        </row>
        <row r="5326">
          <cell r="A5326">
            <v>75234022</v>
          </cell>
          <cell r="B5326" t="str">
            <v>Turnip, cooked, from frozen, fat added in cooking</v>
          </cell>
          <cell r="I5326">
            <v>85</v>
          </cell>
          <cell r="J5326">
            <v>32.297477999999998</v>
          </cell>
          <cell r="K5326">
            <v>0.37997032941176467</v>
          </cell>
          <cell r="L5326">
            <v>1.6394659</v>
          </cell>
          <cell r="M5326">
            <v>0.32533309999999999</v>
          </cell>
          <cell r="N5326">
            <v>0</v>
          </cell>
          <cell r="O5326">
            <v>2.6882199999999998E-2</v>
          </cell>
          <cell r="P5326">
            <v>0</v>
          </cell>
          <cell r="Q5326">
            <v>0.77028410000000003</v>
          </cell>
          <cell r="R5326">
            <v>0</v>
          </cell>
          <cell r="S5326">
            <v>0</v>
          </cell>
          <cell r="T5326">
            <v>0</v>
          </cell>
          <cell r="U5326">
            <v>81.973293999999996</v>
          </cell>
          <cell r="V5326">
            <v>0</v>
          </cell>
          <cell r="W5326">
            <v>0</v>
          </cell>
          <cell r="X5326">
            <v>0.24118059999999999</v>
          </cell>
          <cell r="Y5326">
            <v>0</v>
          </cell>
          <cell r="Z5326">
            <v>0</v>
          </cell>
          <cell r="AA5326">
            <v>0</v>
          </cell>
          <cell r="AB5326">
            <v>8.5309700000000002E-2</v>
          </cell>
        </row>
        <row r="5327">
          <cell r="A5327">
            <v>75234028</v>
          </cell>
          <cell r="B5327" t="str">
            <v>Turnip, cooked, from fresh, made with butter</v>
          </cell>
          <cell r="I5327">
            <v>85</v>
          </cell>
          <cell r="J5327">
            <v>35.858065000000003</v>
          </cell>
          <cell r="K5327">
            <v>0.42185958823529418</v>
          </cell>
          <cell r="L5327">
            <v>1.6397801000000001</v>
          </cell>
          <cell r="M5327">
            <v>1.2832713</v>
          </cell>
          <cell r="N5327">
            <v>0</v>
          </cell>
          <cell r="O5327">
            <v>2.7779000000000002E-2</v>
          </cell>
          <cell r="P5327">
            <v>0</v>
          </cell>
          <cell r="Q5327">
            <v>0.11006680000000001</v>
          </cell>
          <cell r="R5327">
            <v>0</v>
          </cell>
          <cell r="S5327">
            <v>0</v>
          </cell>
          <cell r="T5327">
            <v>0</v>
          </cell>
          <cell r="U5327">
            <v>81.989006000000003</v>
          </cell>
          <cell r="V5327">
            <v>0</v>
          </cell>
          <cell r="W5327">
            <v>0</v>
          </cell>
          <cell r="X5327">
            <v>0.23280010000000001</v>
          </cell>
          <cell r="Y5327">
            <v>0</v>
          </cell>
          <cell r="Z5327">
            <v>0</v>
          </cell>
          <cell r="AA5327">
            <v>0</v>
          </cell>
          <cell r="AB5327">
            <v>8.1472199999999995E-2</v>
          </cell>
        </row>
        <row r="5328">
          <cell r="A5328">
            <v>75235000</v>
          </cell>
          <cell r="B5328" t="str">
            <v>Water chestnut</v>
          </cell>
          <cell r="I5328">
            <v>85</v>
          </cell>
          <cell r="J5328">
            <v>42.5</v>
          </cell>
          <cell r="K5328">
            <v>0.5</v>
          </cell>
          <cell r="L5328">
            <v>0</v>
          </cell>
          <cell r="M5328">
            <v>1.3599999999999999E-2</v>
          </cell>
          <cell r="N5328">
            <v>0</v>
          </cell>
          <cell r="O5328">
            <v>3.3999999999999998E-3</v>
          </cell>
          <cell r="P5328">
            <v>2.125</v>
          </cell>
          <cell r="Q5328">
            <v>2.2100000000000002E-2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6.7999999999999996E-3</v>
          </cell>
          <cell r="Y5328">
            <v>0</v>
          </cell>
          <cell r="Z5328">
            <v>0</v>
          </cell>
          <cell r="AA5328">
            <v>0</v>
          </cell>
          <cell r="AB5328">
            <v>0</v>
          </cell>
        </row>
        <row r="5329">
          <cell r="A5329">
            <v>75235750</v>
          </cell>
          <cell r="B5329" t="str">
            <v>Winter melon, cooked</v>
          </cell>
          <cell r="I5329">
            <v>85</v>
          </cell>
          <cell r="J5329">
            <v>11.832386</v>
          </cell>
          <cell r="K5329">
            <v>0.13920454117647058</v>
          </cell>
          <cell r="L5329">
            <v>0.84517050000000005</v>
          </cell>
          <cell r="M5329">
            <v>1.35227E-2</v>
          </cell>
          <cell r="N5329">
            <v>0</v>
          </cell>
          <cell r="O5329">
            <v>1.5329000000000001E-2</v>
          </cell>
          <cell r="P5329">
            <v>0</v>
          </cell>
          <cell r="Q5329">
            <v>7.4374999999999997E-2</v>
          </cell>
          <cell r="R5329">
            <v>0</v>
          </cell>
          <cell r="S5329">
            <v>0</v>
          </cell>
          <cell r="T5329">
            <v>0</v>
          </cell>
          <cell r="U5329">
            <v>84.517044999999996</v>
          </cell>
          <cell r="V5329">
            <v>0</v>
          </cell>
          <cell r="W5329">
            <v>0</v>
          </cell>
          <cell r="X5329">
            <v>0.2776168</v>
          </cell>
          <cell r="Y5329">
            <v>0</v>
          </cell>
          <cell r="Z5329">
            <v>0</v>
          </cell>
          <cell r="AA5329">
            <v>0</v>
          </cell>
          <cell r="AB5329">
            <v>0</v>
          </cell>
        </row>
        <row r="5330">
          <cell r="A5330">
            <v>75236000</v>
          </cell>
          <cell r="B5330" t="str">
            <v>Yeast</v>
          </cell>
          <cell r="I5330">
            <v>12</v>
          </cell>
          <cell r="J5330">
            <v>39</v>
          </cell>
          <cell r="K5330">
            <v>3.25</v>
          </cell>
          <cell r="L5330">
            <v>0</v>
          </cell>
          <cell r="M5330">
            <v>0.12012</v>
          </cell>
          <cell r="N5330">
            <v>0</v>
          </cell>
          <cell r="O5330">
            <v>3.5999999999999999E-3</v>
          </cell>
          <cell r="P5330">
            <v>3.2280000000000002</v>
          </cell>
          <cell r="Q5330">
            <v>2.0400000000000001E-3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  <cell r="V5330">
            <v>0</v>
          </cell>
          <cell r="W5330">
            <v>0</v>
          </cell>
          <cell r="X5330">
            <v>6.1199999999999996E-3</v>
          </cell>
          <cell r="Y5330">
            <v>0</v>
          </cell>
          <cell r="Z5330">
            <v>0</v>
          </cell>
          <cell r="AA5330">
            <v>0</v>
          </cell>
          <cell r="AB5330">
            <v>0</v>
          </cell>
        </row>
        <row r="5331">
          <cell r="A5331">
            <v>75236500</v>
          </cell>
          <cell r="B5331" t="str">
            <v>Yeast extract spread</v>
          </cell>
          <cell r="I5331">
            <v>6</v>
          </cell>
          <cell r="J5331">
            <v>11.1</v>
          </cell>
          <cell r="K5331">
            <v>1.8499999999999999</v>
          </cell>
          <cell r="L5331">
            <v>0</v>
          </cell>
          <cell r="M5331">
            <v>0</v>
          </cell>
          <cell r="N5331">
            <v>0</v>
          </cell>
          <cell r="O5331">
            <v>4.0200000000000001E-3</v>
          </cell>
          <cell r="P5331">
            <v>0.39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>
            <v>0</v>
          </cell>
          <cell r="V5331">
            <v>0</v>
          </cell>
          <cell r="W5331">
            <v>0</v>
          </cell>
          <cell r="X5331">
            <v>0.20280000000000001</v>
          </cell>
          <cell r="Y5331">
            <v>0</v>
          </cell>
          <cell r="Z5331">
            <v>0</v>
          </cell>
          <cell r="AA5331">
            <v>0</v>
          </cell>
          <cell r="AB5331">
            <v>0</v>
          </cell>
        </row>
        <row r="5332">
          <cell r="A5332">
            <v>75301110</v>
          </cell>
          <cell r="B5332" t="str">
            <v>Beans, lima and corn (succotash), cooked, fat not added in cooking</v>
          </cell>
          <cell r="I5332">
            <v>85</v>
          </cell>
          <cell r="J5332">
            <v>78.587719000000007</v>
          </cell>
          <cell r="K5332">
            <v>0.92456140000000009</v>
          </cell>
          <cell r="L5332">
            <v>0</v>
          </cell>
          <cell r="M5332">
            <v>0.14027490000000001</v>
          </cell>
          <cell r="N5332">
            <v>0</v>
          </cell>
          <cell r="O5332">
            <v>1.2794700000000001E-2</v>
          </cell>
          <cell r="P5332">
            <v>3.4646199000000002</v>
          </cell>
          <cell r="Q5332">
            <v>0.36082750000000002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0.230683</v>
          </cell>
          <cell r="Y5332">
            <v>0</v>
          </cell>
          <cell r="Z5332">
            <v>0</v>
          </cell>
          <cell r="AA5332">
            <v>0</v>
          </cell>
          <cell r="AB5332">
            <v>0</v>
          </cell>
        </row>
        <row r="5333">
          <cell r="A5333">
            <v>75301120</v>
          </cell>
          <cell r="B5333" t="str">
            <v>Beans, lima and corn (succotash), cooked, fat added in cooking</v>
          </cell>
          <cell r="I5333">
            <v>85</v>
          </cell>
          <cell r="J5333">
            <v>88.938422000000003</v>
          </cell>
          <cell r="K5333">
            <v>1.0463343764705884</v>
          </cell>
          <cell r="L5333">
            <v>0</v>
          </cell>
          <cell r="M5333">
            <v>0.41753279999999998</v>
          </cell>
          <cell r="N5333">
            <v>0</v>
          </cell>
          <cell r="O5333">
            <v>1.2922100000000001E-2</v>
          </cell>
          <cell r="P5333">
            <v>3.374822</v>
          </cell>
          <cell r="Q5333">
            <v>0.96683370000000002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0.19267429999999999</v>
          </cell>
          <cell r="Y5333">
            <v>0</v>
          </cell>
          <cell r="Z5333">
            <v>0</v>
          </cell>
          <cell r="AA5333">
            <v>0</v>
          </cell>
          <cell r="AB5333">
            <v>7.8513200000000005E-2</v>
          </cell>
        </row>
        <row r="5334">
          <cell r="A5334">
            <v>75301121</v>
          </cell>
          <cell r="B5334" t="str">
            <v>Beans, lima and corn, cooked, made with oil</v>
          </cell>
          <cell r="I5334">
            <v>85</v>
          </cell>
          <cell r="J5334">
            <v>96.031353999999993</v>
          </cell>
          <cell r="K5334">
            <v>1.1297806352941175</v>
          </cell>
          <cell r="L5334">
            <v>0</v>
          </cell>
          <cell r="M5334">
            <v>0.43743409999999999</v>
          </cell>
          <cell r="N5334">
            <v>0</v>
          </cell>
          <cell r="O5334">
            <v>1.24692E-2</v>
          </cell>
          <cell r="P5334">
            <v>3.3749758000000001</v>
          </cell>
          <cell r="Q5334">
            <v>1.2573787000000001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0.22472529999999999</v>
          </cell>
          <cell r="Y5334">
            <v>0</v>
          </cell>
          <cell r="Z5334">
            <v>0</v>
          </cell>
          <cell r="AA5334">
            <v>0</v>
          </cell>
          <cell r="AB5334">
            <v>1.89339E-2</v>
          </cell>
        </row>
        <row r="5335">
          <cell r="A5335">
            <v>75302009</v>
          </cell>
          <cell r="B5335" t="str">
            <v>Beans, string, green, with tomatoes, cooked, NS as to fat added in cooking</v>
          </cell>
          <cell r="I5335">
            <v>85</v>
          </cell>
          <cell r="J5335">
            <v>37.316502</v>
          </cell>
          <cell r="K5335">
            <v>0.43901767058823526</v>
          </cell>
          <cell r="L5335">
            <v>2.081747</v>
          </cell>
          <cell r="M5335">
            <v>0.70952660000000001</v>
          </cell>
          <cell r="N5335">
            <v>0</v>
          </cell>
          <cell r="O5335">
            <v>2.6851199999999999E-2</v>
          </cell>
          <cell r="P5335">
            <v>0</v>
          </cell>
          <cell r="Q5335">
            <v>0.34351730000000003</v>
          </cell>
          <cell r="R5335">
            <v>0</v>
          </cell>
          <cell r="S5335">
            <v>0</v>
          </cell>
          <cell r="T5335">
            <v>0</v>
          </cell>
          <cell r="U5335">
            <v>82.979651000000004</v>
          </cell>
          <cell r="V5335">
            <v>0</v>
          </cell>
          <cell r="W5335">
            <v>0</v>
          </cell>
          <cell r="X5335">
            <v>0.23373830000000001</v>
          </cell>
          <cell r="Y5335">
            <v>0</v>
          </cell>
          <cell r="Z5335">
            <v>0</v>
          </cell>
          <cell r="AA5335">
            <v>0</v>
          </cell>
          <cell r="AB5335">
            <v>6.3938300000000003E-2</v>
          </cell>
        </row>
        <row r="5336">
          <cell r="A5336">
            <v>75302011</v>
          </cell>
          <cell r="B5336" t="str">
            <v>Beans, string, green, with tomatoes, cooked, fat added in cooking</v>
          </cell>
          <cell r="I5336">
            <v>85</v>
          </cell>
          <cell r="J5336">
            <v>37.316502</v>
          </cell>
          <cell r="K5336">
            <v>0.43901767058823526</v>
          </cell>
          <cell r="L5336">
            <v>2.081747</v>
          </cell>
          <cell r="M5336">
            <v>0.70952660000000001</v>
          </cell>
          <cell r="N5336">
            <v>0</v>
          </cell>
          <cell r="O5336">
            <v>2.6851199999999999E-2</v>
          </cell>
          <cell r="P5336">
            <v>0</v>
          </cell>
          <cell r="Q5336">
            <v>0.34351730000000003</v>
          </cell>
          <cell r="R5336">
            <v>0</v>
          </cell>
          <cell r="S5336">
            <v>0</v>
          </cell>
          <cell r="T5336">
            <v>0</v>
          </cell>
          <cell r="U5336">
            <v>82.979651000000004</v>
          </cell>
          <cell r="V5336">
            <v>0</v>
          </cell>
          <cell r="W5336">
            <v>0</v>
          </cell>
          <cell r="X5336">
            <v>0.23373830000000001</v>
          </cell>
          <cell r="Y5336">
            <v>0</v>
          </cell>
          <cell r="Z5336">
            <v>0</v>
          </cell>
          <cell r="AA5336">
            <v>0</v>
          </cell>
          <cell r="AB5336">
            <v>6.3938300000000003E-2</v>
          </cell>
        </row>
        <row r="5337">
          <cell r="A5337">
            <v>75302040</v>
          </cell>
          <cell r="B5337" t="str">
            <v>Beans, string, green, with almonds, cooked, fat not added in cooking</v>
          </cell>
          <cell r="I5337">
            <v>85</v>
          </cell>
          <cell r="J5337">
            <v>75.477033000000006</v>
          </cell>
          <cell r="K5337">
            <v>0.88796509411764712</v>
          </cell>
          <cell r="L5337">
            <v>2.4356347999999999</v>
          </cell>
          <cell r="M5337">
            <v>0.37592249999999999</v>
          </cell>
          <cell r="N5337">
            <v>0</v>
          </cell>
          <cell r="O5337">
            <v>5.3171000000000003E-2</v>
          </cell>
          <cell r="P5337">
            <v>0.81947300000000001</v>
          </cell>
          <cell r="Q5337">
            <v>1.1341265</v>
          </cell>
          <cell r="R5337">
            <v>0</v>
          </cell>
          <cell r="S5337">
            <v>0</v>
          </cell>
          <cell r="T5337">
            <v>0</v>
          </cell>
          <cell r="U5337">
            <v>76.113586999999995</v>
          </cell>
          <cell r="V5337">
            <v>0</v>
          </cell>
          <cell r="W5337">
            <v>0</v>
          </cell>
          <cell r="X5337">
            <v>0.23833470000000001</v>
          </cell>
          <cell r="Y5337">
            <v>8.2720208999999993</v>
          </cell>
          <cell r="Z5337">
            <v>0</v>
          </cell>
          <cell r="AA5337">
            <v>0</v>
          </cell>
          <cell r="AB5337">
            <v>1.5727E-3</v>
          </cell>
        </row>
        <row r="5338">
          <cell r="A5338">
            <v>75302047</v>
          </cell>
          <cell r="B5338" t="str">
            <v>Beans, string, green, with almonds, cooked, made with butter</v>
          </cell>
          <cell r="I5338">
            <v>85</v>
          </cell>
          <cell r="J5338">
            <v>92.973607999999999</v>
          </cell>
          <cell r="K5338">
            <v>1.0938071529411764</v>
          </cell>
          <cell r="L5338">
            <v>2.3558268999999998</v>
          </cell>
          <cell r="M5338">
            <v>1.7942940999999999</v>
          </cell>
          <cell r="N5338">
            <v>0</v>
          </cell>
          <cell r="O5338">
            <v>5.2097200000000003E-2</v>
          </cell>
          <cell r="P5338">
            <v>0.79262149999999998</v>
          </cell>
          <cell r="Q5338">
            <v>1.1817177000000001</v>
          </cell>
          <cell r="R5338">
            <v>0</v>
          </cell>
          <cell r="S5338">
            <v>0</v>
          </cell>
          <cell r="T5338">
            <v>0</v>
          </cell>
          <cell r="U5338">
            <v>73.619589000000005</v>
          </cell>
          <cell r="V5338">
            <v>0</v>
          </cell>
          <cell r="W5338">
            <v>0</v>
          </cell>
          <cell r="X5338">
            <v>0.24843390000000001</v>
          </cell>
          <cell r="Y5338">
            <v>8.0009733999999995</v>
          </cell>
          <cell r="Z5338">
            <v>0</v>
          </cell>
          <cell r="AA5338">
            <v>0</v>
          </cell>
          <cell r="AB5338">
            <v>9.2819299999999993E-2</v>
          </cell>
        </row>
        <row r="5339">
          <cell r="A5339">
            <v>75302050</v>
          </cell>
          <cell r="B5339" t="str">
            <v>Beans, string, green, and potatoes, cooked, fat not added in cooking</v>
          </cell>
          <cell r="I5339">
            <v>85</v>
          </cell>
          <cell r="J5339">
            <v>50.396099</v>
          </cell>
          <cell r="K5339">
            <v>0.5928952823529412</v>
          </cell>
          <cell r="L5339">
            <v>1.3963038999999999</v>
          </cell>
          <cell r="M5339">
            <v>3.7672299999999999E-2</v>
          </cell>
          <cell r="N5339">
            <v>0</v>
          </cell>
          <cell r="O5339">
            <v>2.25922E-2</v>
          </cell>
          <cell r="P5339">
            <v>0.73515399999999997</v>
          </cell>
          <cell r="Q5339">
            <v>8.0832000000000001E-2</v>
          </cell>
          <cell r="R5339">
            <v>0</v>
          </cell>
          <cell r="S5339">
            <v>0</v>
          </cell>
          <cell r="T5339">
            <v>0</v>
          </cell>
          <cell r="U5339">
            <v>43.634497000000003</v>
          </cell>
          <cell r="V5339">
            <v>0</v>
          </cell>
          <cell r="W5339">
            <v>0</v>
          </cell>
          <cell r="X5339">
            <v>0.20542070000000001</v>
          </cell>
          <cell r="Y5339">
            <v>0</v>
          </cell>
          <cell r="Z5339">
            <v>0</v>
          </cell>
          <cell r="AA5339">
            <v>0</v>
          </cell>
          <cell r="AB5339">
            <v>0</v>
          </cell>
        </row>
        <row r="5340">
          <cell r="A5340">
            <v>75302080</v>
          </cell>
          <cell r="B5340" t="str">
            <v>Bean salad, yellow and/or green string beans</v>
          </cell>
          <cell r="I5340">
            <v>100</v>
          </cell>
          <cell r="J5340">
            <v>107.02334</v>
          </cell>
          <cell r="K5340">
            <v>1.0702334</v>
          </cell>
          <cell r="L5340">
            <v>3.2128155999999999</v>
          </cell>
          <cell r="M5340">
            <v>0.70847450000000001</v>
          </cell>
          <cell r="N5340">
            <v>0</v>
          </cell>
          <cell r="O5340">
            <v>2.4002900000000001E-2</v>
          </cell>
          <cell r="P5340">
            <v>0</v>
          </cell>
          <cell r="Q5340">
            <v>2.5433015999999999</v>
          </cell>
          <cell r="R5340">
            <v>0</v>
          </cell>
          <cell r="S5340">
            <v>33.646022000000002</v>
          </cell>
          <cell r="T5340">
            <v>0</v>
          </cell>
          <cell r="U5340">
            <v>43.878036999999999</v>
          </cell>
          <cell r="V5340">
            <v>0</v>
          </cell>
          <cell r="W5340">
            <v>0</v>
          </cell>
          <cell r="X5340">
            <v>0.299203</v>
          </cell>
          <cell r="Y5340">
            <v>0</v>
          </cell>
          <cell r="Z5340">
            <v>0</v>
          </cell>
          <cell r="AA5340">
            <v>0</v>
          </cell>
          <cell r="AB5340">
            <v>1.5002400000000001E-2</v>
          </cell>
        </row>
        <row r="5341">
          <cell r="A5341">
            <v>75302205</v>
          </cell>
          <cell r="B5341" t="str">
            <v>Beans, string, green, with onions, cooked, fat not added in cooking</v>
          </cell>
          <cell r="I5341">
            <v>85</v>
          </cell>
          <cell r="J5341">
            <v>32.275466999999999</v>
          </cell>
          <cell r="K5341">
            <v>0.37971137647058822</v>
          </cell>
          <cell r="L5341">
            <v>2.1560272</v>
          </cell>
          <cell r="M5341">
            <v>4.4029699999999998E-2</v>
          </cell>
          <cell r="N5341">
            <v>0</v>
          </cell>
          <cell r="O5341">
            <v>3.06173E-2</v>
          </cell>
          <cell r="P5341">
            <v>0</v>
          </cell>
          <cell r="Q5341">
            <v>0.100593</v>
          </cell>
          <cell r="R5341">
            <v>0</v>
          </cell>
          <cell r="S5341">
            <v>0</v>
          </cell>
          <cell r="T5341">
            <v>0</v>
          </cell>
          <cell r="U5341">
            <v>84.422749999999994</v>
          </cell>
          <cell r="V5341">
            <v>0</v>
          </cell>
          <cell r="W5341">
            <v>0</v>
          </cell>
          <cell r="X5341">
            <v>0.22518070000000001</v>
          </cell>
          <cell r="Y5341">
            <v>0</v>
          </cell>
          <cell r="Z5341">
            <v>0</v>
          </cell>
          <cell r="AA5341">
            <v>0</v>
          </cell>
          <cell r="AB5341">
            <v>0</v>
          </cell>
        </row>
        <row r="5342">
          <cell r="A5342">
            <v>75302211</v>
          </cell>
          <cell r="B5342" t="str">
            <v>Beans, string, green, with onions, cooked, made with oil</v>
          </cell>
          <cell r="I5342">
            <v>85</v>
          </cell>
          <cell r="J5342">
            <v>53.834184</v>
          </cell>
          <cell r="K5342">
            <v>0.63334334117647062</v>
          </cell>
          <cell r="L5342">
            <v>2.0915134000000002</v>
          </cell>
          <cell r="M5342">
            <v>0.39056360000000001</v>
          </cell>
          <cell r="N5342">
            <v>0</v>
          </cell>
          <cell r="O5342">
            <v>2.9707500000000001E-2</v>
          </cell>
          <cell r="P5342">
            <v>0</v>
          </cell>
          <cell r="Q5342">
            <v>1.1452091</v>
          </cell>
          <cell r="R5342">
            <v>0</v>
          </cell>
          <cell r="S5342">
            <v>0</v>
          </cell>
          <cell r="T5342">
            <v>0</v>
          </cell>
          <cell r="U5342">
            <v>81.896608999999998</v>
          </cell>
          <cell r="V5342">
            <v>0</v>
          </cell>
          <cell r="W5342">
            <v>0</v>
          </cell>
          <cell r="X5342">
            <v>0.2184555</v>
          </cell>
          <cell r="Y5342">
            <v>0</v>
          </cell>
          <cell r="Z5342">
            <v>0</v>
          </cell>
          <cell r="AA5342">
            <v>0</v>
          </cell>
          <cell r="AB5342">
            <v>9.0126000000000008E-3</v>
          </cell>
        </row>
        <row r="5343">
          <cell r="A5343">
            <v>75302500</v>
          </cell>
          <cell r="B5343" t="str">
            <v>Beans, string, green, and potatoes, cooked, NS as to fat added in cooking</v>
          </cell>
          <cell r="I5343">
            <v>85</v>
          </cell>
          <cell r="J5343">
            <v>69.394018000000003</v>
          </cell>
          <cell r="K5343">
            <v>0.8164002117647059</v>
          </cell>
          <cell r="L5343">
            <v>1.1625601000000001</v>
          </cell>
          <cell r="M5343">
            <v>1.0151558000000001</v>
          </cell>
          <cell r="N5343">
            <v>0</v>
          </cell>
          <cell r="O5343">
            <v>2.03786E-2</v>
          </cell>
          <cell r="P5343">
            <v>0.81611719999999999</v>
          </cell>
          <cell r="Q5343">
            <v>0.4134912</v>
          </cell>
          <cell r="R5343">
            <v>0</v>
          </cell>
          <cell r="S5343">
            <v>0</v>
          </cell>
          <cell r="T5343">
            <v>0</v>
          </cell>
          <cell r="U5343">
            <v>36.330002999999998</v>
          </cell>
          <cell r="V5343">
            <v>0</v>
          </cell>
          <cell r="W5343">
            <v>0</v>
          </cell>
          <cell r="X5343">
            <v>0.24599119999999999</v>
          </cell>
          <cell r="Y5343">
            <v>0</v>
          </cell>
          <cell r="Z5343">
            <v>0</v>
          </cell>
          <cell r="AA5343">
            <v>0</v>
          </cell>
          <cell r="AB5343">
            <v>9.43523E-2</v>
          </cell>
        </row>
        <row r="5344">
          <cell r="A5344">
            <v>75302505</v>
          </cell>
          <cell r="B5344" t="str">
            <v>Beans, string, green, and potatoes, cooked, fat not added in cooking</v>
          </cell>
          <cell r="I5344">
            <v>85</v>
          </cell>
          <cell r="J5344">
            <v>53.435865999999997</v>
          </cell>
          <cell r="K5344">
            <v>0.62865724705882353</v>
          </cell>
          <cell r="L5344">
            <v>1.2014134000000001</v>
          </cell>
          <cell r="M5344">
            <v>3.6210600000000003E-2</v>
          </cell>
          <cell r="N5344">
            <v>0</v>
          </cell>
          <cell r="O5344">
            <v>2.0412E-2</v>
          </cell>
          <cell r="P5344">
            <v>0.84339220000000004</v>
          </cell>
          <cell r="Q5344">
            <v>7.4586700000000006E-2</v>
          </cell>
          <cell r="R5344">
            <v>0</v>
          </cell>
          <cell r="S5344">
            <v>0</v>
          </cell>
          <cell r="T5344">
            <v>0</v>
          </cell>
          <cell r="U5344">
            <v>37.544170000000001</v>
          </cell>
          <cell r="V5344">
            <v>0</v>
          </cell>
          <cell r="W5344">
            <v>0</v>
          </cell>
          <cell r="X5344">
            <v>0.2355401</v>
          </cell>
          <cell r="Y5344">
            <v>0</v>
          </cell>
          <cell r="Z5344">
            <v>0</v>
          </cell>
          <cell r="AA5344">
            <v>0</v>
          </cell>
          <cell r="AB5344">
            <v>0</v>
          </cell>
        </row>
        <row r="5345">
          <cell r="A5345">
            <v>75302510</v>
          </cell>
          <cell r="B5345" t="str">
            <v>Beans, string, green, and potatoes, cooked, fat added in cooking</v>
          </cell>
          <cell r="I5345">
            <v>85</v>
          </cell>
          <cell r="J5345">
            <v>63.698878000000001</v>
          </cell>
          <cell r="K5345">
            <v>0.7493985647058824</v>
          </cell>
          <cell r="L5345">
            <v>1.3490511000000001</v>
          </cell>
          <cell r="M5345">
            <v>0.37671579999999999</v>
          </cell>
          <cell r="N5345">
            <v>0</v>
          </cell>
          <cell r="O5345">
            <v>2.2433499999999999E-2</v>
          </cell>
          <cell r="P5345">
            <v>0.7102754</v>
          </cell>
          <cell r="Q5345">
            <v>0.82363779999999998</v>
          </cell>
          <cell r="R5345">
            <v>0</v>
          </cell>
          <cell r="S5345">
            <v>0</v>
          </cell>
          <cell r="T5345">
            <v>0</v>
          </cell>
          <cell r="U5345">
            <v>42.157846999999997</v>
          </cell>
          <cell r="V5345">
            <v>0</v>
          </cell>
          <cell r="W5345">
            <v>0</v>
          </cell>
          <cell r="X5345">
            <v>0.2400332</v>
          </cell>
          <cell r="Y5345">
            <v>0</v>
          </cell>
          <cell r="Z5345">
            <v>0</v>
          </cell>
          <cell r="AA5345">
            <v>0</v>
          </cell>
          <cell r="AB5345">
            <v>9.43523E-2</v>
          </cell>
        </row>
        <row r="5346">
          <cell r="A5346">
            <v>75302511</v>
          </cell>
          <cell r="B5346" t="str">
            <v>Beans, string, green, and potatoes, cooked, made with oil</v>
          </cell>
          <cell r="I5346">
            <v>85</v>
          </cell>
          <cell r="J5346">
            <v>75.185294999999996</v>
          </cell>
          <cell r="K5346">
            <v>0.88453288235294114</v>
          </cell>
          <cell r="L5346">
            <v>1.1640486999999999</v>
          </cell>
          <cell r="M5346">
            <v>0.39663150000000003</v>
          </cell>
          <cell r="N5346">
            <v>0</v>
          </cell>
          <cell r="O5346">
            <v>1.9783800000000001E-2</v>
          </cell>
          <cell r="P5346">
            <v>0.81716219999999995</v>
          </cell>
          <cell r="Q5346">
            <v>1.1611406</v>
          </cell>
          <cell r="R5346">
            <v>0</v>
          </cell>
          <cell r="S5346">
            <v>0</v>
          </cell>
          <cell r="T5346">
            <v>0</v>
          </cell>
          <cell r="U5346">
            <v>36.376522000000001</v>
          </cell>
          <cell r="V5346">
            <v>0</v>
          </cell>
          <cell r="W5346">
            <v>0</v>
          </cell>
          <cell r="X5346">
            <v>0.22822790000000001</v>
          </cell>
          <cell r="Y5346">
            <v>0</v>
          </cell>
          <cell r="Z5346">
            <v>0</v>
          </cell>
          <cell r="AA5346">
            <v>0</v>
          </cell>
          <cell r="AB5346">
            <v>9.3673999999999997E-3</v>
          </cell>
        </row>
        <row r="5347">
          <cell r="A5347">
            <v>75302512</v>
          </cell>
          <cell r="B5347" t="str">
            <v>Beans, string, green, and potatoes, cooked, made with butter</v>
          </cell>
          <cell r="I5347">
            <v>85</v>
          </cell>
          <cell r="J5347">
            <v>71.417187999999996</v>
          </cell>
          <cell r="K5347">
            <v>0.84020221176470589</v>
          </cell>
          <cell r="L5347">
            <v>1.1625601000000001</v>
          </cell>
          <cell r="M5347">
            <v>1.4470807999999999</v>
          </cell>
          <cell r="N5347">
            <v>0</v>
          </cell>
          <cell r="O5347">
            <v>2.0411599999999998E-2</v>
          </cell>
          <cell r="P5347">
            <v>0.81611719999999999</v>
          </cell>
          <cell r="Q5347">
            <v>0.15582289999999999</v>
          </cell>
          <cell r="R5347">
            <v>0</v>
          </cell>
          <cell r="S5347">
            <v>0</v>
          </cell>
          <cell r="T5347">
            <v>0</v>
          </cell>
          <cell r="U5347">
            <v>36.330002999999998</v>
          </cell>
          <cell r="V5347">
            <v>0</v>
          </cell>
          <cell r="W5347">
            <v>0</v>
          </cell>
          <cell r="X5347">
            <v>0.24559810000000001</v>
          </cell>
          <cell r="Y5347">
            <v>0</v>
          </cell>
          <cell r="Z5347">
            <v>0</v>
          </cell>
          <cell r="AA5347">
            <v>0</v>
          </cell>
          <cell r="AB5347">
            <v>9.0108099999999997E-2</v>
          </cell>
        </row>
        <row r="5348">
          <cell r="A5348">
            <v>75302513</v>
          </cell>
          <cell r="B5348" t="str">
            <v>Beans, string, green, and potatoes, cooked, made with margarine</v>
          </cell>
          <cell r="I5348">
            <v>85</v>
          </cell>
          <cell r="J5348">
            <v>66.470294999999993</v>
          </cell>
          <cell r="K5348">
            <v>0.78200347058823516</v>
          </cell>
          <cell r="L5348">
            <v>1.1622262999999999</v>
          </cell>
          <cell r="M5348">
            <v>0.37011270000000002</v>
          </cell>
          <cell r="N5348">
            <v>0</v>
          </cell>
          <cell r="O5348">
            <v>2.03284E-2</v>
          </cell>
          <cell r="P5348">
            <v>0.81588280000000002</v>
          </cell>
          <cell r="Q5348">
            <v>0.80622629999999995</v>
          </cell>
          <cell r="R5348">
            <v>0</v>
          </cell>
          <cell r="S5348">
            <v>0</v>
          </cell>
          <cell r="T5348">
            <v>0</v>
          </cell>
          <cell r="U5348">
            <v>36.319571000000003</v>
          </cell>
          <cell r="V5348">
            <v>0</v>
          </cell>
          <cell r="W5348">
            <v>0</v>
          </cell>
          <cell r="X5348">
            <v>0.24655779999999999</v>
          </cell>
          <cell r="Y5348">
            <v>0</v>
          </cell>
          <cell r="Z5348">
            <v>0</v>
          </cell>
          <cell r="AA5348">
            <v>0</v>
          </cell>
          <cell r="AB5348">
            <v>0.1015841</v>
          </cell>
        </row>
        <row r="5349">
          <cell r="A5349">
            <v>75303010</v>
          </cell>
          <cell r="B5349" t="str">
            <v>Corn with peppers, red or green, cooked, fat not added in cooking</v>
          </cell>
          <cell r="I5349">
            <v>85</v>
          </cell>
          <cell r="J5349">
            <v>68.645570000000006</v>
          </cell>
          <cell r="K5349">
            <v>0.80759494117647068</v>
          </cell>
          <cell r="L5349">
            <v>0.21949370000000001</v>
          </cell>
          <cell r="M5349">
            <v>0.13566110000000001</v>
          </cell>
          <cell r="N5349">
            <v>0</v>
          </cell>
          <cell r="O5349">
            <v>3.7604000000000001E-3</v>
          </cell>
          <cell r="P5349">
            <v>1.5881012999999999</v>
          </cell>
          <cell r="Q5349">
            <v>0.41839910000000002</v>
          </cell>
          <cell r="R5349">
            <v>0</v>
          </cell>
          <cell r="S5349">
            <v>0</v>
          </cell>
          <cell r="T5349">
            <v>0</v>
          </cell>
          <cell r="U5349">
            <v>18.291139000000001</v>
          </cell>
          <cell r="V5349">
            <v>0</v>
          </cell>
          <cell r="W5349">
            <v>0</v>
          </cell>
          <cell r="X5349">
            <v>0.20953579999999999</v>
          </cell>
          <cell r="Y5349">
            <v>0</v>
          </cell>
          <cell r="Z5349">
            <v>0</v>
          </cell>
          <cell r="AA5349">
            <v>0</v>
          </cell>
          <cell r="AB5349">
            <v>0</v>
          </cell>
        </row>
        <row r="5350">
          <cell r="A5350">
            <v>75303020</v>
          </cell>
          <cell r="B5350" t="str">
            <v>Corn with peppers, red or green, cooked, fat added in cooking</v>
          </cell>
          <cell r="I5350">
            <v>85</v>
          </cell>
          <cell r="J5350">
            <v>85.344978999999995</v>
          </cell>
          <cell r="K5350">
            <v>1.0040585764705883</v>
          </cell>
          <cell r="L5350">
            <v>9.2791299999999993E-2</v>
          </cell>
          <cell r="M5350">
            <v>0.41148069999999998</v>
          </cell>
          <cell r="N5350">
            <v>0</v>
          </cell>
          <cell r="O5350">
            <v>3.5097000000000001E-3</v>
          </cell>
          <cell r="P5350">
            <v>1.7903259</v>
          </cell>
          <cell r="Q5350">
            <v>1.0326021999999999</v>
          </cell>
          <cell r="R5350">
            <v>0</v>
          </cell>
          <cell r="S5350">
            <v>0</v>
          </cell>
          <cell r="T5350">
            <v>0</v>
          </cell>
          <cell r="U5350">
            <v>7.7326069999999998</v>
          </cell>
          <cell r="V5350">
            <v>0</v>
          </cell>
          <cell r="W5350">
            <v>0</v>
          </cell>
          <cell r="X5350">
            <v>0.2087241</v>
          </cell>
          <cell r="Y5350">
            <v>0</v>
          </cell>
          <cell r="Z5350">
            <v>0</v>
          </cell>
          <cell r="AA5350">
            <v>0</v>
          </cell>
          <cell r="AB5350">
            <v>8.4785399999999997E-2</v>
          </cell>
        </row>
        <row r="5351">
          <cell r="A5351">
            <v>75303021</v>
          </cell>
          <cell r="B5351" t="str">
            <v>Corn with peppers, red or green, cooked, made with oil</v>
          </cell>
          <cell r="I5351">
            <v>85</v>
          </cell>
          <cell r="J5351">
            <v>87.762152999999998</v>
          </cell>
          <cell r="K5351">
            <v>1.0324959176470587</v>
          </cell>
          <cell r="L5351">
            <v>0.2133602</v>
          </cell>
          <cell r="M5351">
            <v>0.45671580000000001</v>
          </cell>
          <cell r="N5351">
            <v>0</v>
          </cell>
          <cell r="O5351">
            <v>3.6613000000000001E-3</v>
          </cell>
          <cell r="P5351">
            <v>1.5437240999999999</v>
          </cell>
          <cell r="Q5351">
            <v>1.3850471</v>
          </cell>
          <cell r="R5351">
            <v>0</v>
          </cell>
          <cell r="S5351">
            <v>0</v>
          </cell>
          <cell r="T5351">
            <v>0</v>
          </cell>
          <cell r="U5351">
            <v>17.78002</v>
          </cell>
          <cell r="V5351">
            <v>0</v>
          </cell>
          <cell r="W5351">
            <v>0</v>
          </cell>
          <cell r="X5351">
            <v>0.2036925</v>
          </cell>
          <cell r="Y5351">
            <v>0</v>
          </cell>
          <cell r="Z5351">
            <v>0</v>
          </cell>
          <cell r="AA5351">
            <v>0</v>
          </cell>
          <cell r="AB5351">
            <v>4.5750300000000001E-2</v>
          </cell>
        </row>
        <row r="5352">
          <cell r="A5352">
            <v>75306010</v>
          </cell>
          <cell r="B5352" t="str">
            <v>Eggplant in tomato sauce, cooked, fat not added in cooking</v>
          </cell>
          <cell r="I5352">
            <v>110</v>
          </cell>
          <cell r="J5352">
            <v>32.722380999999999</v>
          </cell>
          <cell r="K5352">
            <v>0.29747619090909089</v>
          </cell>
          <cell r="L5352">
            <v>2.2264097</v>
          </cell>
          <cell r="M5352">
            <v>4.6740999999999998E-2</v>
          </cell>
          <cell r="N5352">
            <v>0</v>
          </cell>
          <cell r="O5352">
            <v>1.0783900000000001E-2</v>
          </cell>
          <cell r="P5352">
            <v>0</v>
          </cell>
          <cell r="Q5352">
            <v>0.11656660000000001</v>
          </cell>
          <cell r="R5352">
            <v>0</v>
          </cell>
          <cell r="S5352">
            <v>0</v>
          </cell>
          <cell r="T5352">
            <v>0</v>
          </cell>
          <cell r="U5352">
            <v>109.75832</v>
          </cell>
          <cell r="V5352">
            <v>0</v>
          </cell>
          <cell r="W5352">
            <v>0</v>
          </cell>
          <cell r="X5352">
            <v>0.3395687</v>
          </cell>
          <cell r="Y5352">
            <v>0</v>
          </cell>
          <cell r="Z5352">
            <v>0</v>
          </cell>
          <cell r="AA5352">
            <v>0</v>
          </cell>
          <cell r="AB5352">
            <v>0</v>
          </cell>
        </row>
        <row r="5353">
          <cell r="A5353">
            <v>75306998</v>
          </cell>
          <cell r="B5353" t="str">
            <v>Green peppers and onions, cooked, fat not added in cooking</v>
          </cell>
          <cell r="I5353">
            <v>85</v>
          </cell>
          <cell r="J5353">
            <v>31.870114999999998</v>
          </cell>
          <cell r="K5353">
            <v>0.3749425294117647</v>
          </cell>
          <cell r="L5353">
            <v>1.1167241000000001</v>
          </cell>
          <cell r="M5353">
            <v>2.55342E-2</v>
          </cell>
          <cell r="N5353">
            <v>0</v>
          </cell>
          <cell r="O5353">
            <v>1.43914E-2</v>
          </cell>
          <cell r="P5353">
            <v>0</v>
          </cell>
          <cell r="Q5353">
            <v>7.2655499999999998E-2</v>
          </cell>
          <cell r="R5353">
            <v>0</v>
          </cell>
          <cell r="S5353">
            <v>0</v>
          </cell>
          <cell r="T5353">
            <v>0</v>
          </cell>
          <cell r="U5353">
            <v>84.511493999999999</v>
          </cell>
          <cell r="V5353">
            <v>0</v>
          </cell>
          <cell r="W5353">
            <v>0</v>
          </cell>
          <cell r="X5353">
            <v>0.19153819999999999</v>
          </cell>
          <cell r="Y5353">
            <v>0</v>
          </cell>
          <cell r="Z5353">
            <v>0</v>
          </cell>
          <cell r="AA5353">
            <v>0</v>
          </cell>
          <cell r="AB5353">
            <v>0</v>
          </cell>
        </row>
        <row r="5354">
          <cell r="A5354">
            <v>75306999</v>
          </cell>
          <cell r="B5354" t="str">
            <v>Green peppers and onions, cooked, NS as to fat added in cooking</v>
          </cell>
          <cell r="I5354">
            <v>85</v>
          </cell>
          <cell r="J5354">
            <v>45.497053000000001</v>
          </cell>
          <cell r="K5354">
            <v>0.53525944705882356</v>
          </cell>
          <cell r="L5354">
            <v>1.0871767000000001</v>
          </cell>
          <cell r="M5354">
            <v>0.82675100000000001</v>
          </cell>
          <cell r="N5354">
            <v>0</v>
          </cell>
          <cell r="O5354">
            <v>1.4523400000000001E-2</v>
          </cell>
          <cell r="P5354">
            <v>0</v>
          </cell>
          <cell r="Q5354">
            <v>0.34998479999999998</v>
          </cell>
          <cell r="R5354">
            <v>0</v>
          </cell>
          <cell r="S5354">
            <v>0</v>
          </cell>
          <cell r="T5354">
            <v>0</v>
          </cell>
          <cell r="U5354">
            <v>82.275400000000005</v>
          </cell>
          <cell r="V5354">
            <v>0</v>
          </cell>
          <cell r="W5354">
            <v>0</v>
          </cell>
          <cell r="X5354">
            <v>0.20125309999999999</v>
          </cell>
          <cell r="Y5354">
            <v>0</v>
          </cell>
          <cell r="Z5354">
            <v>0</v>
          </cell>
          <cell r="AA5354">
            <v>0</v>
          </cell>
          <cell r="AB5354">
            <v>7.7195299999999994E-2</v>
          </cell>
        </row>
        <row r="5355">
          <cell r="A5355">
            <v>75307000</v>
          </cell>
          <cell r="B5355" t="str">
            <v>Green peppers and onions, cooked, fat added in cooking, NS as to type of fat</v>
          </cell>
          <cell r="I5355">
            <v>85</v>
          </cell>
          <cell r="J5355">
            <v>45.497053000000001</v>
          </cell>
          <cell r="K5355">
            <v>0.53525944705882356</v>
          </cell>
          <cell r="L5355">
            <v>1.0871767000000001</v>
          </cell>
          <cell r="M5355">
            <v>0.82675100000000001</v>
          </cell>
          <cell r="N5355">
            <v>0</v>
          </cell>
          <cell r="O5355">
            <v>1.4523400000000001E-2</v>
          </cell>
          <cell r="P5355">
            <v>0</v>
          </cell>
          <cell r="Q5355">
            <v>0.34998479999999998</v>
          </cell>
          <cell r="R5355">
            <v>0</v>
          </cell>
          <cell r="S5355">
            <v>0</v>
          </cell>
          <cell r="T5355">
            <v>0</v>
          </cell>
          <cell r="U5355">
            <v>82.275400000000005</v>
          </cell>
          <cell r="V5355">
            <v>0</v>
          </cell>
          <cell r="W5355">
            <v>0</v>
          </cell>
          <cell r="X5355">
            <v>0.20125309999999999</v>
          </cell>
          <cell r="Y5355">
            <v>0</v>
          </cell>
          <cell r="Z5355">
            <v>0</v>
          </cell>
          <cell r="AA5355">
            <v>0</v>
          </cell>
          <cell r="AB5355">
            <v>7.7195299999999994E-2</v>
          </cell>
        </row>
        <row r="5356">
          <cell r="A5356">
            <v>75307001</v>
          </cell>
          <cell r="B5356" t="str">
            <v>Green peppers and onions, cooked, made with oil</v>
          </cell>
          <cell r="I5356">
            <v>85</v>
          </cell>
          <cell r="J5356">
            <v>50.209116000000002</v>
          </cell>
          <cell r="K5356">
            <v>0.59069548235294123</v>
          </cell>
          <cell r="L5356">
            <v>1.0883153999999999</v>
          </cell>
          <cell r="M5356">
            <v>0.3206193</v>
          </cell>
          <cell r="N5356">
            <v>0</v>
          </cell>
          <cell r="O5356">
            <v>1.40307E-2</v>
          </cell>
          <cell r="P5356">
            <v>0</v>
          </cell>
          <cell r="Q5356">
            <v>0.96147300000000002</v>
          </cell>
          <cell r="R5356">
            <v>0</v>
          </cell>
          <cell r="S5356">
            <v>0</v>
          </cell>
          <cell r="T5356">
            <v>0</v>
          </cell>
          <cell r="U5356">
            <v>82.361573000000007</v>
          </cell>
          <cell r="V5356">
            <v>0</v>
          </cell>
          <cell r="W5356">
            <v>0</v>
          </cell>
          <cell r="X5356">
            <v>0.18667639999999999</v>
          </cell>
          <cell r="Y5356">
            <v>0</v>
          </cell>
          <cell r="Z5356">
            <v>0</v>
          </cell>
          <cell r="AA5356">
            <v>0</v>
          </cell>
          <cell r="AB5356">
            <v>1.1361100000000001E-2</v>
          </cell>
        </row>
        <row r="5357">
          <cell r="A5357">
            <v>75307002</v>
          </cell>
          <cell r="B5357" t="str">
            <v>Green peppers and onions, cooked, made with butter</v>
          </cell>
          <cell r="I5357">
            <v>85</v>
          </cell>
          <cell r="J5357">
            <v>47.152330999999997</v>
          </cell>
          <cell r="K5357">
            <v>0.55473330588235292</v>
          </cell>
          <cell r="L5357">
            <v>1.0871767000000001</v>
          </cell>
          <cell r="M5357">
            <v>1.1801349000000001</v>
          </cell>
          <cell r="N5357">
            <v>0</v>
          </cell>
          <cell r="O5357">
            <v>1.45504E-2</v>
          </cell>
          <cell r="P5357">
            <v>0</v>
          </cell>
          <cell r="Q5357">
            <v>0.13917070000000001</v>
          </cell>
          <cell r="R5357">
            <v>0</v>
          </cell>
          <cell r="S5357">
            <v>0</v>
          </cell>
          <cell r="T5357">
            <v>0</v>
          </cell>
          <cell r="U5357">
            <v>82.275400000000005</v>
          </cell>
          <cell r="V5357">
            <v>0</v>
          </cell>
          <cell r="W5357">
            <v>0</v>
          </cell>
          <cell r="X5357">
            <v>0.20093150000000001</v>
          </cell>
          <cell r="Y5357">
            <v>0</v>
          </cell>
          <cell r="Z5357">
            <v>0</v>
          </cell>
          <cell r="AA5357">
            <v>0</v>
          </cell>
          <cell r="AB5357">
            <v>7.3722899999999994E-2</v>
          </cell>
        </row>
        <row r="5358">
          <cell r="A5358">
            <v>75307003</v>
          </cell>
          <cell r="B5358" t="str">
            <v>Green peppers and onions, cooked, made with margarine</v>
          </cell>
          <cell r="I5358">
            <v>85</v>
          </cell>
          <cell r="J5358">
            <v>43.110467999999997</v>
          </cell>
          <cell r="K5358">
            <v>0.50718197647058816</v>
          </cell>
          <cell r="L5358">
            <v>1.0869213</v>
          </cell>
          <cell r="M5358">
            <v>0.29901889999999998</v>
          </cell>
          <cell r="N5358">
            <v>0</v>
          </cell>
          <cell r="O5358">
            <v>1.44837E-2</v>
          </cell>
          <cell r="P5358">
            <v>0</v>
          </cell>
          <cell r="Q5358">
            <v>0.67133679999999996</v>
          </cell>
          <cell r="R5358">
            <v>0</v>
          </cell>
          <cell r="S5358">
            <v>0</v>
          </cell>
          <cell r="T5358">
            <v>0</v>
          </cell>
          <cell r="U5358">
            <v>82.256071000000006</v>
          </cell>
          <cell r="V5358">
            <v>0</v>
          </cell>
          <cell r="W5358">
            <v>0</v>
          </cell>
          <cell r="X5358">
            <v>0.2017273</v>
          </cell>
          <cell r="Y5358">
            <v>0</v>
          </cell>
          <cell r="Z5358">
            <v>0</v>
          </cell>
          <cell r="AA5358">
            <v>0</v>
          </cell>
          <cell r="AB5358">
            <v>8.3116399999999993E-2</v>
          </cell>
        </row>
        <row r="5359">
          <cell r="A5359">
            <v>75311000</v>
          </cell>
          <cell r="B5359" t="str">
            <v>Mixed vegetables, cooked, NS as to form, NS as to fat added in cooking</v>
          </cell>
          <cell r="I5359">
            <v>85</v>
          </cell>
          <cell r="J5359">
            <v>67.340383000000003</v>
          </cell>
          <cell r="K5359">
            <v>0.79223980000000005</v>
          </cell>
          <cell r="L5359">
            <v>1.8129325000000001</v>
          </cell>
          <cell r="M5359">
            <v>0.78899439999999998</v>
          </cell>
          <cell r="N5359">
            <v>0</v>
          </cell>
          <cell r="O5359">
            <v>2.1198399999999999E-2</v>
          </cell>
          <cell r="P5359">
            <v>1.8129325000000001</v>
          </cell>
          <cell r="Q5359">
            <v>0.3251964</v>
          </cell>
          <cell r="R5359">
            <v>0</v>
          </cell>
          <cell r="S5359">
            <v>0</v>
          </cell>
          <cell r="T5359">
            <v>0</v>
          </cell>
          <cell r="U5359">
            <v>41.203010999999996</v>
          </cell>
          <cell r="V5359">
            <v>0</v>
          </cell>
          <cell r="W5359">
            <v>0</v>
          </cell>
          <cell r="X5359">
            <v>0.21840480000000001</v>
          </cell>
          <cell r="Y5359">
            <v>0</v>
          </cell>
          <cell r="Z5359">
            <v>0</v>
          </cell>
          <cell r="AA5359">
            <v>0</v>
          </cell>
          <cell r="AB5359">
            <v>7.3494500000000004E-2</v>
          </cell>
        </row>
        <row r="5360">
          <cell r="A5360">
            <v>75311002</v>
          </cell>
          <cell r="B5360" t="str">
            <v>Mixed vegetables, cooked, from frozen, NS as to fat added in cooking</v>
          </cell>
          <cell r="I5360">
            <v>85</v>
          </cell>
          <cell r="J5360">
            <v>67.340383000000003</v>
          </cell>
          <cell r="K5360">
            <v>0.79223980000000005</v>
          </cell>
          <cell r="L5360">
            <v>1.8129325000000001</v>
          </cell>
          <cell r="M5360">
            <v>0.78899439999999998</v>
          </cell>
          <cell r="N5360">
            <v>0</v>
          </cell>
          <cell r="O5360">
            <v>2.1198399999999999E-2</v>
          </cell>
          <cell r="P5360">
            <v>1.8129325000000001</v>
          </cell>
          <cell r="Q5360">
            <v>0.3251964</v>
          </cell>
          <cell r="R5360">
            <v>0</v>
          </cell>
          <cell r="S5360">
            <v>0</v>
          </cell>
          <cell r="T5360">
            <v>0</v>
          </cell>
          <cell r="U5360">
            <v>41.203010999999996</v>
          </cell>
          <cell r="V5360">
            <v>0</v>
          </cell>
          <cell r="W5360">
            <v>0</v>
          </cell>
          <cell r="X5360">
            <v>0.21840480000000001</v>
          </cell>
          <cell r="Y5360">
            <v>0</v>
          </cell>
          <cell r="Z5360">
            <v>0</v>
          </cell>
          <cell r="AA5360">
            <v>0</v>
          </cell>
          <cell r="AB5360">
            <v>7.3494500000000004E-2</v>
          </cell>
        </row>
        <row r="5361">
          <cell r="A5361">
            <v>75311003</v>
          </cell>
          <cell r="B5361" t="str">
            <v>Mixed vegetables, cooked, from canned, NS as to fat added in cooking</v>
          </cell>
          <cell r="I5361">
            <v>130</v>
          </cell>
          <cell r="J5361">
            <v>85.282909000000004</v>
          </cell>
          <cell r="K5361">
            <v>0.65602237692307697</v>
          </cell>
          <cell r="L5361">
            <v>2.8216606999999998</v>
          </cell>
          <cell r="M5361">
            <v>1.3680232000000001</v>
          </cell>
          <cell r="N5361">
            <v>0</v>
          </cell>
          <cell r="O5361">
            <v>3.4937099999999999E-2</v>
          </cell>
          <cell r="P5361">
            <v>0.95936460000000001</v>
          </cell>
          <cell r="Q5361">
            <v>0.60399829999999999</v>
          </cell>
          <cell r="R5361">
            <v>0</v>
          </cell>
          <cell r="S5361">
            <v>0</v>
          </cell>
          <cell r="T5361">
            <v>0</v>
          </cell>
          <cell r="U5361">
            <v>94.055355000000006</v>
          </cell>
          <cell r="V5361">
            <v>0</v>
          </cell>
          <cell r="W5361">
            <v>0</v>
          </cell>
          <cell r="X5361">
            <v>0.41362080000000001</v>
          </cell>
          <cell r="Y5361">
            <v>0</v>
          </cell>
          <cell r="Z5361">
            <v>0</v>
          </cell>
          <cell r="AA5361">
            <v>0</v>
          </cell>
          <cell r="AB5361">
            <v>0.12550700000000001</v>
          </cell>
        </row>
        <row r="5362">
          <cell r="A5362">
            <v>75311010</v>
          </cell>
          <cell r="B5362" t="str">
            <v>Mixed vegetables, cooked, NS as to form, fat not added in cooking</v>
          </cell>
          <cell r="I5362">
            <v>85</v>
          </cell>
          <cell r="J5362">
            <v>54.948087000000001</v>
          </cell>
          <cell r="K5362">
            <v>0.64644808235294116</v>
          </cell>
          <cell r="L5362">
            <v>1.8597813999999999</v>
          </cell>
          <cell r="M5362">
            <v>2.6206E-2</v>
          </cell>
          <cell r="N5362">
            <v>0</v>
          </cell>
          <cell r="O5362">
            <v>2.1245400000000001E-2</v>
          </cell>
          <cell r="P5362">
            <v>1.8597813999999999</v>
          </cell>
          <cell r="Q5362">
            <v>6.0865599999999999E-2</v>
          </cell>
          <cell r="R5362">
            <v>0</v>
          </cell>
          <cell r="S5362">
            <v>0</v>
          </cell>
          <cell r="T5362">
            <v>0</v>
          </cell>
          <cell r="U5362">
            <v>42.267760000000003</v>
          </cell>
          <cell r="V5362">
            <v>0</v>
          </cell>
          <cell r="W5362">
            <v>0</v>
          </cell>
          <cell r="X5362">
            <v>0.20961089999999999</v>
          </cell>
          <cell r="Y5362">
            <v>0</v>
          </cell>
          <cell r="Z5362">
            <v>0</v>
          </cell>
          <cell r="AA5362">
            <v>0</v>
          </cell>
          <cell r="AB5362">
            <v>0</v>
          </cell>
        </row>
        <row r="5363">
          <cell r="A5363">
            <v>75311012</v>
          </cell>
          <cell r="B5363" t="str">
            <v>Mixed vegetables, cooked, from frozen, fat not added in cooking</v>
          </cell>
          <cell r="I5363">
            <v>85</v>
          </cell>
          <cell r="J5363">
            <v>54.948087000000001</v>
          </cell>
          <cell r="K5363">
            <v>0.64644808235294116</v>
          </cell>
          <cell r="L5363">
            <v>1.8597813999999999</v>
          </cell>
          <cell r="M5363">
            <v>2.6206E-2</v>
          </cell>
          <cell r="N5363">
            <v>0</v>
          </cell>
          <cell r="O5363">
            <v>2.1245400000000001E-2</v>
          </cell>
          <cell r="P5363">
            <v>1.8597813999999999</v>
          </cell>
          <cell r="Q5363">
            <v>6.0865599999999999E-2</v>
          </cell>
          <cell r="R5363">
            <v>0</v>
          </cell>
          <cell r="S5363">
            <v>0</v>
          </cell>
          <cell r="T5363">
            <v>0</v>
          </cell>
          <cell r="U5363">
            <v>42.267760000000003</v>
          </cell>
          <cell r="V5363">
            <v>0</v>
          </cell>
          <cell r="W5363">
            <v>0</v>
          </cell>
          <cell r="X5363">
            <v>0.20961089999999999</v>
          </cell>
          <cell r="Y5363">
            <v>0</v>
          </cell>
          <cell r="Z5363">
            <v>0</v>
          </cell>
          <cell r="AA5363">
            <v>0</v>
          </cell>
          <cell r="AB5363">
            <v>0</v>
          </cell>
        </row>
        <row r="5364">
          <cell r="A5364">
            <v>75311013</v>
          </cell>
          <cell r="B5364" t="str">
            <v>Mixed vegetables, cooked, from canned, fat not added in cooking</v>
          </cell>
          <cell r="I5364">
            <v>130</v>
          </cell>
          <cell r="J5364">
            <v>63.544063999999999</v>
          </cell>
          <cell r="K5364">
            <v>0.48880049230769229</v>
          </cell>
          <cell r="L5364">
            <v>2.9033229999999999</v>
          </cell>
          <cell r="M5364">
            <v>6.6137699999999994E-2</v>
          </cell>
          <cell r="N5364">
            <v>0</v>
          </cell>
          <cell r="O5364">
            <v>3.5090499999999997E-2</v>
          </cell>
          <cell r="P5364">
            <v>0.98712979999999995</v>
          </cell>
          <cell r="Q5364">
            <v>0.15432129999999999</v>
          </cell>
          <cell r="R5364">
            <v>0</v>
          </cell>
          <cell r="S5364">
            <v>0</v>
          </cell>
          <cell r="T5364">
            <v>0</v>
          </cell>
          <cell r="U5364">
            <v>96.777434999999997</v>
          </cell>
          <cell r="V5364">
            <v>0</v>
          </cell>
          <cell r="W5364">
            <v>0</v>
          </cell>
          <cell r="X5364">
            <v>0.40086139999999998</v>
          </cell>
          <cell r="Y5364">
            <v>0</v>
          </cell>
          <cell r="Z5364">
            <v>0</v>
          </cell>
          <cell r="AA5364">
            <v>0</v>
          </cell>
          <cell r="AB5364">
            <v>0</v>
          </cell>
        </row>
        <row r="5365">
          <cell r="A5365">
            <v>75311020</v>
          </cell>
          <cell r="B5365" t="str">
            <v>Mixed vegetables, cooked, NS as to form, fat added in cooking, NS as to type of fat</v>
          </cell>
          <cell r="I5365">
            <v>85</v>
          </cell>
          <cell r="J5365">
            <v>67.340383000000003</v>
          </cell>
          <cell r="K5365">
            <v>0.79223980000000005</v>
          </cell>
          <cell r="L5365">
            <v>1.8129325000000001</v>
          </cell>
          <cell r="M5365">
            <v>0.78899439999999998</v>
          </cell>
          <cell r="N5365">
            <v>0</v>
          </cell>
          <cell r="O5365">
            <v>2.1198399999999999E-2</v>
          </cell>
          <cell r="P5365">
            <v>1.8129325000000001</v>
          </cell>
          <cell r="Q5365">
            <v>0.3251964</v>
          </cell>
          <cell r="R5365">
            <v>0</v>
          </cell>
          <cell r="S5365">
            <v>0</v>
          </cell>
          <cell r="T5365">
            <v>0</v>
          </cell>
          <cell r="U5365">
            <v>41.203010999999996</v>
          </cell>
          <cell r="V5365">
            <v>0</v>
          </cell>
          <cell r="W5365">
            <v>0</v>
          </cell>
          <cell r="X5365">
            <v>0.21840480000000001</v>
          </cell>
          <cell r="Y5365">
            <v>0</v>
          </cell>
          <cell r="Z5365">
            <v>0</v>
          </cell>
          <cell r="AA5365">
            <v>0</v>
          </cell>
          <cell r="AB5365">
            <v>7.3494500000000004E-2</v>
          </cell>
        </row>
        <row r="5366">
          <cell r="A5366">
            <v>75311022</v>
          </cell>
          <cell r="B5366" t="str">
            <v>Mixed vegetables (corn, lima beans, peas, green beans, and carrots), cooked, from frozen, fat added in cooking</v>
          </cell>
          <cell r="I5366">
            <v>85</v>
          </cell>
          <cell r="J5366">
            <v>65.077167000000003</v>
          </cell>
          <cell r="K5366">
            <v>0.76561372941176475</v>
          </cell>
          <cell r="L5366">
            <v>1.8129131999999999</v>
          </cell>
          <cell r="M5366">
            <v>0.2866264</v>
          </cell>
          <cell r="N5366">
            <v>0</v>
          </cell>
          <cell r="O5366">
            <v>2.11592E-2</v>
          </cell>
          <cell r="P5366">
            <v>1.8129131999999999</v>
          </cell>
          <cell r="Q5366">
            <v>0.63128569999999995</v>
          </cell>
          <cell r="R5366">
            <v>0</v>
          </cell>
          <cell r="S5366">
            <v>0</v>
          </cell>
          <cell r="T5366">
            <v>0</v>
          </cell>
          <cell r="U5366">
            <v>41.202572000000004</v>
          </cell>
          <cell r="V5366">
            <v>0</v>
          </cell>
          <cell r="W5366">
            <v>0</v>
          </cell>
          <cell r="X5366">
            <v>0.2111451</v>
          </cell>
          <cell r="Y5366">
            <v>0</v>
          </cell>
          <cell r="Z5366">
            <v>0</v>
          </cell>
          <cell r="AA5366">
            <v>0</v>
          </cell>
          <cell r="AB5366">
            <v>7.3494500000000004E-2</v>
          </cell>
        </row>
        <row r="5367">
          <cell r="A5367">
            <v>75311023</v>
          </cell>
          <cell r="B5367" t="str">
            <v>Mixed vegetables, cooked, from canned, fat added in cooking, NS as to type of fat</v>
          </cell>
          <cell r="I5367">
            <v>130</v>
          </cell>
          <cell r="J5367">
            <v>85.282909000000004</v>
          </cell>
          <cell r="K5367">
            <v>0.65602237692307697</v>
          </cell>
          <cell r="L5367">
            <v>2.8216606999999998</v>
          </cell>
          <cell r="M5367">
            <v>1.3680232000000001</v>
          </cell>
          <cell r="N5367">
            <v>0</v>
          </cell>
          <cell r="O5367">
            <v>3.4937099999999999E-2</v>
          </cell>
          <cell r="P5367">
            <v>0.95936460000000001</v>
          </cell>
          <cell r="Q5367">
            <v>0.60399829999999999</v>
          </cell>
          <cell r="R5367">
            <v>0</v>
          </cell>
          <cell r="S5367">
            <v>0</v>
          </cell>
          <cell r="T5367">
            <v>0</v>
          </cell>
          <cell r="U5367">
            <v>94.055355000000006</v>
          </cell>
          <cell r="V5367">
            <v>0</v>
          </cell>
          <cell r="W5367">
            <v>0</v>
          </cell>
          <cell r="X5367">
            <v>0.41362080000000001</v>
          </cell>
          <cell r="Y5367">
            <v>0</v>
          </cell>
          <cell r="Z5367">
            <v>0</v>
          </cell>
          <cell r="AA5367">
            <v>0</v>
          </cell>
          <cell r="AB5367">
            <v>0.12550700000000001</v>
          </cell>
        </row>
        <row r="5368">
          <cell r="A5368">
            <v>75311024</v>
          </cell>
          <cell r="B5368" t="str">
            <v>Mixed vegetables, cooked, NS as to form, made with oil</v>
          </cell>
          <cell r="I5368">
            <v>85</v>
          </cell>
          <cell r="J5368">
            <v>71.848097999999993</v>
          </cell>
          <cell r="K5368">
            <v>0.84527174117647053</v>
          </cell>
          <cell r="L5368">
            <v>1.8147401999999999</v>
          </cell>
          <cell r="M5368">
            <v>0.3071139</v>
          </cell>
          <cell r="N5368">
            <v>0</v>
          </cell>
          <cell r="O5368">
            <v>2.0736000000000001E-2</v>
          </cell>
          <cell r="P5368">
            <v>1.8147401999999999</v>
          </cell>
          <cell r="Q5368">
            <v>0.90731499999999998</v>
          </cell>
          <cell r="R5368">
            <v>0</v>
          </cell>
          <cell r="S5368">
            <v>0</v>
          </cell>
          <cell r="T5368">
            <v>0</v>
          </cell>
          <cell r="U5368">
            <v>41.244095000000002</v>
          </cell>
          <cell r="V5368">
            <v>0</v>
          </cell>
          <cell r="W5368">
            <v>0</v>
          </cell>
          <cell r="X5368">
            <v>0.2045447</v>
          </cell>
          <cell r="Y5368">
            <v>0</v>
          </cell>
          <cell r="Z5368">
            <v>0</v>
          </cell>
          <cell r="AA5368">
            <v>0</v>
          </cell>
          <cell r="AB5368">
            <v>7.2946E-3</v>
          </cell>
        </row>
        <row r="5369">
          <cell r="A5369">
            <v>75311025</v>
          </cell>
          <cell r="B5369" t="str">
            <v>Mixed vegetables (corn, lima beans, peas, green beans, and carrots), cooked, NS as to form, made with butter</v>
          </cell>
          <cell r="I5369">
            <v>85</v>
          </cell>
          <cell r="J5369">
            <v>68.916304999999994</v>
          </cell>
          <cell r="K5369">
            <v>0.81078005882352933</v>
          </cell>
          <cell r="L5369">
            <v>1.8129325000000001</v>
          </cell>
          <cell r="M5369">
            <v>1.1254366</v>
          </cell>
          <cell r="N5369">
            <v>0</v>
          </cell>
          <cell r="O5369">
            <v>2.1224099999999999E-2</v>
          </cell>
          <cell r="P5369">
            <v>1.8129325000000001</v>
          </cell>
          <cell r="Q5369">
            <v>0.124489</v>
          </cell>
          <cell r="R5369">
            <v>0</v>
          </cell>
          <cell r="S5369">
            <v>0</v>
          </cell>
          <cell r="T5369">
            <v>0</v>
          </cell>
          <cell r="U5369">
            <v>41.203010999999996</v>
          </cell>
          <cell r="V5369">
            <v>0</v>
          </cell>
          <cell r="W5369">
            <v>0</v>
          </cell>
          <cell r="X5369">
            <v>0.2180986</v>
          </cell>
          <cell r="Y5369">
            <v>0</v>
          </cell>
          <cell r="Z5369">
            <v>0</v>
          </cell>
          <cell r="AA5369">
            <v>0</v>
          </cell>
          <cell r="AB5369">
            <v>7.0188500000000001E-2</v>
          </cell>
        </row>
        <row r="5370">
          <cell r="A5370">
            <v>75311026</v>
          </cell>
          <cell r="B5370" t="str">
            <v>Mixed vegetables, cooked, NS as to form, made with margarine</v>
          </cell>
          <cell r="I5370">
            <v>85</v>
          </cell>
          <cell r="J5370">
            <v>65.063303000000005</v>
          </cell>
          <cell r="K5370">
            <v>0.76545062352941184</v>
          </cell>
          <cell r="L5370">
            <v>1.812527</v>
          </cell>
          <cell r="M5370">
            <v>0.28656530000000002</v>
          </cell>
          <cell r="N5370">
            <v>0</v>
          </cell>
          <cell r="O5370">
            <v>2.11591E-2</v>
          </cell>
          <cell r="P5370">
            <v>1.812527</v>
          </cell>
          <cell r="Q5370">
            <v>0.63115129999999997</v>
          </cell>
          <cell r="R5370">
            <v>0</v>
          </cell>
          <cell r="S5370">
            <v>0</v>
          </cell>
          <cell r="T5370">
            <v>0</v>
          </cell>
          <cell r="U5370">
            <v>41.193795000000001</v>
          </cell>
          <cell r="V5370">
            <v>0</v>
          </cell>
          <cell r="W5370">
            <v>0</v>
          </cell>
          <cell r="X5370">
            <v>0.2188524</v>
          </cell>
          <cell r="Y5370">
            <v>0</v>
          </cell>
          <cell r="Z5370">
            <v>0</v>
          </cell>
          <cell r="AA5370">
            <v>0</v>
          </cell>
          <cell r="AB5370">
            <v>7.9132599999999997E-2</v>
          </cell>
        </row>
        <row r="5371">
          <cell r="A5371">
            <v>75311027</v>
          </cell>
          <cell r="B5371" t="str">
            <v>Mixed vegetables, cooked, from frozen, made with oil</v>
          </cell>
          <cell r="I5371">
            <v>85</v>
          </cell>
          <cell r="J5371">
            <v>71.848097999999993</v>
          </cell>
          <cell r="K5371">
            <v>0.84527174117647053</v>
          </cell>
          <cell r="L5371">
            <v>1.8147401999999999</v>
          </cell>
          <cell r="M5371">
            <v>0.3071139</v>
          </cell>
          <cell r="N5371">
            <v>0</v>
          </cell>
          <cell r="O5371">
            <v>2.0736000000000001E-2</v>
          </cell>
          <cell r="P5371">
            <v>1.8147401999999999</v>
          </cell>
          <cell r="Q5371">
            <v>0.90731499999999998</v>
          </cell>
          <cell r="R5371">
            <v>0</v>
          </cell>
          <cell r="S5371">
            <v>0</v>
          </cell>
          <cell r="T5371">
            <v>0</v>
          </cell>
          <cell r="U5371">
            <v>41.244095000000002</v>
          </cell>
          <cell r="V5371">
            <v>0</v>
          </cell>
          <cell r="W5371">
            <v>0</v>
          </cell>
          <cell r="X5371">
            <v>0.2045447</v>
          </cell>
          <cell r="Y5371">
            <v>0</v>
          </cell>
          <cell r="Z5371">
            <v>0</v>
          </cell>
          <cell r="AA5371">
            <v>0</v>
          </cell>
          <cell r="AB5371">
            <v>7.2946E-3</v>
          </cell>
        </row>
        <row r="5372">
          <cell r="A5372">
            <v>75311028</v>
          </cell>
          <cell r="B5372" t="str">
            <v>Mixed vegetables, cooked, from frozen, made with butter</v>
          </cell>
          <cell r="I5372">
            <v>85</v>
          </cell>
          <cell r="J5372">
            <v>68.916304999999994</v>
          </cell>
          <cell r="K5372">
            <v>0.81078005882352933</v>
          </cell>
          <cell r="L5372">
            <v>1.8129325000000001</v>
          </cell>
          <cell r="M5372">
            <v>1.1254366</v>
          </cell>
          <cell r="N5372">
            <v>0</v>
          </cell>
          <cell r="O5372">
            <v>2.1224099999999999E-2</v>
          </cell>
          <cell r="P5372">
            <v>1.8129325000000001</v>
          </cell>
          <cell r="Q5372">
            <v>0.124489</v>
          </cell>
          <cell r="R5372">
            <v>0</v>
          </cell>
          <cell r="S5372">
            <v>0</v>
          </cell>
          <cell r="T5372">
            <v>0</v>
          </cell>
          <cell r="U5372">
            <v>41.203010999999996</v>
          </cell>
          <cell r="V5372">
            <v>0</v>
          </cell>
          <cell r="W5372">
            <v>0</v>
          </cell>
          <cell r="X5372">
            <v>0.2180986</v>
          </cell>
          <cell r="Y5372">
            <v>0</v>
          </cell>
          <cell r="Z5372">
            <v>0</v>
          </cell>
          <cell r="AA5372">
            <v>0</v>
          </cell>
          <cell r="AB5372">
            <v>7.0188500000000001E-2</v>
          </cell>
        </row>
        <row r="5373">
          <cell r="A5373">
            <v>75311029</v>
          </cell>
          <cell r="B5373" t="str">
            <v>Mixed vegetables, cooked, from frozen, made with margarine</v>
          </cell>
          <cell r="I5373">
            <v>85</v>
          </cell>
          <cell r="J5373">
            <v>65.063303000000005</v>
          </cell>
          <cell r="K5373">
            <v>0.76545062352941184</v>
          </cell>
          <cell r="L5373">
            <v>1.812527</v>
          </cell>
          <cell r="M5373">
            <v>0.28656530000000002</v>
          </cell>
          <cell r="N5373">
            <v>0</v>
          </cell>
          <cell r="O5373">
            <v>2.11591E-2</v>
          </cell>
          <cell r="P5373">
            <v>1.812527</v>
          </cell>
          <cell r="Q5373">
            <v>0.63115129999999997</v>
          </cell>
          <cell r="R5373">
            <v>0</v>
          </cell>
          <cell r="S5373">
            <v>0</v>
          </cell>
          <cell r="T5373">
            <v>0</v>
          </cell>
          <cell r="U5373">
            <v>41.193795000000001</v>
          </cell>
          <cell r="V5373">
            <v>0</v>
          </cell>
          <cell r="W5373">
            <v>0</v>
          </cell>
          <cell r="X5373">
            <v>0.2188524</v>
          </cell>
          <cell r="Y5373">
            <v>0</v>
          </cell>
          <cell r="Z5373">
            <v>0</v>
          </cell>
          <cell r="AA5373">
            <v>0</v>
          </cell>
          <cell r="AB5373">
            <v>7.9132599999999997E-2</v>
          </cell>
        </row>
        <row r="5374">
          <cell r="A5374">
            <v>75311031</v>
          </cell>
          <cell r="B5374" t="str">
            <v>Mixed vegetables, cooked, from canned, made with butter</v>
          </cell>
          <cell r="I5374">
            <v>130</v>
          </cell>
          <cell r="J5374">
            <v>87.974119999999999</v>
          </cell>
          <cell r="K5374">
            <v>0.67672399999999999</v>
          </cell>
          <cell r="L5374">
            <v>2.8216606999999998</v>
          </cell>
          <cell r="M5374">
            <v>1.9425676000000001</v>
          </cell>
          <cell r="N5374">
            <v>0</v>
          </cell>
          <cell r="O5374">
            <v>3.4980999999999998E-2</v>
          </cell>
          <cell r="P5374">
            <v>0.95936460000000001</v>
          </cell>
          <cell r="Q5374">
            <v>0.26124910000000001</v>
          </cell>
          <cell r="R5374">
            <v>0</v>
          </cell>
          <cell r="S5374">
            <v>0</v>
          </cell>
          <cell r="T5374">
            <v>0</v>
          </cell>
          <cell r="U5374">
            <v>94.055355000000006</v>
          </cell>
          <cell r="V5374">
            <v>0</v>
          </cell>
          <cell r="W5374">
            <v>0</v>
          </cell>
          <cell r="X5374">
            <v>0.41309790000000002</v>
          </cell>
          <cell r="Y5374">
            <v>0</v>
          </cell>
          <cell r="Z5374">
            <v>0</v>
          </cell>
          <cell r="AA5374">
            <v>0</v>
          </cell>
          <cell r="AB5374">
            <v>0.1198613</v>
          </cell>
        </row>
        <row r="5375">
          <cell r="A5375">
            <v>75315000</v>
          </cell>
          <cell r="B5375" t="str">
            <v>Peas and corn, cooked, NS as to fat added in cooking</v>
          </cell>
          <cell r="I5375">
            <v>85</v>
          </cell>
          <cell r="J5375">
            <v>89.367030999999997</v>
          </cell>
          <cell r="K5375">
            <v>1.0513768352941175</v>
          </cell>
          <cell r="L5375">
            <v>0</v>
          </cell>
          <cell r="M5375">
            <v>0.95215689999999997</v>
          </cell>
          <cell r="N5375">
            <v>0</v>
          </cell>
          <cell r="O5375">
            <v>1.28609E-2</v>
          </cell>
          <cell r="P5375">
            <v>3.2271103999999999</v>
          </cell>
          <cell r="Q5375">
            <v>0.58949549999999995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0.21379790000000001</v>
          </cell>
          <cell r="Y5375">
            <v>0</v>
          </cell>
          <cell r="Z5375">
            <v>0</v>
          </cell>
          <cell r="AA5375">
            <v>0</v>
          </cell>
          <cell r="AB5375">
            <v>8.2257999999999998E-2</v>
          </cell>
        </row>
        <row r="5376">
          <cell r="A5376">
            <v>75315010</v>
          </cell>
          <cell r="B5376" t="str">
            <v>Peas and corn, cooked, fat not added in cooking</v>
          </cell>
          <cell r="I5376">
            <v>85</v>
          </cell>
          <cell r="J5376">
            <v>76.093252000000007</v>
          </cell>
          <cell r="K5376">
            <v>0.89521472941176483</v>
          </cell>
          <cell r="L5376">
            <v>0</v>
          </cell>
          <cell r="M5376">
            <v>0.1005086</v>
          </cell>
          <cell r="N5376">
            <v>0</v>
          </cell>
          <cell r="O5376">
            <v>1.26718E-2</v>
          </cell>
          <cell r="P5376">
            <v>3.3207361999999998</v>
          </cell>
          <cell r="Q5376">
            <v>0.30039939999999998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0.20379140000000001</v>
          </cell>
          <cell r="Y5376">
            <v>0</v>
          </cell>
          <cell r="Z5376">
            <v>0</v>
          </cell>
          <cell r="AA5376">
            <v>0</v>
          </cell>
          <cell r="AB5376">
            <v>0</v>
          </cell>
        </row>
        <row r="5377">
          <cell r="A5377">
            <v>75315022</v>
          </cell>
          <cell r="B5377" t="str">
            <v>Peas and corn, cooked, made with butter</v>
          </cell>
          <cell r="I5377">
            <v>85</v>
          </cell>
          <cell r="J5377">
            <v>91.130865999999997</v>
          </cell>
          <cell r="K5377">
            <v>1.0721278352941177</v>
          </cell>
          <cell r="L5377">
            <v>0</v>
          </cell>
          <cell r="M5377">
            <v>1.3287164</v>
          </cell>
          <cell r="N5377">
            <v>0</v>
          </cell>
          <cell r="O5377">
            <v>1.28897E-2</v>
          </cell>
          <cell r="P5377">
            <v>3.2271103999999999</v>
          </cell>
          <cell r="Q5377">
            <v>0.36485580000000001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0</v>
          </cell>
          <cell r="W5377">
            <v>0</v>
          </cell>
          <cell r="X5377">
            <v>0.21345520000000001</v>
          </cell>
          <cell r="Y5377">
            <v>0</v>
          </cell>
          <cell r="Z5377">
            <v>0</v>
          </cell>
          <cell r="AA5377">
            <v>0</v>
          </cell>
          <cell r="AB5377">
            <v>7.8557699999999994E-2</v>
          </cell>
        </row>
        <row r="5378">
          <cell r="A5378">
            <v>75315023</v>
          </cell>
          <cell r="B5378" t="str">
            <v>Peas and corn, cooked, made with margarine</v>
          </cell>
          <cell r="I5378">
            <v>85</v>
          </cell>
          <cell r="J5378">
            <v>86.812985999999995</v>
          </cell>
          <cell r="K5378">
            <v>1.0213292470588236</v>
          </cell>
          <cell r="L5378">
            <v>3.7750000000000002E-16</v>
          </cell>
          <cell r="M5378">
            <v>0.38979239999999998</v>
          </cell>
          <cell r="N5378">
            <v>0</v>
          </cell>
          <cell r="O5378">
            <v>1.2819000000000001E-2</v>
          </cell>
          <cell r="P5378">
            <v>3.2263025000000001</v>
          </cell>
          <cell r="Q5378">
            <v>0.93185709999999999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0.21429999999999999</v>
          </cell>
          <cell r="Y5378">
            <v>0</v>
          </cell>
          <cell r="Z5378">
            <v>0</v>
          </cell>
          <cell r="AA5378">
            <v>0</v>
          </cell>
          <cell r="AB5378">
            <v>8.8566000000000006E-2</v>
          </cell>
        </row>
        <row r="5379">
          <cell r="A5379">
            <v>75315100</v>
          </cell>
          <cell r="B5379" t="str">
            <v>Peas and onions, cooked, NS as to fat added in cooking</v>
          </cell>
          <cell r="I5379">
            <v>85</v>
          </cell>
          <cell r="J5379">
            <v>48.681569000000003</v>
          </cell>
          <cell r="K5379">
            <v>0.57272434117647064</v>
          </cell>
          <cell r="L5379">
            <v>0.57275659999999995</v>
          </cell>
          <cell r="M5379">
            <v>0.29456680000000002</v>
          </cell>
          <cell r="N5379">
            <v>0</v>
          </cell>
          <cell r="O5379">
            <v>1.21128E-2</v>
          </cell>
          <cell r="P5379">
            <v>1.2359484000000001</v>
          </cell>
          <cell r="Q5379">
            <v>0.65775479999999997</v>
          </cell>
          <cell r="R5379">
            <v>0</v>
          </cell>
          <cell r="S5379">
            <v>0</v>
          </cell>
          <cell r="T5379">
            <v>0</v>
          </cell>
          <cell r="U5379">
            <v>26.034389999999998</v>
          </cell>
          <cell r="V5379">
            <v>0</v>
          </cell>
          <cell r="W5379">
            <v>0</v>
          </cell>
          <cell r="X5379">
            <v>0.27459339999999999</v>
          </cell>
          <cell r="Y5379">
            <v>0</v>
          </cell>
          <cell r="Z5379">
            <v>0</v>
          </cell>
          <cell r="AA5379">
            <v>0</v>
          </cell>
          <cell r="AB5379">
            <v>7.4285900000000002E-2</v>
          </cell>
        </row>
        <row r="5380">
          <cell r="A5380">
            <v>75315200</v>
          </cell>
          <cell r="B5380" t="str">
            <v>Peas and mushrooms, cooked, NS as to fat added in cooking</v>
          </cell>
          <cell r="I5380">
            <v>85</v>
          </cell>
          <cell r="J5380">
            <v>69.632200999999995</v>
          </cell>
          <cell r="K5380">
            <v>0.81920236470588226</v>
          </cell>
          <cell r="L5380">
            <v>0.44272709999999998</v>
          </cell>
          <cell r="M5380">
            <v>0.91266000000000003</v>
          </cell>
          <cell r="N5380">
            <v>0</v>
          </cell>
          <cell r="O5380">
            <v>1.67484E-2</v>
          </cell>
          <cell r="P5380">
            <v>2.7863945999999999</v>
          </cell>
          <cell r="Q5380">
            <v>0.41968830000000001</v>
          </cell>
          <cell r="R5380">
            <v>0</v>
          </cell>
          <cell r="S5380">
            <v>0</v>
          </cell>
          <cell r="T5380">
            <v>0</v>
          </cell>
          <cell r="U5380">
            <v>20.123961000000001</v>
          </cell>
          <cell r="V5380">
            <v>0</v>
          </cell>
          <cell r="W5380">
            <v>0</v>
          </cell>
          <cell r="X5380">
            <v>0.26101489999999999</v>
          </cell>
          <cell r="Y5380">
            <v>0</v>
          </cell>
          <cell r="Z5380">
            <v>0</v>
          </cell>
          <cell r="AA5380">
            <v>0</v>
          </cell>
          <cell r="AB5380">
            <v>8.3755999999999997E-2</v>
          </cell>
        </row>
        <row r="5381">
          <cell r="A5381">
            <v>75315210</v>
          </cell>
          <cell r="B5381" t="str">
            <v>Peas and mushrooms, cooked, fat not added in cooking</v>
          </cell>
          <cell r="I5381">
            <v>85</v>
          </cell>
          <cell r="J5381">
            <v>55.526249999999997</v>
          </cell>
          <cell r="K5381">
            <v>0.65325</v>
          </cell>
          <cell r="L5381">
            <v>0.45581250000000001</v>
          </cell>
          <cell r="M5381">
            <v>4.3875900000000002E-2</v>
          </cell>
          <cell r="N5381">
            <v>0</v>
          </cell>
          <cell r="O5381">
            <v>1.6670600000000001E-2</v>
          </cell>
          <cell r="P5381">
            <v>2.8687499999999999</v>
          </cell>
          <cell r="Q5381">
            <v>0.1201528</v>
          </cell>
          <cell r="R5381">
            <v>0</v>
          </cell>
          <cell r="S5381">
            <v>0</v>
          </cell>
          <cell r="T5381">
            <v>0</v>
          </cell>
          <cell r="U5381">
            <v>20.71875</v>
          </cell>
          <cell r="V5381">
            <v>0</v>
          </cell>
          <cell r="W5381">
            <v>0</v>
          </cell>
          <cell r="X5381">
            <v>0.2522163</v>
          </cell>
          <cell r="Y5381">
            <v>0</v>
          </cell>
          <cell r="Z5381">
            <v>0</v>
          </cell>
          <cell r="AA5381">
            <v>0</v>
          </cell>
          <cell r="AB5381">
            <v>0</v>
          </cell>
        </row>
        <row r="5382">
          <cell r="A5382">
            <v>75315215</v>
          </cell>
          <cell r="B5382" t="str">
            <v>Peas with mushrooms, cooked, fat added in cooking</v>
          </cell>
          <cell r="I5382">
            <v>85</v>
          </cell>
          <cell r="J5382">
            <v>69.213521</v>
          </cell>
          <cell r="K5382">
            <v>0.81427671764705878</v>
          </cell>
          <cell r="L5382">
            <v>0.35452129999999998</v>
          </cell>
          <cell r="M5382">
            <v>0.3400591</v>
          </cell>
          <cell r="N5382">
            <v>0</v>
          </cell>
          <cell r="O5382">
            <v>1.7425400000000001E-2</v>
          </cell>
          <cell r="P5382">
            <v>3.6361162</v>
          </cell>
          <cell r="Q5382">
            <v>0.76724460000000005</v>
          </cell>
          <cell r="R5382">
            <v>0</v>
          </cell>
          <cell r="S5382">
            <v>0</v>
          </cell>
          <cell r="T5382">
            <v>0</v>
          </cell>
          <cell r="U5382">
            <v>16.114605999999998</v>
          </cell>
          <cell r="V5382">
            <v>0</v>
          </cell>
          <cell r="W5382">
            <v>0</v>
          </cell>
          <cell r="X5382">
            <v>0.1838158</v>
          </cell>
          <cell r="Y5382">
            <v>0</v>
          </cell>
          <cell r="Z5382">
            <v>0</v>
          </cell>
          <cell r="AA5382">
            <v>0</v>
          </cell>
          <cell r="AB5382">
            <v>8.3755999999999997E-2</v>
          </cell>
        </row>
        <row r="5383">
          <cell r="A5383">
            <v>75315300</v>
          </cell>
          <cell r="B5383" t="str">
            <v>Peas and potatoes, cooked, fat not added in cooking</v>
          </cell>
          <cell r="I5383">
            <v>85</v>
          </cell>
          <cell r="J5383">
            <v>71.784906000000007</v>
          </cell>
          <cell r="K5383">
            <v>0.84452830588235306</v>
          </cell>
          <cell r="L5383">
            <v>7.5500000000000004E-16</v>
          </cell>
          <cell r="M5383">
            <v>2.7520800000000002E-2</v>
          </cell>
          <cell r="N5383">
            <v>0</v>
          </cell>
          <cell r="O5383">
            <v>1.50113E-2</v>
          </cell>
          <cell r="P5383">
            <v>3.1027673</v>
          </cell>
          <cell r="Q5383">
            <v>6.1552799999999998E-2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0.2105648</v>
          </cell>
          <cell r="Y5383">
            <v>0</v>
          </cell>
          <cell r="Z5383">
            <v>0</v>
          </cell>
          <cell r="AA5383">
            <v>0</v>
          </cell>
          <cell r="AB5383">
            <v>0</v>
          </cell>
        </row>
        <row r="5384">
          <cell r="A5384">
            <v>75315305</v>
          </cell>
          <cell r="B5384" t="str">
            <v>Peas and potatoes, cooked, NS as to fat added in cooking</v>
          </cell>
          <cell r="I5384">
            <v>85</v>
          </cell>
          <cell r="J5384">
            <v>85.507409999999993</v>
          </cell>
          <cell r="K5384">
            <v>1.0059695294117645</v>
          </cell>
          <cell r="L5384">
            <v>0</v>
          </cell>
          <cell r="M5384">
            <v>0.90208350000000004</v>
          </cell>
          <cell r="N5384">
            <v>0</v>
          </cell>
          <cell r="O5384">
            <v>1.51375E-2</v>
          </cell>
          <cell r="P5384">
            <v>3.0131497999999999</v>
          </cell>
          <cell r="Q5384">
            <v>0.3646103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0.22062010000000001</v>
          </cell>
          <cell r="Y5384">
            <v>0</v>
          </cell>
          <cell r="Z5384">
            <v>0</v>
          </cell>
          <cell r="AA5384">
            <v>0</v>
          </cell>
          <cell r="AB5384">
            <v>8.4267599999999998E-2</v>
          </cell>
        </row>
        <row r="5385">
          <cell r="A5385">
            <v>75315310</v>
          </cell>
          <cell r="B5385" t="str">
            <v>Peas and potatoes, cooked, fat added in cooking</v>
          </cell>
          <cell r="I5385">
            <v>85</v>
          </cell>
          <cell r="J5385">
            <v>82.917288999999997</v>
          </cell>
          <cell r="K5385">
            <v>0.97549751764705883</v>
          </cell>
          <cell r="L5385">
            <v>0</v>
          </cell>
          <cell r="M5385">
            <v>0.326096</v>
          </cell>
          <cell r="N5385">
            <v>0</v>
          </cell>
          <cell r="O5385">
            <v>1.5092400000000001E-2</v>
          </cell>
          <cell r="P5385">
            <v>3.0132970000000001</v>
          </cell>
          <cell r="Q5385">
            <v>0.71561010000000003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0.21029700000000001</v>
          </cell>
          <cell r="Y5385">
            <v>0</v>
          </cell>
          <cell r="Z5385">
            <v>0</v>
          </cell>
          <cell r="AA5385">
            <v>0</v>
          </cell>
          <cell r="AB5385">
            <v>8.4267599999999998E-2</v>
          </cell>
        </row>
        <row r="5386">
          <cell r="A5386">
            <v>75316000</v>
          </cell>
          <cell r="B5386" t="str">
            <v>Squash, summer, yellow or green, and onions, cooked, fat not added in cooking</v>
          </cell>
          <cell r="I5386">
            <v>85</v>
          </cell>
          <cell r="J5386">
            <v>22.591512000000002</v>
          </cell>
          <cell r="K5386">
            <v>0.26578249411764709</v>
          </cell>
          <cell r="L5386">
            <v>1.1836869999999999</v>
          </cell>
          <cell r="M5386">
            <v>4.6299100000000003E-2</v>
          </cell>
          <cell r="N5386">
            <v>0</v>
          </cell>
          <cell r="O5386">
            <v>2.1752799999999999E-2</v>
          </cell>
          <cell r="P5386">
            <v>0</v>
          </cell>
          <cell r="Q5386">
            <v>9.7028500000000004E-2</v>
          </cell>
          <cell r="R5386">
            <v>0</v>
          </cell>
          <cell r="S5386">
            <v>0</v>
          </cell>
          <cell r="T5386">
            <v>0</v>
          </cell>
          <cell r="U5386">
            <v>84.549071999999995</v>
          </cell>
          <cell r="V5386">
            <v>0</v>
          </cell>
          <cell r="W5386">
            <v>0</v>
          </cell>
          <cell r="X5386">
            <v>0.17608979999999999</v>
          </cell>
          <cell r="Y5386">
            <v>0</v>
          </cell>
          <cell r="Z5386">
            <v>0</v>
          </cell>
          <cell r="AA5386">
            <v>0</v>
          </cell>
          <cell r="AB5386">
            <v>0</v>
          </cell>
        </row>
        <row r="5387">
          <cell r="A5387">
            <v>75316010</v>
          </cell>
          <cell r="B5387" t="str">
            <v>Zucchini with tomato sauce, cooked, fat not added in cooking</v>
          </cell>
          <cell r="I5387">
            <v>110</v>
          </cell>
          <cell r="J5387">
            <v>20.550388000000002</v>
          </cell>
          <cell r="K5387">
            <v>0.18682170909090912</v>
          </cell>
          <cell r="L5387">
            <v>1.3243701999999999</v>
          </cell>
          <cell r="M5387">
            <v>5.7460400000000002E-2</v>
          </cell>
          <cell r="N5387">
            <v>0</v>
          </cell>
          <cell r="O5387">
            <v>1.7540699999999999E-2</v>
          </cell>
          <cell r="P5387">
            <v>0</v>
          </cell>
          <cell r="Q5387">
            <v>0.1298984</v>
          </cell>
          <cell r="R5387">
            <v>0</v>
          </cell>
          <cell r="S5387">
            <v>0</v>
          </cell>
          <cell r="T5387">
            <v>0</v>
          </cell>
          <cell r="U5387">
            <v>109.60917000000001</v>
          </cell>
          <cell r="V5387">
            <v>0</v>
          </cell>
          <cell r="W5387">
            <v>0</v>
          </cell>
          <cell r="X5387">
            <v>0.39263110000000001</v>
          </cell>
          <cell r="Y5387">
            <v>0</v>
          </cell>
          <cell r="Z5387">
            <v>0</v>
          </cell>
          <cell r="AA5387">
            <v>0</v>
          </cell>
          <cell r="AB5387">
            <v>0</v>
          </cell>
        </row>
        <row r="5388">
          <cell r="A5388">
            <v>75316022</v>
          </cell>
          <cell r="B5388" t="str">
            <v>Squash, summer, yellow or green, and onions, cooked, made with oil</v>
          </cell>
          <cell r="I5388">
            <v>85</v>
          </cell>
          <cell r="J5388">
            <v>39.771324</v>
          </cell>
          <cell r="K5388">
            <v>0.46789792941176472</v>
          </cell>
          <cell r="L5388">
            <v>1.1558366</v>
          </cell>
          <cell r="M5388">
            <v>0.31873079999999998</v>
          </cell>
          <cell r="N5388">
            <v>0</v>
          </cell>
          <cell r="O5388">
            <v>2.1246000000000001E-2</v>
          </cell>
          <cell r="P5388">
            <v>0</v>
          </cell>
          <cell r="Q5388">
            <v>0.91851070000000001</v>
          </cell>
          <cell r="R5388">
            <v>0</v>
          </cell>
          <cell r="S5388">
            <v>0</v>
          </cell>
          <cell r="T5388">
            <v>0</v>
          </cell>
          <cell r="U5388">
            <v>82.559753999999998</v>
          </cell>
          <cell r="V5388">
            <v>0</v>
          </cell>
          <cell r="W5388">
            <v>0</v>
          </cell>
          <cell r="X5388">
            <v>0.17195659999999999</v>
          </cell>
          <cell r="Y5388">
            <v>0</v>
          </cell>
          <cell r="Z5388">
            <v>0</v>
          </cell>
          <cell r="AA5388">
            <v>0</v>
          </cell>
          <cell r="AB5388">
            <v>7.0866999999999996E-3</v>
          </cell>
        </row>
        <row r="5389">
          <cell r="A5389">
            <v>75316023</v>
          </cell>
          <cell r="B5389" t="str">
            <v>Squash, summer, yellow or green, and onions, cooked, made with butter</v>
          </cell>
          <cell r="I5389">
            <v>85</v>
          </cell>
          <cell r="J5389">
            <v>36.954023999999997</v>
          </cell>
          <cell r="K5389">
            <v>0.4347532235294117</v>
          </cell>
          <cell r="L5389">
            <v>1.1547179999999999</v>
          </cell>
          <cell r="M5389">
            <v>1.1137497999999999</v>
          </cell>
          <cell r="N5389">
            <v>0</v>
          </cell>
          <cell r="O5389">
            <v>2.1719700000000002E-2</v>
          </cell>
          <cell r="P5389">
            <v>0</v>
          </cell>
          <cell r="Q5389">
            <v>0.15795590000000001</v>
          </cell>
          <cell r="R5389">
            <v>0</v>
          </cell>
          <cell r="S5389">
            <v>0</v>
          </cell>
          <cell r="T5389">
            <v>0</v>
          </cell>
          <cell r="U5389">
            <v>82.479855999999998</v>
          </cell>
          <cell r="V5389">
            <v>0</v>
          </cell>
          <cell r="W5389">
            <v>0</v>
          </cell>
          <cell r="X5389">
            <v>0.1851563</v>
          </cell>
          <cell r="Y5389">
            <v>0</v>
          </cell>
          <cell r="Z5389">
            <v>0</v>
          </cell>
          <cell r="AA5389">
            <v>0</v>
          </cell>
          <cell r="AB5389">
            <v>6.8190700000000007E-2</v>
          </cell>
        </row>
        <row r="5390">
          <cell r="A5390">
            <v>75316024</v>
          </cell>
          <cell r="B5390" t="str">
            <v>Squash, summer, yellow or green, and onions, cooked, made with margarine</v>
          </cell>
          <cell r="I5390">
            <v>85</v>
          </cell>
          <cell r="J5390">
            <v>33.217613999999998</v>
          </cell>
          <cell r="K5390">
            <v>0.3907954588235294</v>
          </cell>
          <cell r="L5390">
            <v>1.1544669999999999</v>
          </cell>
          <cell r="M5390">
            <v>0.2987532</v>
          </cell>
          <cell r="N5390">
            <v>0</v>
          </cell>
          <cell r="O5390">
            <v>2.1656399999999999E-2</v>
          </cell>
          <cell r="P5390">
            <v>0</v>
          </cell>
          <cell r="Q5390">
            <v>0.65019260000000001</v>
          </cell>
          <cell r="R5390">
            <v>0</v>
          </cell>
          <cell r="S5390">
            <v>0</v>
          </cell>
          <cell r="T5390">
            <v>0</v>
          </cell>
          <cell r="U5390">
            <v>82.461932000000004</v>
          </cell>
          <cell r="V5390">
            <v>0</v>
          </cell>
          <cell r="W5390">
            <v>0</v>
          </cell>
          <cell r="X5390">
            <v>0.1858958</v>
          </cell>
          <cell r="Y5390">
            <v>0</v>
          </cell>
          <cell r="Z5390">
            <v>0</v>
          </cell>
          <cell r="AA5390">
            <v>0</v>
          </cell>
          <cell r="AB5390">
            <v>7.6880699999999996E-2</v>
          </cell>
        </row>
        <row r="5391">
          <cell r="A5391">
            <v>75316030</v>
          </cell>
          <cell r="B5391" t="str">
            <v>Squash, summer, yellow or green, with tomato sauce, cooked, fat not added in cooking</v>
          </cell>
          <cell r="I5391">
            <v>85</v>
          </cell>
          <cell r="J5391">
            <v>18.06908</v>
          </cell>
          <cell r="K5391">
            <v>0.21257741176470588</v>
          </cell>
          <cell r="L5391">
            <v>1.2155769000000001</v>
          </cell>
          <cell r="M5391">
            <v>4.8023999999999997E-2</v>
          </cell>
          <cell r="N5391">
            <v>0</v>
          </cell>
          <cell r="O5391">
            <v>1.9388599999999999E-2</v>
          </cell>
          <cell r="P5391">
            <v>0</v>
          </cell>
          <cell r="Q5391">
            <v>0.108446</v>
          </cell>
          <cell r="R5391">
            <v>0</v>
          </cell>
          <cell r="S5391">
            <v>0</v>
          </cell>
          <cell r="T5391">
            <v>0</v>
          </cell>
          <cell r="U5391">
            <v>84.872208000000001</v>
          </cell>
          <cell r="V5391">
            <v>0</v>
          </cell>
          <cell r="W5391">
            <v>0</v>
          </cell>
          <cell r="X5391">
            <v>0.17981920000000001</v>
          </cell>
          <cell r="Y5391">
            <v>0</v>
          </cell>
          <cell r="Z5391">
            <v>0</v>
          </cell>
          <cell r="AA5391">
            <v>0</v>
          </cell>
          <cell r="AB5391">
            <v>0</v>
          </cell>
        </row>
        <row r="5392">
          <cell r="A5392">
            <v>75316031</v>
          </cell>
          <cell r="B5392" t="str">
            <v>Squash, summer, yellow or green, with tomato sauce, cooked, fat added in cooking</v>
          </cell>
          <cell r="I5392">
            <v>85</v>
          </cell>
          <cell r="J5392">
            <v>27.304361</v>
          </cell>
          <cell r="K5392">
            <v>0.32122777647058826</v>
          </cell>
          <cell r="L5392">
            <v>1.1943481</v>
          </cell>
          <cell r="M5392">
            <v>0.57646269999999999</v>
          </cell>
          <cell r="N5392">
            <v>0</v>
          </cell>
          <cell r="O5392">
            <v>1.93884E-2</v>
          </cell>
          <cell r="P5392">
            <v>0</v>
          </cell>
          <cell r="Q5392">
            <v>0.29086810000000002</v>
          </cell>
          <cell r="R5392">
            <v>0</v>
          </cell>
          <cell r="S5392">
            <v>0</v>
          </cell>
          <cell r="T5392">
            <v>0</v>
          </cell>
          <cell r="U5392">
            <v>83.390007999999995</v>
          </cell>
          <cell r="V5392">
            <v>0</v>
          </cell>
          <cell r="W5392">
            <v>0</v>
          </cell>
          <cell r="X5392">
            <v>0.18643599999999999</v>
          </cell>
          <cell r="Y5392">
            <v>0</v>
          </cell>
          <cell r="Z5392">
            <v>0</v>
          </cell>
          <cell r="AA5392">
            <v>0</v>
          </cell>
          <cell r="AB5392">
            <v>5.0951700000000003E-2</v>
          </cell>
        </row>
        <row r="5393">
          <cell r="A5393">
            <v>75316050</v>
          </cell>
          <cell r="B5393" t="str">
            <v>Ratatouille</v>
          </cell>
          <cell r="I5393">
            <v>85</v>
          </cell>
          <cell r="J5393">
            <v>54.967722000000002</v>
          </cell>
          <cell r="K5393">
            <v>0.64667908235294125</v>
          </cell>
          <cell r="L5393">
            <v>1.2374018</v>
          </cell>
          <cell r="M5393">
            <v>0.54851260000000002</v>
          </cell>
          <cell r="N5393">
            <v>0</v>
          </cell>
          <cell r="O5393">
            <v>1.6471099999999999E-2</v>
          </cell>
          <cell r="P5393">
            <v>0.1524625</v>
          </cell>
          <cell r="Q5393">
            <v>0.4771783</v>
          </cell>
          <cell r="R5393">
            <v>0</v>
          </cell>
          <cell r="S5393">
            <v>0</v>
          </cell>
          <cell r="T5393">
            <v>0</v>
          </cell>
          <cell r="U5393">
            <v>74.586904000000004</v>
          </cell>
          <cell r="V5393">
            <v>0</v>
          </cell>
          <cell r="W5393">
            <v>0</v>
          </cell>
          <cell r="X5393">
            <v>0.12834480000000001</v>
          </cell>
          <cell r="Y5393">
            <v>0</v>
          </cell>
          <cell r="Z5393">
            <v>0</v>
          </cell>
          <cell r="AA5393">
            <v>0</v>
          </cell>
          <cell r="AB5393">
            <v>2.05469E-2</v>
          </cell>
        </row>
        <row r="5394">
          <cell r="A5394">
            <v>75317000</v>
          </cell>
          <cell r="B5394" t="str">
            <v>Vegetables, stew type, cooked, NS as to fat added in cooking</v>
          </cell>
          <cell r="I5394">
            <v>85</v>
          </cell>
          <cell r="J5394">
            <v>60.915683999999999</v>
          </cell>
          <cell r="K5394">
            <v>0.71665510588235293</v>
          </cell>
          <cell r="L5394">
            <v>1.3593449</v>
          </cell>
          <cell r="M5394">
            <v>0.98672590000000004</v>
          </cell>
          <cell r="N5394">
            <v>0</v>
          </cell>
          <cell r="O5394">
            <v>1.95497E-2</v>
          </cell>
          <cell r="P5394">
            <v>0.58959539999999999</v>
          </cell>
          <cell r="Q5394">
            <v>0.45810840000000003</v>
          </cell>
          <cell r="R5394">
            <v>0</v>
          </cell>
          <cell r="S5394">
            <v>0</v>
          </cell>
          <cell r="T5394">
            <v>0</v>
          </cell>
          <cell r="U5394">
            <v>49.132947999999999</v>
          </cell>
          <cell r="V5394">
            <v>0</v>
          </cell>
          <cell r="W5394">
            <v>0</v>
          </cell>
          <cell r="X5394">
            <v>0.2370514</v>
          </cell>
          <cell r="Y5394">
            <v>0</v>
          </cell>
          <cell r="Z5394">
            <v>0</v>
          </cell>
          <cell r="AA5394">
            <v>0</v>
          </cell>
          <cell r="AB5394">
            <v>8.9943400000000007E-2</v>
          </cell>
        </row>
        <row r="5395">
          <cell r="A5395">
            <v>75317010</v>
          </cell>
          <cell r="B5395" t="str">
            <v>Vegetables, stew type (including potatoes, carrots, onions, celery) cooked, fat added in cooking, NS as to type of fat</v>
          </cell>
          <cell r="I5395">
            <v>85</v>
          </cell>
          <cell r="J5395">
            <v>60.915683999999999</v>
          </cell>
          <cell r="K5395">
            <v>0.71665510588235293</v>
          </cell>
          <cell r="L5395">
            <v>1.3593449</v>
          </cell>
          <cell r="M5395">
            <v>0.98672590000000004</v>
          </cell>
          <cell r="N5395">
            <v>0</v>
          </cell>
          <cell r="O5395">
            <v>1.95497E-2</v>
          </cell>
          <cell r="P5395">
            <v>0.58959539999999999</v>
          </cell>
          <cell r="Q5395">
            <v>0.45810840000000003</v>
          </cell>
          <cell r="R5395">
            <v>0</v>
          </cell>
          <cell r="S5395">
            <v>0</v>
          </cell>
          <cell r="T5395">
            <v>0</v>
          </cell>
          <cell r="U5395">
            <v>49.132947999999999</v>
          </cell>
          <cell r="V5395">
            <v>0</v>
          </cell>
          <cell r="W5395">
            <v>0</v>
          </cell>
          <cell r="X5395">
            <v>0.2370514</v>
          </cell>
          <cell r="Y5395">
            <v>0</v>
          </cell>
          <cell r="Z5395">
            <v>0</v>
          </cell>
          <cell r="AA5395">
            <v>0</v>
          </cell>
          <cell r="AB5395">
            <v>8.9943400000000007E-2</v>
          </cell>
        </row>
        <row r="5396">
          <cell r="A5396">
            <v>75317011</v>
          </cell>
          <cell r="B5396" t="str">
            <v>Vegetables, stew type, cooked, made with oil</v>
          </cell>
          <cell r="I5396">
            <v>85</v>
          </cell>
          <cell r="J5396">
            <v>67.262350999999995</v>
          </cell>
          <cell r="K5396">
            <v>0.79132177647058821</v>
          </cell>
          <cell r="L5396">
            <v>1.3593449</v>
          </cell>
          <cell r="M5396">
            <v>0.41079209999999999</v>
          </cell>
          <cell r="N5396">
            <v>0</v>
          </cell>
          <cell r="O5396">
            <v>1.8958800000000001E-2</v>
          </cell>
          <cell r="P5396">
            <v>0.58959539999999999</v>
          </cell>
          <cell r="Q5396">
            <v>1.2120869000000001</v>
          </cell>
          <cell r="R5396">
            <v>0</v>
          </cell>
          <cell r="S5396">
            <v>0</v>
          </cell>
          <cell r="T5396">
            <v>0</v>
          </cell>
          <cell r="U5396">
            <v>49.132947999999999</v>
          </cell>
          <cell r="V5396">
            <v>0</v>
          </cell>
          <cell r="W5396">
            <v>0</v>
          </cell>
          <cell r="X5396">
            <v>0.21984049999999999</v>
          </cell>
          <cell r="Y5396">
            <v>0</v>
          </cell>
          <cell r="Z5396">
            <v>0</v>
          </cell>
          <cell r="AA5396">
            <v>0</v>
          </cell>
          <cell r="AB5396">
            <v>9.8911999999999993E-3</v>
          </cell>
        </row>
        <row r="5397">
          <cell r="A5397">
            <v>75317012</v>
          </cell>
          <cell r="B5397" t="str">
            <v>Vegetables, stew type, cooked, made with butter</v>
          </cell>
          <cell r="I5397">
            <v>85</v>
          </cell>
          <cell r="J5397">
            <v>62.844315999999999</v>
          </cell>
          <cell r="K5397">
            <v>0.73934489411764703</v>
          </cell>
          <cell r="L5397">
            <v>1.3593449</v>
          </cell>
          <cell r="M5397">
            <v>1.3984677999999999</v>
          </cell>
          <cell r="N5397">
            <v>0</v>
          </cell>
          <cell r="O5397">
            <v>1.9581100000000001E-2</v>
          </cell>
          <cell r="P5397">
            <v>0.58959539999999999</v>
          </cell>
          <cell r="Q5397">
            <v>0.21248030000000001</v>
          </cell>
          <cell r="R5397">
            <v>0</v>
          </cell>
          <cell r="S5397">
            <v>0</v>
          </cell>
          <cell r="T5397">
            <v>0</v>
          </cell>
          <cell r="U5397">
            <v>49.132947999999999</v>
          </cell>
          <cell r="V5397">
            <v>0</v>
          </cell>
          <cell r="W5397">
            <v>0</v>
          </cell>
          <cell r="X5397">
            <v>0.23667669999999999</v>
          </cell>
          <cell r="Y5397">
            <v>0</v>
          </cell>
          <cell r="Z5397">
            <v>0</v>
          </cell>
          <cell r="AA5397">
            <v>0</v>
          </cell>
          <cell r="AB5397">
            <v>8.5897500000000002E-2</v>
          </cell>
        </row>
        <row r="5398">
          <cell r="A5398">
            <v>75317020</v>
          </cell>
          <cell r="B5398" t="str">
            <v>Vegetables, stew type, cooked, fat not added in cooking</v>
          </cell>
          <cell r="I5398">
            <v>85</v>
          </cell>
          <cell r="J5398">
            <v>45.457256000000001</v>
          </cell>
          <cell r="K5398">
            <v>0.53479124705882353</v>
          </cell>
          <cell r="L5398">
            <v>1.4025844999999999</v>
          </cell>
          <cell r="M5398">
            <v>5.4075499999999999E-2</v>
          </cell>
          <cell r="N5398">
            <v>0</v>
          </cell>
          <cell r="O5398">
            <v>1.9555099999999999E-2</v>
          </cell>
          <cell r="P5398">
            <v>0.6083499</v>
          </cell>
          <cell r="Q5398">
            <v>0.13696320000000001</v>
          </cell>
          <cell r="R5398">
            <v>0</v>
          </cell>
          <cell r="S5398">
            <v>0</v>
          </cell>
          <cell r="T5398">
            <v>0</v>
          </cell>
          <cell r="U5398">
            <v>50.695824999999999</v>
          </cell>
          <cell r="V5398">
            <v>0</v>
          </cell>
          <cell r="W5398">
            <v>0</v>
          </cell>
          <cell r="X5398">
            <v>0.22681989999999999</v>
          </cell>
          <cell r="Y5398">
            <v>0</v>
          </cell>
          <cell r="Z5398">
            <v>0</v>
          </cell>
          <cell r="AA5398">
            <v>0</v>
          </cell>
          <cell r="AB5398">
            <v>0</v>
          </cell>
        </row>
        <row r="5399">
          <cell r="A5399">
            <v>75330100</v>
          </cell>
          <cell r="B5399" t="str">
            <v>Vegetable combination, including carrots, broccoli, and/or dark-green leafy; cooked, no sauce, NS as to fat added in cooking</v>
          </cell>
          <cell r="I5399">
            <v>85</v>
          </cell>
          <cell r="J5399">
            <v>42.523969999999998</v>
          </cell>
          <cell r="K5399">
            <v>0.500282</v>
          </cell>
          <cell r="L5399">
            <v>2.0441799</v>
          </cell>
          <cell r="M5399">
            <v>1.0072934</v>
          </cell>
          <cell r="N5399">
            <v>0</v>
          </cell>
          <cell r="O5399">
            <v>2.0932900000000001E-2</v>
          </cell>
          <cell r="P5399">
            <v>0</v>
          </cell>
          <cell r="Q5399">
            <v>0.45285740000000002</v>
          </cell>
          <cell r="R5399">
            <v>0</v>
          </cell>
          <cell r="S5399">
            <v>0</v>
          </cell>
          <cell r="T5399">
            <v>0</v>
          </cell>
          <cell r="U5399">
            <v>81.721414999999993</v>
          </cell>
          <cell r="V5399">
            <v>0</v>
          </cell>
          <cell r="W5399">
            <v>0</v>
          </cell>
          <cell r="X5399">
            <v>0.26467190000000002</v>
          </cell>
          <cell r="Y5399">
            <v>0</v>
          </cell>
          <cell r="Z5399">
            <v>0</v>
          </cell>
          <cell r="AA5399">
            <v>0</v>
          </cell>
          <cell r="AB5399">
            <v>9.2891299999999996E-2</v>
          </cell>
        </row>
        <row r="5400">
          <cell r="A5400">
            <v>75330110</v>
          </cell>
          <cell r="B5400" t="str">
            <v>Vegetable combination, including carrots, broccoli, and/or dark-green leafy; cooked, no sauce, fat not added in cooking</v>
          </cell>
          <cell r="I5400">
            <v>85</v>
          </cell>
          <cell r="J5400">
            <v>25.937412999999999</v>
          </cell>
          <cell r="K5400">
            <v>0.30514603529411766</v>
          </cell>
          <cell r="L5400">
            <v>2.1114047</v>
          </cell>
          <cell r="M5400">
            <v>4.37472E-2</v>
          </cell>
          <cell r="N5400">
            <v>0</v>
          </cell>
          <cell r="O5400">
            <v>2.0983999999999999E-2</v>
          </cell>
          <cell r="P5400">
            <v>0</v>
          </cell>
          <cell r="Q5400">
            <v>0.1206681</v>
          </cell>
          <cell r="R5400">
            <v>0</v>
          </cell>
          <cell r="S5400">
            <v>0</v>
          </cell>
          <cell r="T5400">
            <v>0</v>
          </cell>
          <cell r="U5400">
            <v>84.408901</v>
          </cell>
          <cell r="V5400">
            <v>0</v>
          </cell>
          <cell r="W5400">
            <v>0</v>
          </cell>
          <cell r="X5400">
            <v>0.25500240000000002</v>
          </cell>
          <cell r="Y5400">
            <v>0</v>
          </cell>
          <cell r="Z5400">
            <v>0</v>
          </cell>
          <cell r="AA5400">
            <v>0</v>
          </cell>
          <cell r="AB5400">
            <v>0</v>
          </cell>
        </row>
        <row r="5401">
          <cell r="A5401">
            <v>75330120</v>
          </cell>
          <cell r="B5401" t="str">
            <v>Vegetable combination (including carrots, broccoli, and/or dark-green leafy), cooked, no sauce, fat added in cooking</v>
          </cell>
          <cell r="I5401">
            <v>85</v>
          </cell>
          <cell r="J5401">
            <v>38.388058000000001</v>
          </cell>
          <cell r="K5401">
            <v>0.45162421176470591</v>
          </cell>
          <cell r="L5401">
            <v>1.9979486</v>
          </cell>
          <cell r="M5401">
            <v>0.40228459999999999</v>
          </cell>
          <cell r="N5401">
            <v>0</v>
          </cell>
          <cell r="O5401">
            <v>2.9787399999999999E-2</v>
          </cell>
          <cell r="P5401">
            <v>0</v>
          </cell>
          <cell r="Q5401">
            <v>0.88349639999999996</v>
          </cell>
          <cell r="R5401">
            <v>0</v>
          </cell>
          <cell r="S5401">
            <v>0</v>
          </cell>
          <cell r="T5401">
            <v>0</v>
          </cell>
          <cell r="U5401">
            <v>82.005744000000007</v>
          </cell>
          <cell r="V5401">
            <v>0</v>
          </cell>
          <cell r="W5401">
            <v>0</v>
          </cell>
          <cell r="X5401">
            <v>3.7068299999999998E-2</v>
          </cell>
          <cell r="Y5401">
            <v>0</v>
          </cell>
          <cell r="Z5401">
            <v>0</v>
          </cell>
          <cell r="AA5401">
            <v>0</v>
          </cell>
          <cell r="AB5401">
            <v>9.2766399999999999E-2</v>
          </cell>
        </row>
        <row r="5402">
          <cell r="A5402">
            <v>75330121</v>
          </cell>
          <cell r="B5402" t="str">
            <v>Vegetable combination, including carrots, broccoli, and/or dark-green leafy; cooked, no sauce, made with oil</v>
          </cell>
          <cell r="I5402">
            <v>85</v>
          </cell>
          <cell r="J5402">
            <v>48.166753999999997</v>
          </cell>
          <cell r="K5402">
            <v>0.56666769411764706</v>
          </cell>
          <cell r="L5402">
            <v>2.0474344000000002</v>
          </cell>
          <cell r="M5402">
            <v>0.39784710000000001</v>
          </cell>
          <cell r="N5402">
            <v>0</v>
          </cell>
          <cell r="O5402">
            <v>2.0355000000000002E-2</v>
          </cell>
          <cell r="P5402">
            <v>0</v>
          </cell>
          <cell r="Q5402">
            <v>1.1874652999999999</v>
          </cell>
          <cell r="R5402">
            <v>0</v>
          </cell>
          <cell r="S5402">
            <v>0</v>
          </cell>
          <cell r="T5402">
            <v>0</v>
          </cell>
          <cell r="U5402">
            <v>81.828708000000006</v>
          </cell>
          <cell r="V5402">
            <v>0</v>
          </cell>
          <cell r="W5402">
            <v>0</v>
          </cell>
          <cell r="X5402">
            <v>0.2469411</v>
          </cell>
          <cell r="Y5402">
            <v>0</v>
          </cell>
          <cell r="Z5402">
            <v>0</v>
          </cell>
          <cell r="AA5402">
            <v>0</v>
          </cell>
          <cell r="AB5402">
            <v>9.2098000000000006E-3</v>
          </cell>
        </row>
        <row r="5403">
          <cell r="A5403">
            <v>75330122</v>
          </cell>
          <cell r="B5403" t="str">
            <v>Vegetable combination, including carrots, broccoli, and/or dark-green leafy; cooked, no sauce, made with butter</v>
          </cell>
          <cell r="I5403">
            <v>85</v>
          </cell>
          <cell r="J5403">
            <v>44.495956</v>
          </cell>
          <cell r="K5403">
            <v>0.52348183529411763</v>
          </cell>
          <cell r="L5403">
            <v>2.0448601000000002</v>
          </cell>
          <cell r="M5403">
            <v>1.4306378</v>
          </cell>
          <cell r="N5403">
            <v>0</v>
          </cell>
          <cell r="O5403">
            <v>2.0971500000000001E-2</v>
          </cell>
          <cell r="P5403">
            <v>0</v>
          </cell>
          <cell r="Q5403">
            <v>0.19901289999999999</v>
          </cell>
          <cell r="R5403">
            <v>0</v>
          </cell>
          <cell r="S5403">
            <v>0</v>
          </cell>
          <cell r="T5403">
            <v>0</v>
          </cell>
          <cell r="U5403">
            <v>81.725823000000005</v>
          </cell>
          <cell r="V5403">
            <v>0</v>
          </cell>
          <cell r="W5403">
            <v>0</v>
          </cell>
          <cell r="X5403">
            <v>0.2639958</v>
          </cell>
          <cell r="Y5403">
            <v>0</v>
          </cell>
          <cell r="Z5403">
            <v>0</v>
          </cell>
          <cell r="AA5403">
            <v>0</v>
          </cell>
          <cell r="AB5403">
            <v>8.8593400000000003E-2</v>
          </cell>
        </row>
        <row r="5404">
          <cell r="A5404">
            <v>75330123</v>
          </cell>
          <cell r="B5404" t="str">
            <v>Vegetable combination, including carrots, broccoli, and/or dark-green leafy; cooked, no sauce, made with margarine</v>
          </cell>
          <cell r="I5404">
            <v>85</v>
          </cell>
          <cell r="J5404">
            <v>39.639792</v>
          </cell>
          <cell r="K5404">
            <v>0.46635049411764706</v>
          </cell>
          <cell r="L5404">
            <v>2.0442828</v>
          </cell>
          <cell r="M5404">
            <v>0.37177209999999999</v>
          </cell>
          <cell r="N5404">
            <v>0</v>
          </cell>
          <cell r="O5404">
            <v>2.0889600000000001E-2</v>
          </cell>
          <cell r="P5404">
            <v>0</v>
          </cell>
          <cell r="Q5404">
            <v>0.83847459999999996</v>
          </cell>
          <cell r="R5404">
            <v>0</v>
          </cell>
          <cell r="S5404">
            <v>0</v>
          </cell>
          <cell r="T5404">
            <v>0</v>
          </cell>
          <cell r="U5404">
            <v>81.702751000000006</v>
          </cell>
          <cell r="V5404">
            <v>0</v>
          </cell>
          <cell r="W5404">
            <v>0</v>
          </cell>
          <cell r="X5404">
            <v>0.26493430000000001</v>
          </cell>
          <cell r="Y5404">
            <v>0</v>
          </cell>
          <cell r="Z5404">
            <v>0</v>
          </cell>
          <cell r="AA5404">
            <v>0</v>
          </cell>
          <cell r="AB5404">
            <v>9.9876999999999994E-2</v>
          </cell>
        </row>
        <row r="5405">
          <cell r="A5405">
            <v>75330130</v>
          </cell>
          <cell r="B5405" t="str">
            <v>Vegetable combination, excluding carrots, broccoli, and dark-green leafy; cooked, no sauce, NS as to fat added in cooking</v>
          </cell>
          <cell r="I5405">
            <v>85</v>
          </cell>
          <cell r="J5405">
            <v>62.607680000000002</v>
          </cell>
          <cell r="K5405">
            <v>0.73656094117647064</v>
          </cell>
          <cell r="L5405">
            <v>0.82233449999999997</v>
          </cell>
          <cell r="M5405">
            <v>0.92195009999999999</v>
          </cell>
          <cell r="N5405">
            <v>0</v>
          </cell>
          <cell r="O5405">
            <v>1.7458100000000001E-2</v>
          </cell>
          <cell r="P5405">
            <v>1.4453151</v>
          </cell>
          <cell r="Q5405">
            <v>0.4331564</v>
          </cell>
          <cell r="R5405">
            <v>0</v>
          </cell>
          <cell r="S5405">
            <v>0</v>
          </cell>
          <cell r="T5405">
            <v>0</v>
          </cell>
          <cell r="U5405">
            <v>39.974592000000001</v>
          </cell>
          <cell r="V5405">
            <v>0</v>
          </cell>
          <cell r="W5405">
            <v>0</v>
          </cell>
          <cell r="X5405">
            <v>0.23327439999999999</v>
          </cell>
          <cell r="Y5405">
            <v>0</v>
          </cell>
          <cell r="Z5405">
            <v>0</v>
          </cell>
          <cell r="AA5405">
            <v>0</v>
          </cell>
          <cell r="AB5405">
            <v>8.4267599999999998E-2</v>
          </cell>
        </row>
        <row r="5406">
          <cell r="A5406">
            <v>75330140</v>
          </cell>
          <cell r="B5406" t="str">
            <v>Vegetable combination, excluding carrots, broccoli, and dark-green leafy; cooked, no sauce,  fat not added in cooking</v>
          </cell>
          <cell r="I5406">
            <v>85</v>
          </cell>
          <cell r="J5406">
            <v>48.204087999999999</v>
          </cell>
          <cell r="K5406">
            <v>0.56710691764705878</v>
          </cell>
          <cell r="L5406">
            <v>0.84679249999999995</v>
          </cell>
          <cell r="M5406">
            <v>4.7978199999999999E-2</v>
          </cell>
          <cell r="N5406">
            <v>0</v>
          </cell>
          <cell r="O5406">
            <v>1.74009E-2</v>
          </cell>
          <cell r="P5406">
            <v>1.4883019</v>
          </cell>
          <cell r="Q5406">
            <v>0.13213759999999999</v>
          </cell>
          <cell r="R5406">
            <v>0</v>
          </cell>
          <cell r="S5406">
            <v>0</v>
          </cell>
          <cell r="T5406">
            <v>0</v>
          </cell>
          <cell r="U5406">
            <v>41.163522</v>
          </cell>
          <cell r="V5406">
            <v>0</v>
          </cell>
          <cell r="W5406">
            <v>0</v>
          </cell>
          <cell r="X5406">
            <v>0.2235954</v>
          </cell>
          <cell r="Y5406">
            <v>0</v>
          </cell>
          <cell r="Z5406">
            <v>0</v>
          </cell>
          <cell r="AA5406">
            <v>0</v>
          </cell>
          <cell r="AB5406">
            <v>0</v>
          </cell>
        </row>
        <row r="5407">
          <cell r="A5407">
            <v>75330150</v>
          </cell>
          <cell r="B5407" t="str">
            <v>Vegetable combination (excluding carrots, broccoli, and dark-green leafy), cooked, no sauce,  fat added in cooking</v>
          </cell>
          <cell r="I5407">
            <v>85</v>
          </cell>
          <cell r="J5407">
            <v>64.760855000000006</v>
          </cell>
          <cell r="K5407">
            <v>0.76189241176470601</v>
          </cell>
          <cell r="L5407">
            <v>0.60884360000000004</v>
          </cell>
          <cell r="M5407">
            <v>0.35885040000000001</v>
          </cell>
          <cell r="N5407">
            <v>0</v>
          </cell>
          <cell r="O5407">
            <v>1.3040599999999999E-2</v>
          </cell>
          <cell r="P5407">
            <v>1.8375632</v>
          </cell>
          <cell r="Q5407">
            <v>0.80165240000000004</v>
          </cell>
          <cell r="R5407">
            <v>0</v>
          </cell>
          <cell r="S5407">
            <v>0</v>
          </cell>
          <cell r="T5407">
            <v>0</v>
          </cell>
          <cell r="U5407">
            <v>32.776975999999998</v>
          </cell>
          <cell r="V5407">
            <v>0</v>
          </cell>
          <cell r="W5407">
            <v>0</v>
          </cell>
          <cell r="X5407">
            <v>4.3849100000000002E-2</v>
          </cell>
          <cell r="Y5407">
            <v>0</v>
          </cell>
          <cell r="Z5407">
            <v>0</v>
          </cell>
          <cell r="AA5407">
            <v>0</v>
          </cell>
          <cell r="AB5407">
            <v>8.4267599999999998E-2</v>
          </cell>
        </row>
        <row r="5408">
          <cell r="A5408">
            <v>75330151</v>
          </cell>
          <cell r="B5408" t="str">
            <v>Vegetable combination, excluding carrots, broccoli, and dark-green leafy; cooked, no sauce, made with oil</v>
          </cell>
          <cell r="I5408">
            <v>85</v>
          </cell>
          <cell r="J5408">
            <v>67.771495999999999</v>
          </cell>
          <cell r="K5408">
            <v>0.79731171764705877</v>
          </cell>
          <cell r="L5408">
            <v>0.82327479999999997</v>
          </cell>
          <cell r="M5408">
            <v>0.36950499999999997</v>
          </cell>
          <cell r="N5408">
            <v>0</v>
          </cell>
          <cell r="O5408">
            <v>1.69236E-2</v>
          </cell>
          <cell r="P5408">
            <v>1.4469677999999999</v>
          </cell>
          <cell r="Q5408">
            <v>1.1008251</v>
          </cell>
          <cell r="R5408">
            <v>0</v>
          </cell>
          <cell r="S5408">
            <v>0</v>
          </cell>
          <cell r="T5408">
            <v>0</v>
          </cell>
          <cell r="U5408">
            <v>40.020301000000003</v>
          </cell>
          <cell r="V5408">
            <v>0</v>
          </cell>
          <cell r="W5408">
            <v>0</v>
          </cell>
          <cell r="X5408">
            <v>0.21739739999999999</v>
          </cell>
          <cell r="Y5408">
            <v>0</v>
          </cell>
          <cell r="Z5408">
            <v>0</v>
          </cell>
          <cell r="AA5408">
            <v>0</v>
          </cell>
          <cell r="AB5408">
            <v>9.9982000000000005E-3</v>
          </cell>
        </row>
        <row r="5409">
          <cell r="A5409">
            <v>75330152</v>
          </cell>
          <cell r="B5409" t="str">
            <v>Vegetable combination, excluding carrots, broccoli, and dark-green leafy; cooked, no sauce, made with butter</v>
          </cell>
          <cell r="I5409">
            <v>85</v>
          </cell>
          <cell r="J5409">
            <v>64.414606000000006</v>
          </cell>
          <cell r="K5409">
            <v>0.75781889411764713</v>
          </cell>
          <cell r="L5409">
            <v>0.82233449999999997</v>
          </cell>
          <cell r="M5409">
            <v>1.3077091999999999</v>
          </cell>
          <cell r="N5409">
            <v>0</v>
          </cell>
          <cell r="O5409">
            <v>1.7487599999999999E-2</v>
          </cell>
          <cell r="P5409">
            <v>1.4453151</v>
          </cell>
          <cell r="Q5409">
            <v>0.2030286</v>
          </cell>
          <cell r="R5409">
            <v>0</v>
          </cell>
          <cell r="S5409">
            <v>0</v>
          </cell>
          <cell r="T5409">
            <v>0</v>
          </cell>
          <cell r="U5409">
            <v>39.974592000000001</v>
          </cell>
          <cell r="V5409">
            <v>0</v>
          </cell>
          <cell r="W5409">
            <v>0</v>
          </cell>
          <cell r="X5409">
            <v>0.2329234</v>
          </cell>
          <cell r="Y5409">
            <v>0</v>
          </cell>
          <cell r="Z5409">
            <v>0</v>
          </cell>
          <cell r="AA5409">
            <v>0</v>
          </cell>
          <cell r="AB5409">
            <v>8.0477000000000007E-2</v>
          </cell>
        </row>
        <row r="5410">
          <cell r="A5410">
            <v>75330153</v>
          </cell>
          <cell r="B5410" t="str">
            <v>Vegetable combination (excluding carrots, broccoli, and dark-green leafy), cooked, no sauce, made with margarine</v>
          </cell>
          <cell r="I5410">
            <v>85</v>
          </cell>
          <cell r="J5410">
            <v>59.998117000000001</v>
          </cell>
          <cell r="K5410">
            <v>0.70586020000000005</v>
          </cell>
          <cell r="L5410">
            <v>0.82212359999999995</v>
          </cell>
          <cell r="M5410">
            <v>0.3458579</v>
          </cell>
          <cell r="N5410">
            <v>0</v>
          </cell>
          <cell r="O5410">
            <v>1.7413999999999999E-2</v>
          </cell>
          <cell r="P5410">
            <v>1.4449445000000001</v>
          </cell>
          <cell r="Q5410">
            <v>0.78392010000000001</v>
          </cell>
          <cell r="R5410">
            <v>0</v>
          </cell>
          <cell r="S5410">
            <v>0</v>
          </cell>
          <cell r="T5410">
            <v>0</v>
          </cell>
          <cell r="U5410">
            <v>39.96434</v>
          </cell>
          <cell r="V5410">
            <v>0</v>
          </cell>
          <cell r="W5410">
            <v>0</v>
          </cell>
          <cell r="X5410">
            <v>0.23378380000000001</v>
          </cell>
          <cell r="Y5410">
            <v>0</v>
          </cell>
          <cell r="Z5410">
            <v>0</v>
          </cell>
          <cell r="AA5410">
            <v>0</v>
          </cell>
          <cell r="AB5410">
            <v>9.0729099999999993E-2</v>
          </cell>
        </row>
        <row r="5411">
          <cell r="A5411">
            <v>75340000</v>
          </cell>
          <cell r="B5411" t="str">
            <v>Vegetable combinations, Asian style, broccoli, green pepper, water chestnut, etc., cooked, NS as to fat added in cooking</v>
          </cell>
          <cell r="I5411">
            <v>85</v>
          </cell>
          <cell r="J5411">
            <v>51.444733999999997</v>
          </cell>
          <cell r="K5411">
            <v>0.60523216470588237</v>
          </cell>
          <cell r="L5411">
            <v>2.0499396000000001</v>
          </cell>
          <cell r="M5411">
            <v>0.95316730000000005</v>
          </cell>
          <cell r="N5411">
            <v>0</v>
          </cell>
          <cell r="O5411">
            <v>2.64175E-2</v>
          </cell>
          <cell r="P5411">
            <v>0.26065460000000001</v>
          </cell>
          <cell r="Q5411">
            <v>0.40885460000000001</v>
          </cell>
          <cell r="R5411">
            <v>0</v>
          </cell>
          <cell r="S5411">
            <v>0</v>
          </cell>
          <cell r="T5411">
            <v>0</v>
          </cell>
          <cell r="U5411">
            <v>73.200492999999994</v>
          </cell>
          <cell r="V5411">
            <v>0</v>
          </cell>
          <cell r="W5411">
            <v>0</v>
          </cell>
          <cell r="X5411">
            <v>0.25052039999999998</v>
          </cell>
          <cell r="Y5411">
            <v>0</v>
          </cell>
          <cell r="Z5411">
            <v>0</v>
          </cell>
          <cell r="AA5411">
            <v>0</v>
          </cell>
          <cell r="AB5411">
            <v>8.8143700000000005E-2</v>
          </cell>
        </row>
        <row r="5412">
          <cell r="A5412">
            <v>75340010</v>
          </cell>
          <cell r="B5412" t="str">
            <v>Vegetable combinations, Asian style, broccoli, green pepper, water chestnut, etc., cooked, fat not added in cooking</v>
          </cell>
          <cell r="I5412">
            <v>85</v>
          </cell>
          <cell r="J5412">
            <v>36.932918000000001</v>
          </cell>
          <cell r="K5412">
            <v>0.43450491764705884</v>
          </cell>
          <cell r="L5412">
            <v>2.0119237000000001</v>
          </cell>
          <cell r="M5412">
            <v>3.4523600000000002E-2</v>
          </cell>
          <cell r="N5412">
            <v>0</v>
          </cell>
          <cell r="O5412">
            <v>2.5551399999999998E-2</v>
          </cell>
          <cell r="P5412">
            <v>0.30839</v>
          </cell>
          <cell r="Q5412">
            <v>8.5181199999999999E-2</v>
          </cell>
          <cell r="R5412">
            <v>0</v>
          </cell>
          <cell r="S5412">
            <v>0</v>
          </cell>
          <cell r="T5412">
            <v>0</v>
          </cell>
          <cell r="U5412">
            <v>74.077853000000005</v>
          </cell>
          <cell r="V5412">
            <v>0</v>
          </cell>
          <cell r="W5412">
            <v>0</v>
          </cell>
          <cell r="X5412">
            <v>0.27129259999999999</v>
          </cell>
          <cell r="Y5412">
            <v>0</v>
          </cell>
          <cell r="Z5412">
            <v>0</v>
          </cell>
          <cell r="AA5412">
            <v>0</v>
          </cell>
          <cell r="AB5412">
            <v>0</v>
          </cell>
        </row>
        <row r="5413">
          <cell r="A5413">
            <v>75340020</v>
          </cell>
          <cell r="B5413" t="str">
            <v>Vegetable combinations, Asian style, broccoli, green pepper, water chestnut, etc., cooked, fat added in cooking, NS as to type of fat</v>
          </cell>
          <cell r="I5413">
            <v>85</v>
          </cell>
          <cell r="J5413">
            <v>51.444733999999997</v>
          </cell>
          <cell r="K5413">
            <v>0.60523216470588237</v>
          </cell>
          <cell r="L5413">
            <v>2.0499396000000001</v>
          </cell>
          <cell r="M5413">
            <v>0.95316730000000005</v>
          </cell>
          <cell r="N5413">
            <v>0</v>
          </cell>
          <cell r="O5413">
            <v>2.64175E-2</v>
          </cell>
          <cell r="P5413">
            <v>0.26065460000000001</v>
          </cell>
          <cell r="Q5413">
            <v>0.40885460000000001</v>
          </cell>
          <cell r="R5413">
            <v>0</v>
          </cell>
          <cell r="S5413">
            <v>0</v>
          </cell>
          <cell r="T5413">
            <v>0</v>
          </cell>
          <cell r="U5413">
            <v>73.200492999999994</v>
          </cell>
          <cell r="V5413">
            <v>0</v>
          </cell>
          <cell r="W5413">
            <v>0</v>
          </cell>
          <cell r="X5413">
            <v>0.25052039999999998</v>
          </cell>
          <cell r="Y5413">
            <v>0</v>
          </cell>
          <cell r="Z5413">
            <v>0</v>
          </cell>
          <cell r="AA5413">
            <v>0</v>
          </cell>
          <cell r="AB5413">
            <v>8.8143700000000005E-2</v>
          </cell>
        </row>
        <row r="5414">
          <cell r="A5414">
            <v>75340021</v>
          </cell>
          <cell r="B5414" t="str">
            <v>Vegetable combinations, Asian style, broccoli, green pepper, water chestnut, etc., cooked, made with oil</v>
          </cell>
          <cell r="I5414">
            <v>85</v>
          </cell>
          <cell r="J5414">
            <v>56.833007000000002</v>
          </cell>
          <cell r="K5414">
            <v>0.66862361176470586</v>
          </cell>
          <cell r="L5414">
            <v>2.0523916</v>
          </cell>
          <cell r="M5414">
            <v>0.37531789999999998</v>
          </cell>
          <cell r="N5414">
            <v>0</v>
          </cell>
          <cell r="O5414">
            <v>2.5869E-2</v>
          </cell>
          <cell r="P5414">
            <v>0.26096629999999998</v>
          </cell>
          <cell r="Q5414">
            <v>1.1072424000000001</v>
          </cell>
          <cell r="R5414">
            <v>0</v>
          </cell>
          <cell r="S5414">
            <v>0</v>
          </cell>
          <cell r="T5414">
            <v>0</v>
          </cell>
          <cell r="U5414">
            <v>73.288048000000003</v>
          </cell>
          <cell r="V5414">
            <v>0</v>
          </cell>
          <cell r="W5414">
            <v>0</v>
          </cell>
          <cell r="X5414">
            <v>0.2339328</v>
          </cell>
          <cell r="Y5414">
            <v>0</v>
          </cell>
          <cell r="Z5414">
            <v>0</v>
          </cell>
          <cell r="AA5414">
            <v>0</v>
          </cell>
          <cell r="AB5414">
            <v>8.7503000000000008E-3</v>
          </cell>
        </row>
        <row r="5415">
          <cell r="A5415">
            <v>75340160</v>
          </cell>
          <cell r="B5415" t="str">
            <v>Vegetable and pasta combinations with cream or cheese sauce, broccoli, pasta, carrots, corn, zucchini, peppers, cauliflower, peas, etc., cooked</v>
          </cell>
          <cell r="I5415">
            <v>85</v>
          </cell>
          <cell r="J5415">
            <v>82.690335000000005</v>
          </cell>
          <cell r="K5415">
            <v>0.97282747058823538</v>
          </cell>
          <cell r="L5415">
            <v>1.1284727000000001</v>
          </cell>
          <cell r="M5415">
            <v>1.0945309999999999</v>
          </cell>
          <cell r="N5415">
            <v>0</v>
          </cell>
          <cell r="O5415">
            <v>4.2339099999999998E-2</v>
          </cell>
          <cell r="P5415">
            <v>0.632741</v>
          </cell>
          <cell r="Q5415">
            <v>1.0472592000000001</v>
          </cell>
          <cell r="R5415">
            <v>0</v>
          </cell>
          <cell r="S5415">
            <v>0</v>
          </cell>
          <cell r="T5415">
            <v>0</v>
          </cell>
          <cell r="U5415">
            <v>43.705765</v>
          </cell>
          <cell r="V5415">
            <v>0</v>
          </cell>
          <cell r="W5415">
            <v>0</v>
          </cell>
          <cell r="X5415">
            <v>0.31173129999999999</v>
          </cell>
          <cell r="Y5415">
            <v>0</v>
          </cell>
          <cell r="Z5415">
            <v>0</v>
          </cell>
          <cell r="AA5415">
            <v>0</v>
          </cell>
          <cell r="AB5415">
            <v>0.49774810000000003</v>
          </cell>
        </row>
        <row r="5416">
          <cell r="A5416">
            <v>75340200</v>
          </cell>
          <cell r="B5416" t="str">
            <v>Jai, Monk's Food</v>
          </cell>
          <cell r="I5416">
            <v>85</v>
          </cell>
          <cell r="J5416">
            <v>75.640230000000003</v>
          </cell>
          <cell r="K5416">
            <v>0.88988505882352942</v>
          </cell>
          <cell r="L5416">
            <v>1.2775268</v>
          </cell>
          <cell r="M5416">
            <v>0.25876149999999998</v>
          </cell>
          <cell r="N5416">
            <v>0</v>
          </cell>
          <cell r="O5416">
            <v>5.1605699999999997E-2</v>
          </cell>
          <cell r="P5416">
            <v>0.84039830000000004</v>
          </cell>
          <cell r="Q5416">
            <v>0.87357560000000001</v>
          </cell>
          <cell r="R5416">
            <v>0</v>
          </cell>
          <cell r="S5416">
            <v>0</v>
          </cell>
          <cell r="T5416">
            <v>0</v>
          </cell>
          <cell r="U5416">
            <v>17.788347000000002</v>
          </cell>
          <cell r="V5416">
            <v>0</v>
          </cell>
          <cell r="W5416">
            <v>0</v>
          </cell>
          <cell r="X5416">
            <v>1.32365E-2</v>
          </cell>
          <cell r="Y5416">
            <v>0</v>
          </cell>
          <cell r="Z5416">
            <v>0</v>
          </cell>
          <cell r="AA5416">
            <v>0</v>
          </cell>
          <cell r="AB5416">
            <v>0</v>
          </cell>
        </row>
        <row r="5417">
          <cell r="A5417">
            <v>75340300</v>
          </cell>
          <cell r="B5417" t="str">
            <v>Pinacbet</v>
          </cell>
          <cell r="I5417">
            <v>85</v>
          </cell>
          <cell r="J5417">
            <v>34.250343000000001</v>
          </cell>
          <cell r="K5417">
            <v>0.40294521176470588</v>
          </cell>
          <cell r="L5417">
            <v>0.93258209999999997</v>
          </cell>
          <cell r="M5417">
            <v>0.26587519999999998</v>
          </cell>
          <cell r="N5417">
            <v>0</v>
          </cell>
          <cell r="O5417">
            <v>1.10694E-2</v>
          </cell>
          <cell r="P5417">
            <v>0</v>
          </cell>
          <cell r="Q5417">
            <v>0.79389330000000002</v>
          </cell>
          <cell r="R5417">
            <v>0</v>
          </cell>
          <cell r="S5417">
            <v>0</v>
          </cell>
          <cell r="T5417">
            <v>0</v>
          </cell>
          <cell r="U5417">
            <v>64.288858000000005</v>
          </cell>
          <cell r="V5417">
            <v>0</v>
          </cell>
          <cell r="W5417">
            <v>0</v>
          </cell>
          <cell r="X5417">
            <v>0.24084430000000001</v>
          </cell>
          <cell r="Y5417">
            <v>0</v>
          </cell>
          <cell r="Z5417">
            <v>0</v>
          </cell>
          <cell r="AA5417">
            <v>0</v>
          </cell>
          <cell r="AB5417">
            <v>6.4703E-3</v>
          </cell>
        </row>
        <row r="5418">
          <cell r="A5418">
            <v>75365000</v>
          </cell>
          <cell r="B5418" t="str">
            <v>Vegetable mixture, dried</v>
          </cell>
          <cell r="I5418">
            <v>7</v>
          </cell>
          <cell r="J5418">
            <v>4.7378837999999996</v>
          </cell>
          <cell r="K5418">
            <v>0.67684054285714279</v>
          </cell>
          <cell r="L5418">
            <v>0.1342767</v>
          </cell>
          <cell r="M5418">
            <v>1.537E-2</v>
          </cell>
          <cell r="N5418">
            <v>0</v>
          </cell>
          <cell r="O5418">
            <v>3.5601000000000001E-3</v>
          </cell>
          <cell r="P5418">
            <v>0.13142799999999999</v>
          </cell>
          <cell r="Q5418">
            <v>6.0133199999999998E-2</v>
          </cell>
          <cell r="R5418">
            <v>0</v>
          </cell>
          <cell r="S5418">
            <v>0.12948580000000001</v>
          </cell>
          <cell r="T5418">
            <v>0</v>
          </cell>
          <cell r="U5418">
            <v>5.1794302999999999</v>
          </cell>
          <cell r="V5418">
            <v>0</v>
          </cell>
          <cell r="W5418">
            <v>0</v>
          </cell>
          <cell r="X5418">
            <v>4.9922999999999999E-3</v>
          </cell>
          <cell r="Y5418">
            <v>0.12939999999999999</v>
          </cell>
          <cell r="Z5418">
            <v>0</v>
          </cell>
          <cell r="AA5418">
            <v>0</v>
          </cell>
          <cell r="AB5418">
            <v>4.0746000000000003E-3</v>
          </cell>
        </row>
        <row r="5419">
          <cell r="A5419">
            <v>75401011</v>
          </cell>
          <cell r="B5419" t="str">
            <v>Asparagus, from fresh, creamed or with cheese sauce</v>
          </cell>
          <cell r="I5419">
            <v>110</v>
          </cell>
          <cell r="J5419">
            <v>75.682473999999999</v>
          </cell>
          <cell r="K5419">
            <v>0.68802249090909096</v>
          </cell>
          <cell r="L5419">
            <v>1.5080946</v>
          </cell>
          <cell r="M5419">
            <v>1.8977767000000001</v>
          </cell>
          <cell r="N5419">
            <v>0</v>
          </cell>
          <cell r="O5419">
            <v>9.0759000000000006E-2</v>
          </cell>
          <cell r="P5419">
            <v>5.1886000000000002E-2</v>
          </cell>
          <cell r="Q5419">
            <v>0.81589389999999995</v>
          </cell>
          <cell r="R5419">
            <v>0</v>
          </cell>
          <cell r="S5419">
            <v>0</v>
          </cell>
          <cell r="T5419">
            <v>0</v>
          </cell>
          <cell r="U5419">
            <v>75.404729000000003</v>
          </cell>
          <cell r="V5419">
            <v>0</v>
          </cell>
          <cell r="W5419">
            <v>0</v>
          </cell>
          <cell r="X5419">
            <v>0.22096350000000001</v>
          </cell>
          <cell r="Y5419">
            <v>0</v>
          </cell>
          <cell r="Z5419">
            <v>0</v>
          </cell>
          <cell r="AA5419">
            <v>0</v>
          </cell>
          <cell r="AB5419">
            <v>0.25951590000000002</v>
          </cell>
        </row>
        <row r="5420">
          <cell r="A5420">
            <v>75402012</v>
          </cell>
          <cell r="B5420" t="str">
            <v>Beans, lima, immature, from frozen, creamed or with cheese sauce</v>
          </cell>
          <cell r="I5420">
            <v>110</v>
          </cell>
          <cell r="J5420">
            <v>137.68912</v>
          </cell>
          <cell r="K5420">
            <v>1.2517192727272728</v>
          </cell>
          <cell r="L5420">
            <v>0</v>
          </cell>
          <cell r="M5420">
            <v>1.9922911999999999</v>
          </cell>
          <cell r="N5420">
            <v>0</v>
          </cell>
          <cell r="O5420">
            <v>9.8532999999999996E-2</v>
          </cell>
          <cell r="P5420">
            <v>3.9777988999999998</v>
          </cell>
          <cell r="Q5420">
            <v>0.88656349999999995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0.26982119999999998</v>
          </cell>
          <cell r="Y5420">
            <v>0</v>
          </cell>
          <cell r="Z5420">
            <v>0</v>
          </cell>
          <cell r="AA5420">
            <v>0</v>
          </cell>
          <cell r="AB5420">
            <v>0.19977120000000001</v>
          </cell>
        </row>
        <row r="5421">
          <cell r="A5421">
            <v>75403010</v>
          </cell>
          <cell r="B5421" t="str">
            <v>Beans, string, green, NS as to form, creamed or with cheese sauce</v>
          </cell>
          <cell r="I5421">
            <v>110</v>
          </cell>
          <cell r="J5421">
            <v>90.491834999999995</v>
          </cell>
          <cell r="K5421">
            <v>0.82265304545454543</v>
          </cell>
          <cell r="L5421">
            <v>2.0461027999999999</v>
          </cell>
          <cell r="M5421">
            <v>2.2791172999999998</v>
          </cell>
          <cell r="N5421">
            <v>0</v>
          </cell>
          <cell r="O5421">
            <v>0.1173442</v>
          </cell>
          <cell r="P5421">
            <v>6.2687000000000007E-2</v>
          </cell>
          <cell r="Q5421">
            <v>0.94668960000000002</v>
          </cell>
          <cell r="R5421">
            <v>0</v>
          </cell>
          <cell r="S5421">
            <v>0</v>
          </cell>
          <cell r="T5421">
            <v>0</v>
          </cell>
          <cell r="U5421">
            <v>68.203424999999996</v>
          </cell>
          <cell r="V5421">
            <v>0</v>
          </cell>
          <cell r="W5421">
            <v>0</v>
          </cell>
          <cell r="X5421">
            <v>0.25474799999999997</v>
          </cell>
          <cell r="Y5421">
            <v>0</v>
          </cell>
          <cell r="Z5421">
            <v>0</v>
          </cell>
          <cell r="AA5421">
            <v>0</v>
          </cell>
          <cell r="AB5421">
            <v>0.28705219999999998</v>
          </cell>
        </row>
        <row r="5422">
          <cell r="A5422">
            <v>75403011</v>
          </cell>
          <cell r="B5422" t="str">
            <v>Beans, string, green, from fresh, creamed or with cheese sauce</v>
          </cell>
          <cell r="I5422">
            <v>110</v>
          </cell>
          <cell r="J5422">
            <v>97.933987999999999</v>
          </cell>
          <cell r="K5422">
            <v>0.89030898181818185</v>
          </cell>
          <cell r="L5422">
            <v>2.1196340999999999</v>
          </cell>
          <cell r="M5422">
            <v>2.3972093000000001</v>
          </cell>
          <cell r="N5422">
            <v>0</v>
          </cell>
          <cell r="O5422">
            <v>0.1220127</v>
          </cell>
          <cell r="P5422">
            <v>6.5633399999999995E-2</v>
          </cell>
          <cell r="Q5422">
            <v>1.0279617000000001</v>
          </cell>
          <cell r="R5422">
            <v>0</v>
          </cell>
          <cell r="S5422">
            <v>0</v>
          </cell>
          <cell r="T5422">
            <v>0</v>
          </cell>
          <cell r="U5422">
            <v>66.238564999999994</v>
          </cell>
          <cell r="V5422">
            <v>0</v>
          </cell>
          <cell r="W5422">
            <v>0</v>
          </cell>
          <cell r="X5422">
            <v>0.26681739999999998</v>
          </cell>
          <cell r="Y5422">
            <v>0</v>
          </cell>
          <cell r="Z5422">
            <v>0</v>
          </cell>
          <cell r="AA5422">
            <v>0</v>
          </cell>
          <cell r="AB5422">
            <v>0.33074730000000002</v>
          </cell>
        </row>
        <row r="5423">
          <cell r="A5423">
            <v>75403012</v>
          </cell>
          <cell r="B5423" t="str">
            <v>Beans, string, green, from frozen, creamed or with cheese sauce</v>
          </cell>
          <cell r="I5423">
            <v>110</v>
          </cell>
          <cell r="J5423">
            <v>90.424946000000006</v>
          </cell>
          <cell r="K5423">
            <v>0.8220449636363637</v>
          </cell>
          <cell r="L5423">
            <v>2.0474945</v>
          </cell>
          <cell r="M5423">
            <v>2.2766204000000001</v>
          </cell>
          <cell r="N5423">
            <v>0</v>
          </cell>
          <cell r="O5423">
            <v>0.11726449999999999</v>
          </cell>
          <cell r="P5423">
            <v>6.2616900000000003E-2</v>
          </cell>
          <cell r="Q5423">
            <v>0.94573280000000004</v>
          </cell>
          <cell r="R5423">
            <v>0</v>
          </cell>
          <cell r="S5423">
            <v>0</v>
          </cell>
          <cell r="T5423">
            <v>0</v>
          </cell>
          <cell r="U5423">
            <v>68.249816999999993</v>
          </cell>
          <cell r="V5423">
            <v>0</v>
          </cell>
          <cell r="W5423">
            <v>0</v>
          </cell>
          <cell r="X5423">
            <v>0.25460519999999998</v>
          </cell>
          <cell r="Y5423">
            <v>0</v>
          </cell>
          <cell r="Z5423">
            <v>0</v>
          </cell>
          <cell r="AA5423">
            <v>0</v>
          </cell>
          <cell r="AB5423">
            <v>0.3748647</v>
          </cell>
        </row>
        <row r="5424">
          <cell r="A5424">
            <v>75403013</v>
          </cell>
          <cell r="B5424" t="str">
            <v>Beans, string, green, from canned, creamed or with cheese sauce</v>
          </cell>
          <cell r="I5424">
            <v>110</v>
          </cell>
          <cell r="J5424">
            <v>80.936227000000002</v>
          </cell>
          <cell r="K5424">
            <v>0.73578388181818188</v>
          </cell>
          <cell r="L5424">
            <v>1.3565038</v>
          </cell>
          <cell r="M5424">
            <v>2.1437672000000001</v>
          </cell>
          <cell r="N5424">
            <v>0</v>
          </cell>
          <cell r="O5424">
            <v>0.10834199999999999</v>
          </cell>
          <cell r="P5424">
            <v>5.7900399999999998E-2</v>
          </cell>
          <cell r="Q5424">
            <v>0.97275909999999999</v>
          </cell>
          <cell r="R5424">
            <v>0</v>
          </cell>
          <cell r="S5424">
            <v>0</v>
          </cell>
          <cell r="T5424">
            <v>0</v>
          </cell>
          <cell r="U5424">
            <v>71.394936999999999</v>
          </cell>
          <cell r="V5424">
            <v>0</v>
          </cell>
          <cell r="W5424">
            <v>0</v>
          </cell>
          <cell r="X5424">
            <v>0.42600440000000001</v>
          </cell>
          <cell r="Y5424">
            <v>0</v>
          </cell>
          <cell r="Z5424">
            <v>0</v>
          </cell>
          <cell r="AA5424">
            <v>0</v>
          </cell>
          <cell r="AB5424">
            <v>0.31424400000000002</v>
          </cell>
        </row>
        <row r="5425">
          <cell r="A5425">
            <v>75403020</v>
          </cell>
          <cell r="B5425" t="str">
            <v>Beans, string, green, cooked, NS as to form, with mushroom sauce</v>
          </cell>
          <cell r="I5425">
            <v>110</v>
          </cell>
          <cell r="J5425">
            <v>52.612506000000003</v>
          </cell>
          <cell r="K5425">
            <v>0.47829550909090912</v>
          </cell>
          <cell r="L5425">
            <v>1.8762074</v>
          </cell>
          <cell r="M5425">
            <v>0.54722930000000003</v>
          </cell>
          <cell r="N5425">
            <v>0</v>
          </cell>
          <cell r="O5425">
            <v>4.5406500000000002E-2</v>
          </cell>
          <cell r="P5425">
            <v>0.16707179999999999</v>
          </cell>
          <cell r="Q5425">
            <v>1.1327756</v>
          </cell>
          <cell r="R5425">
            <v>0</v>
          </cell>
          <cell r="S5425">
            <v>0</v>
          </cell>
          <cell r="T5425">
            <v>0</v>
          </cell>
          <cell r="U5425">
            <v>66.732648999999995</v>
          </cell>
          <cell r="V5425">
            <v>0</v>
          </cell>
          <cell r="W5425">
            <v>0</v>
          </cell>
          <cell r="X5425">
            <v>0.32972210000000002</v>
          </cell>
          <cell r="Y5425">
            <v>0</v>
          </cell>
          <cell r="Z5425">
            <v>0</v>
          </cell>
          <cell r="AA5425">
            <v>0</v>
          </cell>
          <cell r="AB5425">
            <v>0.20557439999999999</v>
          </cell>
        </row>
        <row r="5426">
          <cell r="A5426">
            <v>75403023</v>
          </cell>
          <cell r="B5426" t="str">
            <v>Beans, string, green, cooked, from canned, with mushroom sauce</v>
          </cell>
          <cell r="I5426">
            <v>110</v>
          </cell>
          <cell r="J5426">
            <v>46.585152000000001</v>
          </cell>
          <cell r="K5426">
            <v>0.42350138181818181</v>
          </cell>
          <cell r="L5426">
            <v>1.2808999999999999</v>
          </cell>
          <cell r="M5426">
            <v>0.53460719999999995</v>
          </cell>
          <cell r="N5426">
            <v>0</v>
          </cell>
          <cell r="O5426">
            <v>4.2354299999999998E-2</v>
          </cell>
          <cell r="P5426">
            <v>0.1551872</v>
          </cell>
          <cell r="Q5426">
            <v>1.1416550000000001</v>
          </cell>
          <cell r="R5426">
            <v>0</v>
          </cell>
          <cell r="S5426">
            <v>0</v>
          </cell>
          <cell r="T5426">
            <v>0</v>
          </cell>
          <cell r="U5426">
            <v>69.656948</v>
          </cell>
          <cell r="V5426">
            <v>0</v>
          </cell>
          <cell r="W5426">
            <v>0</v>
          </cell>
          <cell r="X5426">
            <v>0.47547689999999998</v>
          </cell>
          <cell r="Y5426">
            <v>0</v>
          </cell>
          <cell r="Z5426">
            <v>0</v>
          </cell>
          <cell r="AA5426">
            <v>0</v>
          </cell>
          <cell r="AB5426">
            <v>0.1790678</v>
          </cell>
        </row>
        <row r="5427">
          <cell r="A5427">
            <v>75403200</v>
          </cell>
          <cell r="B5427" t="str">
            <v>Beans, string, green, cooked, Szechuan-style</v>
          </cell>
          <cell r="I5427">
            <v>110</v>
          </cell>
          <cell r="J5427">
            <v>94.079922999999994</v>
          </cell>
          <cell r="K5427">
            <v>0.85527202727272722</v>
          </cell>
          <cell r="L5427">
            <v>2.5697239999999999</v>
          </cell>
          <cell r="M5427">
            <v>0.92042000000000002</v>
          </cell>
          <cell r="N5427">
            <v>0</v>
          </cell>
          <cell r="O5427">
            <v>4.4851599999999998E-2</v>
          </cell>
          <cell r="P5427">
            <v>0.16395460000000001</v>
          </cell>
          <cell r="Q5427">
            <v>2.7371476000000001</v>
          </cell>
          <cell r="R5427">
            <v>0</v>
          </cell>
          <cell r="S5427">
            <v>0</v>
          </cell>
          <cell r="T5427">
            <v>0</v>
          </cell>
          <cell r="U5427">
            <v>96.365600999999998</v>
          </cell>
          <cell r="V5427">
            <v>0</v>
          </cell>
          <cell r="W5427">
            <v>0</v>
          </cell>
          <cell r="X5427">
            <v>0.2294253</v>
          </cell>
          <cell r="Y5427">
            <v>0.50758259999999999</v>
          </cell>
          <cell r="Z5427">
            <v>0</v>
          </cell>
          <cell r="AA5427">
            <v>0</v>
          </cell>
          <cell r="AB5427">
            <v>2.14547E-2</v>
          </cell>
        </row>
        <row r="5428">
          <cell r="A5428">
            <v>75406011</v>
          </cell>
          <cell r="B5428" t="str">
            <v>Brussels sprouts, from fresh, creamed</v>
          </cell>
          <cell r="I5428">
            <v>110</v>
          </cell>
          <cell r="J5428">
            <v>93.781450000000007</v>
          </cell>
          <cell r="K5428">
            <v>0.85255863636363638</v>
          </cell>
          <cell r="L5428">
            <v>1.5855011000000001</v>
          </cell>
          <cell r="M5428">
            <v>1.4567456000000001</v>
          </cell>
          <cell r="N5428">
            <v>0</v>
          </cell>
          <cell r="O5428">
            <v>7.9648800000000006E-2</v>
          </cell>
          <cell r="P5428">
            <v>9.7725699999999999E-2</v>
          </cell>
          <cell r="Q5428">
            <v>1.5539552000000001</v>
          </cell>
          <cell r="R5428">
            <v>0</v>
          </cell>
          <cell r="S5428">
            <v>0</v>
          </cell>
          <cell r="T5428">
            <v>0</v>
          </cell>
          <cell r="U5428">
            <v>60.980809999999998</v>
          </cell>
          <cell r="V5428">
            <v>0</v>
          </cell>
          <cell r="W5428">
            <v>0</v>
          </cell>
          <cell r="X5428">
            <v>0.24638280000000001</v>
          </cell>
          <cell r="Y5428">
            <v>0</v>
          </cell>
          <cell r="Z5428">
            <v>0</v>
          </cell>
          <cell r="AA5428">
            <v>0</v>
          </cell>
          <cell r="AB5428">
            <v>0.34479460000000001</v>
          </cell>
        </row>
        <row r="5429">
          <cell r="A5429">
            <v>75407010</v>
          </cell>
          <cell r="B5429" t="str">
            <v>Cabbage, creamed</v>
          </cell>
          <cell r="I5429">
            <v>110</v>
          </cell>
          <cell r="J5429">
            <v>86.983695999999995</v>
          </cell>
          <cell r="K5429">
            <v>0.79076087272727269</v>
          </cell>
          <cell r="L5429">
            <v>1.1358695999999999</v>
          </cell>
          <cell r="M5429">
            <v>1.4218297</v>
          </cell>
          <cell r="N5429">
            <v>0</v>
          </cell>
          <cell r="O5429">
            <v>8.7577500000000003E-2</v>
          </cell>
          <cell r="P5429">
            <v>9.9637699999999996E-2</v>
          </cell>
          <cell r="Q5429">
            <v>1.4395652000000001</v>
          </cell>
          <cell r="R5429">
            <v>0</v>
          </cell>
          <cell r="S5429">
            <v>0</v>
          </cell>
          <cell r="T5429">
            <v>0</v>
          </cell>
          <cell r="U5429">
            <v>59.782609000000001</v>
          </cell>
          <cell r="V5429">
            <v>0</v>
          </cell>
          <cell r="W5429">
            <v>0</v>
          </cell>
          <cell r="X5429">
            <v>0.33561160000000001</v>
          </cell>
          <cell r="Y5429">
            <v>0</v>
          </cell>
          <cell r="Z5429">
            <v>0</v>
          </cell>
          <cell r="AA5429">
            <v>0</v>
          </cell>
          <cell r="AB5429">
            <v>0.34860940000000001</v>
          </cell>
        </row>
        <row r="5430">
          <cell r="A5430">
            <v>75409010</v>
          </cell>
          <cell r="B5430" t="str">
            <v>Cauliflower, NS as to form, creamed</v>
          </cell>
          <cell r="I5430">
            <v>110</v>
          </cell>
          <cell r="J5430">
            <v>78.501964999999998</v>
          </cell>
          <cell r="K5430">
            <v>0.7136542272727272</v>
          </cell>
          <cell r="L5430">
            <v>1.7504911999999999</v>
          </cell>
          <cell r="M5430">
            <v>1.3069974</v>
          </cell>
          <cell r="N5430">
            <v>0</v>
          </cell>
          <cell r="O5430">
            <v>6.4183199999999996E-2</v>
          </cell>
          <cell r="P5430">
            <v>9.0045799999999995E-2</v>
          </cell>
          <cell r="Q5430">
            <v>1.3566305999999999</v>
          </cell>
          <cell r="R5430">
            <v>0</v>
          </cell>
          <cell r="S5430">
            <v>0</v>
          </cell>
          <cell r="T5430">
            <v>0</v>
          </cell>
          <cell r="U5430">
            <v>64.833005999999997</v>
          </cell>
          <cell r="V5430">
            <v>0</v>
          </cell>
          <cell r="W5430">
            <v>0</v>
          </cell>
          <cell r="X5430">
            <v>0.22689100000000001</v>
          </cell>
          <cell r="Y5430">
            <v>0</v>
          </cell>
          <cell r="Z5430">
            <v>0</v>
          </cell>
          <cell r="AA5430">
            <v>0</v>
          </cell>
          <cell r="AB5430">
            <v>0.362292</v>
          </cell>
        </row>
        <row r="5431">
          <cell r="A5431">
            <v>75409011</v>
          </cell>
          <cell r="B5431" t="str">
            <v>Cauliflower, from fresh, creamed</v>
          </cell>
          <cell r="I5431">
            <v>110</v>
          </cell>
          <cell r="J5431">
            <v>93.623496000000003</v>
          </cell>
          <cell r="K5431">
            <v>0.85112269090909098</v>
          </cell>
          <cell r="L5431">
            <v>1.2578990000000001</v>
          </cell>
          <cell r="M5431">
            <v>1.6117602</v>
          </cell>
          <cell r="N5431">
            <v>0</v>
          </cell>
          <cell r="O5431">
            <v>7.3849100000000001E-2</v>
          </cell>
          <cell r="P5431">
            <v>0.1102646</v>
          </cell>
          <cell r="Q5431">
            <v>1.6965669999999999</v>
          </cell>
          <cell r="R5431">
            <v>0</v>
          </cell>
          <cell r="S5431">
            <v>0</v>
          </cell>
          <cell r="T5431">
            <v>0</v>
          </cell>
          <cell r="U5431">
            <v>54.691259000000002</v>
          </cell>
          <cell r="V5431">
            <v>0</v>
          </cell>
          <cell r="W5431">
            <v>0</v>
          </cell>
          <cell r="X5431">
            <v>0.2717503</v>
          </cell>
          <cell r="Y5431">
            <v>0</v>
          </cell>
          <cell r="Z5431">
            <v>0</v>
          </cell>
          <cell r="AA5431">
            <v>0</v>
          </cell>
          <cell r="AB5431">
            <v>0.37564419999999998</v>
          </cell>
        </row>
        <row r="5432">
          <cell r="A5432">
            <v>75409020</v>
          </cell>
          <cell r="B5432" t="str">
            <v>Cauliflower, batter-dipped, fried</v>
          </cell>
          <cell r="I5432">
            <v>85</v>
          </cell>
          <cell r="J5432">
            <v>146.87491</v>
          </cell>
          <cell r="K5432">
            <v>1.7279401176470588</v>
          </cell>
          <cell r="L5432">
            <v>0.81102399999999997</v>
          </cell>
          <cell r="M5432">
            <v>2.3290676000000001</v>
          </cell>
          <cell r="N5432">
            <v>0</v>
          </cell>
          <cell r="O5432">
            <v>3.03603E-2</v>
          </cell>
          <cell r="P5432">
            <v>0.27372059999999998</v>
          </cell>
          <cell r="Q5432">
            <v>3.6595135999999999</v>
          </cell>
          <cell r="R5432">
            <v>0</v>
          </cell>
          <cell r="S5432">
            <v>0</v>
          </cell>
          <cell r="T5432">
            <v>0</v>
          </cell>
          <cell r="U5432">
            <v>40.551200000000001</v>
          </cell>
          <cell r="V5432">
            <v>0</v>
          </cell>
          <cell r="W5432">
            <v>0</v>
          </cell>
          <cell r="X5432">
            <v>0.12940579999999999</v>
          </cell>
          <cell r="Y5432">
            <v>0</v>
          </cell>
          <cell r="Z5432">
            <v>0</v>
          </cell>
          <cell r="AA5432">
            <v>0</v>
          </cell>
          <cell r="AB5432">
            <v>1.3726839</v>
          </cell>
        </row>
        <row r="5433">
          <cell r="A5433">
            <v>75410500</v>
          </cell>
          <cell r="B5433" t="str">
            <v>Chiles rellenos, cheese-filled</v>
          </cell>
          <cell r="I5433">
            <v>176</v>
          </cell>
          <cell r="J5433">
            <v>307.93806999999998</v>
          </cell>
          <cell r="K5433">
            <v>1.749648125</v>
          </cell>
          <cell r="L5433">
            <v>1.4468932000000001</v>
          </cell>
          <cell r="M5433">
            <v>9.7285111999999998</v>
          </cell>
          <cell r="N5433">
            <v>0</v>
          </cell>
          <cell r="O5433">
            <v>0.32158300000000001</v>
          </cell>
          <cell r="P5433">
            <v>0.14581279999999999</v>
          </cell>
          <cell r="Q5433">
            <v>4.5609285000000002</v>
          </cell>
          <cell r="R5433">
            <v>0</v>
          </cell>
          <cell r="S5433">
            <v>0</v>
          </cell>
          <cell r="T5433">
            <v>0</v>
          </cell>
          <cell r="U5433">
            <v>88.594701999999998</v>
          </cell>
          <cell r="V5433">
            <v>0</v>
          </cell>
          <cell r="W5433">
            <v>0</v>
          </cell>
          <cell r="X5433">
            <v>0.4256741</v>
          </cell>
          <cell r="Y5433">
            <v>0</v>
          </cell>
          <cell r="Z5433">
            <v>0</v>
          </cell>
          <cell r="AA5433">
            <v>0</v>
          </cell>
          <cell r="AB5433">
            <v>0.75338890000000003</v>
          </cell>
        </row>
        <row r="5434">
          <cell r="A5434">
            <v>75410530</v>
          </cell>
          <cell r="B5434" t="str">
            <v>Chiles rellenos, filled with meat and cheese</v>
          </cell>
          <cell r="I5434">
            <v>176</v>
          </cell>
          <cell r="J5434">
            <v>288.42876000000001</v>
          </cell>
          <cell r="K5434">
            <v>1.6387997727272727</v>
          </cell>
          <cell r="L5434">
            <v>1.577051</v>
          </cell>
          <cell r="M5434">
            <v>7.1268905</v>
          </cell>
          <cell r="N5434">
            <v>0</v>
          </cell>
          <cell r="O5434">
            <v>0.17842730000000001</v>
          </cell>
          <cell r="P5434">
            <v>0.1752232</v>
          </cell>
          <cell r="Q5434">
            <v>4.4402271999999998</v>
          </cell>
          <cell r="R5434">
            <v>0</v>
          </cell>
          <cell r="S5434">
            <v>0</v>
          </cell>
          <cell r="T5434">
            <v>0</v>
          </cell>
          <cell r="U5434">
            <v>89.358851999999999</v>
          </cell>
          <cell r="V5434">
            <v>0</v>
          </cell>
          <cell r="W5434">
            <v>0</v>
          </cell>
          <cell r="X5434">
            <v>0.50765400000000005</v>
          </cell>
          <cell r="Y5434">
            <v>0</v>
          </cell>
          <cell r="Z5434">
            <v>18.517244000000002</v>
          </cell>
          <cell r="AA5434">
            <v>0</v>
          </cell>
          <cell r="AB5434">
            <v>0.50941890000000001</v>
          </cell>
        </row>
        <row r="5435">
          <cell r="A5435">
            <v>75410550</v>
          </cell>
          <cell r="B5435" t="str">
            <v>Jalapeno pepper, stuffed with cheese, breaded or battered, fried</v>
          </cell>
          <cell r="I5435">
            <v>110</v>
          </cell>
          <cell r="J5435">
            <v>211.21101999999999</v>
          </cell>
          <cell r="K5435">
            <v>1.9201001818181818</v>
          </cell>
          <cell r="L5435">
            <v>1.2645124000000001</v>
          </cell>
          <cell r="M5435">
            <v>5.1586296000000003</v>
          </cell>
          <cell r="N5435">
            <v>0</v>
          </cell>
          <cell r="O5435">
            <v>0.1092214</v>
          </cell>
          <cell r="P5435">
            <v>0.97552280000000002</v>
          </cell>
          <cell r="Q5435">
            <v>2.9182925000000002</v>
          </cell>
          <cell r="R5435">
            <v>0</v>
          </cell>
          <cell r="S5435">
            <v>0</v>
          </cell>
          <cell r="T5435">
            <v>0</v>
          </cell>
          <cell r="U5435">
            <v>45.600225999999999</v>
          </cell>
          <cell r="V5435">
            <v>0</v>
          </cell>
          <cell r="W5435">
            <v>0</v>
          </cell>
          <cell r="X5435">
            <v>0.39090809999999998</v>
          </cell>
          <cell r="Y5435">
            <v>0</v>
          </cell>
          <cell r="Z5435">
            <v>0</v>
          </cell>
          <cell r="AA5435">
            <v>0</v>
          </cell>
          <cell r="AB5435">
            <v>0.78446579999999999</v>
          </cell>
        </row>
        <row r="5436">
          <cell r="A5436">
            <v>75411010</v>
          </cell>
          <cell r="B5436" t="str">
            <v>Corn, scalloped or pudding</v>
          </cell>
          <cell r="I5436">
            <v>85</v>
          </cell>
          <cell r="J5436">
            <v>91.671892</v>
          </cell>
          <cell r="K5436">
            <v>1.0784928470588235</v>
          </cell>
          <cell r="L5436">
            <v>0</v>
          </cell>
          <cell r="M5436">
            <v>1.0605830000000001</v>
          </cell>
          <cell r="N5436">
            <v>0</v>
          </cell>
          <cell r="O5436">
            <v>3.3496199999999997E-2</v>
          </cell>
          <cell r="P5436">
            <v>1.0150574999999999</v>
          </cell>
          <cell r="Q5436">
            <v>1.0108992999999999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0.2408843</v>
          </cell>
          <cell r="Y5436">
            <v>0</v>
          </cell>
          <cell r="Z5436">
            <v>0</v>
          </cell>
          <cell r="AA5436">
            <v>0</v>
          </cell>
          <cell r="AB5436">
            <v>0.3628517</v>
          </cell>
        </row>
        <row r="5437">
          <cell r="A5437">
            <v>75411020</v>
          </cell>
          <cell r="B5437" t="str">
            <v>Corn fritter</v>
          </cell>
          <cell r="I5437">
            <v>85</v>
          </cell>
          <cell r="J5437">
            <v>217.63592</v>
          </cell>
          <cell r="K5437">
            <v>2.5604225882352942</v>
          </cell>
          <cell r="L5437">
            <v>0</v>
          </cell>
          <cell r="M5437">
            <v>3.2045599999999999</v>
          </cell>
          <cell r="N5437">
            <v>0</v>
          </cell>
          <cell r="O5437">
            <v>7.2163099999999994E-2</v>
          </cell>
          <cell r="P5437">
            <v>1.2164866000000001</v>
          </cell>
          <cell r="Q5437">
            <v>3.4732772999999999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0.27851589999999998</v>
          </cell>
          <cell r="Y5437">
            <v>0</v>
          </cell>
          <cell r="Z5437">
            <v>0</v>
          </cell>
          <cell r="AA5437">
            <v>0</v>
          </cell>
          <cell r="AB5437">
            <v>1.4453391</v>
          </cell>
        </row>
        <row r="5438">
          <cell r="A5438">
            <v>75411030</v>
          </cell>
          <cell r="B5438" t="str">
            <v>Corn, cooked, NS as to form, with cream sauce, made with milk</v>
          </cell>
          <cell r="I5438">
            <v>130</v>
          </cell>
          <cell r="J5438">
            <v>142.21388999999999</v>
          </cell>
          <cell r="K5438">
            <v>1.093953</v>
          </cell>
          <cell r="L5438">
            <v>0</v>
          </cell>
          <cell r="M5438">
            <v>1.6784195</v>
          </cell>
          <cell r="N5438">
            <v>0</v>
          </cell>
          <cell r="O5438">
            <v>6.8511000000000002E-2</v>
          </cell>
          <cell r="P5438">
            <v>1.8803732</v>
          </cell>
          <cell r="Q5438">
            <v>1.8413013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0.26915119999999998</v>
          </cell>
          <cell r="Y5438">
            <v>0</v>
          </cell>
          <cell r="Z5438">
            <v>0</v>
          </cell>
          <cell r="AA5438">
            <v>0</v>
          </cell>
          <cell r="AB5438">
            <v>0.47020679999999998</v>
          </cell>
        </row>
        <row r="5439">
          <cell r="A5439">
            <v>75412010</v>
          </cell>
          <cell r="B5439" t="str">
            <v>Eggplant, batter-dipped, fried</v>
          </cell>
          <cell r="I5439">
            <v>85</v>
          </cell>
          <cell r="J5439">
            <v>102.86964999999999</v>
          </cell>
          <cell r="K5439">
            <v>1.2102311764705882</v>
          </cell>
          <cell r="L5439">
            <v>1.775766</v>
          </cell>
          <cell r="M5439">
            <v>1.3193028</v>
          </cell>
          <cell r="N5439">
            <v>0</v>
          </cell>
          <cell r="O5439">
            <v>2.10482E-2</v>
          </cell>
          <cell r="P5439">
            <v>0.15366299999999999</v>
          </cell>
          <cell r="Q5439">
            <v>2.6764624000000001</v>
          </cell>
          <cell r="R5439">
            <v>0</v>
          </cell>
          <cell r="S5439">
            <v>0</v>
          </cell>
          <cell r="T5439">
            <v>0</v>
          </cell>
          <cell r="U5439">
            <v>59.192200999999997</v>
          </cell>
          <cell r="V5439">
            <v>0</v>
          </cell>
          <cell r="W5439">
            <v>0</v>
          </cell>
          <cell r="X5439">
            <v>4.2779400000000002E-2</v>
          </cell>
          <cell r="Y5439">
            <v>0</v>
          </cell>
          <cell r="Z5439">
            <v>0</v>
          </cell>
          <cell r="AA5439">
            <v>0</v>
          </cell>
          <cell r="AB5439">
            <v>0.86910200000000004</v>
          </cell>
        </row>
        <row r="5440">
          <cell r="A5440">
            <v>75412030</v>
          </cell>
          <cell r="B5440" t="str">
            <v>Eggplant dip</v>
          </cell>
          <cell r="I5440">
            <v>58.25</v>
          </cell>
          <cell r="J5440">
            <v>97.031726000000006</v>
          </cell>
          <cell r="K5440">
            <v>1.6657807038626611</v>
          </cell>
          <cell r="L5440">
            <v>0.99337560000000003</v>
          </cell>
          <cell r="M5440">
            <v>1.0800466</v>
          </cell>
          <cell r="N5440">
            <v>0</v>
          </cell>
          <cell r="O5440">
            <v>5.5169900000000001E-2</v>
          </cell>
          <cell r="P5440">
            <v>1.0970306999999999</v>
          </cell>
          <cell r="Q5440">
            <v>2.9244845000000002</v>
          </cell>
          <cell r="R5440">
            <v>0</v>
          </cell>
          <cell r="S5440">
            <v>0</v>
          </cell>
          <cell r="T5440">
            <v>6.0229309999999998</v>
          </cell>
          <cell r="U5440">
            <v>38.915906</v>
          </cell>
          <cell r="V5440">
            <v>0</v>
          </cell>
          <cell r="W5440">
            <v>0</v>
          </cell>
          <cell r="X5440">
            <v>0.1273909</v>
          </cell>
          <cell r="Y5440">
            <v>10.327627</v>
          </cell>
          <cell r="Z5440">
            <v>0</v>
          </cell>
          <cell r="AA5440">
            <v>0</v>
          </cell>
          <cell r="AB5440">
            <v>4.9116399999999998E-2</v>
          </cell>
        </row>
        <row r="5441">
          <cell r="A5441">
            <v>75412060</v>
          </cell>
          <cell r="B5441" t="str">
            <v>Eggplant parmesan casserole, regular</v>
          </cell>
          <cell r="I5441">
            <v>198</v>
          </cell>
          <cell r="J5441">
            <v>278.70706999999999</v>
          </cell>
          <cell r="K5441">
            <v>1.4076114646464646</v>
          </cell>
          <cell r="L5441">
            <v>3.0637894999999999</v>
          </cell>
          <cell r="M5441">
            <v>7.3532390999999997</v>
          </cell>
          <cell r="N5441">
            <v>0</v>
          </cell>
          <cell r="O5441">
            <v>0.28015200000000001</v>
          </cell>
          <cell r="P5441">
            <v>0.20501050000000001</v>
          </cell>
          <cell r="Q5441">
            <v>4.1132046000000004</v>
          </cell>
          <cell r="R5441">
            <v>0</v>
          </cell>
          <cell r="S5441">
            <v>0</v>
          </cell>
          <cell r="T5441">
            <v>0</v>
          </cell>
          <cell r="U5441">
            <v>125.81053</v>
          </cell>
          <cell r="V5441">
            <v>0</v>
          </cell>
          <cell r="W5441">
            <v>0</v>
          </cell>
          <cell r="X5441">
            <v>0.62710860000000002</v>
          </cell>
          <cell r="Y5441">
            <v>0</v>
          </cell>
          <cell r="Z5441">
            <v>0</v>
          </cell>
          <cell r="AA5441">
            <v>0</v>
          </cell>
          <cell r="AB5441">
            <v>0.36943710000000002</v>
          </cell>
        </row>
        <row r="5442">
          <cell r="A5442">
            <v>75414010</v>
          </cell>
          <cell r="B5442" t="str">
            <v>Mushrooms, NS as to form, creamed</v>
          </cell>
          <cell r="I5442">
            <v>110</v>
          </cell>
          <cell r="J5442">
            <v>87.073560999999998</v>
          </cell>
          <cell r="K5442">
            <v>0.7915778272727273</v>
          </cell>
          <cell r="L5442">
            <v>1.4635393999999999</v>
          </cell>
          <cell r="M5442">
            <v>1.4177177999999999</v>
          </cell>
          <cell r="N5442">
            <v>0</v>
          </cell>
          <cell r="O5442">
            <v>6.4403600000000005E-2</v>
          </cell>
          <cell r="P5442">
            <v>9.7725699999999999E-2</v>
          </cell>
          <cell r="Q5442">
            <v>1.4673624999999999</v>
          </cell>
          <cell r="R5442">
            <v>0</v>
          </cell>
          <cell r="S5442">
            <v>0</v>
          </cell>
          <cell r="T5442">
            <v>0</v>
          </cell>
          <cell r="U5442">
            <v>60.980809999999998</v>
          </cell>
          <cell r="V5442">
            <v>0</v>
          </cell>
          <cell r="W5442">
            <v>0</v>
          </cell>
          <cell r="X5442">
            <v>0.4927453</v>
          </cell>
          <cell r="Y5442">
            <v>0</v>
          </cell>
          <cell r="Z5442">
            <v>0</v>
          </cell>
          <cell r="AA5442">
            <v>0</v>
          </cell>
          <cell r="AB5442">
            <v>0.35800490000000001</v>
          </cell>
        </row>
        <row r="5443">
          <cell r="A5443">
            <v>75414011</v>
          </cell>
          <cell r="B5443" t="str">
            <v>Mushrooms, from fresh, creamed</v>
          </cell>
          <cell r="I5443">
            <v>110</v>
          </cell>
          <cell r="J5443">
            <v>88.902985000000001</v>
          </cell>
          <cell r="K5443">
            <v>0.80820895454545461</v>
          </cell>
          <cell r="L5443">
            <v>1.3415778</v>
          </cell>
          <cell r="M5443">
            <v>1.4317434</v>
          </cell>
          <cell r="N5443">
            <v>0</v>
          </cell>
          <cell r="O5443">
            <v>6.1354499999999999E-2</v>
          </cell>
          <cell r="P5443">
            <v>9.7725699999999999E-2</v>
          </cell>
          <cell r="Q5443">
            <v>1.510049</v>
          </cell>
          <cell r="R5443">
            <v>0</v>
          </cell>
          <cell r="S5443">
            <v>0</v>
          </cell>
          <cell r="T5443">
            <v>0</v>
          </cell>
          <cell r="U5443">
            <v>60.980809999999998</v>
          </cell>
          <cell r="V5443">
            <v>0</v>
          </cell>
          <cell r="W5443">
            <v>0</v>
          </cell>
          <cell r="X5443">
            <v>0.23479639999999999</v>
          </cell>
          <cell r="Y5443">
            <v>0</v>
          </cell>
          <cell r="Z5443">
            <v>0</v>
          </cell>
          <cell r="AA5443">
            <v>0</v>
          </cell>
          <cell r="AB5443">
            <v>0.36793609999999999</v>
          </cell>
        </row>
        <row r="5444">
          <cell r="A5444">
            <v>75414013</v>
          </cell>
          <cell r="B5444" t="str">
            <v>Mushrooms, from canned, creamed</v>
          </cell>
          <cell r="I5444">
            <v>110</v>
          </cell>
          <cell r="J5444">
            <v>87.197508999999997</v>
          </cell>
          <cell r="K5444">
            <v>0.79270462727272728</v>
          </cell>
          <cell r="L5444">
            <v>1.4656228</v>
          </cell>
          <cell r="M5444">
            <v>1.4197359000000001</v>
          </cell>
          <cell r="N5444">
            <v>0</v>
          </cell>
          <cell r="O5444">
            <v>6.4457700000000007E-2</v>
          </cell>
          <cell r="P5444">
            <v>9.7864800000000002E-2</v>
          </cell>
          <cell r="Q5444">
            <v>1.4694512</v>
          </cell>
          <cell r="R5444">
            <v>0</v>
          </cell>
          <cell r="S5444">
            <v>0</v>
          </cell>
          <cell r="T5444">
            <v>0</v>
          </cell>
          <cell r="U5444">
            <v>61.067616000000001</v>
          </cell>
          <cell r="V5444">
            <v>0</v>
          </cell>
          <cell r="W5444">
            <v>0</v>
          </cell>
          <cell r="X5444">
            <v>0.43275799999999998</v>
          </cell>
          <cell r="Y5444">
            <v>0</v>
          </cell>
          <cell r="Z5444">
            <v>0</v>
          </cell>
          <cell r="AA5444">
            <v>0</v>
          </cell>
          <cell r="AB5444">
            <v>0.35822730000000003</v>
          </cell>
        </row>
        <row r="5445">
          <cell r="A5445">
            <v>75414020</v>
          </cell>
          <cell r="B5445" t="str">
            <v>Mushrooms, stuffed</v>
          </cell>
          <cell r="I5445">
            <v>85</v>
          </cell>
          <cell r="J5445">
            <v>154.96314000000001</v>
          </cell>
          <cell r="K5445">
            <v>1.8230957647058825</v>
          </cell>
          <cell r="L5445">
            <v>0.53062350000000003</v>
          </cell>
          <cell r="M5445">
            <v>2.2497042</v>
          </cell>
          <cell r="N5445">
            <v>0</v>
          </cell>
          <cell r="O5445">
            <v>7.8564400000000006E-2</v>
          </cell>
          <cell r="P5445">
            <v>0.76124080000000005</v>
          </cell>
          <cell r="Q5445">
            <v>2.1171122000000002</v>
          </cell>
          <cell r="R5445">
            <v>0</v>
          </cell>
          <cell r="S5445">
            <v>0</v>
          </cell>
          <cell r="T5445">
            <v>3.2371007000000001</v>
          </cell>
          <cell r="U5445">
            <v>49.924447000000001</v>
          </cell>
          <cell r="V5445">
            <v>0</v>
          </cell>
          <cell r="W5445">
            <v>0</v>
          </cell>
          <cell r="X5445">
            <v>0.35520380000000001</v>
          </cell>
          <cell r="Y5445">
            <v>0</v>
          </cell>
          <cell r="Z5445">
            <v>0</v>
          </cell>
          <cell r="AA5445">
            <v>2.8908119000000001</v>
          </cell>
          <cell r="AB5445">
            <v>0.92705970000000004</v>
          </cell>
        </row>
        <row r="5446">
          <cell r="A5446">
            <v>75414030</v>
          </cell>
          <cell r="B5446" t="str">
            <v>Mushrooms, batter-dipped, fried</v>
          </cell>
          <cell r="I5446">
            <v>85</v>
          </cell>
          <cell r="J5446">
            <v>103.49916</v>
          </cell>
          <cell r="K5446">
            <v>1.2176371764705882</v>
          </cell>
          <cell r="L5446">
            <v>0.34553810000000001</v>
          </cell>
          <cell r="M5446">
            <v>0.8874438</v>
          </cell>
          <cell r="N5446">
            <v>0</v>
          </cell>
          <cell r="O5446">
            <v>5.9645999999999996E-3</v>
          </cell>
          <cell r="P5446">
            <v>0.4081668</v>
          </cell>
          <cell r="Q5446">
            <v>1.6683294</v>
          </cell>
          <cell r="R5446">
            <v>0</v>
          </cell>
          <cell r="S5446">
            <v>0</v>
          </cell>
          <cell r="T5446">
            <v>0</v>
          </cell>
          <cell r="U5446">
            <v>34.553804999999997</v>
          </cell>
          <cell r="V5446">
            <v>0</v>
          </cell>
          <cell r="W5446">
            <v>0</v>
          </cell>
          <cell r="X5446">
            <v>0.20464769999999999</v>
          </cell>
          <cell r="Y5446">
            <v>0</v>
          </cell>
          <cell r="Z5446">
            <v>0</v>
          </cell>
          <cell r="AA5446">
            <v>0</v>
          </cell>
          <cell r="AB5446">
            <v>0.57226160000000004</v>
          </cell>
        </row>
        <row r="5447">
          <cell r="A5447">
            <v>75414500</v>
          </cell>
          <cell r="B5447" t="str">
            <v>Okra, batter-dipped, fried</v>
          </cell>
          <cell r="I5447">
            <v>85</v>
          </cell>
          <cell r="J5447">
            <v>156.66209000000001</v>
          </cell>
          <cell r="K5447">
            <v>1.8430834117647059</v>
          </cell>
          <cell r="L5447">
            <v>1.4988520000000001</v>
          </cell>
          <cell r="M5447">
            <v>1.3597554999999999</v>
          </cell>
          <cell r="N5447">
            <v>0</v>
          </cell>
          <cell r="O5447">
            <v>4.6206999999999998E-2</v>
          </cell>
          <cell r="P5447">
            <v>0.78537100000000004</v>
          </cell>
          <cell r="Q5447">
            <v>2.3925101999999998</v>
          </cell>
          <cell r="R5447">
            <v>0</v>
          </cell>
          <cell r="S5447">
            <v>0</v>
          </cell>
          <cell r="T5447">
            <v>0</v>
          </cell>
          <cell r="U5447">
            <v>46.839123999999998</v>
          </cell>
          <cell r="V5447">
            <v>0</v>
          </cell>
          <cell r="W5447">
            <v>0</v>
          </cell>
          <cell r="X5447">
            <v>0.1392562</v>
          </cell>
          <cell r="Y5447">
            <v>0</v>
          </cell>
          <cell r="Z5447">
            <v>0</v>
          </cell>
          <cell r="AA5447">
            <v>0</v>
          </cell>
          <cell r="AB5447">
            <v>0.77964840000000002</v>
          </cell>
        </row>
        <row r="5448">
          <cell r="A5448">
            <v>75415010</v>
          </cell>
          <cell r="B5448" t="str">
            <v>Onions, NS as to form, creamed</v>
          </cell>
          <cell r="I5448">
            <v>85</v>
          </cell>
          <cell r="J5448">
            <v>61.469141</v>
          </cell>
          <cell r="K5448">
            <v>0.72316636470588236</v>
          </cell>
          <cell r="L5448">
            <v>0.74508050000000003</v>
          </cell>
          <cell r="M5448">
            <v>0.90889679999999995</v>
          </cell>
          <cell r="N5448">
            <v>0</v>
          </cell>
          <cell r="O5448">
            <v>5.1774500000000001E-2</v>
          </cell>
          <cell r="P5448">
            <v>6.3357200000000002E-2</v>
          </cell>
          <cell r="Q5448">
            <v>0.91728529999999997</v>
          </cell>
          <cell r="R5448">
            <v>0</v>
          </cell>
          <cell r="S5448">
            <v>0</v>
          </cell>
          <cell r="T5448">
            <v>0</v>
          </cell>
          <cell r="U5448">
            <v>53.220036</v>
          </cell>
          <cell r="V5448">
            <v>0</v>
          </cell>
          <cell r="W5448">
            <v>0</v>
          </cell>
          <cell r="X5448">
            <v>0.15568940000000001</v>
          </cell>
          <cell r="Y5448">
            <v>0</v>
          </cell>
          <cell r="Z5448">
            <v>0</v>
          </cell>
          <cell r="AA5448">
            <v>0</v>
          </cell>
          <cell r="AB5448">
            <v>0.22602340000000001</v>
          </cell>
        </row>
        <row r="5449">
          <cell r="A5449">
            <v>75415020</v>
          </cell>
          <cell r="B5449" t="str">
            <v>Onion rings, NS as to form, batter-dipped, baked or fried</v>
          </cell>
          <cell r="I5449">
            <v>85</v>
          </cell>
          <cell r="J5449">
            <v>234.6</v>
          </cell>
          <cell r="K5449">
            <v>2.76</v>
          </cell>
          <cell r="L5449">
            <v>0.35119159999999999</v>
          </cell>
          <cell r="M5449">
            <v>1.8164499999999999</v>
          </cell>
          <cell r="N5449">
            <v>0</v>
          </cell>
          <cell r="O5449">
            <v>2.6349999999999998E-2</v>
          </cell>
          <cell r="P5449">
            <v>1.5188083999999999</v>
          </cell>
          <cell r="Q5449">
            <v>6.4880500000000003</v>
          </cell>
          <cell r="R5449">
            <v>0</v>
          </cell>
          <cell r="S5449">
            <v>0</v>
          </cell>
          <cell r="T5449">
            <v>0</v>
          </cell>
          <cell r="U5449">
            <v>39.270000000000003</v>
          </cell>
          <cell r="V5449">
            <v>0</v>
          </cell>
          <cell r="W5449">
            <v>0</v>
          </cell>
          <cell r="X5449">
            <v>0.3145</v>
          </cell>
          <cell r="Y5449">
            <v>0</v>
          </cell>
          <cell r="Z5449">
            <v>0</v>
          </cell>
          <cell r="AA5449">
            <v>0</v>
          </cell>
          <cell r="AB5449">
            <v>4.505E-2</v>
          </cell>
        </row>
        <row r="5450">
          <cell r="A5450">
            <v>75415022</v>
          </cell>
          <cell r="B5450" t="str">
            <v>Onion rings, from frozen, batter-dipped, baked or fried</v>
          </cell>
          <cell r="I5450">
            <v>85</v>
          </cell>
          <cell r="J5450">
            <v>349.35</v>
          </cell>
          <cell r="K5450">
            <v>4.1100000000000003</v>
          </cell>
          <cell r="L5450">
            <v>0.68468209999999996</v>
          </cell>
          <cell r="M5450">
            <v>3.5649000000000002</v>
          </cell>
          <cell r="N5450">
            <v>0</v>
          </cell>
          <cell r="O5450">
            <v>9.7750000000000004E-2</v>
          </cell>
          <cell r="P5450">
            <v>1.6103179000000001</v>
          </cell>
          <cell r="Q5450">
            <v>10.326650000000001</v>
          </cell>
          <cell r="R5450">
            <v>0</v>
          </cell>
          <cell r="S5450">
            <v>0</v>
          </cell>
          <cell r="T5450">
            <v>0</v>
          </cell>
          <cell r="U5450">
            <v>44.625</v>
          </cell>
          <cell r="V5450">
            <v>0</v>
          </cell>
          <cell r="W5450">
            <v>0</v>
          </cell>
          <cell r="X5450">
            <v>0.65959999999999996</v>
          </cell>
          <cell r="Y5450">
            <v>0</v>
          </cell>
          <cell r="Z5450">
            <v>0</v>
          </cell>
          <cell r="AA5450">
            <v>0</v>
          </cell>
          <cell r="AB5450">
            <v>0.1394</v>
          </cell>
        </row>
        <row r="5451">
          <cell r="A5451">
            <v>75416600</v>
          </cell>
          <cell r="B5451" t="str">
            <v>Pea salad with cheese</v>
          </cell>
          <cell r="I5451">
            <v>100</v>
          </cell>
          <cell r="J5451">
            <v>201.54613000000001</v>
          </cell>
          <cell r="K5451">
            <v>2.0154613000000001</v>
          </cell>
          <cell r="L5451">
            <v>0.29837520000000001</v>
          </cell>
          <cell r="M5451">
            <v>3.8692196000000001</v>
          </cell>
          <cell r="N5451">
            <v>0</v>
          </cell>
          <cell r="O5451">
            <v>9.3815399999999993E-2</v>
          </cell>
          <cell r="P5451">
            <v>2.1613031999999999</v>
          </cell>
          <cell r="Q5451">
            <v>7.6716044999999999</v>
          </cell>
          <cell r="R5451">
            <v>0</v>
          </cell>
          <cell r="S5451">
            <v>0</v>
          </cell>
          <cell r="T5451">
            <v>0</v>
          </cell>
          <cell r="U5451">
            <v>17.085594</v>
          </cell>
          <cell r="V5451">
            <v>0</v>
          </cell>
          <cell r="W5451">
            <v>0</v>
          </cell>
          <cell r="X5451">
            <v>0.30741109999999999</v>
          </cell>
          <cell r="Y5451">
            <v>0</v>
          </cell>
          <cell r="Z5451">
            <v>0</v>
          </cell>
          <cell r="AA5451">
            <v>0</v>
          </cell>
          <cell r="AB5451">
            <v>0.12249400000000001</v>
          </cell>
        </row>
        <row r="5452">
          <cell r="A5452">
            <v>75417010</v>
          </cell>
          <cell r="B5452" t="str">
            <v>Peas, NS as to form, creamed</v>
          </cell>
          <cell r="I5452">
            <v>110</v>
          </cell>
          <cell r="J5452">
            <v>118.92256</v>
          </cell>
          <cell r="K5452">
            <v>1.0811141818181818</v>
          </cell>
          <cell r="L5452">
            <v>0</v>
          </cell>
          <cell r="M5452">
            <v>1.4052172000000001</v>
          </cell>
          <cell r="N5452">
            <v>0</v>
          </cell>
          <cell r="O5452">
            <v>7.1687299999999995E-2</v>
          </cell>
          <cell r="P5452">
            <v>2.8714084999999998</v>
          </cell>
          <cell r="Q5452">
            <v>1.4584056999999999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0.274704</v>
          </cell>
          <cell r="Y5452">
            <v>0</v>
          </cell>
          <cell r="Z5452">
            <v>0</v>
          </cell>
          <cell r="AA5452">
            <v>0</v>
          </cell>
          <cell r="AB5452">
            <v>0.33744020000000002</v>
          </cell>
        </row>
        <row r="5453">
          <cell r="A5453">
            <v>75417030</v>
          </cell>
          <cell r="B5453" t="str">
            <v>Peas, cooked, NS as to form, with tomato sauce</v>
          </cell>
          <cell r="I5453">
            <v>110</v>
          </cell>
          <cell r="J5453">
            <v>62.915888000000002</v>
          </cell>
          <cell r="K5453">
            <v>0.57196261818181815</v>
          </cell>
          <cell r="L5453">
            <v>0.73390449999999996</v>
          </cell>
          <cell r="M5453">
            <v>3.5990800000000003E-2</v>
          </cell>
          <cell r="N5453">
            <v>0</v>
          </cell>
          <cell r="O5453">
            <v>2.28457E-2</v>
          </cell>
          <cell r="P5453">
            <v>3.3506404000000001</v>
          </cell>
          <cell r="Q5453">
            <v>9.7855800000000007E-2</v>
          </cell>
          <cell r="R5453">
            <v>0</v>
          </cell>
          <cell r="S5453">
            <v>0</v>
          </cell>
          <cell r="T5453">
            <v>0</v>
          </cell>
          <cell r="U5453">
            <v>48.926963999999998</v>
          </cell>
          <cell r="V5453">
            <v>0</v>
          </cell>
          <cell r="W5453">
            <v>0</v>
          </cell>
          <cell r="X5453">
            <v>0.31723410000000002</v>
          </cell>
          <cell r="Y5453">
            <v>0</v>
          </cell>
          <cell r="Z5453">
            <v>0</v>
          </cell>
          <cell r="AA5453">
            <v>0</v>
          </cell>
          <cell r="AB5453">
            <v>0</v>
          </cell>
        </row>
        <row r="5454">
          <cell r="A5454">
            <v>75417032</v>
          </cell>
          <cell r="B5454" t="str">
            <v>Peas, cooked, from frozen, with tomato sauce</v>
          </cell>
          <cell r="I5454">
            <v>110</v>
          </cell>
          <cell r="J5454">
            <v>64.982123000000001</v>
          </cell>
          <cell r="K5454">
            <v>0.59074657272727271</v>
          </cell>
          <cell r="L5454">
            <v>0.57439989999999996</v>
          </cell>
          <cell r="M5454">
            <v>5.07489E-2</v>
          </cell>
          <cell r="N5454">
            <v>0</v>
          </cell>
          <cell r="O5454">
            <v>2.2570699999999999E-2</v>
          </cell>
          <cell r="P5454">
            <v>3.2187532999999999</v>
          </cell>
          <cell r="Q5454">
            <v>0.1386059</v>
          </cell>
          <cell r="R5454">
            <v>0</v>
          </cell>
          <cell r="S5454">
            <v>0</v>
          </cell>
          <cell r="T5454">
            <v>0</v>
          </cell>
          <cell r="U5454">
            <v>38.293329</v>
          </cell>
          <cell r="V5454">
            <v>0</v>
          </cell>
          <cell r="W5454">
            <v>0</v>
          </cell>
          <cell r="X5454">
            <v>0.30231730000000001</v>
          </cell>
          <cell r="Y5454">
            <v>0</v>
          </cell>
          <cell r="Z5454">
            <v>0</v>
          </cell>
          <cell r="AA5454">
            <v>0</v>
          </cell>
          <cell r="AB5454">
            <v>0</v>
          </cell>
        </row>
        <row r="5455">
          <cell r="A5455">
            <v>75418010</v>
          </cell>
          <cell r="B5455" t="str">
            <v>Squash, summer, yellow or green, breaded or battered, fried</v>
          </cell>
          <cell r="I5455">
            <v>85</v>
          </cell>
          <cell r="J5455">
            <v>138.91211999999999</v>
          </cell>
          <cell r="K5455">
            <v>1.6342602352941176</v>
          </cell>
          <cell r="L5455">
            <v>0.39296740000000002</v>
          </cell>
          <cell r="M5455">
            <v>1.5228873000000001</v>
          </cell>
          <cell r="N5455">
            <v>0</v>
          </cell>
          <cell r="O5455">
            <v>1.10092E-2</v>
          </cell>
          <cell r="P5455">
            <v>0.29238649999999999</v>
          </cell>
          <cell r="Q5455">
            <v>4.1919779000000004</v>
          </cell>
          <cell r="R5455">
            <v>0</v>
          </cell>
          <cell r="S5455">
            <v>0</v>
          </cell>
          <cell r="T5455">
            <v>0</v>
          </cell>
          <cell r="U5455">
            <v>39.296743999999997</v>
          </cell>
          <cell r="V5455">
            <v>0</v>
          </cell>
          <cell r="W5455">
            <v>0</v>
          </cell>
          <cell r="X5455">
            <v>8.7800199999999995E-2</v>
          </cell>
          <cell r="Y5455">
            <v>0</v>
          </cell>
          <cell r="Z5455">
            <v>0</v>
          </cell>
          <cell r="AA5455">
            <v>0</v>
          </cell>
          <cell r="AB5455">
            <v>7.1004700000000004E-2</v>
          </cell>
        </row>
        <row r="5456">
          <cell r="A5456">
            <v>75418040</v>
          </cell>
          <cell r="B5456" t="str">
            <v>Squash, summer, casserole, with cheese sauce</v>
          </cell>
          <cell r="I5456">
            <v>217</v>
          </cell>
          <cell r="J5456">
            <v>196.87640999999999</v>
          </cell>
          <cell r="K5456">
            <v>0.90726456221198148</v>
          </cell>
          <cell r="L5456">
            <v>2.2470167999999999</v>
          </cell>
          <cell r="M5456">
            <v>5.3633027000000002</v>
          </cell>
          <cell r="N5456">
            <v>0</v>
          </cell>
          <cell r="O5456">
            <v>0.18605840000000001</v>
          </cell>
          <cell r="P5456">
            <v>0.75836820000000005</v>
          </cell>
          <cell r="Q5456">
            <v>1.1737084</v>
          </cell>
          <cell r="R5456">
            <v>0</v>
          </cell>
          <cell r="S5456">
            <v>0</v>
          </cell>
          <cell r="T5456">
            <v>0</v>
          </cell>
          <cell r="U5456">
            <v>160.50120000000001</v>
          </cell>
          <cell r="V5456">
            <v>0</v>
          </cell>
          <cell r="W5456">
            <v>0</v>
          </cell>
          <cell r="X5456">
            <v>0.3703226</v>
          </cell>
          <cell r="Y5456">
            <v>0</v>
          </cell>
          <cell r="Z5456">
            <v>0</v>
          </cell>
          <cell r="AA5456">
            <v>0</v>
          </cell>
          <cell r="AB5456">
            <v>0.45290269999999999</v>
          </cell>
        </row>
        <row r="5457">
          <cell r="A5457">
            <v>75418101</v>
          </cell>
          <cell r="B5457" t="str">
            <v>Turnips, from fresh, creamed</v>
          </cell>
          <cell r="I5457">
            <v>110</v>
          </cell>
          <cell r="J5457">
            <v>85.365480000000005</v>
          </cell>
          <cell r="K5457">
            <v>0.77604981818181817</v>
          </cell>
          <cell r="L5457">
            <v>1.2213522999999999</v>
          </cell>
          <cell r="M5457">
            <v>1.4014157</v>
          </cell>
          <cell r="N5457">
            <v>0</v>
          </cell>
          <cell r="O5457">
            <v>7.7892500000000003E-2</v>
          </cell>
          <cell r="P5457">
            <v>9.7864800000000002E-2</v>
          </cell>
          <cell r="Q5457">
            <v>1.4260931999999999</v>
          </cell>
          <cell r="R5457">
            <v>0</v>
          </cell>
          <cell r="S5457">
            <v>0</v>
          </cell>
          <cell r="T5457">
            <v>0</v>
          </cell>
          <cell r="U5457">
            <v>61.067616000000001</v>
          </cell>
          <cell r="V5457">
            <v>0</v>
          </cell>
          <cell r="W5457">
            <v>0</v>
          </cell>
          <cell r="X5457">
            <v>0.1829915</v>
          </cell>
          <cell r="Y5457">
            <v>0</v>
          </cell>
          <cell r="Z5457">
            <v>0</v>
          </cell>
          <cell r="AA5457">
            <v>0</v>
          </cell>
          <cell r="AB5457">
            <v>0.34819109999999998</v>
          </cell>
        </row>
        <row r="5458">
          <cell r="A5458">
            <v>75439010</v>
          </cell>
          <cell r="B5458" t="str">
            <v>Vegetable stew without meat</v>
          </cell>
          <cell r="I5458">
            <v>239</v>
          </cell>
          <cell r="J5458">
            <v>132.73244</v>
          </cell>
          <cell r="K5458">
            <v>0.55536585774058578</v>
          </cell>
          <cell r="L5458">
            <v>1.3372341000000001</v>
          </cell>
          <cell r="M5458">
            <v>1.0656485</v>
          </cell>
          <cell r="N5458">
            <v>0</v>
          </cell>
          <cell r="O5458">
            <v>3.88229E-2</v>
          </cell>
          <cell r="P5458">
            <v>3.0580341</v>
          </cell>
          <cell r="Q5458">
            <v>0.19283220000000001</v>
          </cell>
          <cell r="R5458">
            <v>0</v>
          </cell>
          <cell r="S5458">
            <v>0</v>
          </cell>
          <cell r="T5458">
            <v>0</v>
          </cell>
          <cell r="U5458">
            <v>61.790244000000001</v>
          </cell>
          <cell r="V5458">
            <v>0</v>
          </cell>
          <cell r="W5458">
            <v>0</v>
          </cell>
          <cell r="X5458">
            <v>0.53815800000000003</v>
          </cell>
          <cell r="Y5458">
            <v>0</v>
          </cell>
          <cell r="Z5458">
            <v>0</v>
          </cell>
          <cell r="AA5458">
            <v>0</v>
          </cell>
          <cell r="AB5458">
            <v>1.7982600000000001E-2</v>
          </cell>
        </row>
        <row r="5459">
          <cell r="A5459">
            <v>75440100</v>
          </cell>
          <cell r="B5459" t="str">
            <v>Vegetable combination, including carrots, broccoli, and/or dark-green leafy; cooked, with soy-based sauce</v>
          </cell>
          <cell r="I5459">
            <v>110</v>
          </cell>
          <cell r="J5459">
            <v>110.21285</v>
          </cell>
          <cell r="K5459">
            <v>1.001935</v>
          </cell>
          <cell r="L5459">
            <v>1.9878079</v>
          </cell>
          <cell r="M5459">
            <v>1.2157473999999999</v>
          </cell>
          <cell r="N5459">
            <v>0</v>
          </cell>
          <cell r="O5459">
            <v>3.2527100000000003E-2</v>
          </cell>
          <cell r="P5459">
            <v>3.93091E-2</v>
          </cell>
          <cell r="Q5459">
            <v>3.5641978000000001</v>
          </cell>
          <cell r="R5459">
            <v>0</v>
          </cell>
          <cell r="S5459">
            <v>0</v>
          </cell>
          <cell r="T5459">
            <v>0</v>
          </cell>
          <cell r="U5459">
            <v>78.186595999999994</v>
          </cell>
          <cell r="V5459">
            <v>0</v>
          </cell>
          <cell r="W5459">
            <v>0</v>
          </cell>
          <cell r="X5459">
            <v>0.36475190000000002</v>
          </cell>
          <cell r="Y5459">
            <v>0</v>
          </cell>
          <cell r="Z5459">
            <v>0</v>
          </cell>
          <cell r="AA5459">
            <v>0</v>
          </cell>
          <cell r="AB5459">
            <v>2.97702E-2</v>
          </cell>
        </row>
        <row r="5460">
          <cell r="A5460">
            <v>75440110</v>
          </cell>
          <cell r="B5460" t="str">
            <v>Vegetable combination, excluding carrots, broccoli, and dark-green leafy; cooked, with soy-based sauce</v>
          </cell>
          <cell r="I5460">
            <v>110</v>
          </cell>
          <cell r="J5460">
            <v>112.30784</v>
          </cell>
          <cell r="K5460">
            <v>1.0209803636363637</v>
          </cell>
          <cell r="L5460">
            <v>1.3933450000000001</v>
          </cell>
          <cell r="M5460">
            <v>1.2802922999999999</v>
          </cell>
          <cell r="N5460">
            <v>0</v>
          </cell>
          <cell r="O5460">
            <v>2.5156399999999999E-2</v>
          </cell>
          <cell r="P5460">
            <v>4.1635199999999997E-2</v>
          </cell>
          <cell r="Q5460">
            <v>3.7680612</v>
          </cell>
          <cell r="R5460">
            <v>0</v>
          </cell>
          <cell r="S5460">
            <v>0</v>
          </cell>
          <cell r="T5460">
            <v>0</v>
          </cell>
          <cell r="U5460">
            <v>76.304022000000003</v>
          </cell>
          <cell r="V5460">
            <v>0</v>
          </cell>
          <cell r="W5460">
            <v>0</v>
          </cell>
          <cell r="X5460">
            <v>0.36194579999999998</v>
          </cell>
          <cell r="Y5460">
            <v>0</v>
          </cell>
          <cell r="Z5460">
            <v>0</v>
          </cell>
          <cell r="AA5460">
            <v>0</v>
          </cell>
          <cell r="AB5460">
            <v>3.1531900000000002E-2</v>
          </cell>
        </row>
        <row r="5461">
          <cell r="A5461">
            <v>75440200</v>
          </cell>
          <cell r="B5461" t="str">
            <v>Vegetable tempura</v>
          </cell>
          <cell r="I5461">
            <v>85</v>
          </cell>
          <cell r="J5461">
            <v>159.18537000000001</v>
          </cell>
          <cell r="K5461">
            <v>1.8727690588235295</v>
          </cell>
          <cell r="L5461">
            <v>0.71875009999999995</v>
          </cell>
          <cell r="M5461">
            <v>1.6058395999999999</v>
          </cell>
          <cell r="N5461">
            <v>0</v>
          </cell>
          <cell r="O5461">
            <v>1.4478700000000001E-2</v>
          </cell>
          <cell r="P5461">
            <v>0.3888451</v>
          </cell>
          <cell r="Q5461">
            <v>4.2104417999999999</v>
          </cell>
          <cell r="R5461">
            <v>0</v>
          </cell>
          <cell r="S5461">
            <v>0</v>
          </cell>
          <cell r="T5461">
            <v>0</v>
          </cell>
          <cell r="U5461">
            <v>36.624209999999998</v>
          </cell>
          <cell r="V5461">
            <v>0</v>
          </cell>
          <cell r="W5461">
            <v>0</v>
          </cell>
          <cell r="X5461">
            <v>8.7127999999999997E-3</v>
          </cell>
          <cell r="Y5461">
            <v>0</v>
          </cell>
          <cell r="Z5461">
            <v>0</v>
          </cell>
          <cell r="AA5461">
            <v>0</v>
          </cell>
          <cell r="AB5461">
            <v>0.33960249999999997</v>
          </cell>
        </row>
        <row r="5462">
          <cell r="A5462">
            <v>75440300</v>
          </cell>
          <cell r="B5462" t="str">
            <v>Vegetable combinations, including carrots, broccoli, and/or dark-green leafy; cooked, with tomato sauce</v>
          </cell>
          <cell r="I5462">
            <v>110</v>
          </cell>
          <cell r="J5462">
            <v>30.978491000000002</v>
          </cell>
          <cell r="K5462">
            <v>0.28162264545454546</v>
          </cell>
          <cell r="L5462">
            <v>2.3352849</v>
          </cell>
          <cell r="M5462">
            <v>5.2436000000000003E-2</v>
          </cell>
          <cell r="N5462">
            <v>0</v>
          </cell>
          <cell r="O5462">
            <v>2.2766700000000001E-2</v>
          </cell>
          <cell r="P5462">
            <v>0</v>
          </cell>
          <cell r="Q5462">
            <v>0.14789389999999999</v>
          </cell>
          <cell r="R5462">
            <v>0</v>
          </cell>
          <cell r="S5462">
            <v>0</v>
          </cell>
          <cell r="T5462">
            <v>0</v>
          </cell>
          <cell r="U5462">
            <v>109.80791000000001</v>
          </cell>
          <cell r="V5462">
            <v>0</v>
          </cell>
          <cell r="W5462">
            <v>0</v>
          </cell>
          <cell r="X5462">
            <v>0.2905334</v>
          </cell>
          <cell r="Y5462">
            <v>0</v>
          </cell>
          <cell r="Z5462">
            <v>0</v>
          </cell>
          <cell r="AA5462">
            <v>0</v>
          </cell>
          <cell r="AB5462">
            <v>0</v>
          </cell>
        </row>
        <row r="5463">
          <cell r="A5463">
            <v>75440310</v>
          </cell>
          <cell r="B5463" t="str">
            <v>Vegetable combinations, excluding carrots, broccoli, and dark-green leafy; cooked, with tomato sauce</v>
          </cell>
          <cell r="I5463">
            <v>110</v>
          </cell>
          <cell r="J5463">
            <v>49.906461999999998</v>
          </cell>
          <cell r="K5463">
            <v>0.45369510909090904</v>
          </cell>
          <cell r="L5463">
            <v>1.2930356999999999</v>
          </cell>
          <cell r="M5463">
            <v>5.6279200000000001E-2</v>
          </cell>
          <cell r="N5463">
            <v>0</v>
          </cell>
          <cell r="O5463">
            <v>2.0010799999999999E-2</v>
          </cell>
          <cell r="P5463">
            <v>1.2547836999999999</v>
          </cell>
          <cell r="Q5463">
            <v>0.1581195</v>
          </cell>
          <cell r="R5463">
            <v>0</v>
          </cell>
          <cell r="S5463">
            <v>0</v>
          </cell>
          <cell r="T5463">
            <v>0</v>
          </cell>
          <cell r="U5463">
            <v>73.311999999999998</v>
          </cell>
          <cell r="V5463">
            <v>0</v>
          </cell>
          <cell r="W5463">
            <v>0</v>
          </cell>
          <cell r="X5463">
            <v>0.2666983</v>
          </cell>
          <cell r="Y5463">
            <v>0</v>
          </cell>
          <cell r="Z5463">
            <v>0</v>
          </cell>
          <cell r="AA5463">
            <v>0</v>
          </cell>
          <cell r="AB5463">
            <v>0</v>
          </cell>
        </row>
        <row r="5464">
          <cell r="A5464">
            <v>75440400</v>
          </cell>
          <cell r="B5464" t="str">
            <v>Vegetables, dipped in chick-pea flour batter, fried, Pakora</v>
          </cell>
          <cell r="I5464">
            <v>85</v>
          </cell>
          <cell r="J5464">
            <v>104.85954</v>
          </cell>
          <cell r="K5464">
            <v>1.2336416470588234</v>
          </cell>
          <cell r="L5464">
            <v>2.5363850000000001</v>
          </cell>
          <cell r="M5464">
            <v>0.50841389999999997</v>
          </cell>
          <cell r="N5464">
            <v>0</v>
          </cell>
          <cell r="O5464">
            <v>1.5756599999999999E-2</v>
          </cell>
          <cell r="P5464">
            <v>0.15063989999999999</v>
          </cell>
          <cell r="Q5464">
            <v>1.6838508999999999</v>
          </cell>
          <cell r="R5464">
            <v>0</v>
          </cell>
          <cell r="S5464">
            <v>19.274269</v>
          </cell>
          <cell r="T5464">
            <v>0</v>
          </cell>
          <cell r="U5464">
            <v>8.8382889000000002</v>
          </cell>
          <cell r="V5464">
            <v>0</v>
          </cell>
          <cell r="W5464">
            <v>0</v>
          </cell>
          <cell r="X5464">
            <v>0.32389040000000002</v>
          </cell>
          <cell r="Y5464">
            <v>0</v>
          </cell>
          <cell r="Z5464">
            <v>0</v>
          </cell>
          <cell r="AA5464">
            <v>0</v>
          </cell>
          <cell r="AB5464">
            <v>5.9216100000000001E-2</v>
          </cell>
        </row>
        <row r="5465">
          <cell r="A5465">
            <v>75440500</v>
          </cell>
          <cell r="B5465" t="str">
            <v>Vegetable combinations, including carrots, broccoli, and/or dark-green leafy; cooked, with cheese sauce</v>
          </cell>
          <cell r="I5465">
            <v>110</v>
          </cell>
          <cell r="J5465">
            <v>99.760536999999999</v>
          </cell>
          <cell r="K5465">
            <v>0.9069139727272727</v>
          </cell>
          <cell r="L5465">
            <v>1.7539841</v>
          </cell>
          <cell r="M5465">
            <v>3.2260794000000002</v>
          </cell>
          <cell r="N5465">
            <v>0</v>
          </cell>
          <cell r="O5465">
            <v>0.14083889999999999</v>
          </cell>
          <cell r="P5465">
            <v>3.97034E-2</v>
          </cell>
          <cell r="Q5465">
            <v>0.65481659999999997</v>
          </cell>
          <cell r="R5465">
            <v>0</v>
          </cell>
          <cell r="S5465">
            <v>0</v>
          </cell>
          <cell r="T5465">
            <v>0</v>
          </cell>
          <cell r="U5465">
            <v>70.100538</v>
          </cell>
          <cell r="V5465">
            <v>0</v>
          </cell>
          <cell r="W5465">
            <v>0</v>
          </cell>
          <cell r="X5465">
            <v>0.29327639999999999</v>
          </cell>
          <cell r="Y5465">
            <v>0</v>
          </cell>
          <cell r="Z5465">
            <v>0</v>
          </cell>
          <cell r="AA5465">
            <v>0</v>
          </cell>
          <cell r="AB5465">
            <v>0.12137530000000001</v>
          </cell>
        </row>
        <row r="5466">
          <cell r="A5466">
            <v>75440510</v>
          </cell>
          <cell r="B5466" t="str">
            <v>Vegetable combinations, excluding carrots, broccoli, and dark-green leafy; cooked, with cheese sauce</v>
          </cell>
          <cell r="I5466">
            <v>110</v>
          </cell>
          <cell r="J5466">
            <v>114.74764</v>
          </cell>
          <cell r="K5466">
            <v>1.0431603636363638</v>
          </cell>
          <cell r="L5466">
            <v>0.72784389999999999</v>
          </cell>
          <cell r="M5466">
            <v>3.0311411000000001</v>
          </cell>
          <cell r="N5466">
            <v>0</v>
          </cell>
          <cell r="O5466">
            <v>0.130631</v>
          </cell>
          <cell r="P5466">
            <v>1.3164564000000001</v>
          </cell>
          <cell r="Q5466">
            <v>0.6334784</v>
          </cell>
          <cell r="R5466">
            <v>0</v>
          </cell>
          <cell r="S5466">
            <v>0</v>
          </cell>
          <cell r="T5466">
            <v>0</v>
          </cell>
          <cell r="U5466">
            <v>35.381298999999999</v>
          </cell>
          <cell r="V5466">
            <v>0</v>
          </cell>
          <cell r="W5466">
            <v>0</v>
          </cell>
          <cell r="X5466">
            <v>0.26880490000000001</v>
          </cell>
          <cell r="Y5466">
            <v>0</v>
          </cell>
          <cell r="Z5466">
            <v>0</v>
          </cell>
          <cell r="AA5466">
            <v>0</v>
          </cell>
          <cell r="AB5466">
            <v>0.13861290000000001</v>
          </cell>
        </row>
        <row r="5467">
          <cell r="A5467">
            <v>75440600</v>
          </cell>
          <cell r="B5467" t="str">
            <v>Vegetable curry</v>
          </cell>
          <cell r="I5467">
            <v>85</v>
          </cell>
          <cell r="J5467">
            <v>54.047367999999999</v>
          </cell>
          <cell r="K5467">
            <v>0.63585138823529408</v>
          </cell>
          <cell r="L5467">
            <v>1.4479157</v>
          </cell>
          <cell r="M5467">
            <v>0.33477780000000001</v>
          </cell>
          <cell r="N5467">
            <v>0</v>
          </cell>
          <cell r="O5467">
            <v>2.84014E-2</v>
          </cell>
          <cell r="P5467">
            <v>0.4811337</v>
          </cell>
          <cell r="Q5467">
            <v>0.93115049999999999</v>
          </cell>
          <cell r="R5467">
            <v>0</v>
          </cell>
          <cell r="S5467">
            <v>6.2472874000000003</v>
          </cell>
          <cell r="T5467">
            <v>0</v>
          </cell>
          <cell r="U5467">
            <v>40.191433000000004</v>
          </cell>
          <cell r="V5467">
            <v>0</v>
          </cell>
          <cell r="W5467">
            <v>0</v>
          </cell>
          <cell r="X5467">
            <v>6.4387799999999995E-2</v>
          </cell>
          <cell r="Y5467">
            <v>0</v>
          </cell>
          <cell r="Z5467">
            <v>0</v>
          </cell>
          <cell r="AA5467">
            <v>0</v>
          </cell>
          <cell r="AB5467">
            <v>1.7285399999999999E-2</v>
          </cell>
        </row>
        <row r="5468">
          <cell r="A5468">
            <v>75450500</v>
          </cell>
          <cell r="B5468" t="str">
            <v>Vegetable combination, including carrots, broccoli, and/or dark-green leafy; cooked, with cream sauce</v>
          </cell>
          <cell r="I5468">
            <v>110</v>
          </cell>
          <cell r="J5468">
            <v>80.787783000000005</v>
          </cell>
          <cell r="K5468">
            <v>0.73443439090909091</v>
          </cell>
          <cell r="L5468">
            <v>1.7345546999999999</v>
          </cell>
          <cell r="M5468">
            <v>1.1907365999999999</v>
          </cell>
          <cell r="N5468">
            <v>0</v>
          </cell>
          <cell r="O5468">
            <v>6.4914399999999997E-2</v>
          </cell>
          <cell r="P5468">
            <v>8.0924800000000005E-2</v>
          </cell>
          <cell r="Q5468">
            <v>1.2571654000000001</v>
          </cell>
          <cell r="R5468">
            <v>0</v>
          </cell>
          <cell r="S5468">
            <v>0</v>
          </cell>
          <cell r="T5468">
            <v>0</v>
          </cell>
          <cell r="U5468">
            <v>69.343339999999998</v>
          </cell>
          <cell r="V5468">
            <v>0</v>
          </cell>
          <cell r="W5468">
            <v>0</v>
          </cell>
          <cell r="X5468">
            <v>0.23980099999999999</v>
          </cell>
          <cell r="Y5468">
            <v>0</v>
          </cell>
          <cell r="Z5468">
            <v>0</v>
          </cell>
          <cell r="AA5468">
            <v>0</v>
          </cell>
          <cell r="AB5468">
            <v>0.3514409</v>
          </cell>
        </row>
        <row r="5469">
          <cell r="A5469">
            <v>75450510</v>
          </cell>
          <cell r="B5469" t="str">
            <v>Vegetable combination, excluding carrots, broccoli, and dark-green leafy; cooked, with cream sauce</v>
          </cell>
          <cell r="I5469">
            <v>110</v>
          </cell>
          <cell r="J5469">
            <v>96.772582</v>
          </cell>
          <cell r="K5469">
            <v>0.87975074545454546</v>
          </cell>
          <cell r="L5469">
            <v>0.72081910000000005</v>
          </cell>
          <cell r="M5469">
            <v>1.1230230000000001</v>
          </cell>
          <cell r="N5469">
            <v>0</v>
          </cell>
          <cell r="O5469">
            <v>5.9490099999999997E-2</v>
          </cell>
          <cell r="P5469">
            <v>1.3427304</v>
          </cell>
          <cell r="Q5469">
            <v>1.1976958</v>
          </cell>
          <cell r="R5469">
            <v>0</v>
          </cell>
          <cell r="S5469">
            <v>0</v>
          </cell>
          <cell r="T5469">
            <v>0</v>
          </cell>
          <cell r="U5469">
            <v>35.039817999999997</v>
          </cell>
          <cell r="V5469">
            <v>0</v>
          </cell>
          <cell r="W5469">
            <v>0</v>
          </cell>
          <cell r="X5469">
            <v>0.2187383</v>
          </cell>
          <cell r="Y5469">
            <v>0</v>
          </cell>
          <cell r="Z5469">
            <v>0</v>
          </cell>
          <cell r="AA5469">
            <v>0</v>
          </cell>
          <cell r="AB5469">
            <v>0.32598310000000003</v>
          </cell>
        </row>
        <row r="5470">
          <cell r="A5470">
            <v>75450600</v>
          </cell>
          <cell r="B5470" t="str">
            <v>Vegetable combination, including carrots, broccoli, and/or dark-green leafy; cooked, with butter sauce</v>
          </cell>
          <cell r="I5470">
            <v>110</v>
          </cell>
          <cell r="J5470">
            <v>55.231605000000002</v>
          </cell>
          <cell r="K5470">
            <v>0.50210549999999998</v>
          </cell>
          <cell r="L5470">
            <v>2.6570084</v>
          </cell>
          <cell r="M5470">
            <v>1.3071207</v>
          </cell>
          <cell r="N5470">
            <v>0</v>
          </cell>
          <cell r="O5470">
            <v>2.71005E-2</v>
          </cell>
          <cell r="P5470">
            <v>0</v>
          </cell>
          <cell r="Q5470">
            <v>0.58776550000000005</v>
          </cell>
          <cell r="R5470">
            <v>0</v>
          </cell>
          <cell r="S5470">
            <v>0</v>
          </cell>
          <cell r="T5470">
            <v>0</v>
          </cell>
          <cell r="U5470">
            <v>106.19123</v>
          </cell>
          <cell r="V5470">
            <v>0</v>
          </cell>
          <cell r="W5470">
            <v>0</v>
          </cell>
          <cell r="X5470">
            <v>0.1708385</v>
          </cell>
          <cell r="Y5470">
            <v>0</v>
          </cell>
          <cell r="Z5470">
            <v>0</v>
          </cell>
          <cell r="AA5470">
            <v>0</v>
          </cell>
          <cell r="AB5470">
            <v>0.1205368</v>
          </cell>
        </row>
        <row r="5471">
          <cell r="A5471">
            <v>75460700</v>
          </cell>
          <cell r="B5471" t="str">
            <v>Vegetable combinations, including carrots, broccoli, and/or dark-green leafy; cooked, with pasta</v>
          </cell>
          <cell r="I5471">
            <v>137</v>
          </cell>
          <cell r="J5471">
            <v>103.90044</v>
          </cell>
          <cell r="K5471">
            <v>0.75839737226277371</v>
          </cell>
          <cell r="L5471">
            <v>2.5071032999999998</v>
          </cell>
          <cell r="M5471">
            <v>1.2930459000000001</v>
          </cell>
          <cell r="N5471">
            <v>0</v>
          </cell>
          <cell r="O5471">
            <v>2.7966000000000001E-2</v>
          </cell>
          <cell r="P5471">
            <v>0.58951739999999997</v>
          </cell>
          <cell r="Q5471">
            <v>0.66217930000000003</v>
          </cell>
          <cell r="R5471">
            <v>0</v>
          </cell>
          <cell r="S5471">
            <v>0</v>
          </cell>
          <cell r="T5471">
            <v>0</v>
          </cell>
          <cell r="U5471">
            <v>100.22798</v>
          </cell>
          <cell r="V5471">
            <v>0</v>
          </cell>
          <cell r="W5471">
            <v>0</v>
          </cell>
          <cell r="X5471">
            <v>0.32493680000000003</v>
          </cell>
          <cell r="Y5471">
            <v>0</v>
          </cell>
          <cell r="Z5471">
            <v>0</v>
          </cell>
          <cell r="AA5471">
            <v>0</v>
          </cell>
          <cell r="AB5471">
            <v>0.1139273</v>
          </cell>
        </row>
        <row r="5472">
          <cell r="A5472">
            <v>75460710</v>
          </cell>
          <cell r="B5472" t="str">
            <v>Vegetable combinations, excluding carrots, broccoli, and dark-green leafy; cooked, with pasta</v>
          </cell>
          <cell r="I5472">
            <v>137</v>
          </cell>
          <cell r="J5472">
            <v>126.53660000000001</v>
          </cell>
          <cell r="K5472">
            <v>0.92362481751824821</v>
          </cell>
          <cell r="L5472">
            <v>1.0314509999999999</v>
          </cell>
          <cell r="M5472">
            <v>1.2098757</v>
          </cell>
          <cell r="N5472">
            <v>0</v>
          </cell>
          <cell r="O5472">
            <v>2.40246E-2</v>
          </cell>
          <cell r="P5472">
            <v>2.3597801</v>
          </cell>
          <cell r="Q5472">
            <v>0.64236090000000001</v>
          </cell>
          <cell r="R5472">
            <v>0</v>
          </cell>
          <cell r="S5472">
            <v>0</v>
          </cell>
          <cell r="T5472">
            <v>0</v>
          </cell>
          <cell r="U5472">
            <v>50.139977000000002</v>
          </cell>
          <cell r="V5472">
            <v>0</v>
          </cell>
          <cell r="W5472">
            <v>0</v>
          </cell>
          <cell r="X5472">
            <v>0.29289910000000002</v>
          </cell>
          <cell r="Y5472">
            <v>0</v>
          </cell>
          <cell r="Z5472">
            <v>0</v>
          </cell>
          <cell r="AA5472">
            <v>0</v>
          </cell>
          <cell r="AB5472">
            <v>0.1056965</v>
          </cell>
        </row>
        <row r="5473">
          <cell r="A5473">
            <v>75460900</v>
          </cell>
          <cell r="B5473" t="str">
            <v>Chow mein or chop suey, meatless, with noodles</v>
          </cell>
          <cell r="I5473">
            <v>110</v>
          </cell>
          <cell r="J5473">
            <v>129.23103</v>
          </cell>
          <cell r="K5473">
            <v>1.1748275454545456</v>
          </cell>
          <cell r="L5473">
            <v>0.97395929999999997</v>
          </cell>
          <cell r="M5473">
            <v>0.68947239999999999</v>
          </cell>
          <cell r="N5473">
            <v>0</v>
          </cell>
          <cell r="O5473">
            <v>2.6551700000000001E-2</v>
          </cell>
          <cell r="P5473">
            <v>0.82017859999999998</v>
          </cell>
          <cell r="Q5473">
            <v>1.5156862</v>
          </cell>
          <cell r="R5473">
            <v>0</v>
          </cell>
          <cell r="S5473">
            <v>0</v>
          </cell>
          <cell r="T5473">
            <v>0</v>
          </cell>
          <cell r="U5473">
            <v>81.163274000000001</v>
          </cell>
          <cell r="V5473">
            <v>0</v>
          </cell>
          <cell r="W5473">
            <v>0</v>
          </cell>
          <cell r="X5473">
            <v>0.53581380000000001</v>
          </cell>
          <cell r="Y5473">
            <v>0</v>
          </cell>
          <cell r="Z5473">
            <v>0</v>
          </cell>
          <cell r="AA5473">
            <v>0</v>
          </cell>
          <cell r="AB5473">
            <v>0.1562759</v>
          </cell>
        </row>
        <row r="5474">
          <cell r="A5474">
            <v>75500110</v>
          </cell>
          <cell r="B5474" t="str">
            <v>Beans, string, green, pickled</v>
          </cell>
          <cell r="I5474">
            <v>30</v>
          </cell>
          <cell r="J5474">
            <v>8.4496082000000001</v>
          </cell>
          <cell r="K5474">
            <v>0.28165360666666667</v>
          </cell>
          <cell r="L5474">
            <v>0</v>
          </cell>
          <cell r="M5474">
            <v>1.29695E-2</v>
          </cell>
          <cell r="N5474">
            <v>0</v>
          </cell>
          <cell r="O5474">
            <v>9.8379000000000001E-3</v>
          </cell>
          <cell r="P5474">
            <v>0.70035130000000001</v>
          </cell>
          <cell r="Q5474">
            <v>2.9311E-2</v>
          </cell>
          <cell r="R5474">
            <v>0</v>
          </cell>
          <cell r="S5474">
            <v>0</v>
          </cell>
          <cell r="T5474">
            <v>0</v>
          </cell>
          <cell r="U5474">
            <v>0</v>
          </cell>
          <cell r="V5474">
            <v>0</v>
          </cell>
          <cell r="W5474">
            <v>0</v>
          </cell>
          <cell r="X5474">
            <v>7.7111799999999994E-2</v>
          </cell>
          <cell r="Y5474">
            <v>0</v>
          </cell>
          <cell r="Z5474">
            <v>0</v>
          </cell>
          <cell r="AA5474">
            <v>0</v>
          </cell>
          <cell r="AB5474">
            <v>0</v>
          </cell>
        </row>
        <row r="5475">
          <cell r="A5475">
            <v>75500210</v>
          </cell>
          <cell r="B5475" t="str">
            <v>Beets, pickled</v>
          </cell>
          <cell r="I5475">
            <v>30</v>
          </cell>
          <cell r="J5475">
            <v>19.5</v>
          </cell>
          <cell r="K5475">
            <v>0.65</v>
          </cell>
          <cell r="L5475">
            <v>0</v>
          </cell>
          <cell r="M5475">
            <v>3.8999999999999998E-3</v>
          </cell>
          <cell r="N5475">
            <v>0</v>
          </cell>
          <cell r="O5475">
            <v>3.3E-3</v>
          </cell>
          <cell r="P5475">
            <v>0.24</v>
          </cell>
          <cell r="Q5475">
            <v>8.6999999999999994E-3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  <cell r="X5475">
            <v>4.4699999999999997E-2</v>
          </cell>
          <cell r="Y5475">
            <v>0</v>
          </cell>
          <cell r="Z5475">
            <v>0</v>
          </cell>
          <cell r="AA5475">
            <v>0</v>
          </cell>
          <cell r="AB5475">
            <v>0</v>
          </cell>
        </row>
        <row r="5476">
          <cell r="A5476">
            <v>75500510</v>
          </cell>
          <cell r="B5476" t="str">
            <v>Celery, pickled</v>
          </cell>
          <cell r="I5476">
            <v>30</v>
          </cell>
          <cell r="J5476">
            <v>4.7543252999999996</v>
          </cell>
          <cell r="K5476">
            <v>0.15847750999999999</v>
          </cell>
          <cell r="L5476">
            <v>0</v>
          </cell>
          <cell r="M5476">
            <v>1.1067799999999999E-2</v>
          </cell>
          <cell r="N5476">
            <v>0</v>
          </cell>
          <cell r="O5476">
            <v>1.07834E-2</v>
          </cell>
          <cell r="P5476">
            <v>0.42163070000000002</v>
          </cell>
          <cell r="Q5476">
            <v>2.0818E-2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7.7979400000000004E-2</v>
          </cell>
          <cell r="Y5476">
            <v>0</v>
          </cell>
          <cell r="Z5476">
            <v>0</v>
          </cell>
          <cell r="AA5476">
            <v>0</v>
          </cell>
          <cell r="AB5476">
            <v>0</v>
          </cell>
        </row>
        <row r="5477">
          <cell r="A5477">
            <v>75501010</v>
          </cell>
          <cell r="B5477" t="str">
            <v>Corn relish</v>
          </cell>
          <cell r="I5477">
            <v>30</v>
          </cell>
          <cell r="J5477">
            <v>22.802992</v>
          </cell>
          <cell r="K5477">
            <v>0.76009973333333336</v>
          </cell>
          <cell r="L5477">
            <v>0</v>
          </cell>
          <cell r="M5477">
            <v>2.0294E-2</v>
          </cell>
          <cell r="N5477">
            <v>0</v>
          </cell>
          <cell r="O5477">
            <v>3.7330000000000002E-3</v>
          </cell>
          <cell r="P5477">
            <v>0.419379</v>
          </cell>
          <cell r="Q5477">
            <v>5.9243700000000003E-2</v>
          </cell>
          <cell r="R5477">
            <v>0</v>
          </cell>
          <cell r="S5477">
            <v>0</v>
          </cell>
          <cell r="T5477">
            <v>0</v>
          </cell>
          <cell r="U5477">
            <v>0</v>
          </cell>
          <cell r="V5477">
            <v>0</v>
          </cell>
          <cell r="W5477">
            <v>0</v>
          </cell>
          <cell r="X5477">
            <v>0.10214189999999999</v>
          </cell>
          <cell r="Y5477">
            <v>0</v>
          </cell>
          <cell r="Z5477">
            <v>0</v>
          </cell>
          <cell r="AA5477">
            <v>0</v>
          </cell>
          <cell r="AB5477">
            <v>0</v>
          </cell>
        </row>
        <row r="5478">
          <cell r="A5478">
            <v>75502500</v>
          </cell>
          <cell r="B5478" t="str">
            <v>Cabbage, fresh, pickled, Japanese style</v>
          </cell>
          <cell r="I5478">
            <v>30</v>
          </cell>
          <cell r="J5478">
            <v>9</v>
          </cell>
          <cell r="K5478">
            <v>0.3</v>
          </cell>
          <cell r="L5478">
            <v>0</v>
          </cell>
          <cell r="M5478">
            <v>3.8999999999999998E-3</v>
          </cell>
          <cell r="N5478">
            <v>0</v>
          </cell>
          <cell r="O5478">
            <v>1.44E-2</v>
          </cell>
          <cell r="P5478">
            <v>0.93</v>
          </cell>
          <cell r="Q5478">
            <v>1.44E-2</v>
          </cell>
          <cell r="R5478">
            <v>0</v>
          </cell>
          <cell r="S5478">
            <v>0</v>
          </cell>
          <cell r="T5478">
            <v>0</v>
          </cell>
          <cell r="U5478">
            <v>0</v>
          </cell>
          <cell r="V5478">
            <v>0</v>
          </cell>
          <cell r="W5478">
            <v>0</v>
          </cell>
          <cell r="X5478">
            <v>8.3099999999999993E-2</v>
          </cell>
          <cell r="Y5478">
            <v>0</v>
          </cell>
          <cell r="Z5478">
            <v>0</v>
          </cell>
          <cell r="AA5478">
            <v>0</v>
          </cell>
          <cell r="AB5478">
            <v>0</v>
          </cell>
        </row>
        <row r="5479">
          <cell r="A5479">
            <v>75502510</v>
          </cell>
          <cell r="B5479" t="str">
            <v>Cabbage, red, pickled</v>
          </cell>
          <cell r="I5479">
            <v>30</v>
          </cell>
          <cell r="J5479">
            <v>12.163150999999999</v>
          </cell>
          <cell r="K5479">
            <v>0.40543836666666666</v>
          </cell>
          <cell r="L5479">
            <v>0</v>
          </cell>
          <cell r="M5479">
            <v>5.4067999999999998E-3</v>
          </cell>
          <cell r="N5479">
            <v>0</v>
          </cell>
          <cell r="O5479">
            <v>8.3675999999999993E-3</v>
          </cell>
          <cell r="P5479">
            <v>0.32321689999999997</v>
          </cell>
          <cell r="Q5479">
            <v>1.32376E-2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4.5953000000000001E-3</v>
          </cell>
          <cell r="Y5479">
            <v>0</v>
          </cell>
          <cell r="Z5479">
            <v>0</v>
          </cell>
          <cell r="AA5479">
            <v>0</v>
          </cell>
          <cell r="AB5479">
            <v>0</v>
          </cell>
        </row>
        <row r="5480">
          <cell r="A5480">
            <v>75502520</v>
          </cell>
          <cell r="B5480" t="str">
            <v>Kimchi</v>
          </cell>
          <cell r="I5480">
            <v>30</v>
          </cell>
          <cell r="J5480">
            <v>4.5</v>
          </cell>
          <cell r="K5480">
            <v>0.15</v>
          </cell>
          <cell r="L5480">
            <v>0</v>
          </cell>
          <cell r="M5480">
            <v>2.01E-2</v>
          </cell>
          <cell r="N5480">
            <v>0</v>
          </cell>
          <cell r="O5480">
            <v>9.9000000000000008E-3</v>
          </cell>
          <cell r="P5480">
            <v>0.48</v>
          </cell>
          <cell r="Q5480">
            <v>7.2300000000000003E-2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0</v>
          </cell>
          <cell r="W5480">
            <v>0</v>
          </cell>
          <cell r="X5480">
            <v>0.14940000000000001</v>
          </cell>
          <cell r="Y5480">
            <v>0</v>
          </cell>
          <cell r="Z5480">
            <v>0</v>
          </cell>
          <cell r="AA5480">
            <v>0</v>
          </cell>
          <cell r="AB5480">
            <v>0</v>
          </cell>
        </row>
        <row r="5481">
          <cell r="A5481">
            <v>75503010</v>
          </cell>
          <cell r="B5481" t="str">
            <v>Cucumber pickles, dill</v>
          </cell>
          <cell r="I5481">
            <v>30</v>
          </cell>
          <cell r="J5481">
            <v>3.6</v>
          </cell>
          <cell r="K5481">
            <v>0.12000000000000001</v>
          </cell>
          <cell r="L5481">
            <v>0</v>
          </cell>
          <cell r="M5481">
            <v>2.3699999999999999E-2</v>
          </cell>
          <cell r="N5481">
            <v>0</v>
          </cell>
          <cell r="O5481">
            <v>1.7100000000000001E-2</v>
          </cell>
          <cell r="P5481">
            <v>0.3</v>
          </cell>
          <cell r="Q5481">
            <v>3.6600000000000001E-2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  <cell r="V5481">
            <v>0</v>
          </cell>
          <cell r="W5481">
            <v>0</v>
          </cell>
          <cell r="X5481">
            <v>0.2427</v>
          </cell>
          <cell r="Y5481">
            <v>0</v>
          </cell>
          <cell r="Z5481">
            <v>0</v>
          </cell>
          <cell r="AA5481">
            <v>0</v>
          </cell>
          <cell r="AB5481">
            <v>0</v>
          </cell>
        </row>
        <row r="5482">
          <cell r="A5482">
            <v>75503020</v>
          </cell>
          <cell r="B5482" t="str">
            <v>Cucumber pickles, relish</v>
          </cell>
          <cell r="I5482">
            <v>30</v>
          </cell>
          <cell r="J5482">
            <v>39</v>
          </cell>
          <cell r="K5482">
            <v>1.3</v>
          </cell>
          <cell r="L5482">
            <v>0</v>
          </cell>
          <cell r="M5482">
            <v>1.6199999999999999E-2</v>
          </cell>
          <cell r="N5482">
            <v>0</v>
          </cell>
          <cell r="O5482">
            <v>8.9999999999999998E-4</v>
          </cell>
          <cell r="P5482">
            <v>0.33</v>
          </cell>
          <cell r="Q5482">
            <v>3.6600000000000001E-2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0.24329999999999999</v>
          </cell>
          <cell r="Y5482">
            <v>0</v>
          </cell>
          <cell r="Z5482">
            <v>0</v>
          </cell>
          <cell r="AA5482">
            <v>0</v>
          </cell>
          <cell r="AB5482">
            <v>0</v>
          </cell>
        </row>
        <row r="5483">
          <cell r="A5483">
            <v>75503030</v>
          </cell>
          <cell r="B5483" t="str">
            <v>Cucumber pickles, sour</v>
          </cell>
          <cell r="I5483">
            <v>30</v>
          </cell>
          <cell r="J5483">
            <v>3.3</v>
          </cell>
          <cell r="K5483">
            <v>0.11</v>
          </cell>
          <cell r="L5483">
            <v>0</v>
          </cell>
          <cell r="M5483">
            <v>1.5599999999999999E-2</v>
          </cell>
          <cell r="N5483">
            <v>0</v>
          </cell>
          <cell r="O5483">
            <v>0</v>
          </cell>
          <cell r="P5483">
            <v>0.36</v>
          </cell>
          <cell r="Q5483">
            <v>2.4299999999999999E-2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0.3624</v>
          </cell>
          <cell r="Y5483">
            <v>0</v>
          </cell>
          <cell r="Z5483">
            <v>0</v>
          </cell>
          <cell r="AA5483">
            <v>0</v>
          </cell>
          <cell r="AB5483">
            <v>0</v>
          </cell>
        </row>
        <row r="5484">
          <cell r="A5484">
            <v>75503040</v>
          </cell>
          <cell r="B5484" t="str">
            <v>Cucumber pickles, sweet</v>
          </cell>
          <cell r="I5484">
            <v>30</v>
          </cell>
          <cell r="J5484">
            <v>27.3</v>
          </cell>
          <cell r="K5484">
            <v>0.91</v>
          </cell>
          <cell r="L5484">
            <v>0</v>
          </cell>
          <cell r="M5484">
            <v>2.01E-2</v>
          </cell>
          <cell r="N5484">
            <v>0</v>
          </cell>
          <cell r="O5484">
            <v>1.83E-2</v>
          </cell>
          <cell r="P5484">
            <v>0.3</v>
          </cell>
          <cell r="Q5484">
            <v>3.1800000000000002E-2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0.1371</v>
          </cell>
          <cell r="Y5484">
            <v>0</v>
          </cell>
          <cell r="Z5484">
            <v>0</v>
          </cell>
          <cell r="AA5484">
            <v>0</v>
          </cell>
          <cell r="AB5484">
            <v>0</v>
          </cell>
        </row>
        <row r="5485">
          <cell r="A5485">
            <v>75503080</v>
          </cell>
          <cell r="B5485" t="str">
            <v>Eggplant, pickled</v>
          </cell>
          <cell r="I5485">
            <v>30</v>
          </cell>
          <cell r="J5485">
            <v>14.7</v>
          </cell>
          <cell r="K5485">
            <v>0.49</v>
          </cell>
          <cell r="L5485">
            <v>0</v>
          </cell>
          <cell r="M5485">
            <v>4.2000000000000003E-2</v>
          </cell>
          <cell r="N5485">
            <v>0</v>
          </cell>
          <cell r="O5485">
            <v>7.4999999999999997E-3</v>
          </cell>
          <cell r="P5485">
            <v>0.75</v>
          </cell>
          <cell r="Q5485">
            <v>8.8200000000000001E-2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0.50219999999999998</v>
          </cell>
          <cell r="Y5485">
            <v>0</v>
          </cell>
          <cell r="Z5485">
            <v>0</v>
          </cell>
          <cell r="AA5485">
            <v>0</v>
          </cell>
          <cell r="AB5485">
            <v>0</v>
          </cell>
        </row>
        <row r="5486">
          <cell r="A5486">
            <v>75503085</v>
          </cell>
          <cell r="B5486" t="str">
            <v>Ginger root, pickled</v>
          </cell>
          <cell r="I5486">
            <v>30</v>
          </cell>
          <cell r="J5486">
            <v>6</v>
          </cell>
          <cell r="K5486">
            <v>0.2</v>
          </cell>
          <cell r="L5486">
            <v>0</v>
          </cell>
          <cell r="M5486">
            <v>1.11E-2</v>
          </cell>
          <cell r="N5486">
            <v>0</v>
          </cell>
          <cell r="O5486">
            <v>2.2200000000000001E-2</v>
          </cell>
          <cell r="P5486">
            <v>0.78</v>
          </cell>
          <cell r="Q5486">
            <v>1.0200000000000001E-2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0.27179999999999999</v>
          </cell>
          <cell r="Y5486">
            <v>0</v>
          </cell>
          <cell r="Z5486">
            <v>0</v>
          </cell>
          <cell r="AA5486">
            <v>0</v>
          </cell>
          <cell r="AB5486">
            <v>8.6999999999999994E-3</v>
          </cell>
        </row>
        <row r="5487">
          <cell r="A5487">
            <v>75503090</v>
          </cell>
          <cell r="B5487" t="str">
            <v>Horseradish</v>
          </cell>
          <cell r="I5487">
            <v>5</v>
          </cell>
          <cell r="J5487">
            <v>2.4</v>
          </cell>
          <cell r="K5487">
            <v>0.48</v>
          </cell>
          <cell r="L5487">
            <v>0.16500000000000001</v>
          </cell>
          <cell r="M5487">
            <v>4.4999999999999997E-3</v>
          </cell>
          <cell r="N5487">
            <v>0</v>
          </cell>
          <cell r="O5487">
            <v>2.8E-3</v>
          </cell>
          <cell r="P5487">
            <v>0</v>
          </cell>
          <cell r="Q5487">
            <v>1.695E-2</v>
          </cell>
          <cell r="R5487">
            <v>0</v>
          </cell>
          <cell r="S5487">
            <v>0</v>
          </cell>
          <cell r="T5487">
            <v>0</v>
          </cell>
          <cell r="U5487">
            <v>4.9496000000000002</v>
          </cell>
          <cell r="V5487">
            <v>0</v>
          </cell>
          <cell r="W5487">
            <v>0</v>
          </cell>
          <cell r="X5487">
            <v>2.1000000000000001E-2</v>
          </cell>
          <cell r="Y5487">
            <v>0</v>
          </cell>
          <cell r="Z5487">
            <v>0</v>
          </cell>
          <cell r="AA5487">
            <v>0</v>
          </cell>
          <cell r="AB5487">
            <v>0</v>
          </cell>
        </row>
        <row r="5488">
          <cell r="A5488">
            <v>75503100</v>
          </cell>
          <cell r="B5488" t="str">
            <v>Mustard pickles</v>
          </cell>
          <cell r="I5488">
            <v>30</v>
          </cell>
          <cell r="J5488">
            <v>36.299999999999997</v>
          </cell>
          <cell r="K5488">
            <v>1.21</v>
          </cell>
          <cell r="L5488">
            <v>0</v>
          </cell>
          <cell r="M5488">
            <v>4.4699999999999997E-2</v>
          </cell>
          <cell r="N5488">
            <v>0</v>
          </cell>
          <cell r="O5488">
            <v>6.8999999999999999E-3</v>
          </cell>
          <cell r="P5488">
            <v>0.45</v>
          </cell>
          <cell r="Q5488">
            <v>0.1191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0.15809999999999999</v>
          </cell>
          <cell r="Y5488">
            <v>0</v>
          </cell>
          <cell r="Z5488">
            <v>0</v>
          </cell>
          <cell r="AA5488">
            <v>0</v>
          </cell>
          <cell r="AB5488">
            <v>0</v>
          </cell>
        </row>
        <row r="5489">
          <cell r="A5489">
            <v>75503110</v>
          </cell>
          <cell r="B5489" t="str">
            <v>Cucumber pickles, dill, reduced salt</v>
          </cell>
          <cell r="I5489">
            <v>30</v>
          </cell>
          <cell r="J5489">
            <v>3.3</v>
          </cell>
          <cell r="K5489">
            <v>0.11</v>
          </cell>
          <cell r="L5489">
            <v>0</v>
          </cell>
          <cell r="M5489">
            <v>1.5599999999999999E-2</v>
          </cell>
          <cell r="N5489">
            <v>0</v>
          </cell>
          <cell r="O5489">
            <v>0</v>
          </cell>
          <cell r="P5489">
            <v>0.36</v>
          </cell>
          <cell r="Q5489">
            <v>2.4299999999999999E-2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5.4000000000000003E-3</v>
          </cell>
          <cell r="Y5489">
            <v>0</v>
          </cell>
          <cell r="Z5489">
            <v>0</v>
          </cell>
          <cell r="AA5489">
            <v>0</v>
          </cell>
          <cell r="AB5489">
            <v>0</v>
          </cell>
        </row>
        <row r="5490">
          <cell r="A5490">
            <v>75503140</v>
          </cell>
          <cell r="B5490" t="str">
            <v>Cucumber pickles, sweet, reduced salt</v>
          </cell>
          <cell r="I5490">
            <v>30</v>
          </cell>
          <cell r="J5490">
            <v>36.6</v>
          </cell>
          <cell r="K5490">
            <v>1.22</v>
          </cell>
          <cell r="L5490">
            <v>0</v>
          </cell>
          <cell r="M5490">
            <v>2.01E-2</v>
          </cell>
          <cell r="N5490">
            <v>0</v>
          </cell>
          <cell r="O5490">
            <v>1.1999999999999999E-3</v>
          </cell>
          <cell r="P5490">
            <v>0.33</v>
          </cell>
          <cell r="Q5490">
            <v>3.1800000000000002E-2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5.4000000000000003E-3</v>
          </cell>
          <cell r="Y5490">
            <v>0</v>
          </cell>
          <cell r="Z5490">
            <v>0</v>
          </cell>
          <cell r="AA5490">
            <v>0</v>
          </cell>
          <cell r="AB5490">
            <v>0</v>
          </cell>
        </row>
        <row r="5491">
          <cell r="A5491">
            <v>75505000</v>
          </cell>
          <cell r="B5491" t="str">
            <v>Mushrooms, pickled</v>
          </cell>
          <cell r="I5491">
            <v>30</v>
          </cell>
          <cell r="J5491">
            <v>6.2921779999999998</v>
          </cell>
          <cell r="K5491">
            <v>0.20973926666666667</v>
          </cell>
          <cell r="L5491">
            <v>0</v>
          </cell>
          <cell r="M5491">
            <v>1.2877700000000001E-2</v>
          </cell>
          <cell r="N5491">
            <v>0</v>
          </cell>
          <cell r="O5491">
            <v>1.0549999999999999E-3</v>
          </cell>
          <cell r="P5491">
            <v>0.25755359999999999</v>
          </cell>
          <cell r="Q5491">
            <v>4.1208599999999998E-2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6.7489900000000005E-2</v>
          </cell>
          <cell r="Y5491">
            <v>0</v>
          </cell>
          <cell r="Z5491">
            <v>0</v>
          </cell>
          <cell r="AA5491">
            <v>0</v>
          </cell>
          <cell r="AB5491">
            <v>0</v>
          </cell>
        </row>
        <row r="5492">
          <cell r="A5492">
            <v>75506010</v>
          </cell>
          <cell r="B5492" t="str">
            <v>Mustard</v>
          </cell>
          <cell r="I5492">
            <v>5</v>
          </cell>
          <cell r="J5492">
            <v>3</v>
          </cell>
          <cell r="K5492">
            <v>0.6</v>
          </cell>
          <cell r="L5492">
            <v>0</v>
          </cell>
          <cell r="M5492">
            <v>1.0699999999999999E-2</v>
          </cell>
          <cell r="N5492">
            <v>0</v>
          </cell>
          <cell r="O5492">
            <v>3.15E-3</v>
          </cell>
          <cell r="P5492">
            <v>0.2</v>
          </cell>
          <cell r="Q5492">
            <v>3.8699999999999998E-2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5.5199999999999999E-2</v>
          </cell>
          <cell r="Y5492">
            <v>0</v>
          </cell>
          <cell r="Z5492">
            <v>0</v>
          </cell>
          <cell r="AA5492">
            <v>0</v>
          </cell>
          <cell r="AB5492">
            <v>4.4999999999999999E-4</v>
          </cell>
        </row>
        <row r="5493">
          <cell r="A5493">
            <v>75506100</v>
          </cell>
          <cell r="B5493" t="str">
            <v>Honey mustard dip</v>
          </cell>
          <cell r="I5493">
            <v>30</v>
          </cell>
          <cell r="J5493">
            <v>80.190852000000007</v>
          </cell>
          <cell r="K5493">
            <v>2.6730284000000002</v>
          </cell>
          <cell r="L5493">
            <v>0</v>
          </cell>
          <cell r="M5493">
            <v>0.79792669999999999</v>
          </cell>
          <cell r="N5493">
            <v>0</v>
          </cell>
          <cell r="O5493">
            <v>7.0935E-3</v>
          </cell>
          <cell r="P5493">
            <v>0.28391169999999999</v>
          </cell>
          <cell r="Q5493">
            <v>2.0636568999999998</v>
          </cell>
          <cell r="R5493">
            <v>0</v>
          </cell>
          <cell r="S5493">
            <v>0</v>
          </cell>
          <cell r="T5493">
            <v>0</v>
          </cell>
          <cell r="U5493">
            <v>0</v>
          </cell>
          <cell r="V5493">
            <v>0</v>
          </cell>
          <cell r="W5493">
            <v>0</v>
          </cell>
          <cell r="X5493">
            <v>0.15296779999999999</v>
          </cell>
          <cell r="Y5493">
            <v>0</v>
          </cell>
          <cell r="Z5493">
            <v>0</v>
          </cell>
          <cell r="AA5493">
            <v>0</v>
          </cell>
          <cell r="AB5493">
            <v>1.74062E-2</v>
          </cell>
        </row>
        <row r="5494">
          <cell r="A5494">
            <v>75507000</v>
          </cell>
          <cell r="B5494" t="str">
            <v>Okra, pickled</v>
          </cell>
          <cell r="I5494">
            <v>30</v>
          </cell>
          <cell r="J5494">
            <v>9.1252677999999996</v>
          </cell>
          <cell r="K5494">
            <v>0.30417559333333333</v>
          </cell>
          <cell r="L5494">
            <v>0</v>
          </cell>
          <cell r="M5494">
            <v>6.6963999999999999E-3</v>
          </cell>
          <cell r="N5494">
            <v>0</v>
          </cell>
          <cell r="O5494">
            <v>2.1401699999999999E-2</v>
          </cell>
          <cell r="P5494">
            <v>0.8241716</v>
          </cell>
          <cell r="Q5494">
            <v>6.9538999999999998E-3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0</v>
          </cell>
          <cell r="W5494">
            <v>0</v>
          </cell>
          <cell r="X5494">
            <v>6.8004999999999996E-2</v>
          </cell>
          <cell r="Y5494">
            <v>0</v>
          </cell>
          <cell r="Z5494">
            <v>0</v>
          </cell>
          <cell r="AA5494">
            <v>0</v>
          </cell>
          <cell r="AB5494">
            <v>0</v>
          </cell>
        </row>
        <row r="5495">
          <cell r="A5495">
            <v>75510000</v>
          </cell>
          <cell r="B5495" t="str">
            <v>Olives, NFS</v>
          </cell>
          <cell r="I5495">
            <v>15</v>
          </cell>
          <cell r="J5495">
            <v>18.600000000000001</v>
          </cell>
          <cell r="K5495">
            <v>1.24</v>
          </cell>
          <cell r="L5495">
            <v>0.48449999999999999</v>
          </cell>
          <cell r="M5495">
            <v>0.23988000000000001</v>
          </cell>
          <cell r="N5495">
            <v>0</v>
          </cell>
          <cell r="O5495">
            <v>1.158E-2</v>
          </cell>
          <cell r="P5495">
            <v>0</v>
          </cell>
          <cell r="Q5495">
            <v>0.15447</v>
          </cell>
          <cell r="R5495">
            <v>0</v>
          </cell>
          <cell r="S5495">
            <v>0</v>
          </cell>
          <cell r="T5495">
            <v>0</v>
          </cell>
          <cell r="U5495">
            <v>15</v>
          </cell>
          <cell r="V5495">
            <v>0</v>
          </cell>
          <cell r="W5495">
            <v>0</v>
          </cell>
          <cell r="X5495">
            <v>0.14719499999999999</v>
          </cell>
          <cell r="Y5495">
            <v>0</v>
          </cell>
          <cell r="Z5495">
            <v>0</v>
          </cell>
          <cell r="AA5495">
            <v>0</v>
          </cell>
          <cell r="AB5495">
            <v>0</v>
          </cell>
        </row>
        <row r="5496">
          <cell r="A5496">
            <v>75510010</v>
          </cell>
          <cell r="B5496" t="str">
            <v>Olives, green</v>
          </cell>
          <cell r="I5496">
            <v>15</v>
          </cell>
          <cell r="J5496">
            <v>21.75</v>
          </cell>
          <cell r="K5496">
            <v>1.45</v>
          </cell>
          <cell r="L5496">
            <v>0.495</v>
          </cell>
          <cell r="M5496">
            <v>0.30435000000000001</v>
          </cell>
          <cell r="N5496">
            <v>0</v>
          </cell>
          <cell r="O5496">
            <v>7.7999999999999996E-3</v>
          </cell>
          <cell r="P5496">
            <v>0</v>
          </cell>
          <cell r="Q5496">
            <v>0.19605</v>
          </cell>
          <cell r="R5496">
            <v>0</v>
          </cell>
          <cell r="S5496">
            <v>0</v>
          </cell>
          <cell r="T5496">
            <v>0</v>
          </cell>
          <cell r="U5496">
            <v>15</v>
          </cell>
          <cell r="V5496">
            <v>0</v>
          </cell>
          <cell r="W5496">
            <v>0</v>
          </cell>
          <cell r="X5496">
            <v>0.2334</v>
          </cell>
          <cell r="Y5496">
            <v>0</v>
          </cell>
          <cell r="Z5496">
            <v>0</v>
          </cell>
          <cell r="AA5496">
            <v>0</v>
          </cell>
          <cell r="AB5496">
            <v>0</v>
          </cell>
        </row>
        <row r="5497">
          <cell r="A5497">
            <v>75510020</v>
          </cell>
          <cell r="B5497" t="str">
            <v>Olives, black</v>
          </cell>
          <cell r="I5497">
            <v>15</v>
          </cell>
          <cell r="J5497">
            <v>15.72</v>
          </cell>
          <cell r="K5497">
            <v>1.048</v>
          </cell>
          <cell r="L5497">
            <v>0.44850000000000001</v>
          </cell>
          <cell r="M5497">
            <v>0.18948000000000001</v>
          </cell>
          <cell r="N5497">
            <v>0</v>
          </cell>
          <cell r="O5497">
            <v>1.3469999999999999E-2</v>
          </cell>
          <cell r="P5497">
            <v>0</v>
          </cell>
          <cell r="Q5497">
            <v>0.12202499999999999</v>
          </cell>
          <cell r="R5497">
            <v>0</v>
          </cell>
          <cell r="S5497">
            <v>0</v>
          </cell>
          <cell r="T5497">
            <v>0</v>
          </cell>
          <cell r="U5497">
            <v>15</v>
          </cell>
          <cell r="V5497">
            <v>0</v>
          </cell>
          <cell r="W5497">
            <v>0</v>
          </cell>
          <cell r="X5497">
            <v>0.11025</v>
          </cell>
          <cell r="Y5497">
            <v>0</v>
          </cell>
          <cell r="Z5497">
            <v>0</v>
          </cell>
          <cell r="AA5497">
            <v>0</v>
          </cell>
          <cell r="AB5497">
            <v>0</v>
          </cell>
        </row>
        <row r="5498">
          <cell r="A5498">
            <v>75510030</v>
          </cell>
          <cell r="B5498" t="str">
            <v>Olives, green, stuffed</v>
          </cell>
          <cell r="I5498">
            <v>15</v>
          </cell>
          <cell r="J5498">
            <v>19.187999999999999</v>
          </cell>
          <cell r="K5498">
            <v>1.2791999999999999</v>
          </cell>
          <cell r="L5498">
            <v>0.46560000000000001</v>
          </cell>
          <cell r="M5498">
            <v>0.26268599999999998</v>
          </cell>
          <cell r="N5498">
            <v>0</v>
          </cell>
          <cell r="O5498">
            <v>6.8339999999999998E-3</v>
          </cell>
          <cell r="P5498">
            <v>0</v>
          </cell>
          <cell r="Q5498">
            <v>0.171984</v>
          </cell>
          <cell r="R5498">
            <v>0</v>
          </cell>
          <cell r="S5498">
            <v>0</v>
          </cell>
          <cell r="T5498">
            <v>0</v>
          </cell>
          <cell r="U5498">
            <v>15</v>
          </cell>
          <cell r="V5498">
            <v>0</v>
          </cell>
          <cell r="W5498">
            <v>0</v>
          </cell>
          <cell r="X5498">
            <v>0.201018</v>
          </cell>
          <cell r="Y5498">
            <v>0</v>
          </cell>
          <cell r="Z5498">
            <v>0</v>
          </cell>
          <cell r="AA5498">
            <v>0</v>
          </cell>
          <cell r="AB5498">
            <v>0</v>
          </cell>
        </row>
        <row r="5499">
          <cell r="A5499">
            <v>75511010</v>
          </cell>
          <cell r="B5499" t="str">
            <v>Hot pepper sauce</v>
          </cell>
          <cell r="I5499">
            <v>5</v>
          </cell>
          <cell r="J5499">
            <v>0.6</v>
          </cell>
          <cell r="K5499">
            <v>0.12</v>
          </cell>
          <cell r="L5499">
            <v>0.03</v>
          </cell>
          <cell r="M5499">
            <v>5.3E-3</v>
          </cell>
          <cell r="N5499">
            <v>0</v>
          </cell>
          <cell r="O5499">
            <v>5.9999999999999995E-4</v>
          </cell>
          <cell r="P5499">
            <v>0</v>
          </cell>
          <cell r="Q5499">
            <v>2.0049999999999998E-2</v>
          </cell>
          <cell r="R5499">
            <v>0</v>
          </cell>
          <cell r="S5499">
            <v>0</v>
          </cell>
          <cell r="T5499">
            <v>0</v>
          </cell>
          <cell r="U5499">
            <v>3.0625</v>
          </cell>
          <cell r="V5499">
            <v>0</v>
          </cell>
          <cell r="W5499">
            <v>0</v>
          </cell>
          <cell r="X5499">
            <v>3.1649999999999998E-2</v>
          </cell>
          <cell r="Y5499">
            <v>0</v>
          </cell>
          <cell r="Z5499">
            <v>0</v>
          </cell>
          <cell r="AA5499">
            <v>0</v>
          </cell>
          <cell r="AB5499">
            <v>5.6340000000000003E-4</v>
          </cell>
        </row>
        <row r="5500">
          <cell r="A5500">
            <v>75511020</v>
          </cell>
          <cell r="B5500" t="str">
            <v>Peppers, pickled</v>
          </cell>
          <cell r="I5500">
            <v>30</v>
          </cell>
          <cell r="J5500">
            <v>11.905934</v>
          </cell>
          <cell r="K5500">
            <v>0.39686446666666669</v>
          </cell>
          <cell r="L5500">
            <v>0</v>
          </cell>
          <cell r="M5500">
            <v>1.10207E-2</v>
          </cell>
          <cell r="N5500">
            <v>0</v>
          </cell>
          <cell r="O5500">
            <v>2.9461000000000001E-3</v>
          </cell>
          <cell r="P5500">
            <v>0.48567399999999999</v>
          </cell>
          <cell r="Q5500">
            <v>1.52099E-2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4.4077499999999999E-2</v>
          </cell>
          <cell r="Y5500">
            <v>0</v>
          </cell>
          <cell r="Z5500">
            <v>0</v>
          </cell>
          <cell r="AA5500">
            <v>0</v>
          </cell>
          <cell r="AB5500">
            <v>0</v>
          </cell>
        </row>
        <row r="5501">
          <cell r="A5501">
            <v>75511040</v>
          </cell>
          <cell r="B5501" t="str">
            <v>Pepper, hot, pickled</v>
          </cell>
          <cell r="I5501">
            <v>30</v>
          </cell>
          <cell r="J5501">
            <v>6.6</v>
          </cell>
          <cell r="K5501">
            <v>0.22</v>
          </cell>
          <cell r="L5501">
            <v>0</v>
          </cell>
          <cell r="M5501">
            <v>1.83E-2</v>
          </cell>
          <cell r="N5501">
            <v>0</v>
          </cell>
          <cell r="O5501">
            <v>1.83E-2</v>
          </cell>
          <cell r="P5501">
            <v>0.78</v>
          </cell>
          <cell r="Q5501">
            <v>4.2900000000000001E-2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0.42899999999999999</v>
          </cell>
          <cell r="Y5501">
            <v>0</v>
          </cell>
          <cell r="Z5501">
            <v>0</v>
          </cell>
          <cell r="AA5501">
            <v>0</v>
          </cell>
          <cell r="AB5501">
            <v>2.9999999999999997E-4</v>
          </cell>
        </row>
        <row r="5502">
          <cell r="A5502">
            <v>75511100</v>
          </cell>
          <cell r="B5502" t="str">
            <v>Pickles, NS as to vegetable</v>
          </cell>
          <cell r="I5502">
            <v>30</v>
          </cell>
          <cell r="J5502">
            <v>3.6</v>
          </cell>
          <cell r="K5502">
            <v>0.12000000000000001</v>
          </cell>
          <cell r="L5502">
            <v>0</v>
          </cell>
          <cell r="M5502">
            <v>2.3699999999999999E-2</v>
          </cell>
          <cell r="N5502">
            <v>0</v>
          </cell>
          <cell r="O5502">
            <v>1.7100000000000001E-2</v>
          </cell>
          <cell r="P5502">
            <v>0.3</v>
          </cell>
          <cell r="Q5502">
            <v>3.6600000000000001E-2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0.2427</v>
          </cell>
          <cell r="Y5502">
            <v>0</v>
          </cell>
          <cell r="Z5502">
            <v>0</v>
          </cell>
          <cell r="AA5502">
            <v>0</v>
          </cell>
          <cell r="AB5502">
            <v>0</v>
          </cell>
        </row>
        <row r="5503">
          <cell r="A5503">
            <v>75512010</v>
          </cell>
          <cell r="B5503" t="str">
            <v>Radishes, pickled, Hawaiian style</v>
          </cell>
          <cell r="I5503">
            <v>30</v>
          </cell>
          <cell r="J5503">
            <v>8.4</v>
          </cell>
          <cell r="K5503">
            <v>0.28000000000000003</v>
          </cell>
          <cell r="L5503">
            <v>0</v>
          </cell>
          <cell r="M5503">
            <v>2.76E-2</v>
          </cell>
          <cell r="N5503">
            <v>0</v>
          </cell>
          <cell r="O5503">
            <v>8.3999999999999995E-3</v>
          </cell>
          <cell r="P5503">
            <v>0.66</v>
          </cell>
          <cell r="Q5503">
            <v>4.0500000000000001E-2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0.23669999999999999</v>
          </cell>
          <cell r="Y5503">
            <v>0</v>
          </cell>
          <cell r="Z5503">
            <v>0</v>
          </cell>
          <cell r="AA5503">
            <v>0</v>
          </cell>
          <cell r="AB5503">
            <v>0</v>
          </cell>
        </row>
        <row r="5504">
          <cell r="A5504">
            <v>75513010</v>
          </cell>
          <cell r="B5504" t="str">
            <v>Seaweed, pickled</v>
          </cell>
          <cell r="I5504">
            <v>30</v>
          </cell>
          <cell r="J5504">
            <v>43.419592999999999</v>
          </cell>
          <cell r="K5504">
            <v>1.4473197666666666</v>
          </cell>
          <cell r="L5504">
            <v>0</v>
          </cell>
          <cell r="M5504">
            <v>1.63296E-2</v>
          </cell>
          <cell r="N5504">
            <v>0</v>
          </cell>
          <cell r="O5504">
            <v>2.1732100000000001E-2</v>
          </cell>
          <cell r="P5504">
            <v>8.6868399999999998E-2</v>
          </cell>
          <cell r="Q5504">
            <v>1.38154E-2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4.1542099999999998E-2</v>
          </cell>
          <cell r="Y5504">
            <v>0</v>
          </cell>
          <cell r="Z5504">
            <v>0</v>
          </cell>
          <cell r="AA5504">
            <v>0</v>
          </cell>
          <cell r="AB5504">
            <v>0</v>
          </cell>
        </row>
        <row r="5505">
          <cell r="A5505">
            <v>75515100</v>
          </cell>
          <cell r="B5505" t="str">
            <v>Vegetables, pickled</v>
          </cell>
          <cell r="I5505">
            <v>30</v>
          </cell>
          <cell r="J5505">
            <v>7.9714305999999997</v>
          </cell>
          <cell r="K5505">
            <v>0.26571435333333332</v>
          </cell>
          <cell r="L5505">
            <v>0</v>
          </cell>
          <cell r="M5505">
            <v>1.61934E-2</v>
          </cell>
          <cell r="N5505">
            <v>0</v>
          </cell>
          <cell r="O5505">
            <v>6.6522999999999999E-3</v>
          </cell>
          <cell r="P5505">
            <v>0.56686040000000004</v>
          </cell>
          <cell r="Q5505">
            <v>1.8745600000000001E-2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6.3141000000000003E-2</v>
          </cell>
          <cell r="Y5505">
            <v>0</v>
          </cell>
          <cell r="Z5505">
            <v>0</v>
          </cell>
          <cell r="AA5505">
            <v>0</v>
          </cell>
          <cell r="AB5505">
            <v>0</v>
          </cell>
        </row>
        <row r="5506">
          <cell r="A5506">
            <v>75534030</v>
          </cell>
          <cell r="B5506" t="str">
            <v>Turnip, pickled</v>
          </cell>
          <cell r="I5506">
            <v>30</v>
          </cell>
          <cell r="J5506">
            <v>12.823815</v>
          </cell>
          <cell r="K5506">
            <v>0.42746049999999997</v>
          </cell>
          <cell r="L5506">
            <v>0</v>
          </cell>
          <cell r="M5506">
            <v>5.1640999999999996E-3</v>
          </cell>
          <cell r="N5506">
            <v>0</v>
          </cell>
          <cell r="O5506">
            <v>7.2957999999999999E-3</v>
          </cell>
          <cell r="P5506">
            <v>0.47089500000000001</v>
          </cell>
          <cell r="Q5506">
            <v>1.6386700000000001E-2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  <cell r="V5506">
            <v>0</v>
          </cell>
          <cell r="W5506">
            <v>0</v>
          </cell>
          <cell r="X5506">
            <v>5.80438E-2</v>
          </cell>
          <cell r="Y5506">
            <v>0</v>
          </cell>
          <cell r="Z5506">
            <v>0</v>
          </cell>
          <cell r="AA5506">
            <v>0</v>
          </cell>
          <cell r="AB5506">
            <v>0</v>
          </cell>
        </row>
        <row r="5507">
          <cell r="A5507">
            <v>75534550</v>
          </cell>
          <cell r="B5507" t="str">
            <v>Wasabi paste</v>
          </cell>
          <cell r="I5507">
            <v>30</v>
          </cell>
          <cell r="J5507">
            <v>87.6</v>
          </cell>
          <cell r="K5507">
            <v>2.92</v>
          </cell>
          <cell r="L5507">
            <v>1.83</v>
          </cell>
          <cell r="M5507">
            <v>0.60929999999999995</v>
          </cell>
          <cell r="N5507">
            <v>0</v>
          </cell>
          <cell r="O5507">
            <v>1.23E-2</v>
          </cell>
          <cell r="P5507">
            <v>0</v>
          </cell>
          <cell r="Q5507">
            <v>1.0881000000000001</v>
          </cell>
          <cell r="R5507">
            <v>0</v>
          </cell>
          <cell r="S5507">
            <v>0</v>
          </cell>
          <cell r="T5507">
            <v>0</v>
          </cell>
          <cell r="U5507">
            <v>27.606000000000002</v>
          </cell>
          <cell r="V5507">
            <v>0</v>
          </cell>
          <cell r="W5507">
            <v>0</v>
          </cell>
          <cell r="X5507">
            <v>1.0169999999999999</v>
          </cell>
          <cell r="Y5507">
            <v>0</v>
          </cell>
          <cell r="Z5507">
            <v>0</v>
          </cell>
          <cell r="AA5507">
            <v>0</v>
          </cell>
          <cell r="AB5507">
            <v>1.11E-2</v>
          </cell>
        </row>
        <row r="5508">
          <cell r="A5508">
            <v>75535000</v>
          </cell>
          <cell r="B5508" t="str">
            <v>Zucchini, pickled</v>
          </cell>
          <cell r="I5508">
            <v>30</v>
          </cell>
          <cell r="J5508">
            <v>11.331022000000001</v>
          </cell>
          <cell r="K5508">
            <v>0.37770073333333337</v>
          </cell>
          <cell r="L5508">
            <v>0</v>
          </cell>
          <cell r="M5508">
            <v>1.99889E-2</v>
          </cell>
          <cell r="N5508">
            <v>0</v>
          </cell>
          <cell r="O5508">
            <v>5.2557999999999997E-3</v>
          </cell>
          <cell r="P5508">
            <v>0.31841069999999999</v>
          </cell>
          <cell r="Q5508">
            <v>2.4920299999999999E-2</v>
          </cell>
          <cell r="R5508">
            <v>0</v>
          </cell>
          <cell r="S5508">
            <v>0</v>
          </cell>
          <cell r="T5508">
            <v>0</v>
          </cell>
          <cell r="U5508">
            <v>0</v>
          </cell>
          <cell r="V5508">
            <v>0</v>
          </cell>
          <cell r="W5508">
            <v>0</v>
          </cell>
          <cell r="X5508">
            <v>5.0168699999999997E-2</v>
          </cell>
          <cell r="Y5508">
            <v>0</v>
          </cell>
          <cell r="Z5508">
            <v>0</v>
          </cell>
          <cell r="AA5508">
            <v>0</v>
          </cell>
          <cell r="AB5508">
            <v>0</v>
          </cell>
        </row>
        <row r="5509">
          <cell r="A5509">
            <v>75601010</v>
          </cell>
          <cell r="B5509" t="str">
            <v>Asparagus soup, cream of, prepared with milk</v>
          </cell>
          <cell r="I5509">
            <v>245</v>
          </cell>
          <cell r="J5509">
            <v>145.32603</v>
          </cell>
          <cell r="K5509">
            <v>0.59316746938775511</v>
          </cell>
          <cell r="L5509">
            <v>0.26574160000000002</v>
          </cell>
          <cell r="M5509">
            <v>2.4167519</v>
          </cell>
          <cell r="N5509">
            <v>0</v>
          </cell>
          <cell r="O5509">
            <v>0.17340700000000001</v>
          </cell>
          <cell r="P5509">
            <v>0.2258597</v>
          </cell>
          <cell r="Q5509">
            <v>1.9086301000000001</v>
          </cell>
          <cell r="R5509">
            <v>0</v>
          </cell>
          <cell r="S5509">
            <v>0</v>
          </cell>
          <cell r="T5509">
            <v>0</v>
          </cell>
          <cell r="U5509">
            <v>57.210101999999999</v>
          </cell>
          <cell r="V5509">
            <v>0</v>
          </cell>
          <cell r="W5509">
            <v>0</v>
          </cell>
          <cell r="X5509">
            <v>0.87652529999999995</v>
          </cell>
          <cell r="Y5509">
            <v>0</v>
          </cell>
          <cell r="Z5509">
            <v>0</v>
          </cell>
          <cell r="AA5509">
            <v>0</v>
          </cell>
          <cell r="AB5509">
            <v>0.31210529999999997</v>
          </cell>
        </row>
        <row r="5510">
          <cell r="A5510">
            <v>75601020</v>
          </cell>
          <cell r="B5510" t="str">
            <v>Asparagus soup, cream of, prepared with water</v>
          </cell>
          <cell r="I5510">
            <v>245</v>
          </cell>
          <cell r="J5510">
            <v>86.031246999999993</v>
          </cell>
          <cell r="K5510">
            <v>0.35114794693877549</v>
          </cell>
          <cell r="L5510">
            <v>0.26959610000000001</v>
          </cell>
          <cell r="M5510">
            <v>1.0224002999999999</v>
          </cell>
          <cell r="N5510">
            <v>0</v>
          </cell>
          <cell r="O5510">
            <v>3.2286599999999999E-2</v>
          </cell>
          <cell r="P5510">
            <v>0.2291358</v>
          </cell>
          <cell r="Q5510">
            <v>1.8203712999999999</v>
          </cell>
          <cell r="R5510">
            <v>0</v>
          </cell>
          <cell r="S5510">
            <v>0</v>
          </cell>
          <cell r="T5510">
            <v>0</v>
          </cell>
          <cell r="U5510">
            <v>58.039921</v>
          </cell>
          <cell r="V5510">
            <v>0</v>
          </cell>
          <cell r="W5510">
            <v>0</v>
          </cell>
          <cell r="X5510">
            <v>0.83894170000000001</v>
          </cell>
          <cell r="Y5510">
            <v>0</v>
          </cell>
          <cell r="Z5510">
            <v>0</v>
          </cell>
          <cell r="AA5510">
            <v>0</v>
          </cell>
          <cell r="AB5510">
            <v>0.22739390000000001</v>
          </cell>
        </row>
        <row r="5511">
          <cell r="A5511">
            <v>75601100</v>
          </cell>
          <cell r="B5511" t="str">
            <v>Borscht</v>
          </cell>
          <cell r="I5511">
            <v>245</v>
          </cell>
          <cell r="J5511">
            <v>100.30768999999999</v>
          </cell>
          <cell r="K5511">
            <v>0.40941914285714281</v>
          </cell>
          <cell r="L5511">
            <v>2.6339795000000001</v>
          </cell>
          <cell r="M5511">
            <v>2.1845504</v>
          </cell>
          <cell r="N5511">
            <v>0</v>
          </cell>
          <cell r="O5511">
            <v>6.0363600000000003E-2</v>
          </cell>
          <cell r="P5511">
            <v>0</v>
          </cell>
          <cell r="Q5511">
            <v>0.254687</v>
          </cell>
          <cell r="R5511">
            <v>0</v>
          </cell>
          <cell r="S5511">
            <v>0</v>
          </cell>
          <cell r="T5511">
            <v>0</v>
          </cell>
          <cell r="U5511">
            <v>137.29605000000001</v>
          </cell>
          <cell r="V5511">
            <v>0</v>
          </cell>
          <cell r="W5511">
            <v>0</v>
          </cell>
          <cell r="X5511">
            <v>0.37910169999999999</v>
          </cell>
          <cell r="Y5511">
            <v>0</v>
          </cell>
          <cell r="Z5511">
            <v>0</v>
          </cell>
          <cell r="AA5511">
            <v>0</v>
          </cell>
          <cell r="AB5511">
            <v>0.16162650000000001</v>
          </cell>
        </row>
        <row r="5512">
          <cell r="A5512">
            <v>75601200</v>
          </cell>
          <cell r="B5512" t="str">
            <v>Cabbage soup, home recipe, canned or ready-to-serve</v>
          </cell>
          <cell r="I5512">
            <v>245</v>
          </cell>
          <cell r="J5512">
            <v>78.411564999999996</v>
          </cell>
          <cell r="K5512">
            <v>0.32004720408163262</v>
          </cell>
          <cell r="L5512">
            <v>1.1723828000000001</v>
          </cell>
          <cell r="M5512">
            <v>0.35586250000000003</v>
          </cell>
          <cell r="N5512">
            <v>0</v>
          </cell>
          <cell r="O5512">
            <v>2.98947E-2</v>
          </cell>
          <cell r="P5512">
            <v>1.41072</v>
          </cell>
          <cell r="Q5512">
            <v>0.63460780000000006</v>
          </cell>
          <cell r="R5512">
            <v>0</v>
          </cell>
          <cell r="S5512">
            <v>0</v>
          </cell>
          <cell r="T5512">
            <v>0</v>
          </cell>
          <cell r="U5512">
            <v>65.736214000000004</v>
          </cell>
          <cell r="V5512">
            <v>0</v>
          </cell>
          <cell r="W5512">
            <v>0</v>
          </cell>
          <cell r="X5512">
            <v>0.49204759999999997</v>
          </cell>
          <cell r="Y5512">
            <v>0</v>
          </cell>
          <cell r="Z5512">
            <v>0</v>
          </cell>
          <cell r="AA5512">
            <v>0</v>
          </cell>
          <cell r="AB5512">
            <v>7.0609000000000005E-2</v>
          </cell>
        </row>
        <row r="5513">
          <cell r="A5513">
            <v>75601210</v>
          </cell>
          <cell r="B5513" t="str">
            <v>Cabbage with meat soup, home recipe, canned or ready-to-serve</v>
          </cell>
          <cell r="I5513">
            <v>245</v>
          </cell>
          <cell r="J5513">
            <v>96.635579000000007</v>
          </cell>
          <cell r="K5513">
            <v>0.39443093469387758</v>
          </cell>
          <cell r="L5513">
            <v>0.95309770000000005</v>
          </cell>
          <cell r="M5513">
            <v>0.68703689999999995</v>
          </cell>
          <cell r="N5513">
            <v>0</v>
          </cell>
          <cell r="O5513">
            <v>2.74264E-2</v>
          </cell>
          <cell r="P5513">
            <v>0.77524599999999999</v>
          </cell>
          <cell r="Q5513">
            <v>0.76646270000000005</v>
          </cell>
          <cell r="R5513">
            <v>0</v>
          </cell>
          <cell r="S5513">
            <v>0</v>
          </cell>
          <cell r="T5513">
            <v>0</v>
          </cell>
          <cell r="U5513">
            <v>50.268662999999997</v>
          </cell>
          <cell r="V5513">
            <v>0</v>
          </cell>
          <cell r="W5513">
            <v>0</v>
          </cell>
          <cell r="X5513">
            <v>0.54637809999999998</v>
          </cell>
          <cell r="Y5513">
            <v>0</v>
          </cell>
          <cell r="Z5513">
            <v>26.758984000000002</v>
          </cell>
          <cell r="AA5513">
            <v>0</v>
          </cell>
          <cell r="AB5513">
            <v>7.3038199999999998E-2</v>
          </cell>
        </row>
        <row r="5514">
          <cell r="A5514">
            <v>75603010</v>
          </cell>
          <cell r="B5514" t="str">
            <v>Celery soup, cream of, prepared with milk, home recipe, canned or ready-to-serve</v>
          </cell>
          <cell r="I5514">
            <v>245</v>
          </cell>
          <cell r="J5514">
            <v>150.34424999999999</v>
          </cell>
          <cell r="K5514">
            <v>0.61364999999999992</v>
          </cell>
          <cell r="L5514">
            <v>0.27935710000000002</v>
          </cell>
          <cell r="M5514">
            <v>2.8807223</v>
          </cell>
          <cell r="N5514">
            <v>0</v>
          </cell>
          <cell r="O5514">
            <v>0.18450949999999999</v>
          </cell>
          <cell r="P5514">
            <v>0.45564290000000002</v>
          </cell>
          <cell r="Q5514">
            <v>2.5743865000000001</v>
          </cell>
          <cell r="R5514">
            <v>0</v>
          </cell>
          <cell r="S5514">
            <v>0</v>
          </cell>
          <cell r="T5514">
            <v>0</v>
          </cell>
          <cell r="U5514">
            <v>21.008749999999999</v>
          </cell>
          <cell r="V5514">
            <v>0</v>
          </cell>
          <cell r="W5514">
            <v>0</v>
          </cell>
          <cell r="X5514">
            <v>0.68666150000000004</v>
          </cell>
          <cell r="Y5514">
            <v>0</v>
          </cell>
          <cell r="Z5514">
            <v>0</v>
          </cell>
          <cell r="AA5514">
            <v>0</v>
          </cell>
          <cell r="AB5514">
            <v>0.1327962</v>
          </cell>
        </row>
        <row r="5515">
          <cell r="A5515">
            <v>75604010</v>
          </cell>
          <cell r="B5515" t="str">
            <v>Corn soup, cream of, prepared with milk</v>
          </cell>
          <cell r="I5515">
            <v>245</v>
          </cell>
          <cell r="J5515">
            <v>91.522667999999996</v>
          </cell>
          <cell r="K5515">
            <v>0.37356191020408164</v>
          </cell>
          <cell r="L5515">
            <v>4.249E-2</v>
          </cell>
          <cell r="M5515">
            <v>0.89824150000000003</v>
          </cell>
          <cell r="N5515">
            <v>0</v>
          </cell>
          <cell r="O5515">
            <v>8.2923700000000003E-2</v>
          </cell>
          <cell r="P5515">
            <v>1.6742611000000001</v>
          </cell>
          <cell r="Q5515">
            <v>0.43334460000000002</v>
          </cell>
          <cell r="R5515">
            <v>0</v>
          </cell>
          <cell r="S5515">
            <v>0</v>
          </cell>
          <cell r="T5515">
            <v>0</v>
          </cell>
          <cell r="U5515">
            <v>1.2875761999999999</v>
          </cell>
          <cell r="V5515">
            <v>0</v>
          </cell>
          <cell r="W5515">
            <v>0</v>
          </cell>
          <cell r="X5515">
            <v>0.56267999999999996</v>
          </cell>
          <cell r="Y5515">
            <v>0</v>
          </cell>
          <cell r="Z5515">
            <v>0</v>
          </cell>
          <cell r="AA5515">
            <v>0</v>
          </cell>
          <cell r="AB5515">
            <v>0.34128340000000001</v>
          </cell>
        </row>
        <row r="5516">
          <cell r="A5516">
            <v>75604020</v>
          </cell>
          <cell r="B5516" t="str">
            <v>Corn soup, cream of, prepared with water</v>
          </cell>
          <cell r="I5516">
            <v>245</v>
          </cell>
          <cell r="J5516">
            <v>160.13233</v>
          </cell>
          <cell r="K5516">
            <v>0.65360134693877547</v>
          </cell>
          <cell r="L5516">
            <v>0</v>
          </cell>
          <cell r="M5516">
            <v>2.4255293</v>
          </cell>
          <cell r="N5516">
            <v>0</v>
          </cell>
          <cell r="O5516">
            <v>9.4082000000000002E-3</v>
          </cell>
          <cell r="P5516">
            <v>2.0194046000000001</v>
          </cell>
          <cell r="Q5516">
            <v>0.47040209999999999</v>
          </cell>
          <cell r="R5516">
            <v>0</v>
          </cell>
          <cell r="S5516">
            <v>0</v>
          </cell>
          <cell r="T5516">
            <v>0</v>
          </cell>
          <cell r="U5516">
            <v>0</v>
          </cell>
          <cell r="V5516">
            <v>0</v>
          </cell>
          <cell r="W5516">
            <v>0</v>
          </cell>
          <cell r="X5516">
            <v>0.4566925</v>
          </cell>
          <cell r="Y5516">
            <v>0</v>
          </cell>
          <cell r="Z5516">
            <v>0</v>
          </cell>
          <cell r="AA5516">
            <v>0</v>
          </cell>
          <cell r="AB5516">
            <v>0.17747470000000001</v>
          </cell>
        </row>
        <row r="5517">
          <cell r="A5517">
            <v>75604600</v>
          </cell>
          <cell r="B5517" t="str">
            <v>Gazpacho</v>
          </cell>
          <cell r="I5517">
            <v>245</v>
          </cell>
          <cell r="J5517">
            <v>91.662447999999998</v>
          </cell>
          <cell r="K5517">
            <v>0.37413244081632652</v>
          </cell>
          <cell r="L5517">
            <v>2.4932097</v>
          </cell>
          <cell r="M5517">
            <v>0.78924190000000005</v>
          </cell>
          <cell r="N5517">
            <v>0</v>
          </cell>
          <cell r="O5517">
            <v>3.24517E-2</v>
          </cell>
          <cell r="P5517">
            <v>0.1252791</v>
          </cell>
          <cell r="Q5517">
            <v>2.3183074000000001</v>
          </cell>
          <cell r="R5517">
            <v>0</v>
          </cell>
          <cell r="S5517">
            <v>0</v>
          </cell>
          <cell r="T5517">
            <v>0</v>
          </cell>
          <cell r="U5517">
            <v>201.06530000000001</v>
          </cell>
          <cell r="V5517">
            <v>0</v>
          </cell>
          <cell r="W5517">
            <v>0</v>
          </cell>
          <cell r="X5517">
            <v>0.61367119999999997</v>
          </cell>
          <cell r="Y5517">
            <v>0</v>
          </cell>
          <cell r="Z5517">
            <v>0</v>
          </cell>
          <cell r="AA5517">
            <v>0</v>
          </cell>
          <cell r="AB5517">
            <v>1.8668199999999999E-2</v>
          </cell>
        </row>
        <row r="5518">
          <cell r="A5518">
            <v>75607000</v>
          </cell>
          <cell r="B5518" t="str">
            <v>Mushroom soup, NFS</v>
          </cell>
          <cell r="I5518">
            <v>245</v>
          </cell>
          <cell r="J5518">
            <v>95.55</v>
          </cell>
          <cell r="K5518">
            <v>0.39</v>
          </cell>
          <cell r="L5518">
            <v>0.25926650000000001</v>
          </cell>
          <cell r="M5518">
            <v>1.1564000000000001</v>
          </cell>
          <cell r="N5518">
            <v>0</v>
          </cell>
          <cell r="O5518">
            <v>1.7149999999999999E-2</v>
          </cell>
          <cell r="P5518">
            <v>0.47573349999999998</v>
          </cell>
          <cell r="Q5518">
            <v>3.4790000000000001</v>
          </cell>
          <cell r="R5518">
            <v>0</v>
          </cell>
          <cell r="S5518">
            <v>0</v>
          </cell>
          <cell r="T5518">
            <v>0</v>
          </cell>
          <cell r="U5518">
            <v>24.01</v>
          </cell>
          <cell r="V5518">
            <v>0</v>
          </cell>
          <cell r="W5518">
            <v>0</v>
          </cell>
          <cell r="X5518">
            <v>0.83299999999999996</v>
          </cell>
          <cell r="Y5518">
            <v>0</v>
          </cell>
          <cell r="Z5518">
            <v>0</v>
          </cell>
          <cell r="AA5518">
            <v>0</v>
          </cell>
          <cell r="AB5518">
            <v>0.452544</v>
          </cell>
        </row>
        <row r="5519">
          <cell r="A5519">
            <v>75607010</v>
          </cell>
          <cell r="B5519" t="str">
            <v>Mushroom soup, cream of, prepared with milk</v>
          </cell>
          <cell r="I5519">
            <v>245</v>
          </cell>
          <cell r="J5519">
            <v>158.80533</v>
          </cell>
          <cell r="K5519">
            <v>0.64818502040816328</v>
          </cell>
          <cell r="L5519">
            <v>0.30148259999999999</v>
          </cell>
          <cell r="M5519">
            <v>2.6907006</v>
          </cell>
          <cell r="N5519">
            <v>0</v>
          </cell>
          <cell r="O5519">
            <v>0.1604391</v>
          </cell>
          <cell r="P5519">
            <v>0.55319669999999999</v>
          </cell>
          <cell r="Q5519">
            <v>3.6668308000000001</v>
          </cell>
          <cell r="R5519">
            <v>0</v>
          </cell>
          <cell r="S5519">
            <v>0</v>
          </cell>
          <cell r="T5519">
            <v>0</v>
          </cell>
          <cell r="U5519">
            <v>23.93102</v>
          </cell>
          <cell r="V5519">
            <v>0</v>
          </cell>
          <cell r="W5519">
            <v>0</v>
          </cell>
          <cell r="X5519">
            <v>0.89843150000000005</v>
          </cell>
          <cell r="Y5519">
            <v>0</v>
          </cell>
          <cell r="Z5519">
            <v>0</v>
          </cell>
          <cell r="AA5519">
            <v>0</v>
          </cell>
          <cell r="AB5519">
            <v>0.56900150000000005</v>
          </cell>
        </row>
        <row r="5520">
          <cell r="A5520">
            <v>75607020</v>
          </cell>
          <cell r="B5520" t="str">
            <v>Mushroom soup, cream of, prepared with water</v>
          </cell>
          <cell r="I5520">
            <v>245</v>
          </cell>
          <cell r="J5520">
            <v>97.865081000000004</v>
          </cell>
          <cell r="K5520">
            <v>0.39944931020408164</v>
          </cell>
          <cell r="L5520">
            <v>0.30588470000000001</v>
          </cell>
          <cell r="M5520">
            <v>1.1942018000000001</v>
          </cell>
          <cell r="N5520">
            <v>0</v>
          </cell>
          <cell r="O5520">
            <v>1.84992E-2</v>
          </cell>
          <cell r="P5520">
            <v>0.56127419999999995</v>
          </cell>
          <cell r="Q5520">
            <v>3.5937543999999999</v>
          </cell>
          <cell r="R5520">
            <v>0</v>
          </cell>
          <cell r="S5520">
            <v>0</v>
          </cell>
          <cell r="T5520">
            <v>0</v>
          </cell>
          <cell r="U5520">
            <v>24.280450999999999</v>
          </cell>
          <cell r="V5520">
            <v>0</v>
          </cell>
          <cell r="W5520">
            <v>0</v>
          </cell>
          <cell r="X5520">
            <v>0.86085460000000003</v>
          </cell>
          <cell r="Y5520">
            <v>0</v>
          </cell>
          <cell r="Z5520">
            <v>0</v>
          </cell>
          <cell r="AA5520">
            <v>0</v>
          </cell>
          <cell r="AB5520">
            <v>2.8492400000000001E-2</v>
          </cell>
        </row>
        <row r="5521">
          <cell r="A5521">
            <v>75607040</v>
          </cell>
          <cell r="B5521" t="str">
            <v>Mushroom soup, with meat broth, prepared with water</v>
          </cell>
          <cell r="I5521">
            <v>245</v>
          </cell>
          <cell r="J5521">
            <v>84.512265999999997</v>
          </cell>
          <cell r="K5521">
            <v>0.34494802448979589</v>
          </cell>
          <cell r="L5521">
            <v>8.4776099999999993E-2</v>
          </cell>
          <cell r="M5521">
            <v>1.5411060000000001</v>
          </cell>
          <cell r="N5521">
            <v>0</v>
          </cell>
          <cell r="O5521">
            <v>1.3564100000000001E-2</v>
          </cell>
          <cell r="P5521">
            <v>3.9506600000000003E-2</v>
          </cell>
          <cell r="Q5521">
            <v>0.77055300000000004</v>
          </cell>
          <cell r="R5521">
            <v>0</v>
          </cell>
          <cell r="S5521">
            <v>0</v>
          </cell>
          <cell r="T5521">
            <v>0</v>
          </cell>
          <cell r="U5521">
            <v>42.628981000000003</v>
          </cell>
          <cell r="V5521">
            <v>0</v>
          </cell>
          <cell r="W5521">
            <v>0</v>
          </cell>
          <cell r="X5521">
            <v>0.96553429999999996</v>
          </cell>
          <cell r="Y5521">
            <v>0</v>
          </cell>
          <cell r="Z5521">
            <v>0</v>
          </cell>
          <cell r="AA5521">
            <v>0</v>
          </cell>
          <cell r="AB5521">
            <v>0.13283039999999999</v>
          </cell>
        </row>
        <row r="5522">
          <cell r="A5522">
            <v>75607060</v>
          </cell>
          <cell r="B5522" t="str">
            <v>Mushroom soup, cream of, NS as to made with milk or water</v>
          </cell>
          <cell r="I5522">
            <v>245</v>
          </cell>
          <cell r="J5522">
            <v>158.80533</v>
          </cell>
          <cell r="K5522">
            <v>0.64818502040816328</v>
          </cell>
          <cell r="L5522">
            <v>0.30148259999999999</v>
          </cell>
          <cell r="M5522">
            <v>2.6907006</v>
          </cell>
          <cell r="N5522">
            <v>0</v>
          </cell>
          <cell r="O5522">
            <v>0.1604391</v>
          </cell>
          <cell r="P5522">
            <v>0.55319669999999999</v>
          </cell>
          <cell r="Q5522">
            <v>3.6668308000000001</v>
          </cell>
          <cell r="R5522">
            <v>0</v>
          </cell>
          <cell r="S5522">
            <v>0</v>
          </cell>
          <cell r="T5522">
            <v>0</v>
          </cell>
          <cell r="U5522">
            <v>23.93102</v>
          </cell>
          <cell r="V5522">
            <v>0</v>
          </cell>
          <cell r="W5522">
            <v>0</v>
          </cell>
          <cell r="X5522">
            <v>0.89843150000000005</v>
          </cell>
          <cell r="Y5522">
            <v>0</v>
          </cell>
          <cell r="Z5522">
            <v>0</v>
          </cell>
          <cell r="AA5522">
            <v>0</v>
          </cell>
          <cell r="AB5522">
            <v>0.55935780000000002</v>
          </cell>
        </row>
        <row r="5523">
          <cell r="A5523">
            <v>75607140</v>
          </cell>
          <cell r="B5523" t="str">
            <v>Mushroom soup, cream of, canned, reduced sodium, prepared with water</v>
          </cell>
          <cell r="I5523">
            <v>245</v>
          </cell>
          <cell r="J5523">
            <v>64.627026999999998</v>
          </cell>
          <cell r="K5523">
            <v>0.26378378367346939</v>
          </cell>
          <cell r="L5523">
            <v>0.30215379999999997</v>
          </cell>
          <cell r="M5523">
            <v>0.65869849999999996</v>
          </cell>
          <cell r="N5523">
            <v>0</v>
          </cell>
          <cell r="O5523">
            <v>1.9778299999999999E-2</v>
          </cell>
          <cell r="P5523">
            <v>0.44354270000000001</v>
          </cell>
          <cell r="Q5523">
            <v>0.69598340000000003</v>
          </cell>
          <cell r="R5523">
            <v>0</v>
          </cell>
          <cell r="S5523">
            <v>0</v>
          </cell>
          <cell r="T5523">
            <v>0</v>
          </cell>
          <cell r="U5523">
            <v>30.449272000000001</v>
          </cell>
          <cell r="V5523">
            <v>0</v>
          </cell>
          <cell r="W5523">
            <v>0</v>
          </cell>
          <cell r="X5523">
            <v>0.48083160000000003</v>
          </cell>
          <cell r="Y5523">
            <v>0</v>
          </cell>
          <cell r="Z5523">
            <v>0</v>
          </cell>
          <cell r="AA5523">
            <v>0</v>
          </cell>
          <cell r="AB5523">
            <v>0.1285935</v>
          </cell>
        </row>
        <row r="5524">
          <cell r="A5524">
            <v>75608010</v>
          </cell>
          <cell r="B5524" t="str">
            <v>Onion soup, cream of, prepared with milk</v>
          </cell>
          <cell r="I5524">
            <v>245</v>
          </cell>
          <cell r="J5524">
            <v>168.52324999999999</v>
          </cell>
          <cell r="K5524">
            <v>0.68784999999999996</v>
          </cell>
          <cell r="L5524">
            <v>0</v>
          </cell>
          <cell r="M5524">
            <v>2.8468388</v>
          </cell>
          <cell r="N5524">
            <v>0</v>
          </cell>
          <cell r="O5524">
            <v>0.17869080000000001</v>
          </cell>
          <cell r="P5524">
            <v>0.49</v>
          </cell>
          <cell r="Q5524">
            <v>1.53566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0.83482529999999999</v>
          </cell>
          <cell r="Y5524">
            <v>0</v>
          </cell>
          <cell r="Z5524">
            <v>0</v>
          </cell>
          <cell r="AA5524">
            <v>0</v>
          </cell>
          <cell r="AB5524">
            <v>0.44997120000000002</v>
          </cell>
        </row>
        <row r="5525">
          <cell r="A5525">
            <v>75608100</v>
          </cell>
          <cell r="B5525" t="str">
            <v>Onion soup, French</v>
          </cell>
          <cell r="I5525">
            <v>245</v>
          </cell>
          <cell r="J5525">
            <v>366.31948999999997</v>
          </cell>
          <cell r="K5525">
            <v>1.4951815918367346</v>
          </cell>
          <cell r="L5525">
            <v>1.0648005</v>
          </cell>
          <cell r="M5525">
            <v>7.2726578999999996</v>
          </cell>
          <cell r="N5525">
            <v>0</v>
          </cell>
          <cell r="O5525">
            <v>0.31017289999999997</v>
          </cell>
          <cell r="P5525">
            <v>1.7012837000000001</v>
          </cell>
          <cell r="Q5525">
            <v>1.3313628</v>
          </cell>
          <cell r="R5525">
            <v>0</v>
          </cell>
          <cell r="S5525">
            <v>0</v>
          </cell>
          <cell r="T5525">
            <v>0</v>
          </cell>
          <cell r="U5525">
            <v>62.635323</v>
          </cell>
          <cell r="V5525">
            <v>0</v>
          </cell>
          <cell r="W5525">
            <v>0</v>
          </cell>
          <cell r="X5525">
            <v>1.0286271</v>
          </cell>
          <cell r="Y5525">
            <v>0</v>
          </cell>
          <cell r="Z5525">
            <v>0</v>
          </cell>
          <cell r="AA5525">
            <v>0</v>
          </cell>
          <cell r="AB5525">
            <v>0.38042690000000001</v>
          </cell>
        </row>
        <row r="5526">
          <cell r="A5526">
            <v>75608200</v>
          </cell>
          <cell r="B5526" t="str">
            <v>Onion soup, made from dry mix</v>
          </cell>
          <cell r="I5526">
            <v>245</v>
          </cell>
          <cell r="J5526">
            <v>29.4</v>
          </cell>
          <cell r="K5526">
            <v>0.12</v>
          </cell>
          <cell r="L5526">
            <v>0</v>
          </cell>
          <cell r="M5526">
            <v>9.7999999999999997E-3</v>
          </cell>
          <cell r="N5526">
            <v>0</v>
          </cell>
          <cell r="O5526">
            <v>2.205E-2</v>
          </cell>
          <cell r="P5526">
            <v>0.73499999999999999</v>
          </cell>
          <cell r="Q5526">
            <v>1.7149999999999999E-2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  <cell r="V5526">
            <v>0</v>
          </cell>
          <cell r="W5526">
            <v>0</v>
          </cell>
          <cell r="X5526">
            <v>0.84770000000000001</v>
          </cell>
          <cell r="Y5526">
            <v>0</v>
          </cell>
          <cell r="Z5526">
            <v>0</v>
          </cell>
          <cell r="AA5526">
            <v>0</v>
          </cell>
          <cell r="AB5526">
            <v>0</v>
          </cell>
        </row>
        <row r="5527">
          <cell r="A5527">
            <v>75611010</v>
          </cell>
          <cell r="B5527" t="str">
            <v>Vegetable soup, cream of, prepared with milk</v>
          </cell>
          <cell r="I5527">
            <v>245</v>
          </cell>
          <cell r="J5527">
            <v>209.69399999999999</v>
          </cell>
          <cell r="K5527">
            <v>0.85589387755102031</v>
          </cell>
          <cell r="L5527">
            <v>0.10879</v>
          </cell>
          <cell r="M5527">
            <v>4.0542267000000001</v>
          </cell>
          <cell r="N5527">
            <v>0</v>
          </cell>
          <cell r="O5527">
            <v>0.29394209999999998</v>
          </cell>
          <cell r="P5527">
            <v>0.53941629999999996</v>
          </cell>
          <cell r="Q5527">
            <v>1.5859059</v>
          </cell>
          <cell r="R5527">
            <v>0</v>
          </cell>
          <cell r="S5527">
            <v>0</v>
          </cell>
          <cell r="T5527">
            <v>0</v>
          </cell>
          <cell r="U5527">
            <v>7.4111583999999997</v>
          </cell>
          <cell r="V5527">
            <v>0</v>
          </cell>
          <cell r="W5527">
            <v>0</v>
          </cell>
          <cell r="X5527">
            <v>1.1705521000000001</v>
          </cell>
          <cell r="Y5527">
            <v>0</v>
          </cell>
          <cell r="Z5527">
            <v>0</v>
          </cell>
          <cell r="AA5527">
            <v>0</v>
          </cell>
          <cell r="AB5527">
            <v>0.54743869999999994</v>
          </cell>
        </row>
        <row r="5528">
          <cell r="A5528">
            <v>75612010</v>
          </cell>
          <cell r="B5528" t="str">
            <v>Zucchini soup, cream of, prepared with milk</v>
          </cell>
          <cell r="I5528">
            <v>245</v>
          </cell>
          <cell r="J5528">
            <v>51.757781999999999</v>
          </cell>
          <cell r="K5528">
            <v>0.21125625306122447</v>
          </cell>
          <cell r="L5528">
            <v>0.8212161</v>
          </cell>
          <cell r="M5528">
            <v>0.85436970000000001</v>
          </cell>
          <cell r="N5528">
            <v>0</v>
          </cell>
          <cell r="O5528">
            <v>9.2890100000000003E-2</v>
          </cell>
          <cell r="P5528">
            <v>0</v>
          </cell>
          <cell r="Q5528">
            <v>0.14553260000000001</v>
          </cell>
          <cell r="R5528">
            <v>0</v>
          </cell>
          <cell r="S5528">
            <v>0</v>
          </cell>
          <cell r="T5528">
            <v>0</v>
          </cell>
          <cell r="U5528">
            <v>79.160184999999998</v>
          </cell>
          <cell r="V5528">
            <v>0</v>
          </cell>
          <cell r="W5528">
            <v>0</v>
          </cell>
          <cell r="X5528">
            <v>0.4170896</v>
          </cell>
          <cell r="Y5528">
            <v>0</v>
          </cell>
          <cell r="Z5528">
            <v>0</v>
          </cell>
          <cell r="AA5528">
            <v>0</v>
          </cell>
          <cell r="AB5528">
            <v>0.28484670000000001</v>
          </cell>
        </row>
        <row r="5529">
          <cell r="A5529">
            <v>75647000</v>
          </cell>
          <cell r="B5529" t="str">
            <v>Seaweed soup</v>
          </cell>
          <cell r="I5529">
            <v>245</v>
          </cell>
          <cell r="J5529">
            <v>75.165509999999998</v>
          </cell>
          <cell r="K5529">
            <v>0.30679800000000002</v>
          </cell>
          <cell r="L5529">
            <v>0.51577430000000002</v>
          </cell>
          <cell r="M5529">
            <v>0.68901659999999998</v>
          </cell>
          <cell r="N5529">
            <v>0</v>
          </cell>
          <cell r="O5529">
            <v>9.0787900000000005E-2</v>
          </cell>
          <cell r="P5529">
            <v>1.4627100000000001E-2</v>
          </cell>
          <cell r="Q5529">
            <v>1.0147714999999999</v>
          </cell>
          <cell r="R5529">
            <v>0</v>
          </cell>
          <cell r="S5529">
            <v>0</v>
          </cell>
          <cell r="T5529">
            <v>0</v>
          </cell>
          <cell r="U5529">
            <v>56.900362999999999</v>
          </cell>
          <cell r="V5529">
            <v>0</v>
          </cell>
          <cell r="W5529">
            <v>0</v>
          </cell>
          <cell r="X5529">
            <v>1.1318826</v>
          </cell>
          <cell r="Y5529">
            <v>0</v>
          </cell>
          <cell r="Z5529">
            <v>14.660088999999999</v>
          </cell>
          <cell r="AA5529">
            <v>0</v>
          </cell>
          <cell r="AB5529">
            <v>4.4703E-3</v>
          </cell>
        </row>
        <row r="5530">
          <cell r="A5530">
            <v>75649010</v>
          </cell>
          <cell r="B5530" t="str">
            <v>Vegetable soup, canned, prepared with water or ready-to-serve</v>
          </cell>
          <cell r="I5530">
            <v>245</v>
          </cell>
          <cell r="J5530">
            <v>95.55</v>
          </cell>
          <cell r="K5530">
            <v>0.39</v>
          </cell>
          <cell r="L5530">
            <v>2.2436842000000001</v>
          </cell>
          <cell r="M5530">
            <v>0.11025</v>
          </cell>
          <cell r="N5530">
            <v>0</v>
          </cell>
          <cell r="O5530">
            <v>4.41E-2</v>
          </cell>
          <cell r="P5530">
            <v>0.45131579999999999</v>
          </cell>
          <cell r="Q5530">
            <v>0.32584999999999997</v>
          </cell>
          <cell r="R5530">
            <v>0</v>
          </cell>
          <cell r="S5530">
            <v>17.149999999999999</v>
          </cell>
          <cell r="T5530">
            <v>0</v>
          </cell>
          <cell r="U5530">
            <v>132.05500000000001</v>
          </cell>
          <cell r="V5530">
            <v>0</v>
          </cell>
          <cell r="W5530">
            <v>0</v>
          </cell>
          <cell r="X5530">
            <v>0.65415000000000001</v>
          </cell>
          <cell r="Y5530">
            <v>0</v>
          </cell>
          <cell r="Z5530">
            <v>0</v>
          </cell>
          <cell r="AA5530">
            <v>0</v>
          </cell>
          <cell r="AB5530">
            <v>0</v>
          </cell>
        </row>
        <row r="5531">
          <cell r="A5531">
            <v>75649040</v>
          </cell>
          <cell r="B5531" t="str">
            <v>Vegetable soup, reduced sodium, canned, ready to serve</v>
          </cell>
          <cell r="I5531">
            <v>245</v>
          </cell>
          <cell r="J5531">
            <v>122.5</v>
          </cell>
          <cell r="K5531">
            <v>0.5</v>
          </cell>
          <cell r="L5531">
            <v>1.5159374999999999</v>
          </cell>
          <cell r="M5531">
            <v>0.53164999999999996</v>
          </cell>
          <cell r="N5531">
            <v>0</v>
          </cell>
          <cell r="O5531">
            <v>6.1249999999999999E-2</v>
          </cell>
          <cell r="P5531">
            <v>1.1790624999999999</v>
          </cell>
          <cell r="Q5531">
            <v>0.23765</v>
          </cell>
          <cell r="R5531">
            <v>0</v>
          </cell>
          <cell r="S5531">
            <v>0</v>
          </cell>
          <cell r="T5531">
            <v>0</v>
          </cell>
          <cell r="U5531">
            <v>108.045</v>
          </cell>
          <cell r="V5531">
            <v>0</v>
          </cell>
          <cell r="W5531">
            <v>0</v>
          </cell>
          <cell r="X5531">
            <v>0.33810000000000001</v>
          </cell>
          <cell r="Y5531">
            <v>0</v>
          </cell>
          <cell r="Z5531">
            <v>0</v>
          </cell>
          <cell r="AA5531">
            <v>0</v>
          </cell>
          <cell r="AB5531">
            <v>2.7712799999999999E-2</v>
          </cell>
        </row>
        <row r="5532">
          <cell r="A5532">
            <v>75649050</v>
          </cell>
          <cell r="B5532" t="str">
            <v>Vegetable soup, made from dry mix</v>
          </cell>
          <cell r="I5532">
            <v>245</v>
          </cell>
          <cell r="J5532">
            <v>99.031182999999999</v>
          </cell>
          <cell r="K5532">
            <v>0.40420891020408162</v>
          </cell>
          <cell r="L5532">
            <v>0.1087264</v>
          </cell>
          <cell r="M5532">
            <v>1.3389194</v>
          </cell>
          <cell r="N5532">
            <v>0</v>
          </cell>
          <cell r="O5532">
            <v>3.6437600000000001E-2</v>
          </cell>
          <cell r="P5532">
            <v>0.55740259999999997</v>
          </cell>
          <cell r="Q5532">
            <v>1.3966505</v>
          </cell>
          <cell r="R5532">
            <v>0</v>
          </cell>
          <cell r="S5532">
            <v>0</v>
          </cell>
          <cell r="T5532">
            <v>0</v>
          </cell>
          <cell r="U5532">
            <v>6.5280645000000002</v>
          </cell>
          <cell r="V5532">
            <v>0</v>
          </cell>
          <cell r="W5532">
            <v>0</v>
          </cell>
          <cell r="X5532">
            <v>1.1095790000000001</v>
          </cell>
          <cell r="Y5532">
            <v>0</v>
          </cell>
          <cell r="Z5532">
            <v>0</v>
          </cell>
          <cell r="AA5532">
            <v>0</v>
          </cell>
          <cell r="AB5532">
            <v>6.7769300000000005E-2</v>
          </cell>
        </row>
        <row r="5533">
          <cell r="A5533">
            <v>75649110</v>
          </cell>
          <cell r="B5533" t="str">
            <v>Vegetable soup, home recipe</v>
          </cell>
          <cell r="I5533">
            <v>245</v>
          </cell>
          <cell r="J5533">
            <v>78.848782</v>
          </cell>
          <cell r="K5533">
            <v>0.3218317632653061</v>
          </cell>
          <cell r="L5533">
            <v>1.0462072</v>
          </cell>
          <cell r="M5533">
            <v>0.36280639999999997</v>
          </cell>
          <cell r="N5533">
            <v>0</v>
          </cell>
          <cell r="O5533">
            <v>2.81596E-2</v>
          </cell>
          <cell r="P5533">
            <v>1.4466603</v>
          </cell>
          <cell r="Q5533">
            <v>0.64971429999999997</v>
          </cell>
          <cell r="R5533">
            <v>0</v>
          </cell>
          <cell r="S5533">
            <v>0</v>
          </cell>
          <cell r="T5533">
            <v>0</v>
          </cell>
          <cell r="U5533">
            <v>61.169192000000002</v>
          </cell>
          <cell r="V5533">
            <v>0</v>
          </cell>
          <cell r="W5533">
            <v>0</v>
          </cell>
          <cell r="X5533">
            <v>0.50345969999999995</v>
          </cell>
          <cell r="Y5533">
            <v>0</v>
          </cell>
          <cell r="Z5533">
            <v>0</v>
          </cell>
          <cell r="AA5533">
            <v>0</v>
          </cell>
          <cell r="AB5533">
            <v>0.1085168</v>
          </cell>
        </row>
        <row r="5534">
          <cell r="A5534">
            <v>75649150</v>
          </cell>
          <cell r="B5534" t="str">
            <v>Vegetable noodle soup, home recipe</v>
          </cell>
          <cell r="I5534">
            <v>245</v>
          </cell>
          <cell r="J5534">
            <v>98.042100000000005</v>
          </cell>
          <cell r="K5534">
            <v>0.40017183673469392</v>
          </cell>
          <cell r="L5534">
            <v>0.87643320000000002</v>
          </cell>
          <cell r="M5534">
            <v>0.51313279999999994</v>
          </cell>
          <cell r="N5534">
            <v>0</v>
          </cell>
          <cell r="O5534">
            <v>2.8985500000000001E-2</v>
          </cell>
          <cell r="P5534">
            <v>1.1637439999999999</v>
          </cell>
          <cell r="Q5534">
            <v>0.82318519999999995</v>
          </cell>
          <cell r="R5534">
            <v>0</v>
          </cell>
          <cell r="S5534">
            <v>0</v>
          </cell>
          <cell r="T5534">
            <v>0</v>
          </cell>
          <cell r="U5534">
            <v>48.601911999999999</v>
          </cell>
          <cell r="V5534">
            <v>0</v>
          </cell>
          <cell r="W5534">
            <v>0</v>
          </cell>
          <cell r="X5534">
            <v>0.59290480000000001</v>
          </cell>
          <cell r="Y5534">
            <v>0</v>
          </cell>
          <cell r="Z5534">
            <v>0</v>
          </cell>
          <cell r="AA5534">
            <v>0</v>
          </cell>
          <cell r="AB5534">
            <v>0.1079599</v>
          </cell>
        </row>
        <row r="5535">
          <cell r="A5535">
            <v>75651000</v>
          </cell>
          <cell r="B5535" t="str">
            <v>Minestrone soup, home recipe</v>
          </cell>
          <cell r="I5535">
            <v>245</v>
          </cell>
          <cell r="J5535">
            <v>127.25476</v>
          </cell>
          <cell r="K5535">
            <v>0.51940718367346939</v>
          </cell>
          <cell r="L5535">
            <v>3.0081142999999999</v>
          </cell>
          <cell r="M5535">
            <v>0.49873000000000001</v>
          </cell>
          <cell r="N5535">
            <v>0</v>
          </cell>
          <cell r="O5535">
            <v>5.6312500000000001E-2</v>
          </cell>
          <cell r="P5535">
            <v>0.75930039999999999</v>
          </cell>
          <cell r="Q5535">
            <v>0.80190669999999997</v>
          </cell>
          <cell r="R5535">
            <v>0</v>
          </cell>
          <cell r="S5535">
            <v>34.903098999999997</v>
          </cell>
          <cell r="T5535">
            <v>0</v>
          </cell>
          <cell r="U5535">
            <v>44.569001</v>
          </cell>
          <cell r="V5535">
            <v>0</v>
          </cell>
          <cell r="W5535">
            <v>0</v>
          </cell>
          <cell r="X5535">
            <v>0.54492629999999997</v>
          </cell>
          <cell r="Y5535">
            <v>0</v>
          </cell>
          <cell r="Z5535">
            <v>0</v>
          </cell>
          <cell r="AA5535">
            <v>0</v>
          </cell>
          <cell r="AB5535">
            <v>8.0315700000000004E-2</v>
          </cell>
        </row>
        <row r="5536">
          <cell r="A5536">
            <v>75651010</v>
          </cell>
          <cell r="B5536" t="str">
            <v>Minestrone soup, canned, prepared with water, or ready-to-serve</v>
          </cell>
          <cell r="I5536">
            <v>245</v>
          </cell>
          <cell r="J5536">
            <v>83.545309000000003</v>
          </cell>
          <cell r="K5536">
            <v>0.34100126122448982</v>
          </cell>
          <cell r="L5536">
            <v>0.61497570000000001</v>
          </cell>
          <cell r="M5536">
            <v>0.54058729999999999</v>
          </cell>
          <cell r="N5536">
            <v>0</v>
          </cell>
          <cell r="O5536">
            <v>3.80652E-2</v>
          </cell>
          <cell r="P5536">
            <v>0.36791030000000002</v>
          </cell>
          <cell r="Q5536">
            <v>1.1180327999999999</v>
          </cell>
          <cell r="R5536">
            <v>0</v>
          </cell>
          <cell r="S5536">
            <v>10.750316</v>
          </cell>
          <cell r="T5536">
            <v>0</v>
          </cell>
          <cell r="U5536">
            <v>48.161414000000001</v>
          </cell>
          <cell r="V5536">
            <v>0</v>
          </cell>
          <cell r="W5536">
            <v>0</v>
          </cell>
          <cell r="X5536">
            <v>0.63884700000000005</v>
          </cell>
          <cell r="Y5536">
            <v>0</v>
          </cell>
          <cell r="Z5536">
            <v>0</v>
          </cell>
          <cell r="AA5536">
            <v>0</v>
          </cell>
          <cell r="AB5536">
            <v>8.0428299999999994E-2</v>
          </cell>
        </row>
        <row r="5537">
          <cell r="A5537">
            <v>75651020</v>
          </cell>
          <cell r="B5537" t="str">
            <v>Vegetable beef soup, canned, prepared with water, or ready-to-serve</v>
          </cell>
          <cell r="I5537">
            <v>245</v>
          </cell>
          <cell r="J5537">
            <v>78.298129000000003</v>
          </cell>
          <cell r="K5537">
            <v>0.31958419999999998</v>
          </cell>
          <cell r="L5537">
            <v>1.0509881999999999</v>
          </cell>
          <cell r="M5537">
            <v>0.8451227</v>
          </cell>
          <cell r="N5537">
            <v>0</v>
          </cell>
          <cell r="O5537">
            <v>1.9778299999999999E-2</v>
          </cell>
          <cell r="P5537">
            <v>0.93753580000000003</v>
          </cell>
          <cell r="Q5537">
            <v>0.1118545</v>
          </cell>
          <cell r="R5537">
            <v>0</v>
          </cell>
          <cell r="S5537">
            <v>0</v>
          </cell>
          <cell r="T5537">
            <v>0</v>
          </cell>
          <cell r="U5537">
            <v>45.673909000000002</v>
          </cell>
          <cell r="V5537">
            <v>0</v>
          </cell>
          <cell r="W5537">
            <v>0</v>
          </cell>
          <cell r="X5537">
            <v>0.88226490000000002</v>
          </cell>
          <cell r="Y5537">
            <v>0</v>
          </cell>
          <cell r="Z5537">
            <v>7.3991731999999999</v>
          </cell>
          <cell r="AA5537">
            <v>0</v>
          </cell>
          <cell r="AB5537">
            <v>0</v>
          </cell>
        </row>
        <row r="5538">
          <cell r="A5538">
            <v>75651030</v>
          </cell>
          <cell r="B5538" t="str">
            <v>Vegetable beef noodle soup, prepared with water</v>
          </cell>
          <cell r="I5538">
            <v>245</v>
          </cell>
          <cell r="J5538">
            <v>78.330698999999996</v>
          </cell>
          <cell r="K5538">
            <v>0.31971713877551017</v>
          </cell>
          <cell r="L5538">
            <v>1.0514253</v>
          </cell>
          <cell r="M5538">
            <v>0.84547419999999995</v>
          </cell>
          <cell r="N5538">
            <v>0</v>
          </cell>
          <cell r="O5538">
            <v>1.97834E-2</v>
          </cell>
          <cell r="P5538">
            <v>0.93792569999999997</v>
          </cell>
          <cell r="Q5538">
            <v>0.111901</v>
          </cell>
          <cell r="R5538">
            <v>0</v>
          </cell>
          <cell r="S5538">
            <v>0</v>
          </cell>
          <cell r="T5538">
            <v>0</v>
          </cell>
          <cell r="U5538">
            <v>45.692908000000003</v>
          </cell>
          <cell r="V5538">
            <v>0</v>
          </cell>
          <cell r="W5538">
            <v>0</v>
          </cell>
          <cell r="X5538">
            <v>0.88262779999999996</v>
          </cell>
          <cell r="Y5538">
            <v>0</v>
          </cell>
          <cell r="Z5538">
            <v>7.4022509999999997</v>
          </cell>
          <cell r="AA5538">
            <v>0</v>
          </cell>
          <cell r="AB5538">
            <v>6.5814000000000003E-3</v>
          </cell>
        </row>
        <row r="5539">
          <cell r="A5539">
            <v>75651040</v>
          </cell>
          <cell r="B5539" t="str">
            <v>Vegetable noodle soup, canned, prepared with water, or ready-to-serve</v>
          </cell>
          <cell r="I5539">
            <v>245</v>
          </cell>
          <cell r="J5539">
            <v>72.487842000000001</v>
          </cell>
          <cell r="K5539">
            <v>0.29586874285714287</v>
          </cell>
          <cell r="L5539">
            <v>0.37950840000000002</v>
          </cell>
          <cell r="M5539">
            <v>0.29486580000000001</v>
          </cell>
          <cell r="N5539">
            <v>0</v>
          </cell>
          <cell r="O5539">
            <v>2.4550499999999999E-2</v>
          </cell>
          <cell r="P5539">
            <v>0.23479530000000001</v>
          </cell>
          <cell r="Q5539">
            <v>0.72487840000000003</v>
          </cell>
          <cell r="R5539">
            <v>0</v>
          </cell>
          <cell r="S5539">
            <v>0</v>
          </cell>
          <cell r="T5539">
            <v>0</v>
          </cell>
          <cell r="U5539">
            <v>69.232032000000004</v>
          </cell>
          <cell r="V5539">
            <v>0</v>
          </cell>
          <cell r="W5539">
            <v>0</v>
          </cell>
          <cell r="X5539">
            <v>0.63884700000000005</v>
          </cell>
          <cell r="Y5539">
            <v>0</v>
          </cell>
          <cell r="Z5539">
            <v>0</v>
          </cell>
          <cell r="AA5539">
            <v>0</v>
          </cell>
          <cell r="AB5539">
            <v>4.8914699999999998E-2</v>
          </cell>
        </row>
        <row r="5540">
          <cell r="A5540">
            <v>75651070</v>
          </cell>
          <cell r="B5540" t="str">
            <v>Vegetable rice soup, canned, prepared with water or ready-to-serve</v>
          </cell>
          <cell r="I5540">
            <v>245</v>
          </cell>
          <cell r="J5540">
            <v>129.85</v>
          </cell>
          <cell r="K5540">
            <v>0.53</v>
          </cell>
          <cell r="L5540">
            <v>4.1073611000000003</v>
          </cell>
          <cell r="M5540">
            <v>1.5189999999999999</v>
          </cell>
          <cell r="N5540">
            <v>0</v>
          </cell>
          <cell r="O5540">
            <v>6.1249999999999999E-2</v>
          </cell>
          <cell r="P5540">
            <v>1.7726389</v>
          </cell>
          <cell r="Q5540">
            <v>0.26950000000000002</v>
          </cell>
          <cell r="R5540">
            <v>0</v>
          </cell>
          <cell r="S5540">
            <v>21.4375</v>
          </cell>
          <cell r="T5540">
            <v>0</v>
          </cell>
          <cell r="U5540">
            <v>96.04</v>
          </cell>
          <cell r="V5540">
            <v>0</v>
          </cell>
          <cell r="W5540">
            <v>0</v>
          </cell>
          <cell r="X5540">
            <v>0.7056</v>
          </cell>
          <cell r="Y5540">
            <v>0</v>
          </cell>
          <cell r="Z5540">
            <v>0</v>
          </cell>
          <cell r="AA5540">
            <v>0</v>
          </cell>
          <cell r="AB5540">
            <v>2.7209500000000001E-2</v>
          </cell>
        </row>
        <row r="5541">
          <cell r="A5541">
            <v>75651080</v>
          </cell>
          <cell r="B5541" t="str">
            <v>Vegetable beef soup with rice, canned, prepared with water or ready-to-serve</v>
          </cell>
          <cell r="I5541">
            <v>245</v>
          </cell>
          <cell r="J5541">
            <v>78.330698999999996</v>
          </cell>
          <cell r="K5541">
            <v>0.31971713877551017</v>
          </cell>
          <cell r="L5541">
            <v>0.77844170000000001</v>
          </cell>
          <cell r="M5541">
            <v>0.84547419999999995</v>
          </cell>
          <cell r="N5541">
            <v>0</v>
          </cell>
          <cell r="O5541">
            <v>1.97834E-2</v>
          </cell>
          <cell r="P5541">
            <v>1.2109094</v>
          </cell>
          <cell r="Q5541">
            <v>0.111901</v>
          </cell>
          <cell r="R5541">
            <v>0</v>
          </cell>
          <cell r="S5541">
            <v>0</v>
          </cell>
          <cell r="T5541">
            <v>0</v>
          </cell>
          <cell r="U5541">
            <v>27.415745000000001</v>
          </cell>
          <cell r="V5541">
            <v>0</v>
          </cell>
          <cell r="W5541">
            <v>0</v>
          </cell>
          <cell r="X5541">
            <v>0.88262779999999996</v>
          </cell>
          <cell r="Y5541">
            <v>0</v>
          </cell>
          <cell r="Z5541">
            <v>7.4022509999999997</v>
          </cell>
          <cell r="AA5541">
            <v>0</v>
          </cell>
          <cell r="AB5541">
            <v>0</v>
          </cell>
        </row>
        <row r="5542">
          <cell r="A5542">
            <v>75651110</v>
          </cell>
          <cell r="B5542" t="str">
            <v>Vegetable chicken rice soup, canned, prepared with water or ready-to-serve</v>
          </cell>
          <cell r="I5542">
            <v>245</v>
          </cell>
          <cell r="J5542">
            <v>129.85</v>
          </cell>
          <cell r="K5542">
            <v>0.53</v>
          </cell>
          <cell r="L5542">
            <v>0.58347210000000005</v>
          </cell>
          <cell r="M5542">
            <v>0.98</v>
          </cell>
          <cell r="N5542">
            <v>0</v>
          </cell>
          <cell r="O5542">
            <v>3.4299999999999997E-2</v>
          </cell>
          <cell r="P5542">
            <v>0.39652789999999999</v>
          </cell>
          <cell r="Q5542">
            <v>0.68600000000000005</v>
          </cell>
          <cell r="R5542">
            <v>0</v>
          </cell>
          <cell r="S5542">
            <v>0</v>
          </cell>
          <cell r="T5542">
            <v>0</v>
          </cell>
          <cell r="U5542">
            <v>54.022500000000001</v>
          </cell>
          <cell r="V5542">
            <v>0</v>
          </cell>
          <cell r="W5542">
            <v>0</v>
          </cell>
          <cell r="X5542">
            <v>0.90649999999999997</v>
          </cell>
          <cell r="Y5542">
            <v>0</v>
          </cell>
          <cell r="Z5542">
            <v>0</v>
          </cell>
          <cell r="AA5542">
            <v>0</v>
          </cell>
          <cell r="AB5542">
            <v>0</v>
          </cell>
        </row>
        <row r="5543">
          <cell r="A5543">
            <v>75651140</v>
          </cell>
          <cell r="B5543" t="str">
            <v>Vegetable soup with chicken broth, Mexican style, home recipe (Sopa Ranchera)</v>
          </cell>
          <cell r="I5543">
            <v>245</v>
          </cell>
          <cell r="J5543">
            <v>133.77677</v>
          </cell>
          <cell r="K5543">
            <v>0.5460276326530612</v>
          </cell>
          <cell r="L5543">
            <v>0.71718110000000002</v>
          </cell>
          <cell r="M5543">
            <v>1.1839071999999999</v>
          </cell>
          <cell r="N5543">
            <v>0</v>
          </cell>
          <cell r="O5543">
            <v>1.5063500000000001E-2</v>
          </cell>
          <cell r="P5543">
            <v>0.70722459999999998</v>
          </cell>
          <cell r="Q5543">
            <v>2.2528442000000002</v>
          </cell>
          <cell r="R5543">
            <v>0</v>
          </cell>
          <cell r="S5543">
            <v>0</v>
          </cell>
          <cell r="T5543">
            <v>0</v>
          </cell>
          <cell r="U5543">
            <v>53.575229999999998</v>
          </cell>
          <cell r="V5543">
            <v>0</v>
          </cell>
          <cell r="W5543">
            <v>0</v>
          </cell>
          <cell r="X5543">
            <v>0.469084</v>
          </cell>
          <cell r="Y5543">
            <v>0</v>
          </cell>
          <cell r="Z5543">
            <v>0</v>
          </cell>
          <cell r="AA5543">
            <v>0</v>
          </cell>
          <cell r="AB5543">
            <v>1.5260299999999999E-2</v>
          </cell>
        </row>
        <row r="5544">
          <cell r="A5544">
            <v>75651150</v>
          </cell>
          <cell r="B5544" t="str">
            <v>Vegetable noodle soup, reduced sodium, canned, prepared with water or ready-to-serve</v>
          </cell>
          <cell r="I5544">
            <v>245</v>
          </cell>
          <cell r="J5544">
            <v>122.5</v>
          </cell>
          <cell r="K5544">
            <v>0.5</v>
          </cell>
          <cell r="L5544">
            <v>4.6398486999999999</v>
          </cell>
          <cell r="M5544">
            <v>0.34300000000000003</v>
          </cell>
          <cell r="N5544">
            <v>0</v>
          </cell>
          <cell r="O5544">
            <v>4.9000000000000002E-2</v>
          </cell>
          <cell r="P5544">
            <v>1.2401513</v>
          </cell>
          <cell r="Q5544">
            <v>0.61250000000000004</v>
          </cell>
          <cell r="R5544">
            <v>0</v>
          </cell>
          <cell r="S5544">
            <v>25.725000000000001</v>
          </cell>
          <cell r="T5544">
            <v>0</v>
          </cell>
          <cell r="U5544">
            <v>209.14634000000001</v>
          </cell>
          <cell r="V5544">
            <v>0</v>
          </cell>
          <cell r="W5544">
            <v>0</v>
          </cell>
          <cell r="X5544">
            <v>0.52675000000000005</v>
          </cell>
          <cell r="Y5544">
            <v>0</v>
          </cell>
          <cell r="Z5544">
            <v>0</v>
          </cell>
          <cell r="AA5544">
            <v>0</v>
          </cell>
          <cell r="AB5544">
            <v>7.5320300000000007E-2</v>
          </cell>
        </row>
        <row r="5545">
          <cell r="A5545">
            <v>75652010</v>
          </cell>
          <cell r="B5545" t="str">
            <v>Vegetable beef soup, home recipe</v>
          </cell>
          <cell r="I5545">
            <v>245</v>
          </cell>
          <cell r="J5545">
            <v>115.19238</v>
          </cell>
          <cell r="K5545">
            <v>0.47017297959183674</v>
          </cell>
          <cell r="L5545">
            <v>0.81182089999999996</v>
          </cell>
          <cell r="M5545">
            <v>1.1138858</v>
          </cell>
          <cell r="N5545">
            <v>0</v>
          </cell>
          <cell r="O5545">
            <v>2.8143100000000001E-2</v>
          </cell>
          <cell r="P5545">
            <v>0.80086230000000003</v>
          </cell>
          <cell r="Q5545">
            <v>0.72297109999999998</v>
          </cell>
          <cell r="R5545">
            <v>0</v>
          </cell>
          <cell r="S5545">
            <v>0</v>
          </cell>
          <cell r="T5545">
            <v>0</v>
          </cell>
          <cell r="U5545">
            <v>45.018889000000001</v>
          </cell>
          <cell r="V5545">
            <v>0</v>
          </cell>
          <cell r="W5545">
            <v>0</v>
          </cell>
          <cell r="X5545">
            <v>0.56224819999999998</v>
          </cell>
          <cell r="Y5545">
            <v>0</v>
          </cell>
          <cell r="Z5545">
            <v>26.458469999999998</v>
          </cell>
          <cell r="AA5545">
            <v>0</v>
          </cell>
          <cell r="AB5545">
            <v>0.19615050000000001</v>
          </cell>
        </row>
        <row r="5546">
          <cell r="A5546">
            <v>75652040</v>
          </cell>
          <cell r="B5546" t="str">
            <v>Vegetable beef soup with noodles or pasta, home recipe</v>
          </cell>
          <cell r="I5546">
            <v>245</v>
          </cell>
          <cell r="J5546">
            <v>139.68854999999999</v>
          </cell>
          <cell r="K5546">
            <v>0.57015734693877551</v>
          </cell>
          <cell r="L5546">
            <v>0.83363920000000002</v>
          </cell>
          <cell r="M5546">
            <v>1.2417635</v>
          </cell>
          <cell r="N5546">
            <v>0</v>
          </cell>
          <cell r="O5546">
            <v>3.0092500000000001E-2</v>
          </cell>
          <cell r="P5546">
            <v>0.78757770000000005</v>
          </cell>
          <cell r="Q5546">
            <v>0.85077720000000001</v>
          </cell>
          <cell r="R5546">
            <v>0</v>
          </cell>
          <cell r="S5546">
            <v>0</v>
          </cell>
          <cell r="T5546">
            <v>0</v>
          </cell>
          <cell r="U5546">
            <v>46.228805999999999</v>
          </cell>
          <cell r="V5546">
            <v>0</v>
          </cell>
          <cell r="W5546">
            <v>0</v>
          </cell>
          <cell r="X5546">
            <v>0.57825729999999997</v>
          </cell>
          <cell r="Y5546">
            <v>0</v>
          </cell>
          <cell r="Z5546">
            <v>27.169561000000002</v>
          </cell>
          <cell r="AA5546">
            <v>0</v>
          </cell>
          <cell r="AB5546">
            <v>0.15862219999999999</v>
          </cell>
        </row>
        <row r="5547">
          <cell r="A5547">
            <v>75652050</v>
          </cell>
          <cell r="B5547" t="str">
            <v>Vegetable beef soup with rice, home recipe</v>
          </cell>
          <cell r="I5547">
            <v>245</v>
          </cell>
          <cell r="J5547">
            <v>140.21879999999999</v>
          </cell>
          <cell r="K5547">
            <v>0.57232163265306113</v>
          </cell>
          <cell r="L5547">
            <v>0.8312486</v>
          </cell>
          <cell r="M5547">
            <v>1.1534917</v>
          </cell>
          <cell r="N5547">
            <v>0</v>
          </cell>
          <cell r="O5547">
            <v>2.9601100000000002E-2</v>
          </cell>
          <cell r="P5547">
            <v>0.62250139999999998</v>
          </cell>
          <cell r="Q5547">
            <v>0.75036530000000001</v>
          </cell>
          <cell r="R5547">
            <v>0</v>
          </cell>
          <cell r="S5547">
            <v>0</v>
          </cell>
          <cell r="T5547">
            <v>0</v>
          </cell>
          <cell r="U5547">
            <v>46.096240000000002</v>
          </cell>
          <cell r="V5547">
            <v>0</v>
          </cell>
          <cell r="W5547">
            <v>0</v>
          </cell>
          <cell r="X5547">
            <v>0.57525859999999995</v>
          </cell>
          <cell r="Y5547">
            <v>0</v>
          </cell>
          <cell r="Z5547">
            <v>27.091650000000001</v>
          </cell>
          <cell r="AA5547">
            <v>0</v>
          </cell>
          <cell r="AB5547">
            <v>9.8150000000000001E-2</v>
          </cell>
        </row>
        <row r="5548">
          <cell r="A5548">
            <v>75654010</v>
          </cell>
          <cell r="B5548" t="str">
            <v>Vegetarian vegetable soup, prepared with water</v>
          </cell>
          <cell r="I5548">
            <v>245</v>
          </cell>
          <cell r="J5548">
            <v>72.487842000000001</v>
          </cell>
          <cell r="K5548">
            <v>0.29586874285714287</v>
          </cell>
          <cell r="L5548">
            <v>0.37950840000000002</v>
          </cell>
          <cell r="M5548">
            <v>0.29486580000000001</v>
          </cell>
          <cell r="N5548">
            <v>0</v>
          </cell>
          <cell r="O5548">
            <v>2.4550499999999999E-2</v>
          </cell>
          <cell r="P5548">
            <v>0.23479530000000001</v>
          </cell>
          <cell r="Q5548">
            <v>0.72487840000000003</v>
          </cell>
          <cell r="R5548">
            <v>0</v>
          </cell>
          <cell r="S5548">
            <v>0</v>
          </cell>
          <cell r="T5548">
            <v>0</v>
          </cell>
          <cell r="U5548">
            <v>69.232032000000004</v>
          </cell>
          <cell r="V5548">
            <v>0</v>
          </cell>
          <cell r="W5548">
            <v>0</v>
          </cell>
          <cell r="X5548">
            <v>0.63884700000000005</v>
          </cell>
          <cell r="Y5548">
            <v>0</v>
          </cell>
          <cell r="Z5548">
            <v>0</v>
          </cell>
          <cell r="AA5548">
            <v>0</v>
          </cell>
          <cell r="AB5548">
            <v>4.8692800000000001E-2</v>
          </cell>
        </row>
        <row r="5549">
          <cell r="A5549">
            <v>75656020</v>
          </cell>
          <cell r="B5549" t="str">
            <v>Vegetable soup, chunky style</v>
          </cell>
          <cell r="I5549">
            <v>245</v>
          </cell>
          <cell r="J5549">
            <v>95.55</v>
          </cell>
          <cell r="K5549">
            <v>0.39</v>
          </cell>
          <cell r="L5549">
            <v>2.2436842000000001</v>
          </cell>
          <cell r="M5549">
            <v>0.11025</v>
          </cell>
          <cell r="N5549">
            <v>0</v>
          </cell>
          <cell r="O5549">
            <v>4.41E-2</v>
          </cell>
          <cell r="P5549">
            <v>0.45131579999999999</v>
          </cell>
          <cell r="Q5549">
            <v>0.32584999999999997</v>
          </cell>
          <cell r="R5549">
            <v>0</v>
          </cell>
          <cell r="S5549">
            <v>17.149999999999999</v>
          </cell>
          <cell r="T5549">
            <v>0</v>
          </cell>
          <cell r="U5549">
            <v>132.05500000000001</v>
          </cell>
          <cell r="V5549">
            <v>0</v>
          </cell>
          <cell r="W5549">
            <v>0</v>
          </cell>
          <cell r="X5549">
            <v>0.65415000000000001</v>
          </cell>
          <cell r="Y5549">
            <v>0</v>
          </cell>
          <cell r="Z5549">
            <v>0</v>
          </cell>
          <cell r="AA5549">
            <v>0</v>
          </cell>
          <cell r="AB5549">
            <v>0</v>
          </cell>
        </row>
        <row r="5550">
          <cell r="A5550">
            <v>75656060</v>
          </cell>
          <cell r="B5550" t="str">
            <v>Vegetable beef soup, chunky style</v>
          </cell>
          <cell r="I5550">
            <v>245</v>
          </cell>
          <cell r="J5550">
            <v>161.69999999999999</v>
          </cell>
          <cell r="K5550">
            <v>0.65999999999999992</v>
          </cell>
          <cell r="L5550">
            <v>1.127</v>
          </cell>
          <cell r="M5550">
            <v>1.3573</v>
          </cell>
          <cell r="N5550">
            <v>0</v>
          </cell>
          <cell r="O5550">
            <v>3.1850000000000003E-2</v>
          </cell>
          <cell r="P5550">
            <v>0.34300000000000003</v>
          </cell>
          <cell r="Q5550">
            <v>0.11515</v>
          </cell>
          <cell r="R5550">
            <v>0</v>
          </cell>
          <cell r="S5550">
            <v>12.862500000000001</v>
          </cell>
          <cell r="T5550">
            <v>0</v>
          </cell>
          <cell r="U5550">
            <v>66.027500000000003</v>
          </cell>
          <cell r="V5550">
            <v>0</v>
          </cell>
          <cell r="W5550">
            <v>0</v>
          </cell>
          <cell r="X5550">
            <v>0.82809999999999995</v>
          </cell>
          <cell r="Y5550">
            <v>0</v>
          </cell>
          <cell r="Z5550">
            <v>14.586074999999999</v>
          </cell>
          <cell r="AA5550">
            <v>0</v>
          </cell>
          <cell r="AB5550">
            <v>4.7124600000000003E-2</v>
          </cell>
        </row>
        <row r="5551">
          <cell r="A5551">
            <v>75657000</v>
          </cell>
          <cell r="B5551" t="str">
            <v>Vegetable broth, bouillon</v>
          </cell>
          <cell r="I5551">
            <v>3.5</v>
          </cell>
          <cell r="J5551">
            <v>0.17499999999999999</v>
          </cell>
          <cell r="K5551">
            <v>4.9999999999999996E-2</v>
          </cell>
          <cell r="L5551">
            <v>0</v>
          </cell>
          <cell r="M5551">
            <v>9.7999999999999997E-4</v>
          </cell>
          <cell r="N5551">
            <v>0</v>
          </cell>
          <cell r="O5551">
            <v>1.05E-4</v>
          </cell>
          <cell r="P5551">
            <v>0</v>
          </cell>
          <cell r="Q5551">
            <v>1.3999999999999999E-4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1.0359999999999999E-2</v>
          </cell>
          <cell r="Y5551">
            <v>0</v>
          </cell>
          <cell r="Z5551">
            <v>0</v>
          </cell>
          <cell r="AA5551">
            <v>0</v>
          </cell>
          <cell r="AB5551">
            <v>0</v>
          </cell>
        </row>
        <row r="5552">
          <cell r="A5552">
            <v>77121010</v>
          </cell>
          <cell r="B5552" t="str">
            <v>Fried stuffed potatoes, Puerto Rican style (Rellenos de papas)</v>
          </cell>
          <cell r="I5552">
            <v>140</v>
          </cell>
          <cell r="J5552">
            <v>223.12450000000001</v>
          </cell>
          <cell r="K5552">
            <v>1.5937464285714287</v>
          </cell>
          <cell r="L5552">
            <v>0.13203860000000001</v>
          </cell>
          <cell r="M5552">
            <v>2.7397828999999998</v>
          </cell>
          <cell r="N5552">
            <v>0</v>
          </cell>
          <cell r="O5552">
            <v>2.0879499999999999E-2</v>
          </cell>
          <cell r="P5552">
            <v>2.2555000999999999</v>
          </cell>
          <cell r="Q5552">
            <v>4.2092945999999998</v>
          </cell>
          <cell r="R5552">
            <v>0</v>
          </cell>
          <cell r="S5552">
            <v>0</v>
          </cell>
          <cell r="T5552">
            <v>0</v>
          </cell>
          <cell r="U5552">
            <v>7.3742815999999998</v>
          </cell>
          <cell r="V5552">
            <v>0</v>
          </cell>
          <cell r="W5552">
            <v>0</v>
          </cell>
          <cell r="X5552">
            <v>0.1246995</v>
          </cell>
          <cell r="Y5552">
            <v>0</v>
          </cell>
          <cell r="Z5552">
            <v>8.5306780999999994</v>
          </cell>
          <cell r="AA5552">
            <v>0.40867930000000002</v>
          </cell>
          <cell r="AB5552">
            <v>0.19431390000000001</v>
          </cell>
        </row>
        <row r="5553">
          <cell r="A5553">
            <v>77201210</v>
          </cell>
          <cell r="B5553" t="str">
            <v>Green plantain with cracklings, Puerto Rican style</v>
          </cell>
          <cell r="I5553">
            <v>140</v>
          </cell>
          <cell r="J5553">
            <v>375.35309999999998</v>
          </cell>
          <cell r="K5553">
            <v>2.6810935714285713</v>
          </cell>
          <cell r="L5553">
            <v>-3.1100000000000002E-16</v>
          </cell>
          <cell r="M5553">
            <v>5.5643827000000003</v>
          </cell>
          <cell r="N5553">
            <v>0</v>
          </cell>
          <cell r="O5553">
            <v>6.2895E-3</v>
          </cell>
          <cell r="P5553">
            <v>2.2194069999999999</v>
          </cell>
          <cell r="Q5553">
            <v>7.2639104999999997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  <cell r="V5553">
            <v>0</v>
          </cell>
          <cell r="W5553">
            <v>0</v>
          </cell>
          <cell r="X5553">
            <v>0.51865660000000002</v>
          </cell>
          <cell r="Y5553">
            <v>0</v>
          </cell>
          <cell r="Z5553">
            <v>0</v>
          </cell>
          <cell r="AA5553">
            <v>21.836988999999999</v>
          </cell>
          <cell r="AB5553">
            <v>0.53745050000000005</v>
          </cell>
        </row>
        <row r="5554">
          <cell r="A5554">
            <v>77230210</v>
          </cell>
          <cell r="B5554" t="str">
            <v>Cassava Pasteles, Puerto Rican style (Pasteles de yuca)</v>
          </cell>
          <cell r="I5554">
            <v>140</v>
          </cell>
          <cell r="J5554">
            <v>299.22618</v>
          </cell>
          <cell r="K5554">
            <v>2.1373298571428569</v>
          </cell>
          <cell r="L5554">
            <v>0.52032560000000005</v>
          </cell>
          <cell r="M5554">
            <v>4.4704784000000002</v>
          </cell>
          <cell r="N5554">
            <v>0</v>
          </cell>
          <cell r="O5554">
            <v>2.9934700000000002E-2</v>
          </cell>
          <cell r="P5554">
            <v>0.95743270000000003</v>
          </cell>
          <cell r="Q5554">
            <v>5.579402</v>
          </cell>
          <cell r="R5554">
            <v>0</v>
          </cell>
          <cell r="S5554">
            <v>0</v>
          </cell>
          <cell r="T5554">
            <v>0</v>
          </cell>
          <cell r="U5554">
            <v>27.789991000000001</v>
          </cell>
          <cell r="V5554">
            <v>0</v>
          </cell>
          <cell r="W5554">
            <v>0</v>
          </cell>
          <cell r="X5554">
            <v>1.1582741000000001</v>
          </cell>
          <cell r="Y5554">
            <v>0</v>
          </cell>
          <cell r="Z5554">
            <v>19.656959000000001</v>
          </cell>
          <cell r="AA5554">
            <v>3.9040944</v>
          </cell>
          <cell r="AB5554">
            <v>0.33708650000000001</v>
          </cell>
        </row>
        <row r="5555">
          <cell r="A5555">
            <v>77272010</v>
          </cell>
          <cell r="B5555" t="str">
            <v>Puerto Rican pasteles</v>
          </cell>
          <cell r="I5555">
            <v>140</v>
          </cell>
          <cell r="J5555">
            <v>247.34769</v>
          </cell>
          <cell r="K5555">
            <v>1.7667692142857143</v>
          </cell>
          <cell r="L5555">
            <v>1.2788592999999999</v>
          </cell>
          <cell r="M5555">
            <v>3.0498742000000001</v>
          </cell>
          <cell r="N5555">
            <v>0</v>
          </cell>
          <cell r="O5555">
            <v>3.9146800000000002E-2</v>
          </cell>
          <cell r="P5555">
            <v>1.5538065999999999</v>
          </cell>
          <cell r="Q5555">
            <v>4.9955797999999998</v>
          </cell>
          <cell r="R5555">
            <v>0</v>
          </cell>
          <cell r="S5555">
            <v>7.4023536999999999</v>
          </cell>
          <cell r="T5555">
            <v>0</v>
          </cell>
          <cell r="U5555">
            <v>23.152652</v>
          </cell>
          <cell r="V5555">
            <v>0</v>
          </cell>
          <cell r="W5555">
            <v>0</v>
          </cell>
          <cell r="X5555">
            <v>0.56564619999999999</v>
          </cell>
          <cell r="Y5555">
            <v>0</v>
          </cell>
          <cell r="Z5555">
            <v>16.274591999999998</v>
          </cell>
          <cell r="AA5555">
            <v>2.8654272999999999</v>
          </cell>
          <cell r="AB5555">
            <v>0.14866360000000001</v>
          </cell>
        </row>
        <row r="5556">
          <cell r="A5556">
            <v>77316010</v>
          </cell>
          <cell r="B5556" t="str">
            <v>Stuffed cabbage, with meat, Puerto Rican style</v>
          </cell>
          <cell r="I5556">
            <v>234</v>
          </cell>
          <cell r="J5556">
            <v>229.77287999999999</v>
          </cell>
          <cell r="K5556">
            <v>0.98193538461538454</v>
          </cell>
          <cell r="L5556">
            <v>2.6121436</v>
          </cell>
          <cell r="M5556">
            <v>4.3295116</v>
          </cell>
          <cell r="N5556">
            <v>0</v>
          </cell>
          <cell r="O5556">
            <v>4.6620099999999998E-2</v>
          </cell>
          <cell r="P5556">
            <v>7.5300199999999998E-2</v>
          </cell>
          <cell r="Q5556">
            <v>2.5040149</v>
          </cell>
          <cell r="R5556">
            <v>0</v>
          </cell>
          <cell r="S5556">
            <v>0</v>
          </cell>
          <cell r="T5556">
            <v>0</v>
          </cell>
          <cell r="U5556">
            <v>137.44587999999999</v>
          </cell>
          <cell r="V5556">
            <v>0</v>
          </cell>
          <cell r="W5556">
            <v>0</v>
          </cell>
          <cell r="X5556">
            <v>0.7689819</v>
          </cell>
          <cell r="Y5556">
            <v>0</v>
          </cell>
          <cell r="Z5556">
            <v>31.061679000000002</v>
          </cell>
          <cell r="AA5556">
            <v>2.2324305999999998</v>
          </cell>
          <cell r="AB5556">
            <v>1.1835906</v>
          </cell>
        </row>
        <row r="5557">
          <cell r="A5557">
            <v>77316510</v>
          </cell>
          <cell r="B5557" t="str">
            <v>Stuffed cabbage, with meat and rice, Syrian dish, Puerto Rican style (Repollo relleno con carne y con arroz; Arabe Mihsy Melful)</v>
          </cell>
          <cell r="I5557">
            <v>195</v>
          </cell>
          <cell r="J5557">
            <v>132.09802999999999</v>
          </cell>
          <cell r="K5557">
            <v>0.67742579487179488</v>
          </cell>
          <cell r="L5557">
            <v>2.6070630000000001</v>
          </cell>
          <cell r="M5557">
            <v>1.4801449</v>
          </cell>
          <cell r="N5557">
            <v>0</v>
          </cell>
          <cell r="O5557">
            <v>4.9188500000000003E-2</v>
          </cell>
          <cell r="P5557">
            <v>0.1775118</v>
          </cell>
          <cell r="Q5557">
            <v>0.33919630000000001</v>
          </cell>
          <cell r="R5557">
            <v>0</v>
          </cell>
          <cell r="S5557">
            <v>0</v>
          </cell>
          <cell r="T5557">
            <v>4.3362458999999998</v>
          </cell>
          <cell r="U5557">
            <v>110.00077</v>
          </cell>
          <cell r="V5557">
            <v>0</v>
          </cell>
          <cell r="W5557">
            <v>0</v>
          </cell>
          <cell r="X5557">
            <v>0.1866862</v>
          </cell>
          <cell r="Y5557">
            <v>0</v>
          </cell>
          <cell r="Z5557">
            <v>9.7701384000000004</v>
          </cell>
          <cell r="AA5557">
            <v>0</v>
          </cell>
          <cell r="AB5557">
            <v>0.2212248</v>
          </cell>
        </row>
        <row r="5558">
          <cell r="A5558">
            <v>77316600</v>
          </cell>
          <cell r="B5558" t="str">
            <v>Eggplant and meat casserole</v>
          </cell>
          <cell r="I5558">
            <v>203</v>
          </cell>
          <cell r="J5558">
            <v>198.85739000000001</v>
          </cell>
          <cell r="K5558">
            <v>0.97959305418719211</v>
          </cell>
          <cell r="L5558">
            <v>2.3532791999999998</v>
          </cell>
          <cell r="M5558">
            <v>3.8716712000000002</v>
          </cell>
          <cell r="N5558">
            <v>0</v>
          </cell>
          <cell r="O5558">
            <v>0.1132254</v>
          </cell>
          <cell r="P5558">
            <v>0.2213244</v>
          </cell>
          <cell r="Q5558">
            <v>1.5217206999999999</v>
          </cell>
          <cell r="R5558">
            <v>0</v>
          </cell>
          <cell r="S5558">
            <v>0</v>
          </cell>
          <cell r="T5558">
            <v>0</v>
          </cell>
          <cell r="U5558">
            <v>102.86957</v>
          </cell>
          <cell r="V5558">
            <v>0</v>
          </cell>
          <cell r="W5558">
            <v>0</v>
          </cell>
          <cell r="X5558">
            <v>0.36614550000000001</v>
          </cell>
          <cell r="Y5558">
            <v>0</v>
          </cell>
          <cell r="Z5558">
            <v>30.526662999999999</v>
          </cell>
          <cell r="AA5558">
            <v>0</v>
          </cell>
          <cell r="AB5558">
            <v>0.42491849999999998</v>
          </cell>
        </row>
        <row r="5559">
          <cell r="A5559">
            <v>77513010</v>
          </cell>
          <cell r="B5559" t="str">
            <v>Spanish stew</v>
          </cell>
          <cell r="I5559">
            <v>203</v>
          </cell>
          <cell r="J5559">
            <v>141.09836000000001</v>
          </cell>
          <cell r="K5559">
            <v>0.69506581280788182</v>
          </cell>
          <cell r="L5559">
            <v>2.2027256</v>
          </cell>
          <cell r="M5559">
            <v>1.8261711</v>
          </cell>
          <cell r="N5559">
            <v>0</v>
          </cell>
          <cell r="O5559">
            <v>3.1571399999999999E-2</v>
          </cell>
          <cell r="P5559">
            <v>0.45443149999999999</v>
          </cell>
          <cell r="Q5559">
            <v>0.6519298</v>
          </cell>
          <cell r="R5559">
            <v>0</v>
          </cell>
          <cell r="S5559">
            <v>9.2073228</v>
          </cell>
          <cell r="T5559">
            <v>0</v>
          </cell>
          <cell r="U5559">
            <v>49.929451</v>
          </cell>
          <cell r="V5559">
            <v>0</v>
          </cell>
          <cell r="W5559">
            <v>0</v>
          </cell>
          <cell r="X5559">
            <v>0.59473679999999995</v>
          </cell>
          <cell r="Y5559">
            <v>0</v>
          </cell>
          <cell r="Z5559">
            <v>16.257286000000001</v>
          </cell>
          <cell r="AA5559">
            <v>10.278807</v>
          </cell>
          <cell r="AB5559">
            <v>0.1136359</v>
          </cell>
        </row>
        <row r="5560">
          <cell r="A5560">
            <v>77563010</v>
          </cell>
          <cell r="B5560" t="str">
            <v>Puerto Rican stew (Salcocho / Sancocho)</v>
          </cell>
          <cell r="I5560">
            <v>203</v>
          </cell>
          <cell r="J5560">
            <v>141.45559</v>
          </cell>
          <cell r="K5560">
            <v>0.69682556650246308</v>
          </cell>
          <cell r="L5560">
            <v>0.63589669999999998</v>
          </cell>
          <cell r="M5560">
            <v>1.9051974</v>
          </cell>
          <cell r="N5560">
            <v>0</v>
          </cell>
          <cell r="O5560">
            <v>2.3678000000000001E-2</v>
          </cell>
          <cell r="P5560">
            <v>1.1159815</v>
          </cell>
          <cell r="Q5560">
            <v>1.2838084999999999</v>
          </cell>
          <cell r="R5560">
            <v>0</v>
          </cell>
          <cell r="S5560">
            <v>0</v>
          </cell>
          <cell r="T5560">
            <v>0</v>
          </cell>
          <cell r="U5560">
            <v>30.194153</v>
          </cell>
          <cell r="V5560">
            <v>0</v>
          </cell>
          <cell r="W5560">
            <v>0</v>
          </cell>
          <cell r="X5560">
            <v>0.1135992</v>
          </cell>
          <cell r="Y5560">
            <v>0</v>
          </cell>
          <cell r="Z5560">
            <v>21.238099999999999</v>
          </cell>
          <cell r="AA5560">
            <v>2.0094938999999998</v>
          </cell>
          <cell r="AB5560">
            <v>0.31524180000000002</v>
          </cell>
        </row>
        <row r="5561">
          <cell r="A5561">
            <v>78101000</v>
          </cell>
          <cell r="B5561" t="str">
            <v>Vegetable and fruit juice, 100% juice, with high vitamin C</v>
          </cell>
          <cell r="I5561">
            <v>240</v>
          </cell>
          <cell r="J5561">
            <v>110.4</v>
          </cell>
          <cell r="K5561">
            <v>0.46</v>
          </cell>
          <cell r="L5561">
            <v>0</v>
          </cell>
          <cell r="M5561">
            <v>0</v>
          </cell>
          <cell r="N5561">
            <v>0</v>
          </cell>
          <cell r="O5561">
            <v>1.9199999999999998E-2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138</v>
          </cell>
          <cell r="U5561">
            <v>0</v>
          </cell>
          <cell r="V5561">
            <v>0</v>
          </cell>
          <cell r="W5561">
            <v>0</v>
          </cell>
          <cell r="X5561">
            <v>6.9599999999999995E-2</v>
          </cell>
          <cell r="Y5561">
            <v>0</v>
          </cell>
          <cell r="Z5561">
            <v>0</v>
          </cell>
          <cell r="AA5561">
            <v>0</v>
          </cell>
          <cell r="AB5561">
            <v>0</v>
          </cell>
        </row>
        <row r="5562">
          <cell r="A5562">
            <v>78101100</v>
          </cell>
          <cell r="B5562" t="str">
            <v>Fruit and vegetable smoothie</v>
          </cell>
          <cell r="I5562">
            <v>240</v>
          </cell>
          <cell r="J5562">
            <v>144.30365</v>
          </cell>
          <cell r="K5562">
            <v>0.6012652083333333</v>
          </cell>
          <cell r="L5562">
            <v>3.4006306999999998</v>
          </cell>
          <cell r="M5562">
            <v>0.71348529999999999</v>
          </cell>
          <cell r="N5562">
            <v>0</v>
          </cell>
          <cell r="O5562">
            <v>0.13412450000000001</v>
          </cell>
          <cell r="P5562">
            <v>0</v>
          </cell>
          <cell r="Q5562">
            <v>0.19665930000000001</v>
          </cell>
          <cell r="R5562">
            <v>0</v>
          </cell>
          <cell r="S5562">
            <v>0</v>
          </cell>
          <cell r="T5562">
            <v>154.52169000000001</v>
          </cell>
          <cell r="U5562">
            <v>38.503743999999998</v>
          </cell>
          <cell r="V5562">
            <v>0</v>
          </cell>
          <cell r="W5562">
            <v>240</v>
          </cell>
          <cell r="X5562">
            <v>5.3522199999999999E-2</v>
          </cell>
          <cell r="Y5562">
            <v>0</v>
          </cell>
          <cell r="Z5562">
            <v>0</v>
          </cell>
          <cell r="AA5562">
            <v>0</v>
          </cell>
          <cell r="AB5562">
            <v>1.47735E-2</v>
          </cell>
        </row>
        <row r="5563">
          <cell r="A5563">
            <v>78101110</v>
          </cell>
          <cell r="B5563" t="str">
            <v>Fruit and vegetable smoothie, added protein</v>
          </cell>
          <cell r="I5563">
            <v>240</v>
          </cell>
          <cell r="J5563">
            <v>198.24256</v>
          </cell>
          <cell r="K5563">
            <v>0.82601066666666667</v>
          </cell>
          <cell r="L5563">
            <v>3.1387787999999999</v>
          </cell>
          <cell r="M5563">
            <v>0.8028769</v>
          </cell>
          <cell r="N5563">
            <v>0</v>
          </cell>
          <cell r="O5563">
            <v>0.21046909999999999</v>
          </cell>
          <cell r="P5563">
            <v>0.57288740000000005</v>
          </cell>
          <cell r="Q5563">
            <v>0.23677219999999999</v>
          </cell>
          <cell r="R5563">
            <v>0</v>
          </cell>
          <cell r="S5563">
            <v>0</v>
          </cell>
          <cell r="T5563">
            <v>142.62335999999999</v>
          </cell>
          <cell r="U5563">
            <v>35.538918000000002</v>
          </cell>
          <cell r="V5563">
            <v>0</v>
          </cell>
          <cell r="W5563">
            <v>240</v>
          </cell>
          <cell r="X5563">
            <v>7.8230099999999997E-2</v>
          </cell>
          <cell r="Y5563">
            <v>0</v>
          </cell>
          <cell r="Z5563">
            <v>0</v>
          </cell>
          <cell r="AA5563">
            <v>0</v>
          </cell>
          <cell r="AB5563">
            <v>1.3635899999999999E-2</v>
          </cell>
        </row>
        <row r="5564">
          <cell r="A5564">
            <v>78101120</v>
          </cell>
          <cell r="B5564" t="str">
            <v>Fruit and vegetable smoothie, bottled</v>
          </cell>
          <cell r="I5564">
            <v>240</v>
          </cell>
          <cell r="J5564">
            <v>127.2</v>
          </cell>
          <cell r="K5564">
            <v>0.53</v>
          </cell>
          <cell r="L5564">
            <v>1.68</v>
          </cell>
          <cell r="M5564">
            <v>0.12720000000000001</v>
          </cell>
          <cell r="N5564">
            <v>0</v>
          </cell>
          <cell r="O5564">
            <v>2.64E-2</v>
          </cell>
          <cell r="P5564">
            <v>0</v>
          </cell>
          <cell r="Q5564">
            <v>0.17519999999999999</v>
          </cell>
          <cell r="R5564">
            <v>0</v>
          </cell>
          <cell r="S5564">
            <v>0</v>
          </cell>
          <cell r="T5564">
            <v>240</v>
          </cell>
          <cell r="U5564">
            <v>0</v>
          </cell>
          <cell r="V5564">
            <v>0</v>
          </cell>
          <cell r="W5564">
            <v>240</v>
          </cell>
          <cell r="X5564">
            <v>1.44E-2</v>
          </cell>
          <cell r="Y5564">
            <v>0</v>
          </cell>
          <cell r="Z5564">
            <v>0</v>
          </cell>
          <cell r="AA5564">
            <v>0</v>
          </cell>
          <cell r="AB5564">
            <v>0</v>
          </cell>
        </row>
        <row r="5565">
          <cell r="A5565">
            <v>81100000</v>
          </cell>
          <cell r="B5565" t="str">
            <v>Table fat, NFS</v>
          </cell>
          <cell r="I5565">
            <v>14.2</v>
          </cell>
          <cell r="J5565">
            <v>91.362799999999993</v>
          </cell>
          <cell r="K5565">
            <v>6.4340000000000002</v>
          </cell>
          <cell r="L5565">
            <v>0</v>
          </cell>
          <cell r="M5565">
            <v>5.0630383999999999</v>
          </cell>
          <cell r="N5565">
            <v>0</v>
          </cell>
          <cell r="O5565">
            <v>3.2376000000000002E-3</v>
          </cell>
          <cell r="P5565">
            <v>0</v>
          </cell>
          <cell r="Q5565">
            <v>1.7631572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  <cell r="V5565">
            <v>0</v>
          </cell>
          <cell r="W5565">
            <v>0</v>
          </cell>
          <cell r="X5565">
            <v>9.3336600000000006E-2</v>
          </cell>
          <cell r="Y5565">
            <v>0</v>
          </cell>
          <cell r="Z5565">
            <v>0</v>
          </cell>
          <cell r="AA5565">
            <v>0</v>
          </cell>
          <cell r="AB5565">
            <v>0.48740080000000002</v>
          </cell>
        </row>
        <row r="5566">
          <cell r="A5566">
            <v>81100500</v>
          </cell>
          <cell r="B5566" t="str">
            <v>Butter, NFS</v>
          </cell>
          <cell r="I5566">
            <v>14.2</v>
          </cell>
          <cell r="J5566">
            <v>101.81399999999999</v>
          </cell>
          <cell r="K5566">
            <v>7.17</v>
          </cell>
          <cell r="L5566">
            <v>0</v>
          </cell>
          <cell r="M5566">
            <v>7.2942559999999999</v>
          </cell>
          <cell r="N5566">
            <v>0</v>
          </cell>
          <cell r="O5566">
            <v>3.408E-3</v>
          </cell>
          <cell r="P5566">
            <v>0</v>
          </cell>
          <cell r="Q5566">
            <v>0.43210599999999999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9.1305999999999998E-2</v>
          </cell>
          <cell r="Y5566">
            <v>0</v>
          </cell>
          <cell r="Z5566">
            <v>0</v>
          </cell>
          <cell r="AA5566">
            <v>0</v>
          </cell>
          <cell r="AB5566">
            <v>0.465476</v>
          </cell>
        </row>
        <row r="5567">
          <cell r="A5567">
            <v>81101000</v>
          </cell>
          <cell r="B5567" t="str">
            <v>Butter, stick, salted</v>
          </cell>
          <cell r="I5567">
            <v>14.2</v>
          </cell>
          <cell r="J5567">
            <v>101.81399999999999</v>
          </cell>
          <cell r="K5567">
            <v>7.17</v>
          </cell>
          <cell r="L5567">
            <v>0</v>
          </cell>
          <cell r="M5567">
            <v>7.2942559999999999</v>
          </cell>
          <cell r="N5567">
            <v>0</v>
          </cell>
          <cell r="O5567">
            <v>3.408E-3</v>
          </cell>
          <cell r="P5567">
            <v>0</v>
          </cell>
          <cell r="Q5567">
            <v>0.43210599999999999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  <cell r="V5567">
            <v>0</v>
          </cell>
          <cell r="W5567">
            <v>0</v>
          </cell>
          <cell r="X5567">
            <v>9.1305999999999998E-2</v>
          </cell>
          <cell r="Y5567">
            <v>0</v>
          </cell>
          <cell r="Z5567">
            <v>0</v>
          </cell>
          <cell r="AA5567">
            <v>0</v>
          </cell>
          <cell r="AB5567">
            <v>0.465476</v>
          </cell>
        </row>
        <row r="5568">
          <cell r="A5568">
            <v>81101010</v>
          </cell>
          <cell r="B5568" t="str">
            <v>Butter, whipped, tub, salted</v>
          </cell>
          <cell r="I5568">
            <v>9.4</v>
          </cell>
          <cell r="J5568">
            <v>67.492000000000004</v>
          </cell>
          <cell r="K5568">
            <v>7.1800000000000006</v>
          </cell>
          <cell r="L5568">
            <v>0</v>
          </cell>
          <cell r="M5568">
            <v>4.2666599999999999</v>
          </cell>
          <cell r="N5568">
            <v>0</v>
          </cell>
          <cell r="O5568">
            <v>2.1619999999999999E-3</v>
          </cell>
          <cell r="P5568">
            <v>0</v>
          </cell>
          <cell r="Q5568">
            <v>0.313114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0</v>
          </cell>
          <cell r="W5568">
            <v>0</v>
          </cell>
          <cell r="X5568">
            <v>5.4801999999999997E-2</v>
          </cell>
          <cell r="Y5568">
            <v>0</v>
          </cell>
          <cell r="Z5568">
            <v>0</v>
          </cell>
          <cell r="AA5568">
            <v>0</v>
          </cell>
          <cell r="AB5568">
            <v>0.250886</v>
          </cell>
        </row>
        <row r="5569">
          <cell r="A5569">
            <v>81101100</v>
          </cell>
          <cell r="B5569" t="str">
            <v>Butter, stick, unsalted</v>
          </cell>
          <cell r="I5569">
            <v>14.2</v>
          </cell>
          <cell r="J5569">
            <v>101.81399999999999</v>
          </cell>
          <cell r="K5569">
            <v>7.17</v>
          </cell>
          <cell r="L5569">
            <v>0</v>
          </cell>
          <cell r="M5569">
            <v>7.1694380000000004</v>
          </cell>
          <cell r="N5569">
            <v>0</v>
          </cell>
          <cell r="O5569">
            <v>3.408E-3</v>
          </cell>
          <cell r="P5569">
            <v>0</v>
          </cell>
          <cell r="Q5569">
            <v>0.42742000000000002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1.562E-3</v>
          </cell>
          <cell r="Y5569">
            <v>0</v>
          </cell>
          <cell r="Z5569">
            <v>0</v>
          </cell>
          <cell r="AA5569">
            <v>0</v>
          </cell>
          <cell r="AB5569">
            <v>0.465476</v>
          </cell>
        </row>
        <row r="5570">
          <cell r="A5570">
            <v>81101110</v>
          </cell>
          <cell r="B5570" t="str">
            <v>Butter, whipped, tub, unsalted</v>
          </cell>
          <cell r="I5570">
            <v>9.4</v>
          </cell>
          <cell r="J5570">
            <v>67.397999999999996</v>
          </cell>
          <cell r="K5570">
            <v>7.169999999999999</v>
          </cell>
          <cell r="L5570">
            <v>0</v>
          </cell>
          <cell r="M5570">
            <v>4.7459660000000001</v>
          </cell>
          <cell r="N5570">
            <v>0</v>
          </cell>
          <cell r="O5570">
            <v>2.2560000000000002E-3</v>
          </cell>
          <cell r="P5570">
            <v>0</v>
          </cell>
          <cell r="Q5570">
            <v>0.28294000000000002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1.034E-3</v>
          </cell>
          <cell r="Y5570">
            <v>0</v>
          </cell>
          <cell r="Z5570">
            <v>0</v>
          </cell>
          <cell r="AA5570">
            <v>0</v>
          </cell>
          <cell r="AB5570">
            <v>0.30813200000000002</v>
          </cell>
        </row>
        <row r="5571">
          <cell r="A5571">
            <v>81101500</v>
          </cell>
          <cell r="B5571" t="str">
            <v>Light butter, stick, salted</v>
          </cell>
          <cell r="I5571">
            <v>14.2</v>
          </cell>
          <cell r="J5571">
            <v>70.858000000000004</v>
          </cell>
          <cell r="K5571">
            <v>4.99</v>
          </cell>
          <cell r="L5571">
            <v>0</v>
          </cell>
          <cell r="M5571">
            <v>4.8735819999999999</v>
          </cell>
          <cell r="N5571">
            <v>0</v>
          </cell>
          <cell r="O5571">
            <v>6.816E-3</v>
          </cell>
          <cell r="P5571">
            <v>0</v>
          </cell>
          <cell r="Q5571">
            <v>0.29053200000000001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6.3899999999999998E-2</v>
          </cell>
          <cell r="Y5571">
            <v>0</v>
          </cell>
          <cell r="Z5571">
            <v>0</v>
          </cell>
          <cell r="AA5571">
            <v>0</v>
          </cell>
          <cell r="AB5571">
            <v>0.28924810000000001</v>
          </cell>
        </row>
        <row r="5572">
          <cell r="A5572">
            <v>81101520</v>
          </cell>
          <cell r="B5572" t="str">
            <v>Light butter, whipped, tub, salted</v>
          </cell>
          <cell r="I5572">
            <v>9.5</v>
          </cell>
          <cell r="J5572">
            <v>47.405000000000001</v>
          </cell>
          <cell r="K5572">
            <v>4.99</v>
          </cell>
          <cell r="L5572">
            <v>0</v>
          </cell>
          <cell r="M5572">
            <v>3.2604950000000001</v>
          </cell>
          <cell r="N5572">
            <v>0</v>
          </cell>
          <cell r="O5572">
            <v>4.5599999999999998E-3</v>
          </cell>
          <cell r="P5572">
            <v>0</v>
          </cell>
          <cell r="Q5572">
            <v>0.19436999999999999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4.2750000000000003E-2</v>
          </cell>
          <cell r="Y5572">
            <v>0</v>
          </cell>
          <cell r="Z5572">
            <v>0</v>
          </cell>
          <cell r="AA5572">
            <v>0</v>
          </cell>
          <cell r="AB5572">
            <v>0.19355700000000001</v>
          </cell>
        </row>
        <row r="5573">
          <cell r="A5573">
            <v>81102000</v>
          </cell>
          <cell r="B5573" t="str">
            <v>Margarine, NFS</v>
          </cell>
          <cell r="I5573">
            <v>14.3</v>
          </cell>
          <cell r="J5573">
            <v>76.218999999999994</v>
          </cell>
          <cell r="K5573">
            <v>5.3299999999999992</v>
          </cell>
          <cell r="L5573">
            <v>0</v>
          </cell>
          <cell r="M5573">
            <v>1.7282979999999999</v>
          </cell>
          <cell r="N5573">
            <v>0</v>
          </cell>
          <cell r="O5573">
            <v>3.003E-3</v>
          </cell>
          <cell r="P5573">
            <v>0</v>
          </cell>
          <cell r="Q5573">
            <v>3.7862110000000002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9.6453499999999998E-2</v>
          </cell>
          <cell r="Y5573">
            <v>0</v>
          </cell>
          <cell r="Z5573">
            <v>0</v>
          </cell>
          <cell r="AA5573">
            <v>0</v>
          </cell>
          <cell r="AB5573">
            <v>0.52395199999999997</v>
          </cell>
        </row>
        <row r="5574">
          <cell r="A5574">
            <v>81102010</v>
          </cell>
          <cell r="B5574" t="str">
            <v>Margarine, stick, salted</v>
          </cell>
          <cell r="I5574">
            <v>14.2</v>
          </cell>
          <cell r="J5574">
            <v>101.81399999999999</v>
          </cell>
          <cell r="K5574">
            <v>7.17</v>
          </cell>
          <cell r="L5574">
            <v>0</v>
          </cell>
          <cell r="M5574">
            <v>2.156838</v>
          </cell>
          <cell r="N5574">
            <v>0</v>
          </cell>
          <cell r="O5574">
            <v>4.26E-4</v>
          </cell>
          <cell r="P5574">
            <v>0</v>
          </cell>
          <cell r="Q5574">
            <v>3.4508839999999998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0</v>
          </cell>
          <cell r="W5574">
            <v>0</v>
          </cell>
          <cell r="X5574">
            <v>0.106642</v>
          </cell>
          <cell r="Y5574">
            <v>0</v>
          </cell>
          <cell r="Z5574">
            <v>0</v>
          </cell>
          <cell r="AA5574">
            <v>0</v>
          </cell>
          <cell r="AB5574">
            <v>2.1143800000000001</v>
          </cell>
        </row>
        <row r="5575">
          <cell r="A5575">
            <v>81102020</v>
          </cell>
          <cell r="B5575" t="str">
            <v>Margarine, tub, salted</v>
          </cell>
          <cell r="I5575">
            <v>14.2</v>
          </cell>
          <cell r="J5575">
            <v>101.246</v>
          </cell>
          <cell r="K5575">
            <v>7.13</v>
          </cell>
          <cell r="L5575">
            <v>0</v>
          </cell>
          <cell r="M5575">
            <v>2.0198079999999998</v>
          </cell>
          <cell r="N5575">
            <v>0</v>
          </cell>
          <cell r="O5575">
            <v>4.26E-4</v>
          </cell>
          <cell r="P5575">
            <v>0</v>
          </cell>
          <cell r="Q5575">
            <v>3.7972220000000001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0</v>
          </cell>
          <cell r="W5575">
            <v>0</v>
          </cell>
          <cell r="X5575">
            <v>9.3294000000000002E-2</v>
          </cell>
          <cell r="Y5575">
            <v>0</v>
          </cell>
          <cell r="Z5575">
            <v>0</v>
          </cell>
          <cell r="AA5575">
            <v>0</v>
          </cell>
          <cell r="AB5575">
            <v>0.827434</v>
          </cell>
        </row>
        <row r="5576">
          <cell r="A5576">
            <v>81103020</v>
          </cell>
          <cell r="B5576" t="str">
            <v>Margarine, whipped, tub, salted</v>
          </cell>
          <cell r="I5576">
            <v>9.4</v>
          </cell>
          <cell r="J5576">
            <v>67.022000000000006</v>
          </cell>
          <cell r="K5576">
            <v>7.13</v>
          </cell>
          <cell r="L5576">
            <v>0</v>
          </cell>
          <cell r="M5576">
            <v>1.337056</v>
          </cell>
          <cell r="N5576">
            <v>0</v>
          </cell>
          <cell r="O5576">
            <v>2.8200000000000002E-4</v>
          </cell>
          <cell r="P5576">
            <v>0</v>
          </cell>
          <cell r="Q5576">
            <v>2.5136539999999998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6.1758E-2</v>
          </cell>
          <cell r="Y5576">
            <v>0</v>
          </cell>
          <cell r="Z5576">
            <v>0</v>
          </cell>
          <cell r="AA5576">
            <v>0</v>
          </cell>
          <cell r="AB5576">
            <v>0.54773799999999995</v>
          </cell>
        </row>
        <row r="5577">
          <cell r="A5577">
            <v>81103040</v>
          </cell>
          <cell r="B5577" t="str">
            <v>Margarine-like spread, stick, salted</v>
          </cell>
          <cell r="I5577">
            <v>14.3</v>
          </cell>
          <cell r="J5577">
            <v>76.790999999999997</v>
          </cell>
          <cell r="K5577">
            <v>5.3699999999999992</v>
          </cell>
          <cell r="L5577">
            <v>0</v>
          </cell>
          <cell r="M5577">
            <v>1.5564119999999999</v>
          </cell>
          <cell r="N5577">
            <v>0</v>
          </cell>
          <cell r="O5577">
            <v>3.003E-3</v>
          </cell>
          <cell r="P5577">
            <v>0</v>
          </cell>
          <cell r="Q5577">
            <v>2.3906740000000002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  <cell r="V5577">
            <v>0</v>
          </cell>
          <cell r="W5577">
            <v>0</v>
          </cell>
          <cell r="X5577">
            <v>0.11225499999999999</v>
          </cell>
          <cell r="Y5577">
            <v>0</v>
          </cell>
          <cell r="Z5577">
            <v>0</v>
          </cell>
          <cell r="AA5577">
            <v>0</v>
          </cell>
          <cell r="AB5577">
            <v>1.820533</v>
          </cell>
        </row>
        <row r="5578">
          <cell r="A5578">
            <v>81103041</v>
          </cell>
          <cell r="B5578" t="str">
            <v>Margarine-like spread, made with yogurt, stick, salted</v>
          </cell>
          <cell r="I5578">
            <v>14.2</v>
          </cell>
          <cell r="J5578">
            <v>89.46</v>
          </cell>
          <cell r="K5578">
            <v>6.3</v>
          </cell>
          <cell r="L5578">
            <v>0</v>
          </cell>
          <cell r="M5578">
            <v>1.8886000000000001</v>
          </cell>
          <cell r="N5578">
            <v>0</v>
          </cell>
          <cell r="O5578">
            <v>2.8400000000000001E-3</v>
          </cell>
          <cell r="P5578">
            <v>0</v>
          </cell>
          <cell r="Q5578">
            <v>1.988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8.3779999999999993E-2</v>
          </cell>
          <cell r="Y5578">
            <v>0</v>
          </cell>
          <cell r="Z5578">
            <v>0</v>
          </cell>
          <cell r="AA5578">
            <v>0</v>
          </cell>
          <cell r="AB5578">
            <v>0.98435799999999996</v>
          </cell>
        </row>
        <row r="5579">
          <cell r="A5579">
            <v>81103080</v>
          </cell>
          <cell r="B5579" t="str">
            <v>Margarine-like spread, tub, salted</v>
          </cell>
          <cell r="I5579">
            <v>14.3</v>
          </cell>
          <cell r="J5579">
            <v>76.218999999999994</v>
          </cell>
          <cell r="K5579">
            <v>5.3299999999999992</v>
          </cell>
          <cell r="L5579">
            <v>0</v>
          </cell>
          <cell r="M5579">
            <v>1.7282979999999999</v>
          </cell>
          <cell r="N5579">
            <v>0</v>
          </cell>
          <cell r="O5579">
            <v>3.003E-3</v>
          </cell>
          <cell r="P5579">
            <v>0</v>
          </cell>
          <cell r="Q5579">
            <v>3.7862110000000002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9.1591500000000006E-2</v>
          </cell>
          <cell r="Y5579">
            <v>0</v>
          </cell>
          <cell r="Z5579">
            <v>0</v>
          </cell>
          <cell r="AA5579">
            <v>0</v>
          </cell>
          <cell r="AB5579">
            <v>0.52395199999999997</v>
          </cell>
        </row>
        <row r="5580">
          <cell r="A5580">
            <v>81103090</v>
          </cell>
          <cell r="B5580" t="str">
            <v>Margarine-like spread, liquid, salted</v>
          </cell>
          <cell r="I5580">
            <v>14.2</v>
          </cell>
          <cell r="J5580">
            <v>74.883700000000005</v>
          </cell>
          <cell r="K5580">
            <v>5.2735000000000003</v>
          </cell>
          <cell r="L5580">
            <v>0</v>
          </cell>
          <cell r="M5580">
            <v>1.425964</v>
          </cell>
          <cell r="N5580">
            <v>0</v>
          </cell>
          <cell r="O5580">
            <v>2.9819999999999998E-3</v>
          </cell>
          <cell r="P5580">
            <v>0</v>
          </cell>
          <cell r="Q5580">
            <v>3.5054120000000002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0</v>
          </cell>
          <cell r="W5580">
            <v>0</v>
          </cell>
          <cell r="X5580">
            <v>0.10121049999999999</v>
          </cell>
          <cell r="Y5580">
            <v>0</v>
          </cell>
          <cell r="Z5580">
            <v>0</v>
          </cell>
          <cell r="AA5580">
            <v>0</v>
          </cell>
          <cell r="AB5580">
            <v>1.0471079999999999</v>
          </cell>
        </row>
        <row r="5581">
          <cell r="A5581">
            <v>81103140</v>
          </cell>
          <cell r="B5581" t="str">
            <v>Margarine-like spread, tub, sweetened</v>
          </cell>
          <cell r="I5581">
            <v>14.2</v>
          </cell>
          <cell r="J5581">
            <v>75.828000000000003</v>
          </cell>
          <cell r="K5581">
            <v>5.3400000000000007</v>
          </cell>
          <cell r="L5581">
            <v>0</v>
          </cell>
          <cell r="M5581">
            <v>1.1857</v>
          </cell>
          <cell r="N5581">
            <v>0</v>
          </cell>
          <cell r="O5581">
            <v>0</v>
          </cell>
          <cell r="P5581">
            <v>0</v>
          </cell>
          <cell r="Q5581">
            <v>3.3795999999999999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  <cell r="V5581">
            <v>0</v>
          </cell>
          <cell r="W5581">
            <v>0</v>
          </cell>
          <cell r="X5581">
            <v>7.6964000000000005E-2</v>
          </cell>
          <cell r="Y5581">
            <v>0</v>
          </cell>
          <cell r="Z5581">
            <v>0</v>
          </cell>
          <cell r="AA5581">
            <v>0</v>
          </cell>
          <cell r="AB5581">
            <v>0.92123860000000002</v>
          </cell>
        </row>
        <row r="5582">
          <cell r="A5582">
            <v>81104010</v>
          </cell>
          <cell r="B5582" t="str">
            <v>Margarine-like spread, reduced calorie, about 40% fat, tub, salted</v>
          </cell>
          <cell r="I5582">
            <v>14.5</v>
          </cell>
          <cell r="J5582">
            <v>49.155000000000001</v>
          </cell>
          <cell r="K5582">
            <v>3.39</v>
          </cell>
          <cell r="L5582">
            <v>0</v>
          </cell>
          <cell r="M5582">
            <v>1.252365</v>
          </cell>
          <cell r="N5582">
            <v>0</v>
          </cell>
          <cell r="O5582">
            <v>8.7000000000000001E-4</v>
          </cell>
          <cell r="P5582">
            <v>0</v>
          </cell>
          <cell r="Q5582">
            <v>1.806149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8.5404999999999995E-2</v>
          </cell>
          <cell r="Y5582">
            <v>0</v>
          </cell>
          <cell r="Z5582">
            <v>0</v>
          </cell>
          <cell r="AA5582">
            <v>0</v>
          </cell>
          <cell r="AB5582">
            <v>0.20418900000000001</v>
          </cell>
        </row>
        <row r="5583">
          <cell r="A5583">
            <v>81104011</v>
          </cell>
          <cell r="B5583" t="str">
            <v>Margarine like spread, reduced calorie, about 40% fat, made with yogurt, tub, salted</v>
          </cell>
          <cell r="I5583">
            <v>14.2</v>
          </cell>
          <cell r="J5583">
            <v>46.86</v>
          </cell>
          <cell r="K5583">
            <v>3.3000000000000003</v>
          </cell>
          <cell r="L5583">
            <v>0</v>
          </cell>
          <cell r="M5583">
            <v>0.99399999999999999</v>
          </cell>
          <cell r="N5583">
            <v>0</v>
          </cell>
          <cell r="O5583">
            <v>7.1000000000000004E-3</v>
          </cell>
          <cell r="P5583">
            <v>0</v>
          </cell>
          <cell r="Q5583">
            <v>2.3856000000000002</v>
          </cell>
          <cell r="R5583">
            <v>0</v>
          </cell>
          <cell r="S5583">
            <v>0</v>
          </cell>
          <cell r="T5583">
            <v>0</v>
          </cell>
          <cell r="U5583">
            <v>0</v>
          </cell>
          <cell r="V5583">
            <v>0</v>
          </cell>
          <cell r="W5583">
            <v>0</v>
          </cell>
          <cell r="X5583">
            <v>8.9459999999999998E-2</v>
          </cell>
          <cell r="Y5583">
            <v>0</v>
          </cell>
          <cell r="Z5583">
            <v>0</v>
          </cell>
          <cell r="AA5583">
            <v>0</v>
          </cell>
          <cell r="AB5583">
            <v>0.69852150000000002</v>
          </cell>
        </row>
        <row r="5584">
          <cell r="A5584">
            <v>81104020</v>
          </cell>
          <cell r="B5584" t="str">
            <v>Margarine-like spread, reduced calorie, about 40% fat, stick, salted</v>
          </cell>
          <cell r="I5584">
            <v>15</v>
          </cell>
          <cell r="J5584">
            <v>50.85</v>
          </cell>
          <cell r="K5584">
            <v>3.39</v>
          </cell>
          <cell r="L5584">
            <v>0</v>
          </cell>
          <cell r="M5584">
            <v>1.29555</v>
          </cell>
          <cell r="N5584">
            <v>0</v>
          </cell>
          <cell r="O5584">
            <v>8.9999999999999998E-4</v>
          </cell>
          <cell r="P5584">
            <v>0</v>
          </cell>
          <cell r="Q5584">
            <v>1.86843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8.8349999999999998E-2</v>
          </cell>
          <cell r="Y5584">
            <v>0</v>
          </cell>
          <cell r="Z5584">
            <v>0</v>
          </cell>
          <cell r="AA5584">
            <v>0</v>
          </cell>
          <cell r="AB5584">
            <v>0.21123</v>
          </cell>
        </row>
        <row r="5585">
          <cell r="A5585">
            <v>81104050</v>
          </cell>
          <cell r="B5585" t="str">
            <v>Margarine like spread, reduced calorie, about 20% fat, tub, salted</v>
          </cell>
          <cell r="I5585">
            <v>15</v>
          </cell>
          <cell r="J5585">
            <v>26.25</v>
          </cell>
          <cell r="K5585">
            <v>1.75</v>
          </cell>
          <cell r="L5585">
            <v>0</v>
          </cell>
          <cell r="M5585">
            <v>0.43049999999999999</v>
          </cell>
          <cell r="N5585">
            <v>0</v>
          </cell>
          <cell r="O5585">
            <v>0</v>
          </cell>
          <cell r="P5585">
            <v>0</v>
          </cell>
          <cell r="Q5585">
            <v>1.206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  <cell r="V5585">
            <v>0</v>
          </cell>
          <cell r="W5585">
            <v>0</v>
          </cell>
          <cell r="X5585">
            <v>0.10995000000000001</v>
          </cell>
          <cell r="Y5585">
            <v>0</v>
          </cell>
          <cell r="Z5585">
            <v>0</v>
          </cell>
          <cell r="AA5585">
            <v>0</v>
          </cell>
          <cell r="AB5585">
            <v>0.77332900000000004</v>
          </cell>
        </row>
        <row r="5586">
          <cell r="A5586">
            <v>81104100</v>
          </cell>
          <cell r="B5586" t="str">
            <v>Margarine like spread, fat free, tub, salted</v>
          </cell>
          <cell r="I5586">
            <v>14.6</v>
          </cell>
          <cell r="J5586">
            <v>6.4240000000000004</v>
          </cell>
          <cell r="K5586">
            <v>0.44000000000000006</v>
          </cell>
          <cell r="L5586">
            <v>0</v>
          </cell>
          <cell r="M5586">
            <v>0.31068800000000002</v>
          </cell>
          <cell r="N5586">
            <v>0</v>
          </cell>
          <cell r="O5586">
            <v>1.168E-3</v>
          </cell>
          <cell r="P5586">
            <v>0</v>
          </cell>
          <cell r="Q5586">
            <v>6.1612E-2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8.4680000000000005E-2</v>
          </cell>
          <cell r="Y5586">
            <v>0</v>
          </cell>
          <cell r="Z5586">
            <v>0</v>
          </cell>
          <cell r="AA5586">
            <v>0</v>
          </cell>
          <cell r="AB5586">
            <v>2.4528000000000001E-2</v>
          </cell>
        </row>
        <row r="5587">
          <cell r="A5587">
            <v>81104510</v>
          </cell>
          <cell r="B5587" t="str">
            <v>Vegetable oil-butter spread, tub, salted</v>
          </cell>
          <cell r="I5587">
            <v>14.2</v>
          </cell>
          <cell r="J5587">
            <v>51.404000000000003</v>
          </cell>
          <cell r="K5587">
            <v>3.6200000000000006</v>
          </cell>
          <cell r="L5587">
            <v>0</v>
          </cell>
          <cell r="M5587">
            <v>1.0277959999999999</v>
          </cell>
          <cell r="N5587">
            <v>0</v>
          </cell>
          <cell r="O5587">
            <v>3.408E-3</v>
          </cell>
          <cell r="P5587">
            <v>0</v>
          </cell>
          <cell r="Q5587">
            <v>1.785366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0.111612</v>
          </cell>
          <cell r="Y5587">
            <v>0</v>
          </cell>
          <cell r="Z5587">
            <v>0</v>
          </cell>
          <cell r="AA5587">
            <v>0</v>
          </cell>
          <cell r="AB5587">
            <v>0.84851220000000005</v>
          </cell>
        </row>
        <row r="5588">
          <cell r="A5588">
            <v>81104560</v>
          </cell>
          <cell r="B5588" t="str">
            <v>Vegetable oil-butter spread, reduced calorie, tub, salted</v>
          </cell>
          <cell r="I5588">
            <v>13</v>
          </cell>
          <cell r="J5588">
            <v>58.5</v>
          </cell>
          <cell r="K5588">
            <v>4.5</v>
          </cell>
          <cell r="L5588">
            <v>0</v>
          </cell>
          <cell r="M5588">
            <v>2.1669700000000001</v>
          </cell>
          <cell r="N5588">
            <v>0</v>
          </cell>
          <cell r="O5588">
            <v>3.64E-3</v>
          </cell>
          <cell r="P5588">
            <v>0</v>
          </cell>
          <cell r="Q5588">
            <v>1.4688699999999999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7.8909999999999994E-2</v>
          </cell>
          <cell r="Y5588">
            <v>0</v>
          </cell>
          <cell r="Z5588">
            <v>0</v>
          </cell>
          <cell r="AA5588">
            <v>0</v>
          </cell>
          <cell r="AB5588">
            <v>0.79097879999999998</v>
          </cell>
        </row>
        <row r="5589">
          <cell r="A5589">
            <v>81105010</v>
          </cell>
          <cell r="B5589" t="str">
            <v>Butter-margarine blend, stick, salted</v>
          </cell>
          <cell r="I5589">
            <v>14.2</v>
          </cell>
          <cell r="J5589">
            <v>101.81399999999999</v>
          </cell>
          <cell r="K5589">
            <v>7.17</v>
          </cell>
          <cell r="L5589">
            <v>0</v>
          </cell>
          <cell r="M5589">
            <v>4.7255469999999997</v>
          </cell>
          <cell r="N5589">
            <v>0</v>
          </cell>
          <cell r="O5589">
            <v>1.9170000000000001E-3</v>
          </cell>
          <cell r="P5589">
            <v>0</v>
          </cell>
          <cell r="Q5589">
            <v>1.941495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9.8974000000000006E-2</v>
          </cell>
          <cell r="Y5589">
            <v>0</v>
          </cell>
          <cell r="Z5589">
            <v>0</v>
          </cell>
          <cell r="AA5589">
            <v>0</v>
          </cell>
          <cell r="AB5589">
            <v>1.289928</v>
          </cell>
        </row>
        <row r="5590">
          <cell r="A5590">
            <v>81105020</v>
          </cell>
          <cell r="B5590" t="str">
            <v>Butter-margarine blend, tub, salted</v>
          </cell>
          <cell r="I5590">
            <v>14.2</v>
          </cell>
          <cell r="J5590">
            <v>103.23399999999999</v>
          </cell>
          <cell r="K5590">
            <v>7.27</v>
          </cell>
          <cell r="L5590">
            <v>0</v>
          </cell>
          <cell r="M5590">
            <v>2.0161159999999998</v>
          </cell>
          <cell r="N5590">
            <v>0</v>
          </cell>
          <cell r="O5590">
            <v>1.42E-3</v>
          </cell>
          <cell r="P5590">
            <v>0</v>
          </cell>
          <cell r="Q5590">
            <v>3.43214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0.10209799999999999</v>
          </cell>
          <cell r="Y5590">
            <v>0</v>
          </cell>
          <cell r="Z5590">
            <v>0</v>
          </cell>
          <cell r="AA5590">
            <v>0</v>
          </cell>
          <cell r="AB5590">
            <v>2.1229</v>
          </cell>
        </row>
        <row r="5591">
          <cell r="A5591">
            <v>81105500</v>
          </cell>
          <cell r="B5591" t="str">
            <v>Butter-vegetable oil blend</v>
          </cell>
          <cell r="I5591">
            <v>14.2</v>
          </cell>
          <cell r="J5591">
            <v>103.23399999999999</v>
          </cell>
          <cell r="K5591">
            <v>7.27</v>
          </cell>
          <cell r="L5591">
            <v>0</v>
          </cell>
          <cell r="M5591">
            <v>2.0161159999999998</v>
          </cell>
          <cell r="N5591">
            <v>0</v>
          </cell>
          <cell r="O5591">
            <v>1.42E-3</v>
          </cell>
          <cell r="P5591">
            <v>0</v>
          </cell>
          <cell r="Q5591">
            <v>3.43214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0.10209799999999999</v>
          </cell>
          <cell r="Y5591">
            <v>0</v>
          </cell>
          <cell r="Z5591">
            <v>0</v>
          </cell>
          <cell r="AA5591">
            <v>0</v>
          </cell>
          <cell r="AB5591">
            <v>2.1229</v>
          </cell>
        </row>
        <row r="5592">
          <cell r="A5592">
            <v>81106010</v>
          </cell>
          <cell r="B5592" t="str">
            <v>Butter replacement, fat-free powder</v>
          </cell>
          <cell r="I5592">
            <v>5</v>
          </cell>
          <cell r="J5592">
            <v>18.649999999999999</v>
          </cell>
          <cell r="K5592">
            <v>3.7299999999999995</v>
          </cell>
          <cell r="L5592">
            <v>0</v>
          </cell>
          <cell r="M5592">
            <v>2.945E-2</v>
          </cell>
          <cell r="N5592">
            <v>0</v>
          </cell>
          <cell r="O5592">
            <v>1.15E-3</v>
          </cell>
          <cell r="P5592">
            <v>0</v>
          </cell>
          <cell r="Q5592">
            <v>2.8500000000000001E-3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0.06</v>
          </cell>
          <cell r="Y5592">
            <v>0</v>
          </cell>
          <cell r="Z5592">
            <v>0</v>
          </cell>
          <cell r="AA5592">
            <v>0</v>
          </cell>
          <cell r="AB5592">
            <v>0.21959590000000001</v>
          </cell>
        </row>
        <row r="5593">
          <cell r="A5593">
            <v>81201000</v>
          </cell>
          <cell r="B5593" t="str">
            <v>Animal fat or drippings</v>
          </cell>
          <cell r="I5593">
            <v>12.8</v>
          </cell>
          <cell r="J5593">
            <v>107.62709</v>
          </cell>
          <cell r="K5593">
            <v>8.4083664062499999</v>
          </cell>
          <cell r="L5593">
            <v>0</v>
          </cell>
          <cell r="M5593">
            <v>4.5542756999999998</v>
          </cell>
          <cell r="N5593">
            <v>0</v>
          </cell>
          <cell r="O5593">
            <v>5.5150000000000002E-4</v>
          </cell>
          <cell r="P5593">
            <v>0</v>
          </cell>
          <cell r="Q5593">
            <v>1.2866550000000001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7.7442800000000006E-2</v>
          </cell>
          <cell r="Y5593">
            <v>0</v>
          </cell>
          <cell r="Z5593">
            <v>0</v>
          </cell>
          <cell r="AA5593">
            <v>0</v>
          </cell>
          <cell r="AB5593">
            <v>0.35378029999999999</v>
          </cell>
        </row>
        <row r="5594">
          <cell r="A5594">
            <v>81203000</v>
          </cell>
          <cell r="B5594" t="str">
            <v>Shortening, NS as to vegetable or animal</v>
          </cell>
          <cell r="I5594">
            <v>12.8</v>
          </cell>
          <cell r="J5594">
            <v>113.152</v>
          </cell>
          <cell r="K5594">
            <v>8.84</v>
          </cell>
          <cell r="L5594">
            <v>0</v>
          </cell>
          <cell r="M5594">
            <v>3.1974399999999998</v>
          </cell>
          <cell r="N5594">
            <v>0</v>
          </cell>
          <cell r="O5594">
            <v>1.2799999999999999E-4</v>
          </cell>
          <cell r="P5594">
            <v>0</v>
          </cell>
          <cell r="Q5594">
            <v>3.5964160000000001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5.1199999999999998E-4</v>
          </cell>
          <cell r="Y5594">
            <v>0</v>
          </cell>
          <cell r="Z5594">
            <v>0</v>
          </cell>
          <cell r="AA5594">
            <v>0</v>
          </cell>
          <cell r="AB5594">
            <v>1.684992</v>
          </cell>
        </row>
        <row r="5595">
          <cell r="A5595">
            <v>81204000</v>
          </cell>
          <cell r="B5595" t="str">
            <v>Ghee, clarified butter</v>
          </cell>
          <cell r="I5595">
            <v>12.8</v>
          </cell>
          <cell r="J5595">
            <v>112.128</v>
          </cell>
          <cell r="K5595">
            <v>8.76</v>
          </cell>
          <cell r="L5595">
            <v>0</v>
          </cell>
          <cell r="M5595">
            <v>7.926272</v>
          </cell>
          <cell r="N5595">
            <v>0</v>
          </cell>
          <cell r="O5595">
            <v>5.1199999999999998E-4</v>
          </cell>
          <cell r="P5595">
            <v>0</v>
          </cell>
          <cell r="Q5595">
            <v>0.47283199999999997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2.5599999999999999E-4</v>
          </cell>
          <cell r="Y5595">
            <v>0</v>
          </cell>
          <cell r="Z5595">
            <v>0</v>
          </cell>
          <cell r="AA5595">
            <v>0</v>
          </cell>
          <cell r="AB5595">
            <v>0.4711941</v>
          </cell>
        </row>
        <row r="5596">
          <cell r="A5596">
            <v>81301000</v>
          </cell>
          <cell r="B5596" t="str">
            <v>Garlic sauce</v>
          </cell>
          <cell r="I5596">
            <v>12.8</v>
          </cell>
          <cell r="J5596">
            <v>12.446078999999999</v>
          </cell>
          <cell r="K5596">
            <v>0.97234992187499991</v>
          </cell>
          <cell r="L5596">
            <v>3.9122000000000002E-3</v>
          </cell>
          <cell r="M5596">
            <v>0.48972110000000002</v>
          </cell>
          <cell r="N5596">
            <v>0</v>
          </cell>
          <cell r="O5596">
            <v>1.3397999999999999E-3</v>
          </cell>
          <cell r="P5596">
            <v>2.29958E-2</v>
          </cell>
          <cell r="Q5596">
            <v>5.3404199999999999E-2</v>
          </cell>
          <cell r="R5596">
            <v>0</v>
          </cell>
          <cell r="S5596">
            <v>0</v>
          </cell>
          <cell r="T5596">
            <v>0</v>
          </cell>
          <cell r="U5596">
            <v>0.18629470000000001</v>
          </cell>
          <cell r="V5596">
            <v>0</v>
          </cell>
          <cell r="W5596">
            <v>0</v>
          </cell>
          <cell r="X5596">
            <v>3.9747299999999999E-2</v>
          </cell>
          <cell r="Y5596">
            <v>0</v>
          </cell>
          <cell r="Z5596">
            <v>0</v>
          </cell>
          <cell r="AA5596">
            <v>0</v>
          </cell>
          <cell r="AB5596">
            <v>3.05332E-2</v>
          </cell>
        </row>
        <row r="5597">
          <cell r="A5597">
            <v>81301020</v>
          </cell>
          <cell r="B5597" t="str">
            <v>Lemon-butter sauce</v>
          </cell>
          <cell r="I5597">
            <v>28.4</v>
          </cell>
          <cell r="J5597">
            <v>177.05259000000001</v>
          </cell>
          <cell r="K5597">
            <v>6.2342461267605644</v>
          </cell>
          <cell r="L5597">
            <v>6.0224E-2</v>
          </cell>
          <cell r="M5597">
            <v>12.394818000000001</v>
          </cell>
          <cell r="N5597">
            <v>0</v>
          </cell>
          <cell r="O5597">
            <v>8.2626000000000002E-3</v>
          </cell>
          <cell r="P5597">
            <v>0</v>
          </cell>
          <cell r="Q5597">
            <v>0.74124060000000003</v>
          </cell>
          <cell r="R5597">
            <v>0</v>
          </cell>
          <cell r="S5597">
            <v>0</v>
          </cell>
          <cell r="T5597">
            <v>2.2346506000000002</v>
          </cell>
          <cell r="U5597">
            <v>1.6218192</v>
          </cell>
          <cell r="V5597">
            <v>0</v>
          </cell>
          <cell r="W5597">
            <v>0</v>
          </cell>
          <cell r="X5597">
            <v>3.6304000000000002E-3</v>
          </cell>
          <cell r="Y5597">
            <v>0</v>
          </cell>
          <cell r="Z5597">
            <v>0</v>
          </cell>
          <cell r="AA5597">
            <v>0</v>
          </cell>
          <cell r="AB5597">
            <v>0.8045369</v>
          </cell>
        </row>
        <row r="5598">
          <cell r="A5598">
            <v>81302010</v>
          </cell>
          <cell r="B5598" t="str">
            <v>Hollandaise sauce</v>
          </cell>
          <cell r="I5598">
            <v>32.200000000000003</v>
          </cell>
          <cell r="J5598">
            <v>162.21651</v>
          </cell>
          <cell r="K5598">
            <v>5.0377798136645957</v>
          </cell>
          <cell r="L5598">
            <v>7.6857999999999996E-3</v>
          </cell>
          <cell r="M5598">
            <v>10.442796</v>
          </cell>
          <cell r="N5598">
            <v>0</v>
          </cell>
          <cell r="O5598">
            <v>1.5603799999999999E-2</v>
          </cell>
          <cell r="P5598">
            <v>0</v>
          </cell>
          <cell r="Q5598">
            <v>0.92578740000000004</v>
          </cell>
          <cell r="R5598">
            <v>0</v>
          </cell>
          <cell r="S5598">
            <v>0</v>
          </cell>
          <cell r="T5598">
            <v>2.561944</v>
          </cell>
          <cell r="U5598">
            <v>0</v>
          </cell>
          <cell r="V5598">
            <v>0</v>
          </cell>
          <cell r="W5598">
            <v>0</v>
          </cell>
          <cell r="X5598">
            <v>0.1247968</v>
          </cell>
          <cell r="Y5598">
            <v>0</v>
          </cell>
          <cell r="Z5598">
            <v>0</v>
          </cell>
          <cell r="AA5598">
            <v>0</v>
          </cell>
          <cell r="AB5598">
            <v>0.61495420000000001</v>
          </cell>
        </row>
        <row r="5599">
          <cell r="A5599">
            <v>81302040</v>
          </cell>
          <cell r="B5599" t="str">
            <v>Sandwich spread</v>
          </cell>
          <cell r="I5599">
            <v>15.3</v>
          </cell>
          <cell r="J5599">
            <v>59.517000000000003</v>
          </cell>
          <cell r="K5599">
            <v>3.89</v>
          </cell>
          <cell r="L5599">
            <v>6.7999999999999996E-3</v>
          </cell>
          <cell r="M5599">
            <v>0.78029999999999999</v>
          </cell>
          <cell r="N5599">
            <v>0</v>
          </cell>
          <cell r="O5599">
            <v>2.1419999999999998E-3</v>
          </cell>
          <cell r="P5599">
            <v>5.4399999999999997E-2</v>
          </cell>
          <cell r="Q5599">
            <v>3.06</v>
          </cell>
          <cell r="R5599">
            <v>0</v>
          </cell>
          <cell r="S5599">
            <v>0</v>
          </cell>
          <cell r="T5599">
            <v>0</v>
          </cell>
          <cell r="U5599">
            <v>0.4743</v>
          </cell>
          <cell r="V5599">
            <v>0</v>
          </cell>
          <cell r="W5599">
            <v>0</v>
          </cell>
          <cell r="X5599">
            <v>0.153</v>
          </cell>
          <cell r="Y5599">
            <v>0</v>
          </cell>
          <cell r="Z5599">
            <v>0</v>
          </cell>
          <cell r="AA5599">
            <v>0</v>
          </cell>
          <cell r="AB5599">
            <v>0.32048219999999999</v>
          </cell>
        </row>
        <row r="5600">
          <cell r="A5600">
            <v>81302050</v>
          </cell>
          <cell r="B5600" t="str">
            <v>Tartar sauce</v>
          </cell>
          <cell r="I5600">
            <v>28.8</v>
          </cell>
          <cell r="J5600">
            <v>60.768000000000001</v>
          </cell>
          <cell r="K5600">
            <v>2.11</v>
          </cell>
          <cell r="L5600">
            <v>0.14399999999999999</v>
          </cell>
          <cell r="M5600">
            <v>0.95990399999999998</v>
          </cell>
          <cell r="N5600">
            <v>0</v>
          </cell>
          <cell r="O5600">
            <v>7.4879999999999999E-3</v>
          </cell>
          <cell r="P5600">
            <v>0</v>
          </cell>
          <cell r="Q5600">
            <v>2.6046719999999999</v>
          </cell>
          <cell r="R5600">
            <v>0</v>
          </cell>
          <cell r="S5600">
            <v>0</v>
          </cell>
          <cell r="T5600">
            <v>0</v>
          </cell>
          <cell r="U5600">
            <v>4.9391999999999996</v>
          </cell>
          <cell r="V5600">
            <v>0</v>
          </cell>
          <cell r="W5600">
            <v>0</v>
          </cell>
          <cell r="X5600">
            <v>0.19209599999999999</v>
          </cell>
          <cell r="Y5600">
            <v>0</v>
          </cell>
          <cell r="Z5600">
            <v>0</v>
          </cell>
          <cell r="AA5600">
            <v>0</v>
          </cell>
          <cell r="AB5600">
            <v>6.5504300000000001E-2</v>
          </cell>
        </row>
        <row r="5601">
          <cell r="A5601">
            <v>81302060</v>
          </cell>
          <cell r="B5601" t="str">
            <v>Horseradish sauce</v>
          </cell>
          <cell r="I5601">
            <v>28</v>
          </cell>
          <cell r="J5601">
            <v>140.84</v>
          </cell>
          <cell r="K5601">
            <v>5.03</v>
          </cell>
          <cell r="L5601">
            <v>0.28000000000000003</v>
          </cell>
          <cell r="M5601">
            <v>2.30524</v>
          </cell>
          <cell r="N5601">
            <v>0</v>
          </cell>
          <cell r="O5601">
            <v>3.3600000000000001E-3</v>
          </cell>
          <cell r="P5601">
            <v>0</v>
          </cell>
          <cell r="Q5601">
            <v>8.1673200000000001</v>
          </cell>
          <cell r="R5601">
            <v>0</v>
          </cell>
          <cell r="S5601">
            <v>0</v>
          </cell>
          <cell r="T5601">
            <v>0.7</v>
          </cell>
          <cell r="U5601">
            <v>4.8019999999999996</v>
          </cell>
          <cell r="V5601">
            <v>0</v>
          </cell>
          <cell r="W5601">
            <v>0</v>
          </cell>
          <cell r="X5601">
            <v>0.2044</v>
          </cell>
          <cell r="Y5601">
            <v>0</v>
          </cell>
          <cell r="Z5601">
            <v>0</v>
          </cell>
          <cell r="AA5601">
            <v>0</v>
          </cell>
          <cell r="AB5601">
            <v>5.0119999999999998E-2</v>
          </cell>
        </row>
        <row r="5602">
          <cell r="A5602">
            <v>81302070</v>
          </cell>
          <cell r="B5602" t="str">
            <v>Pesto sauce</v>
          </cell>
          <cell r="I5602">
            <v>58</v>
          </cell>
          <cell r="J5602">
            <v>329.93367999999998</v>
          </cell>
          <cell r="K5602">
            <v>5.688511724137931</v>
          </cell>
          <cell r="L5602">
            <v>0.19828979999999999</v>
          </cell>
          <cell r="M5602">
            <v>5.5067604000000001</v>
          </cell>
          <cell r="N5602">
            <v>0</v>
          </cell>
          <cell r="O5602">
            <v>0.1179269</v>
          </cell>
          <cell r="P5602">
            <v>0.36926540000000002</v>
          </cell>
          <cell r="Q5602">
            <v>6.1195010999999999</v>
          </cell>
          <cell r="R5602">
            <v>0</v>
          </cell>
          <cell r="S5602">
            <v>0</v>
          </cell>
          <cell r="T5602">
            <v>0</v>
          </cell>
          <cell r="U5602">
            <v>11.977239000000001</v>
          </cell>
          <cell r="V5602">
            <v>0</v>
          </cell>
          <cell r="W5602">
            <v>0</v>
          </cell>
          <cell r="X5602">
            <v>0.58823990000000004</v>
          </cell>
          <cell r="Y5602">
            <v>9.9735332000000003</v>
          </cell>
          <cell r="Z5602">
            <v>0</v>
          </cell>
          <cell r="AA5602">
            <v>0</v>
          </cell>
          <cell r="AB5602">
            <v>0.26306780000000002</v>
          </cell>
        </row>
        <row r="5603">
          <cell r="A5603">
            <v>81322000</v>
          </cell>
          <cell r="B5603" t="str">
            <v>Honey butter</v>
          </cell>
          <cell r="I5603">
            <v>18</v>
          </cell>
          <cell r="J5603">
            <v>84.534806000000003</v>
          </cell>
          <cell r="K5603">
            <v>4.6963781111111116</v>
          </cell>
          <cell r="L5603">
            <v>-2.5000000000000002E-18</v>
          </cell>
          <cell r="M5603">
            <v>3.7082977000000001</v>
          </cell>
          <cell r="N5603">
            <v>0</v>
          </cell>
          <cell r="O5603">
            <v>2.3793999999999998E-3</v>
          </cell>
          <cell r="P5603">
            <v>2.1561799999999999E-2</v>
          </cell>
          <cell r="Q5603">
            <v>0.2196766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4.68499E-2</v>
          </cell>
          <cell r="Y5603">
            <v>0</v>
          </cell>
          <cell r="Z5603">
            <v>0</v>
          </cell>
          <cell r="AA5603">
            <v>0</v>
          </cell>
          <cell r="AB5603">
            <v>0.2366415</v>
          </cell>
        </row>
        <row r="5604">
          <cell r="A5604">
            <v>82101000</v>
          </cell>
          <cell r="B5604" t="str">
            <v>Vegetable oil, NFS</v>
          </cell>
          <cell r="I5604">
            <v>13.6</v>
          </cell>
          <cell r="J5604">
            <v>120.44159999999999</v>
          </cell>
          <cell r="K5604">
            <v>8.8559999999999999</v>
          </cell>
          <cell r="L5604">
            <v>0</v>
          </cell>
          <cell r="M5604">
            <v>1.8600108</v>
          </cell>
          <cell r="N5604">
            <v>0</v>
          </cell>
          <cell r="O5604">
            <v>3.4E-5</v>
          </cell>
          <cell r="P5604">
            <v>0</v>
          </cell>
          <cell r="Q5604">
            <v>5.6018059999999998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6.7999999999999999E-5</v>
          </cell>
          <cell r="Y5604">
            <v>0</v>
          </cell>
          <cell r="Z5604">
            <v>0</v>
          </cell>
          <cell r="AA5604">
            <v>0</v>
          </cell>
          <cell r="AB5604">
            <v>4.8191600000000001E-2</v>
          </cell>
        </row>
        <row r="5605">
          <cell r="A5605">
            <v>82101500</v>
          </cell>
          <cell r="B5605" t="str">
            <v>Coconut oil</v>
          </cell>
          <cell r="I5605">
            <v>13.6</v>
          </cell>
          <cell r="J5605">
            <v>121.312</v>
          </cell>
          <cell r="K5605">
            <v>8.92</v>
          </cell>
          <cell r="L5605">
            <v>0</v>
          </cell>
          <cell r="M5605">
            <v>11.2166</v>
          </cell>
          <cell r="N5605">
            <v>0</v>
          </cell>
          <cell r="O5605">
            <v>1.36E-4</v>
          </cell>
          <cell r="P5605">
            <v>0</v>
          </cell>
          <cell r="Q5605">
            <v>0.23147200000000001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  <cell r="Y5605">
            <v>0</v>
          </cell>
          <cell r="Z5605">
            <v>0</v>
          </cell>
          <cell r="AA5605">
            <v>0</v>
          </cell>
          <cell r="AB5605">
            <v>3.8080000000000002E-3</v>
          </cell>
        </row>
        <row r="5606">
          <cell r="A5606">
            <v>82102000</v>
          </cell>
          <cell r="B5606" t="str">
            <v>Corn oil</v>
          </cell>
          <cell r="I5606">
            <v>13.6</v>
          </cell>
          <cell r="J5606">
            <v>122.4</v>
          </cell>
          <cell r="K5606">
            <v>9</v>
          </cell>
          <cell r="L5606">
            <v>0</v>
          </cell>
          <cell r="M5606">
            <v>1.760928</v>
          </cell>
          <cell r="N5606">
            <v>0</v>
          </cell>
          <cell r="O5606">
            <v>0</v>
          </cell>
          <cell r="P5606">
            <v>0</v>
          </cell>
          <cell r="Q5606">
            <v>7.4360720000000002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  <cell r="Y5606">
            <v>0</v>
          </cell>
          <cell r="Z5606">
            <v>0</v>
          </cell>
          <cell r="AA5606">
            <v>0</v>
          </cell>
          <cell r="AB5606">
            <v>3.8896E-2</v>
          </cell>
        </row>
        <row r="5607">
          <cell r="A5607">
            <v>82103500</v>
          </cell>
          <cell r="B5607" t="str">
            <v>Flaxseed oil</v>
          </cell>
          <cell r="I5607">
            <v>13.6</v>
          </cell>
          <cell r="J5607">
            <v>120.224</v>
          </cell>
          <cell r="K5607">
            <v>8.84</v>
          </cell>
          <cell r="L5607">
            <v>0</v>
          </cell>
          <cell r="M5607">
            <v>1.220736</v>
          </cell>
          <cell r="N5607">
            <v>0</v>
          </cell>
          <cell r="O5607">
            <v>1.36E-4</v>
          </cell>
          <cell r="P5607">
            <v>0</v>
          </cell>
          <cell r="Q5607">
            <v>9.2274639999999994</v>
          </cell>
          <cell r="R5607">
            <v>0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  <cell r="Y5607">
            <v>0</v>
          </cell>
          <cell r="Z5607">
            <v>0</v>
          </cell>
          <cell r="AA5607">
            <v>0</v>
          </cell>
          <cell r="AB5607">
            <v>1.2784E-2</v>
          </cell>
        </row>
        <row r="5608">
          <cell r="A5608">
            <v>82104000</v>
          </cell>
          <cell r="B5608" t="str">
            <v>Olive oil</v>
          </cell>
          <cell r="I5608">
            <v>13.5</v>
          </cell>
          <cell r="J5608">
            <v>119.34</v>
          </cell>
          <cell r="K5608">
            <v>8.84</v>
          </cell>
          <cell r="L5608">
            <v>0</v>
          </cell>
          <cell r="M5608">
            <v>1.86408</v>
          </cell>
          <cell r="N5608">
            <v>0</v>
          </cell>
          <cell r="O5608">
            <v>1.35E-4</v>
          </cell>
          <cell r="P5608">
            <v>0</v>
          </cell>
          <cell r="Q5608">
            <v>1.4206049999999999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0</v>
          </cell>
          <cell r="W5608">
            <v>0</v>
          </cell>
          <cell r="X5608">
            <v>2.7E-4</v>
          </cell>
          <cell r="Y5608">
            <v>0</v>
          </cell>
          <cell r="Z5608">
            <v>0</v>
          </cell>
          <cell r="AA5608">
            <v>0</v>
          </cell>
          <cell r="AB5608">
            <v>8.9460300000000006E-2</v>
          </cell>
        </row>
        <row r="5609">
          <cell r="A5609">
            <v>82105000</v>
          </cell>
          <cell r="B5609" t="str">
            <v>Peanut oil</v>
          </cell>
          <cell r="I5609">
            <v>13.5</v>
          </cell>
          <cell r="J5609">
            <v>119.34</v>
          </cell>
          <cell r="K5609">
            <v>8.84</v>
          </cell>
          <cell r="L5609">
            <v>0</v>
          </cell>
          <cell r="M5609">
            <v>2.2814999999999999</v>
          </cell>
          <cell r="N5609">
            <v>0</v>
          </cell>
          <cell r="O5609">
            <v>0</v>
          </cell>
          <cell r="P5609">
            <v>0</v>
          </cell>
          <cell r="Q5609">
            <v>4.32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  <cell r="Y5609">
            <v>0</v>
          </cell>
          <cell r="Z5609">
            <v>0</v>
          </cell>
          <cell r="AA5609">
            <v>0</v>
          </cell>
          <cell r="AB5609">
            <v>7.3860999999999996E-2</v>
          </cell>
        </row>
        <row r="5610">
          <cell r="A5610">
            <v>82107000</v>
          </cell>
          <cell r="B5610" t="str">
            <v>Sesame oil</v>
          </cell>
          <cell r="I5610">
            <v>13.6</v>
          </cell>
          <cell r="J5610">
            <v>120.224</v>
          </cell>
          <cell r="K5610">
            <v>8.84</v>
          </cell>
          <cell r="L5610">
            <v>0</v>
          </cell>
          <cell r="M5610">
            <v>1.9312</v>
          </cell>
          <cell r="N5610">
            <v>0</v>
          </cell>
          <cell r="O5610">
            <v>0</v>
          </cell>
          <cell r="P5610">
            <v>0</v>
          </cell>
          <cell r="Q5610">
            <v>5.6711999999999998</v>
          </cell>
          <cell r="R5610">
            <v>0</v>
          </cell>
          <cell r="S5610">
            <v>0</v>
          </cell>
          <cell r="T5610">
            <v>0</v>
          </cell>
          <cell r="U5610">
            <v>0</v>
          </cell>
          <cell r="V5610">
            <v>0</v>
          </cell>
          <cell r="W5610">
            <v>0</v>
          </cell>
          <cell r="X5610">
            <v>0</v>
          </cell>
          <cell r="Y5610">
            <v>0</v>
          </cell>
          <cell r="Z5610">
            <v>0</v>
          </cell>
          <cell r="AA5610">
            <v>0</v>
          </cell>
          <cell r="AB5610">
            <v>0.17911199999999999</v>
          </cell>
        </row>
        <row r="5611">
          <cell r="A5611">
            <v>83100100</v>
          </cell>
          <cell r="B5611" t="str">
            <v>Salad dressing, NFS, for salads</v>
          </cell>
          <cell r="I5611">
            <v>30</v>
          </cell>
          <cell r="J5611">
            <v>129</v>
          </cell>
          <cell r="K5611">
            <v>4.3</v>
          </cell>
          <cell r="L5611">
            <v>0</v>
          </cell>
          <cell r="M5611">
            <v>2.0891999999999999</v>
          </cell>
          <cell r="N5611">
            <v>0</v>
          </cell>
          <cell r="O5611">
            <v>8.3999999999999995E-3</v>
          </cell>
          <cell r="P5611">
            <v>0</v>
          </cell>
          <cell r="Q5611">
            <v>7.7388000000000003</v>
          </cell>
          <cell r="R5611">
            <v>0</v>
          </cell>
          <cell r="S5611">
            <v>0</v>
          </cell>
          <cell r="T5611">
            <v>0</v>
          </cell>
          <cell r="U5611">
            <v>0</v>
          </cell>
          <cell r="V5611">
            <v>0</v>
          </cell>
          <cell r="W5611">
            <v>0</v>
          </cell>
          <cell r="X5611">
            <v>0.27029999999999998</v>
          </cell>
          <cell r="Y5611">
            <v>0</v>
          </cell>
          <cell r="Z5611">
            <v>0</v>
          </cell>
          <cell r="AA5611">
            <v>0</v>
          </cell>
          <cell r="AB5611">
            <v>5.4600000000000003E-2</v>
          </cell>
        </row>
        <row r="5612">
          <cell r="A5612">
            <v>83100200</v>
          </cell>
          <cell r="B5612" t="str">
            <v>Salad dressing, NFS, for sandwiches</v>
          </cell>
          <cell r="I5612">
            <v>30</v>
          </cell>
          <cell r="J5612">
            <v>178.2</v>
          </cell>
          <cell r="K5612">
            <v>5.9399999999999995</v>
          </cell>
          <cell r="L5612">
            <v>0</v>
          </cell>
          <cell r="M5612">
            <v>3.01248</v>
          </cell>
          <cell r="N5612">
            <v>0</v>
          </cell>
          <cell r="O5612">
            <v>2.2200000000000002E-3</v>
          </cell>
          <cell r="P5612">
            <v>0</v>
          </cell>
          <cell r="Q5612">
            <v>11.45682</v>
          </cell>
          <cell r="R5612">
            <v>0</v>
          </cell>
          <cell r="S5612">
            <v>0</v>
          </cell>
          <cell r="T5612">
            <v>0</v>
          </cell>
          <cell r="U5612">
            <v>0</v>
          </cell>
          <cell r="V5612">
            <v>0</v>
          </cell>
          <cell r="W5612">
            <v>0</v>
          </cell>
          <cell r="X5612">
            <v>0.19158</v>
          </cell>
          <cell r="Y5612">
            <v>0</v>
          </cell>
          <cell r="Z5612">
            <v>0</v>
          </cell>
          <cell r="AA5612">
            <v>0</v>
          </cell>
          <cell r="AB5612">
            <v>4.956E-2</v>
          </cell>
        </row>
        <row r="5613">
          <cell r="A5613">
            <v>83101000</v>
          </cell>
          <cell r="B5613" t="str">
            <v>Blue or roquefort cheese dressing</v>
          </cell>
          <cell r="I5613">
            <v>30</v>
          </cell>
          <cell r="J5613">
            <v>145.19999999999999</v>
          </cell>
          <cell r="K5613">
            <v>4.84</v>
          </cell>
          <cell r="L5613">
            <v>0</v>
          </cell>
          <cell r="M5613">
            <v>2.4824999999999999</v>
          </cell>
          <cell r="N5613">
            <v>0</v>
          </cell>
          <cell r="O5613">
            <v>1.11E-2</v>
          </cell>
          <cell r="P5613">
            <v>0.12</v>
          </cell>
          <cell r="Q5613">
            <v>8.2635000000000005</v>
          </cell>
          <cell r="R5613">
            <v>0</v>
          </cell>
          <cell r="S5613">
            <v>0</v>
          </cell>
          <cell r="T5613">
            <v>0</v>
          </cell>
          <cell r="U5613">
            <v>0</v>
          </cell>
          <cell r="V5613">
            <v>0</v>
          </cell>
          <cell r="W5613">
            <v>0</v>
          </cell>
          <cell r="X5613">
            <v>0.19259999999999999</v>
          </cell>
          <cell r="Y5613">
            <v>0</v>
          </cell>
          <cell r="Z5613">
            <v>0</v>
          </cell>
          <cell r="AA5613">
            <v>0</v>
          </cell>
          <cell r="AB5613">
            <v>0.40200000000000002</v>
          </cell>
        </row>
        <row r="5614">
          <cell r="A5614">
            <v>83102000</v>
          </cell>
          <cell r="B5614" t="str">
            <v>Caesar dressing</v>
          </cell>
          <cell r="I5614">
            <v>30</v>
          </cell>
          <cell r="J5614">
            <v>162.6</v>
          </cell>
          <cell r="K5614">
            <v>5.42</v>
          </cell>
          <cell r="L5614">
            <v>0</v>
          </cell>
          <cell r="M5614">
            <v>2.6366999999999998</v>
          </cell>
          <cell r="N5614">
            <v>0</v>
          </cell>
          <cell r="O5614">
            <v>1.44E-2</v>
          </cell>
          <cell r="P5614">
            <v>0.15</v>
          </cell>
          <cell r="Q5614">
            <v>9.8571000000000009</v>
          </cell>
          <cell r="R5614">
            <v>0</v>
          </cell>
          <cell r="S5614">
            <v>0</v>
          </cell>
          <cell r="T5614">
            <v>0</v>
          </cell>
          <cell r="U5614">
            <v>0</v>
          </cell>
          <cell r="V5614">
            <v>0</v>
          </cell>
          <cell r="W5614">
            <v>0</v>
          </cell>
          <cell r="X5614">
            <v>0.36270000000000002</v>
          </cell>
          <cell r="Y5614">
            <v>0</v>
          </cell>
          <cell r="Z5614">
            <v>0</v>
          </cell>
          <cell r="AA5614">
            <v>0</v>
          </cell>
          <cell r="AB5614">
            <v>6.0248500000000003E-2</v>
          </cell>
        </row>
        <row r="5615">
          <cell r="A5615">
            <v>83103000</v>
          </cell>
          <cell r="B5615" t="str">
            <v>Coleslaw dressing</v>
          </cell>
          <cell r="I5615">
            <v>30</v>
          </cell>
          <cell r="J5615">
            <v>117</v>
          </cell>
          <cell r="K5615">
            <v>3.9</v>
          </cell>
          <cell r="L5615">
            <v>0</v>
          </cell>
          <cell r="M5615">
            <v>1.47</v>
          </cell>
          <cell r="N5615">
            <v>0</v>
          </cell>
          <cell r="O5615">
            <v>4.1999999999999997E-3</v>
          </cell>
          <cell r="P5615">
            <v>0.03</v>
          </cell>
          <cell r="Q5615">
            <v>5.4</v>
          </cell>
          <cell r="R5615">
            <v>0</v>
          </cell>
          <cell r="S5615">
            <v>0</v>
          </cell>
          <cell r="T5615">
            <v>0</v>
          </cell>
          <cell r="U5615">
            <v>0</v>
          </cell>
          <cell r="V5615">
            <v>0</v>
          </cell>
          <cell r="W5615">
            <v>0</v>
          </cell>
          <cell r="X5615">
            <v>0.21299999999999999</v>
          </cell>
          <cell r="Y5615">
            <v>0</v>
          </cell>
          <cell r="Z5615">
            <v>0</v>
          </cell>
          <cell r="AA5615">
            <v>0</v>
          </cell>
          <cell r="AB5615">
            <v>6.8430000000000005E-2</v>
          </cell>
        </row>
        <row r="5616">
          <cell r="A5616">
            <v>83104000</v>
          </cell>
          <cell r="B5616" t="str">
            <v>French or Catalina dressing</v>
          </cell>
          <cell r="I5616">
            <v>30</v>
          </cell>
          <cell r="J5616">
            <v>137.1</v>
          </cell>
          <cell r="K5616">
            <v>4.5699999999999994</v>
          </cell>
          <cell r="L5616">
            <v>0</v>
          </cell>
          <cell r="M5616">
            <v>1.6943999999999999</v>
          </cell>
          <cell r="N5616">
            <v>0</v>
          </cell>
          <cell r="O5616">
            <v>7.1999999999999998E-3</v>
          </cell>
          <cell r="P5616">
            <v>0</v>
          </cell>
          <cell r="Q5616">
            <v>6.3087</v>
          </cell>
          <cell r="R5616">
            <v>0</v>
          </cell>
          <cell r="S5616">
            <v>0</v>
          </cell>
          <cell r="T5616">
            <v>0</v>
          </cell>
          <cell r="U5616">
            <v>2.2050000000000001</v>
          </cell>
          <cell r="V5616">
            <v>0</v>
          </cell>
          <cell r="W5616">
            <v>0</v>
          </cell>
          <cell r="X5616">
            <v>0.25080000000000002</v>
          </cell>
          <cell r="Y5616">
            <v>0</v>
          </cell>
          <cell r="Z5616">
            <v>0</v>
          </cell>
          <cell r="AA5616">
            <v>0</v>
          </cell>
          <cell r="AB5616">
            <v>0.20842939999999999</v>
          </cell>
        </row>
        <row r="5617">
          <cell r="A5617">
            <v>83105500</v>
          </cell>
          <cell r="B5617" t="str">
            <v>Honey mustard dressing</v>
          </cell>
          <cell r="I5617">
            <v>30</v>
          </cell>
          <cell r="J5617">
            <v>139.19999999999999</v>
          </cell>
          <cell r="K5617">
            <v>4.6399999999999997</v>
          </cell>
          <cell r="L5617">
            <v>0</v>
          </cell>
          <cell r="M5617">
            <v>1.5</v>
          </cell>
          <cell r="N5617">
            <v>0</v>
          </cell>
          <cell r="O5617">
            <v>3.5999999999999999E-3</v>
          </cell>
          <cell r="P5617">
            <v>0.12</v>
          </cell>
          <cell r="Q5617">
            <v>6.8517000000000001</v>
          </cell>
          <cell r="R5617">
            <v>0</v>
          </cell>
          <cell r="S5617">
            <v>0</v>
          </cell>
          <cell r="T5617">
            <v>0</v>
          </cell>
          <cell r="U5617">
            <v>0</v>
          </cell>
          <cell r="V5617">
            <v>0</v>
          </cell>
          <cell r="W5617">
            <v>0</v>
          </cell>
          <cell r="X5617">
            <v>0.15359999999999999</v>
          </cell>
          <cell r="Y5617">
            <v>0</v>
          </cell>
          <cell r="Z5617">
            <v>0</v>
          </cell>
          <cell r="AA5617">
            <v>0</v>
          </cell>
          <cell r="AB5617">
            <v>3.4095500000000001E-2</v>
          </cell>
        </row>
        <row r="5618">
          <cell r="A5618">
            <v>83106000</v>
          </cell>
          <cell r="B5618" t="str">
            <v>Italian dressing, made with vinegar and oil</v>
          </cell>
          <cell r="I5618">
            <v>30</v>
          </cell>
          <cell r="J5618">
            <v>72</v>
          </cell>
          <cell r="K5618">
            <v>2.4</v>
          </cell>
          <cell r="L5618">
            <v>0</v>
          </cell>
          <cell r="M5618">
            <v>0.88439999999999996</v>
          </cell>
          <cell r="N5618">
            <v>0</v>
          </cell>
          <cell r="O5618">
            <v>3.8999999999999998E-3</v>
          </cell>
          <cell r="P5618">
            <v>0</v>
          </cell>
          <cell r="Q5618">
            <v>3.2244000000000002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  <cell r="V5618">
            <v>0</v>
          </cell>
          <cell r="W5618">
            <v>0</v>
          </cell>
          <cell r="X5618">
            <v>0.2979</v>
          </cell>
          <cell r="Y5618">
            <v>0</v>
          </cell>
          <cell r="Z5618">
            <v>0</v>
          </cell>
          <cell r="AA5618">
            <v>0</v>
          </cell>
          <cell r="AB5618">
            <v>2.01E-2</v>
          </cell>
        </row>
        <row r="5619">
          <cell r="A5619">
            <v>83107000</v>
          </cell>
          <cell r="B5619" t="str">
            <v>Mayonnaise, regular</v>
          </cell>
          <cell r="I5619">
            <v>15</v>
          </cell>
          <cell r="J5619">
            <v>102</v>
          </cell>
          <cell r="K5619">
            <v>6.8</v>
          </cell>
          <cell r="L5619">
            <v>0</v>
          </cell>
          <cell r="M5619">
            <v>1.75545</v>
          </cell>
          <cell r="N5619">
            <v>0</v>
          </cell>
          <cell r="O5619">
            <v>1.1999999999999999E-3</v>
          </cell>
          <cell r="P5619">
            <v>0</v>
          </cell>
          <cell r="Q5619">
            <v>6.7035</v>
          </cell>
          <cell r="R5619">
            <v>0</v>
          </cell>
          <cell r="S5619">
            <v>0</v>
          </cell>
          <cell r="T5619">
            <v>0</v>
          </cell>
          <cell r="U5619">
            <v>0</v>
          </cell>
          <cell r="V5619">
            <v>0</v>
          </cell>
          <cell r="W5619">
            <v>0</v>
          </cell>
          <cell r="X5619">
            <v>9.5250000000000001E-2</v>
          </cell>
          <cell r="Y5619">
            <v>0</v>
          </cell>
          <cell r="Z5619">
            <v>0</v>
          </cell>
          <cell r="AA5619">
            <v>0</v>
          </cell>
          <cell r="AB5619">
            <v>2.8049999999999999E-2</v>
          </cell>
        </row>
        <row r="5620">
          <cell r="A5620">
            <v>83108000</v>
          </cell>
          <cell r="B5620" t="str">
            <v>Mayonnaise, imitation</v>
          </cell>
          <cell r="I5620">
            <v>15</v>
          </cell>
          <cell r="J5620">
            <v>34.799999999999997</v>
          </cell>
          <cell r="K5620">
            <v>2.3199999999999998</v>
          </cell>
          <cell r="L5620">
            <v>0</v>
          </cell>
          <cell r="M5620">
            <v>0.495</v>
          </cell>
          <cell r="N5620">
            <v>0</v>
          </cell>
          <cell r="O5620">
            <v>0</v>
          </cell>
          <cell r="P5620">
            <v>0</v>
          </cell>
          <cell r="Q5620">
            <v>1.59</v>
          </cell>
          <cell r="R5620">
            <v>0</v>
          </cell>
          <cell r="S5620">
            <v>0</v>
          </cell>
          <cell r="T5620">
            <v>0</v>
          </cell>
          <cell r="U5620">
            <v>0</v>
          </cell>
          <cell r="V5620">
            <v>0</v>
          </cell>
          <cell r="W5620">
            <v>0</v>
          </cell>
          <cell r="X5620">
            <v>7.4550000000000005E-2</v>
          </cell>
          <cell r="Y5620">
            <v>0</v>
          </cell>
          <cell r="Z5620">
            <v>0</v>
          </cell>
          <cell r="AA5620">
            <v>0</v>
          </cell>
          <cell r="AB5620">
            <v>4.4187000000000002E-3</v>
          </cell>
        </row>
        <row r="5621">
          <cell r="A5621">
            <v>83109000</v>
          </cell>
          <cell r="B5621" t="str">
            <v>Russian dressing</v>
          </cell>
          <cell r="I5621">
            <v>30</v>
          </cell>
          <cell r="J5621">
            <v>106.5</v>
          </cell>
          <cell r="K5621">
            <v>3.55</v>
          </cell>
          <cell r="L5621">
            <v>0.21</v>
          </cell>
          <cell r="M5621">
            <v>0.71699999999999997</v>
          </cell>
          <cell r="N5621">
            <v>0</v>
          </cell>
          <cell r="O5621">
            <v>3.8999999999999998E-3</v>
          </cell>
          <cell r="P5621">
            <v>0</v>
          </cell>
          <cell r="Q5621">
            <v>4.4489999999999998</v>
          </cell>
          <cell r="R5621">
            <v>0</v>
          </cell>
          <cell r="S5621">
            <v>0</v>
          </cell>
          <cell r="T5621">
            <v>0</v>
          </cell>
          <cell r="U5621">
            <v>7.35</v>
          </cell>
          <cell r="V5621">
            <v>0</v>
          </cell>
          <cell r="W5621">
            <v>0</v>
          </cell>
          <cell r="X5621">
            <v>0.33989999999999998</v>
          </cell>
          <cell r="Y5621">
            <v>0</v>
          </cell>
          <cell r="Z5621">
            <v>0</v>
          </cell>
          <cell r="AA5621">
            <v>0</v>
          </cell>
          <cell r="AB5621">
            <v>5.0999999999999997E-2</v>
          </cell>
        </row>
        <row r="5622">
          <cell r="A5622">
            <v>83110000</v>
          </cell>
          <cell r="B5622" t="str">
            <v>Mayonnaise-type salad dressing</v>
          </cell>
          <cell r="I5622">
            <v>15</v>
          </cell>
          <cell r="J5622">
            <v>37.5</v>
          </cell>
          <cell r="K5622">
            <v>2.5</v>
          </cell>
          <cell r="L5622">
            <v>0</v>
          </cell>
          <cell r="M5622">
            <v>0.50939999999999996</v>
          </cell>
          <cell r="N5622">
            <v>0</v>
          </cell>
          <cell r="O5622">
            <v>7.5000000000000002E-4</v>
          </cell>
          <cell r="P5622">
            <v>0</v>
          </cell>
          <cell r="Q5622">
            <v>1.82805</v>
          </cell>
          <cell r="R5622">
            <v>0</v>
          </cell>
          <cell r="S5622">
            <v>0</v>
          </cell>
          <cell r="T5622">
            <v>0</v>
          </cell>
          <cell r="U5622">
            <v>0</v>
          </cell>
          <cell r="V5622">
            <v>0</v>
          </cell>
          <cell r="W5622">
            <v>0</v>
          </cell>
          <cell r="X5622">
            <v>9.7949999999999995E-2</v>
          </cell>
          <cell r="Y5622">
            <v>0</v>
          </cell>
          <cell r="Z5622">
            <v>0</v>
          </cell>
          <cell r="AA5622">
            <v>0</v>
          </cell>
          <cell r="AB5622">
            <v>1.17E-2</v>
          </cell>
        </row>
        <row r="5623">
          <cell r="A5623">
            <v>83112000</v>
          </cell>
          <cell r="B5623" t="str">
            <v>Avocado dressing</v>
          </cell>
          <cell r="I5623">
            <v>30</v>
          </cell>
          <cell r="J5623">
            <v>128.1</v>
          </cell>
          <cell r="K5623">
            <v>4.2699999999999996</v>
          </cell>
          <cell r="L5623">
            <v>0</v>
          </cell>
          <cell r="M5623">
            <v>1.7934000000000001</v>
          </cell>
          <cell r="N5623">
            <v>0</v>
          </cell>
          <cell r="O5623">
            <v>1.0200000000000001E-2</v>
          </cell>
          <cell r="P5623">
            <v>0.03</v>
          </cell>
          <cell r="Q5623">
            <v>6.9494999999999996</v>
          </cell>
          <cell r="R5623">
            <v>0</v>
          </cell>
          <cell r="S5623">
            <v>0</v>
          </cell>
          <cell r="T5623">
            <v>0</v>
          </cell>
          <cell r="U5623">
            <v>0</v>
          </cell>
          <cell r="V5623">
            <v>0</v>
          </cell>
          <cell r="W5623">
            <v>0</v>
          </cell>
          <cell r="X5623">
            <v>0.2601</v>
          </cell>
          <cell r="Y5623">
            <v>0</v>
          </cell>
          <cell r="Z5623">
            <v>0</v>
          </cell>
          <cell r="AA5623">
            <v>0</v>
          </cell>
          <cell r="AB5623">
            <v>0.12764410000000001</v>
          </cell>
        </row>
        <row r="5624">
          <cell r="A5624">
            <v>83112500</v>
          </cell>
          <cell r="B5624" t="str">
            <v>Creamy dressing</v>
          </cell>
          <cell r="I5624">
            <v>30</v>
          </cell>
          <cell r="J5624">
            <v>129</v>
          </cell>
          <cell r="K5624">
            <v>4.3</v>
          </cell>
          <cell r="L5624">
            <v>0</v>
          </cell>
          <cell r="M5624">
            <v>2.0891999999999999</v>
          </cell>
          <cell r="N5624">
            <v>0</v>
          </cell>
          <cell r="O5624">
            <v>8.3999999999999995E-3</v>
          </cell>
          <cell r="P5624">
            <v>0</v>
          </cell>
          <cell r="Q5624">
            <v>7.7388000000000003</v>
          </cell>
          <cell r="R5624">
            <v>0</v>
          </cell>
          <cell r="S5624">
            <v>0</v>
          </cell>
          <cell r="T5624">
            <v>0</v>
          </cell>
          <cell r="U5624">
            <v>0</v>
          </cell>
          <cell r="V5624">
            <v>0</v>
          </cell>
          <cell r="W5624">
            <v>0</v>
          </cell>
          <cell r="X5624">
            <v>0.27029999999999998</v>
          </cell>
          <cell r="Y5624">
            <v>0</v>
          </cell>
          <cell r="Z5624">
            <v>0</v>
          </cell>
          <cell r="AA5624">
            <v>0</v>
          </cell>
          <cell r="AB5624">
            <v>5.4600000000000003E-2</v>
          </cell>
        </row>
        <row r="5625">
          <cell r="A5625">
            <v>83112950</v>
          </cell>
          <cell r="B5625" t="str">
            <v>Poppy seed dressing</v>
          </cell>
          <cell r="I5625">
            <v>30</v>
          </cell>
          <cell r="J5625">
            <v>119.7</v>
          </cell>
          <cell r="K5625">
            <v>3.99</v>
          </cell>
          <cell r="L5625">
            <v>0</v>
          </cell>
          <cell r="M5625">
            <v>1.8183</v>
          </cell>
          <cell r="N5625">
            <v>0</v>
          </cell>
          <cell r="O5625">
            <v>1.77E-2</v>
          </cell>
          <cell r="P5625">
            <v>0.09</v>
          </cell>
          <cell r="Q5625">
            <v>5.1978</v>
          </cell>
          <cell r="R5625">
            <v>0</v>
          </cell>
          <cell r="S5625">
            <v>0</v>
          </cell>
          <cell r="T5625">
            <v>0</v>
          </cell>
          <cell r="U5625">
            <v>0</v>
          </cell>
          <cell r="V5625">
            <v>0</v>
          </cell>
          <cell r="W5625">
            <v>0</v>
          </cell>
          <cell r="X5625">
            <v>0.27989999999999998</v>
          </cell>
          <cell r="Y5625">
            <v>0</v>
          </cell>
          <cell r="Z5625">
            <v>0</v>
          </cell>
          <cell r="AA5625">
            <v>0</v>
          </cell>
          <cell r="AB5625">
            <v>4.3200000000000002E-2</v>
          </cell>
        </row>
        <row r="5626">
          <cell r="A5626">
            <v>83112990</v>
          </cell>
          <cell r="B5626" t="str">
            <v>Sesame dressing</v>
          </cell>
          <cell r="I5626">
            <v>30</v>
          </cell>
          <cell r="J5626">
            <v>132.9</v>
          </cell>
          <cell r="K5626">
            <v>4.4300000000000006</v>
          </cell>
          <cell r="L5626">
            <v>0</v>
          </cell>
          <cell r="M5626">
            <v>1.86</v>
          </cell>
          <cell r="N5626">
            <v>0</v>
          </cell>
          <cell r="O5626">
            <v>5.7000000000000002E-3</v>
          </cell>
          <cell r="P5626">
            <v>0.3</v>
          </cell>
          <cell r="Q5626">
            <v>7.53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  <cell r="V5626">
            <v>0</v>
          </cell>
          <cell r="W5626">
            <v>0</v>
          </cell>
          <cell r="X5626">
            <v>0.3</v>
          </cell>
          <cell r="Y5626">
            <v>0</v>
          </cell>
          <cell r="Z5626">
            <v>0</v>
          </cell>
          <cell r="AA5626">
            <v>0</v>
          </cell>
          <cell r="AB5626">
            <v>0.11809459999999999</v>
          </cell>
        </row>
        <row r="5627">
          <cell r="A5627">
            <v>83114000</v>
          </cell>
          <cell r="B5627" t="str">
            <v>Thousand Island dressing</v>
          </cell>
          <cell r="I5627">
            <v>30</v>
          </cell>
          <cell r="J5627">
            <v>113.7</v>
          </cell>
          <cell r="K5627">
            <v>3.79</v>
          </cell>
          <cell r="L5627">
            <v>0.24</v>
          </cell>
          <cell r="M5627">
            <v>1.5276000000000001</v>
          </cell>
          <cell r="N5627">
            <v>0</v>
          </cell>
          <cell r="O5627">
            <v>5.1000000000000004E-3</v>
          </cell>
          <cell r="P5627">
            <v>0</v>
          </cell>
          <cell r="Q5627">
            <v>5.4660000000000002</v>
          </cell>
          <cell r="R5627">
            <v>0</v>
          </cell>
          <cell r="S5627">
            <v>0</v>
          </cell>
          <cell r="T5627">
            <v>0</v>
          </cell>
          <cell r="U5627">
            <v>9.5549999999999997</v>
          </cell>
          <cell r="V5627">
            <v>0</v>
          </cell>
          <cell r="W5627">
            <v>0</v>
          </cell>
          <cell r="X5627">
            <v>0.28860000000000002</v>
          </cell>
          <cell r="Y5627">
            <v>0</v>
          </cell>
          <cell r="Z5627">
            <v>0</v>
          </cell>
          <cell r="AA5627">
            <v>0</v>
          </cell>
          <cell r="AB5627">
            <v>9.1011999999999996E-2</v>
          </cell>
        </row>
        <row r="5628">
          <cell r="A5628">
            <v>83115000</v>
          </cell>
          <cell r="B5628" t="str">
            <v>Yogurt dressing</v>
          </cell>
          <cell r="I5628">
            <v>30</v>
          </cell>
          <cell r="J5628">
            <v>65.988135999999997</v>
          </cell>
          <cell r="K5628">
            <v>2.1996045333333334</v>
          </cell>
          <cell r="L5628">
            <v>3.5720300000000003E-2</v>
          </cell>
          <cell r="M5628">
            <v>3.4968047000000002</v>
          </cell>
          <cell r="N5628">
            <v>0</v>
          </cell>
          <cell r="O5628">
            <v>3.0944099999999999E-2</v>
          </cell>
          <cell r="P5628">
            <v>0</v>
          </cell>
          <cell r="Q5628">
            <v>0.23841780000000001</v>
          </cell>
          <cell r="R5628">
            <v>0</v>
          </cell>
          <cell r="S5628">
            <v>0</v>
          </cell>
          <cell r="T5628">
            <v>2.7470127</v>
          </cell>
          <cell r="U5628">
            <v>0</v>
          </cell>
          <cell r="V5628">
            <v>0</v>
          </cell>
          <cell r="W5628">
            <v>0</v>
          </cell>
          <cell r="X5628">
            <v>1.3044500000000001E-2</v>
          </cell>
          <cell r="Y5628">
            <v>0</v>
          </cell>
          <cell r="Z5628">
            <v>0</v>
          </cell>
          <cell r="AA5628">
            <v>0</v>
          </cell>
          <cell r="AB5628">
            <v>0.1869712</v>
          </cell>
        </row>
        <row r="5629">
          <cell r="A5629">
            <v>83200100</v>
          </cell>
          <cell r="B5629" t="str">
            <v>Salad dressing, light, NFS</v>
          </cell>
          <cell r="I5629">
            <v>30</v>
          </cell>
          <cell r="J5629">
            <v>48</v>
          </cell>
          <cell r="K5629">
            <v>1.6</v>
          </cell>
          <cell r="L5629">
            <v>0</v>
          </cell>
          <cell r="M5629">
            <v>0.63449999999999995</v>
          </cell>
          <cell r="N5629">
            <v>0</v>
          </cell>
          <cell r="O5629">
            <v>1.8E-3</v>
          </cell>
          <cell r="P5629">
            <v>0</v>
          </cell>
          <cell r="Q5629">
            <v>2.3982000000000001</v>
          </cell>
          <cell r="R5629">
            <v>0</v>
          </cell>
          <cell r="S5629">
            <v>0</v>
          </cell>
          <cell r="T5629">
            <v>0</v>
          </cell>
          <cell r="U5629">
            <v>0</v>
          </cell>
          <cell r="V5629">
            <v>0</v>
          </cell>
          <cell r="W5629">
            <v>0</v>
          </cell>
          <cell r="X5629">
            <v>0.24990000000000001</v>
          </cell>
          <cell r="Y5629">
            <v>0</v>
          </cell>
          <cell r="Z5629">
            <v>0</v>
          </cell>
          <cell r="AA5629">
            <v>0</v>
          </cell>
          <cell r="AB5629">
            <v>5.6688200000000001E-2</v>
          </cell>
        </row>
        <row r="5630">
          <cell r="A5630">
            <v>83201000</v>
          </cell>
          <cell r="B5630" t="str">
            <v>Blue or roquefort cheese dressing, light</v>
          </cell>
          <cell r="I5630">
            <v>30</v>
          </cell>
          <cell r="J5630">
            <v>29.7</v>
          </cell>
          <cell r="K5630">
            <v>0.99</v>
          </cell>
          <cell r="L5630">
            <v>0</v>
          </cell>
          <cell r="M5630">
            <v>0.77249999999999996</v>
          </cell>
          <cell r="N5630">
            <v>0</v>
          </cell>
          <cell r="O5630">
            <v>2.6700000000000002E-2</v>
          </cell>
          <cell r="P5630">
            <v>0</v>
          </cell>
          <cell r="Q5630">
            <v>0.72660000000000002</v>
          </cell>
          <cell r="R5630">
            <v>0</v>
          </cell>
          <cell r="S5630">
            <v>0</v>
          </cell>
          <cell r="T5630">
            <v>0</v>
          </cell>
          <cell r="U5630">
            <v>0</v>
          </cell>
          <cell r="V5630">
            <v>0</v>
          </cell>
          <cell r="W5630">
            <v>0</v>
          </cell>
          <cell r="X5630">
            <v>0.28170000000000001</v>
          </cell>
          <cell r="Y5630">
            <v>0</v>
          </cell>
          <cell r="Z5630">
            <v>0</v>
          </cell>
          <cell r="AA5630">
            <v>0</v>
          </cell>
          <cell r="AB5630">
            <v>0</v>
          </cell>
        </row>
        <row r="5631">
          <cell r="A5631">
            <v>83202020</v>
          </cell>
          <cell r="B5631" t="str">
            <v>French or Catalina dressing, light</v>
          </cell>
          <cell r="I5631">
            <v>30</v>
          </cell>
          <cell r="J5631">
            <v>66.599999999999994</v>
          </cell>
          <cell r="K5631">
            <v>2.2199999999999998</v>
          </cell>
          <cell r="L5631">
            <v>0.45</v>
          </cell>
          <cell r="M5631">
            <v>0.25259999999999999</v>
          </cell>
          <cell r="N5631">
            <v>0</v>
          </cell>
          <cell r="O5631">
            <v>3.3E-3</v>
          </cell>
          <cell r="P5631">
            <v>0</v>
          </cell>
          <cell r="Q5631">
            <v>1.1556</v>
          </cell>
          <cell r="R5631">
            <v>0</v>
          </cell>
          <cell r="S5631">
            <v>0</v>
          </cell>
          <cell r="T5631">
            <v>0</v>
          </cell>
          <cell r="U5631">
            <v>11.025</v>
          </cell>
          <cell r="V5631">
            <v>0</v>
          </cell>
          <cell r="W5631">
            <v>0</v>
          </cell>
          <cell r="X5631">
            <v>0.25140000000000001</v>
          </cell>
          <cell r="Y5631">
            <v>0</v>
          </cell>
          <cell r="Z5631">
            <v>0</v>
          </cell>
          <cell r="AA5631">
            <v>0</v>
          </cell>
          <cell r="AB5631">
            <v>6.1465199999999998E-2</v>
          </cell>
        </row>
        <row r="5632">
          <cell r="A5632">
            <v>83203000</v>
          </cell>
          <cell r="B5632" t="str">
            <v>Caesar dressing, light</v>
          </cell>
          <cell r="I5632">
            <v>30</v>
          </cell>
          <cell r="J5632">
            <v>33</v>
          </cell>
          <cell r="K5632">
            <v>1.1000000000000001</v>
          </cell>
          <cell r="L5632">
            <v>0</v>
          </cell>
          <cell r="M5632">
            <v>0.2109</v>
          </cell>
          <cell r="N5632">
            <v>0</v>
          </cell>
          <cell r="O5632">
            <v>7.1999999999999998E-3</v>
          </cell>
          <cell r="P5632">
            <v>0.03</v>
          </cell>
          <cell r="Q5632">
            <v>0.71040000000000003</v>
          </cell>
          <cell r="R5632">
            <v>0</v>
          </cell>
          <cell r="S5632">
            <v>0</v>
          </cell>
          <cell r="T5632">
            <v>0</v>
          </cell>
          <cell r="U5632">
            <v>0</v>
          </cell>
          <cell r="V5632">
            <v>0</v>
          </cell>
          <cell r="W5632">
            <v>0</v>
          </cell>
          <cell r="X5632">
            <v>0.34439999999999998</v>
          </cell>
          <cell r="Y5632">
            <v>0</v>
          </cell>
          <cell r="Z5632">
            <v>0</v>
          </cell>
          <cell r="AA5632">
            <v>0</v>
          </cell>
          <cell r="AB5632">
            <v>5.6080000000000001E-3</v>
          </cell>
        </row>
        <row r="5633">
          <cell r="A5633">
            <v>83204000</v>
          </cell>
          <cell r="B5633" t="str">
            <v>Mayonnaise, light</v>
          </cell>
          <cell r="I5633">
            <v>15</v>
          </cell>
          <cell r="J5633">
            <v>35.700000000000003</v>
          </cell>
          <cell r="K5633">
            <v>2.3800000000000003</v>
          </cell>
          <cell r="L5633">
            <v>0</v>
          </cell>
          <cell r="M5633">
            <v>0.51690000000000003</v>
          </cell>
          <cell r="N5633">
            <v>0</v>
          </cell>
          <cell r="O5633">
            <v>8.9999999999999998E-4</v>
          </cell>
          <cell r="P5633">
            <v>0</v>
          </cell>
          <cell r="Q5633">
            <v>1.94895</v>
          </cell>
          <cell r="R5633">
            <v>0</v>
          </cell>
          <cell r="S5633">
            <v>0</v>
          </cell>
          <cell r="T5633">
            <v>0</v>
          </cell>
          <cell r="U5633">
            <v>0</v>
          </cell>
          <cell r="V5633">
            <v>0</v>
          </cell>
          <cell r="W5633">
            <v>0</v>
          </cell>
          <cell r="X5633">
            <v>0.12404999999999999</v>
          </cell>
          <cell r="Y5633">
            <v>0</v>
          </cell>
          <cell r="Z5633">
            <v>0</v>
          </cell>
          <cell r="AA5633">
            <v>0</v>
          </cell>
          <cell r="AB5633">
            <v>8.3999999999999995E-3</v>
          </cell>
        </row>
        <row r="5634">
          <cell r="A5634">
            <v>83204030</v>
          </cell>
          <cell r="B5634" t="str">
            <v>Mayonnaise, reduced fat,  with olive oil</v>
          </cell>
          <cell r="I5634">
            <v>15</v>
          </cell>
          <cell r="J5634">
            <v>54.15</v>
          </cell>
          <cell r="K5634">
            <v>3.61</v>
          </cell>
          <cell r="L5634">
            <v>0</v>
          </cell>
          <cell r="M5634">
            <v>0.80549999999999999</v>
          </cell>
          <cell r="N5634">
            <v>0</v>
          </cell>
          <cell r="O5634">
            <v>0</v>
          </cell>
          <cell r="P5634">
            <v>0</v>
          </cell>
          <cell r="Q5634">
            <v>0.60089999999999999</v>
          </cell>
          <cell r="R5634">
            <v>0</v>
          </cell>
          <cell r="S5634">
            <v>0</v>
          </cell>
          <cell r="T5634">
            <v>0</v>
          </cell>
          <cell r="U5634">
            <v>0</v>
          </cell>
          <cell r="V5634">
            <v>0</v>
          </cell>
          <cell r="W5634">
            <v>0</v>
          </cell>
          <cell r="X5634">
            <v>0.12</v>
          </cell>
          <cell r="Y5634">
            <v>0</v>
          </cell>
          <cell r="Z5634">
            <v>0</v>
          </cell>
          <cell r="AA5634">
            <v>0</v>
          </cell>
          <cell r="AB5634">
            <v>0</v>
          </cell>
        </row>
        <row r="5635">
          <cell r="A5635">
            <v>83204050</v>
          </cell>
          <cell r="B5635" t="str">
            <v>Mayonnaise-type salad dressing, light</v>
          </cell>
          <cell r="I5635">
            <v>15</v>
          </cell>
          <cell r="J5635">
            <v>23.7</v>
          </cell>
          <cell r="K5635">
            <v>1.5799999999999998</v>
          </cell>
          <cell r="L5635">
            <v>0</v>
          </cell>
          <cell r="M5635">
            <v>0.22259999999999999</v>
          </cell>
          <cell r="N5635">
            <v>0</v>
          </cell>
          <cell r="O5635">
            <v>7.5000000000000002E-4</v>
          </cell>
          <cell r="P5635">
            <v>0</v>
          </cell>
          <cell r="Q5635">
            <v>0.84570000000000001</v>
          </cell>
          <cell r="R5635">
            <v>0</v>
          </cell>
          <cell r="S5635">
            <v>0</v>
          </cell>
          <cell r="T5635">
            <v>0</v>
          </cell>
          <cell r="U5635">
            <v>0</v>
          </cell>
          <cell r="V5635">
            <v>0</v>
          </cell>
          <cell r="W5635">
            <v>0</v>
          </cell>
          <cell r="X5635">
            <v>0.12495000000000001</v>
          </cell>
          <cell r="Y5635">
            <v>0</v>
          </cell>
          <cell r="Z5635">
            <v>0</v>
          </cell>
          <cell r="AA5635">
            <v>0</v>
          </cell>
          <cell r="AB5635">
            <v>8.9099999999999995E-3</v>
          </cell>
        </row>
        <row r="5636">
          <cell r="A5636">
            <v>83204500</v>
          </cell>
          <cell r="B5636" t="str">
            <v>Honey mustard dressing, light</v>
          </cell>
          <cell r="I5636">
            <v>30</v>
          </cell>
          <cell r="J5636">
            <v>62.1</v>
          </cell>
          <cell r="K5636">
            <v>2.0699999999999998</v>
          </cell>
          <cell r="L5636">
            <v>0</v>
          </cell>
          <cell r="M5636">
            <v>0.24990000000000001</v>
          </cell>
          <cell r="N5636">
            <v>0</v>
          </cell>
          <cell r="O5636">
            <v>2.01E-2</v>
          </cell>
          <cell r="P5636">
            <v>0.24</v>
          </cell>
          <cell r="Q5636">
            <v>0.9456</v>
          </cell>
          <cell r="R5636">
            <v>0</v>
          </cell>
          <cell r="S5636">
            <v>0</v>
          </cell>
          <cell r="T5636">
            <v>0</v>
          </cell>
          <cell r="U5636">
            <v>0</v>
          </cell>
          <cell r="V5636">
            <v>0</v>
          </cell>
          <cell r="W5636">
            <v>0</v>
          </cell>
          <cell r="X5636">
            <v>0.21029999999999999</v>
          </cell>
          <cell r="Y5636">
            <v>0</v>
          </cell>
          <cell r="Z5636">
            <v>0</v>
          </cell>
          <cell r="AA5636">
            <v>0</v>
          </cell>
          <cell r="AB5636">
            <v>8.9999999999999998E-4</v>
          </cell>
        </row>
        <row r="5637">
          <cell r="A5637">
            <v>83205450</v>
          </cell>
          <cell r="B5637" t="str">
            <v>Italian dressing, light</v>
          </cell>
          <cell r="I5637">
            <v>30</v>
          </cell>
          <cell r="J5637">
            <v>30.6</v>
          </cell>
          <cell r="K5637">
            <v>1.02</v>
          </cell>
          <cell r="L5637">
            <v>0</v>
          </cell>
          <cell r="M5637">
            <v>0.24990000000000001</v>
          </cell>
          <cell r="N5637">
            <v>0</v>
          </cell>
          <cell r="O5637">
            <v>4.4999999999999997E-3</v>
          </cell>
          <cell r="P5637">
            <v>0</v>
          </cell>
          <cell r="Q5637">
            <v>0.9708</v>
          </cell>
          <cell r="R5637">
            <v>0</v>
          </cell>
          <cell r="S5637">
            <v>0</v>
          </cell>
          <cell r="T5637">
            <v>0</v>
          </cell>
          <cell r="U5637">
            <v>0</v>
          </cell>
          <cell r="V5637">
            <v>0</v>
          </cell>
          <cell r="W5637">
            <v>0</v>
          </cell>
          <cell r="X5637">
            <v>0.26729999999999998</v>
          </cell>
          <cell r="Y5637">
            <v>0</v>
          </cell>
          <cell r="Z5637">
            <v>0</v>
          </cell>
          <cell r="AA5637">
            <v>0</v>
          </cell>
          <cell r="AB5637">
            <v>5.1000000000000004E-3</v>
          </cell>
        </row>
        <row r="5638">
          <cell r="A5638">
            <v>83206500</v>
          </cell>
          <cell r="B5638" t="str">
            <v>Sesame dressing, light</v>
          </cell>
          <cell r="I5638">
            <v>30</v>
          </cell>
          <cell r="J5638">
            <v>30.6</v>
          </cell>
          <cell r="K5638">
            <v>1.02</v>
          </cell>
          <cell r="L5638">
            <v>0</v>
          </cell>
          <cell r="M5638">
            <v>0.24990000000000001</v>
          </cell>
          <cell r="N5638">
            <v>0</v>
          </cell>
          <cell r="O5638">
            <v>4.4999999999999997E-3</v>
          </cell>
          <cell r="P5638">
            <v>0</v>
          </cell>
          <cell r="Q5638">
            <v>0.9708</v>
          </cell>
          <cell r="R5638">
            <v>0</v>
          </cell>
          <cell r="S5638">
            <v>0</v>
          </cell>
          <cell r="T5638">
            <v>0</v>
          </cell>
          <cell r="U5638">
            <v>0</v>
          </cell>
          <cell r="V5638">
            <v>0</v>
          </cell>
          <cell r="W5638">
            <v>0</v>
          </cell>
          <cell r="X5638">
            <v>0.26729999999999998</v>
          </cell>
          <cell r="Y5638">
            <v>0</v>
          </cell>
          <cell r="Z5638">
            <v>0</v>
          </cell>
          <cell r="AA5638">
            <v>0</v>
          </cell>
          <cell r="AB5638">
            <v>5.1000000000000004E-3</v>
          </cell>
        </row>
        <row r="5639">
          <cell r="A5639">
            <v>83207000</v>
          </cell>
          <cell r="B5639" t="str">
            <v>Thousand Island dressing, light</v>
          </cell>
          <cell r="I5639">
            <v>30</v>
          </cell>
          <cell r="J5639">
            <v>58.5</v>
          </cell>
          <cell r="K5639">
            <v>1.95</v>
          </cell>
          <cell r="L5639">
            <v>0.36</v>
          </cell>
          <cell r="M5639">
            <v>0.2238</v>
          </cell>
          <cell r="N5639">
            <v>0</v>
          </cell>
          <cell r="O5639">
            <v>8.0999999999999996E-3</v>
          </cell>
          <cell r="P5639">
            <v>0</v>
          </cell>
          <cell r="Q5639">
            <v>0.80759999999999998</v>
          </cell>
          <cell r="R5639">
            <v>0</v>
          </cell>
          <cell r="S5639">
            <v>0</v>
          </cell>
          <cell r="T5639">
            <v>0</v>
          </cell>
          <cell r="U5639">
            <v>24.254999999999999</v>
          </cell>
          <cell r="V5639">
            <v>0</v>
          </cell>
          <cell r="W5639">
            <v>0</v>
          </cell>
          <cell r="X5639">
            <v>0.28649999999999998</v>
          </cell>
          <cell r="Y5639">
            <v>0</v>
          </cell>
          <cell r="Z5639">
            <v>0</v>
          </cell>
          <cell r="AA5639">
            <v>0</v>
          </cell>
          <cell r="AB5639">
            <v>9.2749399999999996E-2</v>
          </cell>
        </row>
        <row r="5640">
          <cell r="A5640">
            <v>83210100</v>
          </cell>
          <cell r="B5640" t="str">
            <v>Creamy dressing, light</v>
          </cell>
          <cell r="I5640">
            <v>30</v>
          </cell>
          <cell r="J5640">
            <v>48</v>
          </cell>
          <cell r="K5640">
            <v>1.6</v>
          </cell>
          <cell r="L5640">
            <v>0</v>
          </cell>
          <cell r="M5640">
            <v>0.63449999999999995</v>
          </cell>
          <cell r="N5640">
            <v>0</v>
          </cell>
          <cell r="O5640">
            <v>1.8E-3</v>
          </cell>
          <cell r="P5640">
            <v>0</v>
          </cell>
          <cell r="Q5640">
            <v>2.3982000000000001</v>
          </cell>
          <cell r="R5640">
            <v>0</v>
          </cell>
          <cell r="S5640">
            <v>0</v>
          </cell>
          <cell r="T5640">
            <v>0</v>
          </cell>
          <cell r="U5640">
            <v>0</v>
          </cell>
          <cell r="V5640">
            <v>0</v>
          </cell>
          <cell r="W5640">
            <v>0</v>
          </cell>
          <cell r="X5640">
            <v>0.24990000000000001</v>
          </cell>
          <cell r="Y5640">
            <v>0</v>
          </cell>
          <cell r="Z5640">
            <v>0</v>
          </cell>
          <cell r="AA5640">
            <v>0</v>
          </cell>
          <cell r="AB5640">
            <v>4.8369999999999999E-4</v>
          </cell>
        </row>
        <row r="5641">
          <cell r="A5641">
            <v>83300100</v>
          </cell>
          <cell r="B5641" t="str">
            <v>Blue or roquefort cheese dressing, fat free</v>
          </cell>
          <cell r="I5641">
            <v>30</v>
          </cell>
          <cell r="J5641">
            <v>34.5</v>
          </cell>
          <cell r="K5641">
            <v>1.1499999999999999</v>
          </cell>
          <cell r="L5641">
            <v>0</v>
          </cell>
          <cell r="M5641">
            <v>0.13500000000000001</v>
          </cell>
          <cell r="N5641">
            <v>0</v>
          </cell>
          <cell r="O5641">
            <v>1.5299999999999999E-2</v>
          </cell>
          <cell r="P5641">
            <v>0.54</v>
          </cell>
          <cell r="Q5641">
            <v>2.07E-2</v>
          </cell>
          <cell r="R5641">
            <v>0</v>
          </cell>
          <cell r="S5641">
            <v>0</v>
          </cell>
          <cell r="T5641">
            <v>0</v>
          </cell>
          <cell r="U5641">
            <v>0</v>
          </cell>
          <cell r="V5641">
            <v>0</v>
          </cell>
          <cell r="W5641">
            <v>0</v>
          </cell>
          <cell r="X5641">
            <v>0.2442</v>
          </cell>
          <cell r="Y5641">
            <v>0</v>
          </cell>
          <cell r="Z5641">
            <v>0</v>
          </cell>
          <cell r="AA5641">
            <v>0</v>
          </cell>
          <cell r="AB5641">
            <v>2.8799999999999999E-2</v>
          </cell>
        </row>
        <row r="5642">
          <cell r="A5642">
            <v>83300200</v>
          </cell>
          <cell r="B5642" t="str">
            <v>Caesar dressing, fat free</v>
          </cell>
          <cell r="I5642">
            <v>30</v>
          </cell>
          <cell r="J5642">
            <v>39.299999999999997</v>
          </cell>
          <cell r="K5642">
            <v>1.3099999999999998</v>
          </cell>
          <cell r="L5642">
            <v>0</v>
          </cell>
          <cell r="M5642">
            <v>2.8799999999999999E-2</v>
          </cell>
          <cell r="N5642">
            <v>0</v>
          </cell>
          <cell r="O5642">
            <v>9.9000000000000008E-3</v>
          </cell>
          <cell r="P5642">
            <v>0.06</v>
          </cell>
          <cell r="Q5642">
            <v>3.0000000000000001E-3</v>
          </cell>
          <cell r="R5642">
            <v>0</v>
          </cell>
          <cell r="S5642">
            <v>0</v>
          </cell>
          <cell r="T5642">
            <v>0</v>
          </cell>
          <cell r="U5642">
            <v>0</v>
          </cell>
          <cell r="V5642">
            <v>0</v>
          </cell>
          <cell r="W5642">
            <v>0</v>
          </cell>
          <cell r="X5642">
            <v>0.3795</v>
          </cell>
          <cell r="Y5642">
            <v>0</v>
          </cell>
          <cell r="Z5642">
            <v>0</v>
          </cell>
          <cell r="AA5642">
            <v>0</v>
          </cell>
          <cell r="AB5642">
            <v>1.5805999999999999E-3</v>
          </cell>
        </row>
        <row r="5643">
          <cell r="A5643">
            <v>83300300</v>
          </cell>
          <cell r="B5643" t="str">
            <v>Creamy dressing, fat free</v>
          </cell>
          <cell r="I5643">
            <v>30</v>
          </cell>
          <cell r="J5643">
            <v>32.1</v>
          </cell>
          <cell r="K5643">
            <v>1.07</v>
          </cell>
          <cell r="L5643">
            <v>0</v>
          </cell>
          <cell r="M5643">
            <v>0.1482</v>
          </cell>
          <cell r="N5643">
            <v>0</v>
          </cell>
          <cell r="O5643">
            <v>1.0800000000000001E-2</v>
          </cell>
          <cell r="P5643">
            <v>0</v>
          </cell>
          <cell r="Q5643">
            <v>0.43319999999999997</v>
          </cell>
          <cell r="R5643">
            <v>0</v>
          </cell>
          <cell r="S5643">
            <v>0</v>
          </cell>
          <cell r="T5643">
            <v>0</v>
          </cell>
          <cell r="U5643">
            <v>0</v>
          </cell>
          <cell r="V5643">
            <v>0</v>
          </cell>
          <cell r="W5643">
            <v>0</v>
          </cell>
          <cell r="X5643">
            <v>0.26910000000000001</v>
          </cell>
          <cell r="Y5643">
            <v>0</v>
          </cell>
          <cell r="Z5643">
            <v>0</v>
          </cell>
          <cell r="AA5643">
            <v>0</v>
          </cell>
          <cell r="AB5643">
            <v>4.3610200000000002E-2</v>
          </cell>
        </row>
        <row r="5644">
          <cell r="A5644">
            <v>83300400</v>
          </cell>
          <cell r="B5644" t="str">
            <v>French or Catalina dressing, fat free</v>
          </cell>
          <cell r="I5644">
            <v>30</v>
          </cell>
          <cell r="J5644">
            <v>39.6</v>
          </cell>
          <cell r="K5644">
            <v>1.32</v>
          </cell>
          <cell r="L5644">
            <v>0.66</v>
          </cell>
          <cell r="M5644">
            <v>1.11E-2</v>
          </cell>
          <cell r="N5644">
            <v>0</v>
          </cell>
          <cell r="O5644">
            <v>1.5E-3</v>
          </cell>
          <cell r="P5644">
            <v>0</v>
          </cell>
          <cell r="Q5644">
            <v>1.8599999999999998E-2</v>
          </cell>
          <cell r="R5644">
            <v>0</v>
          </cell>
          <cell r="S5644">
            <v>0</v>
          </cell>
          <cell r="T5644">
            <v>0</v>
          </cell>
          <cell r="U5644">
            <v>3.6749999999999998</v>
          </cell>
          <cell r="V5644">
            <v>0</v>
          </cell>
          <cell r="W5644">
            <v>0</v>
          </cell>
          <cell r="X5644">
            <v>0.25590000000000002</v>
          </cell>
          <cell r="Y5644">
            <v>0</v>
          </cell>
          <cell r="Z5644">
            <v>0</v>
          </cell>
          <cell r="AA5644">
            <v>0</v>
          </cell>
          <cell r="AB5644">
            <v>0</v>
          </cell>
        </row>
        <row r="5645">
          <cell r="A5645">
            <v>83300500</v>
          </cell>
          <cell r="B5645" t="str">
            <v>Honey mustard dressing, fat free</v>
          </cell>
          <cell r="I5645">
            <v>30</v>
          </cell>
          <cell r="J5645">
            <v>50.7</v>
          </cell>
          <cell r="K5645">
            <v>1.6900000000000002</v>
          </cell>
          <cell r="L5645">
            <v>0</v>
          </cell>
          <cell r="M5645">
            <v>0.1047</v>
          </cell>
          <cell r="N5645">
            <v>0</v>
          </cell>
          <cell r="O5645">
            <v>7.1999999999999998E-3</v>
          </cell>
          <cell r="P5645">
            <v>0.36</v>
          </cell>
          <cell r="Q5645">
            <v>8.6099999999999996E-2</v>
          </cell>
          <cell r="R5645">
            <v>0</v>
          </cell>
          <cell r="S5645">
            <v>0</v>
          </cell>
          <cell r="T5645">
            <v>0</v>
          </cell>
          <cell r="U5645">
            <v>0</v>
          </cell>
          <cell r="V5645">
            <v>0</v>
          </cell>
          <cell r="W5645">
            <v>0</v>
          </cell>
          <cell r="X5645">
            <v>0.30120000000000002</v>
          </cell>
          <cell r="Y5645">
            <v>0</v>
          </cell>
          <cell r="Z5645">
            <v>0</v>
          </cell>
          <cell r="AA5645">
            <v>0</v>
          </cell>
          <cell r="AB5645">
            <v>0</v>
          </cell>
        </row>
        <row r="5646">
          <cell r="A5646">
            <v>83300600</v>
          </cell>
          <cell r="B5646" t="str">
            <v>Italian dressing, fat free</v>
          </cell>
          <cell r="I5646">
            <v>30</v>
          </cell>
          <cell r="J5646">
            <v>14.1</v>
          </cell>
          <cell r="K5646">
            <v>0.47</v>
          </cell>
          <cell r="L5646">
            <v>0</v>
          </cell>
          <cell r="M5646">
            <v>8.8499999999999995E-2</v>
          </cell>
          <cell r="N5646">
            <v>0</v>
          </cell>
          <cell r="O5646">
            <v>8.9999999999999993E-3</v>
          </cell>
          <cell r="P5646">
            <v>0.18</v>
          </cell>
          <cell r="Q5646">
            <v>5.7599999999999998E-2</v>
          </cell>
          <cell r="R5646">
            <v>0</v>
          </cell>
          <cell r="S5646">
            <v>0</v>
          </cell>
          <cell r="T5646">
            <v>0</v>
          </cell>
          <cell r="U5646">
            <v>0</v>
          </cell>
          <cell r="V5646">
            <v>0</v>
          </cell>
          <cell r="W5646">
            <v>0</v>
          </cell>
          <cell r="X5646">
            <v>0.3387</v>
          </cell>
          <cell r="Y5646">
            <v>0</v>
          </cell>
          <cell r="Z5646">
            <v>0</v>
          </cell>
          <cell r="AA5646">
            <v>0</v>
          </cell>
          <cell r="AB5646">
            <v>6.7517999999999996E-3</v>
          </cell>
        </row>
        <row r="5647">
          <cell r="A5647">
            <v>83300700</v>
          </cell>
          <cell r="B5647" t="str">
            <v>Mayonnaise, fat free</v>
          </cell>
          <cell r="I5647">
            <v>30</v>
          </cell>
          <cell r="J5647">
            <v>19.2</v>
          </cell>
          <cell r="K5647">
            <v>0.64</v>
          </cell>
          <cell r="L5647">
            <v>0</v>
          </cell>
          <cell r="M5647">
            <v>0</v>
          </cell>
          <cell r="N5647">
            <v>0</v>
          </cell>
          <cell r="O5647">
            <v>1.8E-3</v>
          </cell>
          <cell r="P5647">
            <v>0.6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>
            <v>0</v>
          </cell>
          <cell r="V5647">
            <v>0</v>
          </cell>
          <cell r="W5647">
            <v>0</v>
          </cell>
          <cell r="X5647">
            <v>0.22500000000000001</v>
          </cell>
          <cell r="Y5647">
            <v>0</v>
          </cell>
          <cell r="Z5647">
            <v>0</v>
          </cell>
          <cell r="AA5647">
            <v>0</v>
          </cell>
          <cell r="AB5647">
            <v>1.0452700000000001E-2</v>
          </cell>
        </row>
        <row r="5648">
          <cell r="A5648">
            <v>83300900</v>
          </cell>
          <cell r="B5648" t="str">
            <v>Salad dressing, fat free, NFS</v>
          </cell>
          <cell r="I5648">
            <v>30</v>
          </cell>
          <cell r="J5648">
            <v>32.1</v>
          </cell>
          <cell r="K5648">
            <v>1.07</v>
          </cell>
          <cell r="L5648">
            <v>0</v>
          </cell>
          <cell r="M5648">
            <v>0.1482</v>
          </cell>
          <cell r="N5648">
            <v>0</v>
          </cell>
          <cell r="O5648">
            <v>1.0800000000000001E-2</v>
          </cell>
          <cell r="P5648">
            <v>0</v>
          </cell>
          <cell r="Q5648">
            <v>0.43319999999999997</v>
          </cell>
          <cell r="R5648">
            <v>0</v>
          </cell>
          <cell r="S5648">
            <v>0</v>
          </cell>
          <cell r="T5648">
            <v>0</v>
          </cell>
          <cell r="U5648">
            <v>0</v>
          </cell>
          <cell r="V5648">
            <v>0</v>
          </cell>
          <cell r="W5648">
            <v>0</v>
          </cell>
          <cell r="X5648">
            <v>0.26910000000000001</v>
          </cell>
          <cell r="Y5648">
            <v>0</v>
          </cell>
          <cell r="Z5648">
            <v>0</v>
          </cell>
          <cell r="AA5648">
            <v>0</v>
          </cell>
          <cell r="AB5648">
            <v>4.3300499999999999E-2</v>
          </cell>
        </row>
        <row r="5649">
          <cell r="A5649">
            <v>83301000</v>
          </cell>
          <cell r="B5649" t="str">
            <v>Thousand Island dressing, fat free</v>
          </cell>
          <cell r="I5649">
            <v>30</v>
          </cell>
          <cell r="J5649">
            <v>39.6</v>
          </cell>
          <cell r="K5649">
            <v>1.32</v>
          </cell>
          <cell r="L5649">
            <v>0.99</v>
          </cell>
          <cell r="M5649">
            <v>5.9400000000000001E-2</v>
          </cell>
          <cell r="N5649">
            <v>0</v>
          </cell>
          <cell r="O5649">
            <v>3.3E-3</v>
          </cell>
          <cell r="P5649">
            <v>0</v>
          </cell>
          <cell r="Q5649">
            <v>0.189</v>
          </cell>
          <cell r="R5649">
            <v>0</v>
          </cell>
          <cell r="S5649">
            <v>0</v>
          </cell>
          <cell r="T5649">
            <v>0</v>
          </cell>
          <cell r="U5649">
            <v>9.5549999999999997</v>
          </cell>
          <cell r="V5649">
            <v>0</v>
          </cell>
          <cell r="W5649">
            <v>0</v>
          </cell>
          <cell r="X5649">
            <v>0.2364</v>
          </cell>
          <cell r="Y5649">
            <v>0</v>
          </cell>
          <cell r="Z5649">
            <v>0</v>
          </cell>
          <cell r="AA5649">
            <v>0</v>
          </cell>
          <cell r="AB5649">
            <v>2.2468000000000002E-3</v>
          </cell>
        </row>
        <row r="5650">
          <cell r="A5650">
            <v>91101000</v>
          </cell>
          <cell r="B5650" t="str">
            <v>Sugar, NFS</v>
          </cell>
          <cell r="I5650">
            <v>8</v>
          </cell>
          <cell r="J5650">
            <v>30.96</v>
          </cell>
          <cell r="K5650">
            <v>3.87</v>
          </cell>
          <cell r="L5650">
            <v>0</v>
          </cell>
          <cell r="M5650">
            <v>0</v>
          </cell>
          <cell r="N5650">
            <v>0</v>
          </cell>
          <cell r="O5650">
            <v>8.0000000000000007E-5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  <cell r="V5650">
            <v>0</v>
          </cell>
          <cell r="W5650">
            <v>0</v>
          </cell>
          <cell r="X5650">
            <v>8.0000000000000007E-5</v>
          </cell>
          <cell r="Y5650">
            <v>0</v>
          </cell>
          <cell r="Z5650">
            <v>0</v>
          </cell>
          <cell r="AA5650">
            <v>0</v>
          </cell>
          <cell r="AB5650">
            <v>0</v>
          </cell>
        </row>
        <row r="5651">
          <cell r="A5651">
            <v>91101010</v>
          </cell>
          <cell r="B5651" t="str">
            <v>Sugar, white, granulated or lump</v>
          </cell>
          <cell r="I5651">
            <v>8</v>
          </cell>
          <cell r="J5651">
            <v>30.96</v>
          </cell>
          <cell r="K5651">
            <v>3.87</v>
          </cell>
          <cell r="L5651">
            <v>0</v>
          </cell>
          <cell r="M5651">
            <v>0</v>
          </cell>
          <cell r="N5651">
            <v>0</v>
          </cell>
          <cell r="O5651">
            <v>8.0000000000000007E-5</v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>
            <v>0</v>
          </cell>
          <cell r="V5651">
            <v>0</v>
          </cell>
          <cell r="W5651">
            <v>0</v>
          </cell>
          <cell r="X5651">
            <v>8.0000000000000007E-5</v>
          </cell>
          <cell r="Y5651">
            <v>0</v>
          </cell>
          <cell r="Z5651">
            <v>0</v>
          </cell>
          <cell r="AA5651">
            <v>0</v>
          </cell>
          <cell r="AB5651">
            <v>0</v>
          </cell>
        </row>
        <row r="5652">
          <cell r="A5652">
            <v>91101020</v>
          </cell>
          <cell r="B5652" t="str">
            <v>Sugar, white, confectioner's, powdered</v>
          </cell>
          <cell r="I5652">
            <v>30</v>
          </cell>
          <cell r="J5652">
            <v>116.7</v>
          </cell>
          <cell r="K5652">
            <v>3.89</v>
          </cell>
          <cell r="L5652">
            <v>0</v>
          </cell>
          <cell r="M5652">
            <v>0</v>
          </cell>
          <cell r="N5652">
            <v>0</v>
          </cell>
          <cell r="O5652">
            <v>2.9999999999999997E-4</v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>
            <v>0</v>
          </cell>
          <cell r="V5652">
            <v>0</v>
          </cell>
          <cell r="W5652">
            <v>0</v>
          </cell>
          <cell r="X5652">
            <v>5.9999999999999995E-4</v>
          </cell>
          <cell r="Y5652">
            <v>0</v>
          </cell>
          <cell r="Z5652">
            <v>0</v>
          </cell>
          <cell r="AA5652">
            <v>0</v>
          </cell>
          <cell r="AB5652">
            <v>0</v>
          </cell>
        </row>
        <row r="5653">
          <cell r="A5653">
            <v>91102010</v>
          </cell>
          <cell r="B5653" t="str">
            <v>Sugar, brown</v>
          </cell>
          <cell r="I5653">
            <v>8</v>
          </cell>
          <cell r="J5653">
            <v>30.4</v>
          </cell>
          <cell r="K5653">
            <v>3.8</v>
          </cell>
          <cell r="L5653">
            <v>0</v>
          </cell>
          <cell r="M5653">
            <v>0</v>
          </cell>
          <cell r="N5653">
            <v>0</v>
          </cell>
          <cell r="O5653">
            <v>6.6400000000000001E-3</v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>
            <v>0</v>
          </cell>
          <cell r="V5653">
            <v>0</v>
          </cell>
          <cell r="W5653">
            <v>0</v>
          </cell>
          <cell r="X5653">
            <v>2.2399999999999998E-3</v>
          </cell>
          <cell r="Y5653">
            <v>0</v>
          </cell>
          <cell r="Z5653">
            <v>0</v>
          </cell>
          <cell r="AA5653">
            <v>0</v>
          </cell>
          <cell r="AB5653">
            <v>0</v>
          </cell>
        </row>
        <row r="5654">
          <cell r="A5654">
            <v>91104100</v>
          </cell>
          <cell r="B5654" t="str">
            <v>Sugar, cinnamon</v>
          </cell>
          <cell r="I5654">
            <v>8</v>
          </cell>
          <cell r="J5654">
            <v>30.178605000000001</v>
          </cell>
          <cell r="K5654">
            <v>3.7723256250000001</v>
          </cell>
          <cell r="L5654">
            <v>3.5530000000000001E-17</v>
          </cell>
          <cell r="M5654">
            <v>1.9256E-3</v>
          </cell>
          <cell r="N5654">
            <v>0</v>
          </cell>
          <cell r="O5654">
            <v>5.6670000000000002E-3</v>
          </cell>
          <cell r="P5654">
            <v>0.29637210000000003</v>
          </cell>
          <cell r="Q5654">
            <v>3.7950000000000001E-4</v>
          </cell>
          <cell r="R5654">
            <v>0</v>
          </cell>
          <cell r="S5654">
            <v>0</v>
          </cell>
          <cell r="T5654">
            <v>0</v>
          </cell>
          <cell r="U5654">
            <v>0</v>
          </cell>
          <cell r="V5654">
            <v>0</v>
          </cell>
          <cell r="W5654">
            <v>0</v>
          </cell>
          <cell r="X5654">
            <v>1.3019999999999999E-4</v>
          </cell>
          <cell r="Y5654">
            <v>0</v>
          </cell>
          <cell r="Z5654">
            <v>0</v>
          </cell>
          <cell r="AA5654">
            <v>0</v>
          </cell>
          <cell r="AB5654">
            <v>0</v>
          </cell>
        </row>
        <row r="5655">
          <cell r="A5655">
            <v>91104200</v>
          </cell>
          <cell r="B5655" t="str">
            <v>Sugar, raw</v>
          </cell>
          <cell r="I5655">
            <v>8</v>
          </cell>
          <cell r="J5655">
            <v>30.4</v>
          </cell>
          <cell r="K5655">
            <v>3.8</v>
          </cell>
          <cell r="L5655">
            <v>0</v>
          </cell>
          <cell r="M5655">
            <v>0</v>
          </cell>
          <cell r="N5655">
            <v>0</v>
          </cell>
          <cell r="O5655">
            <v>6.6400000000000001E-3</v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>
            <v>0</v>
          </cell>
          <cell r="V5655">
            <v>0</v>
          </cell>
          <cell r="W5655">
            <v>0</v>
          </cell>
          <cell r="X5655">
            <v>2.2399999999999998E-3</v>
          </cell>
          <cell r="Y5655">
            <v>0</v>
          </cell>
          <cell r="Z5655">
            <v>0</v>
          </cell>
          <cell r="AA5655">
            <v>0</v>
          </cell>
          <cell r="AB5655">
            <v>0</v>
          </cell>
        </row>
        <row r="5656">
          <cell r="A5656">
            <v>91106000</v>
          </cell>
          <cell r="B5656" t="str">
            <v>Sugar substitute, sugar-aspartame blend, dry powder</v>
          </cell>
          <cell r="I5656">
            <v>1</v>
          </cell>
          <cell r="J5656">
            <v>3.8677999999999999</v>
          </cell>
          <cell r="K5656">
            <v>3.8677999999999999</v>
          </cell>
          <cell r="L5656">
            <v>0</v>
          </cell>
          <cell r="M5656">
            <v>0</v>
          </cell>
          <cell r="N5656">
            <v>0</v>
          </cell>
          <cell r="O5656">
            <v>9.9000000000000001E-6</v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  <cell r="V5656">
            <v>0</v>
          </cell>
          <cell r="W5656">
            <v>0</v>
          </cell>
          <cell r="X5656">
            <v>9.9000000000000001E-6</v>
          </cell>
          <cell r="Y5656">
            <v>0</v>
          </cell>
          <cell r="Z5656">
            <v>0</v>
          </cell>
          <cell r="AA5656">
            <v>0</v>
          </cell>
          <cell r="AB5656">
            <v>0</v>
          </cell>
        </row>
        <row r="5657">
          <cell r="A5657">
            <v>91106010</v>
          </cell>
          <cell r="B5657" t="str">
            <v>Sugar substitute and sugar blend</v>
          </cell>
          <cell r="I5657">
            <v>1</v>
          </cell>
          <cell r="J5657">
            <v>3.8546999999999998</v>
          </cell>
          <cell r="K5657">
            <v>3.8546999999999998</v>
          </cell>
          <cell r="L5657">
            <v>0</v>
          </cell>
          <cell r="M5657">
            <v>0</v>
          </cell>
          <cell r="N5657">
            <v>0</v>
          </cell>
          <cell r="O5657">
            <v>9.7000000000000003E-6</v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  <cell r="V5657">
            <v>0</v>
          </cell>
          <cell r="W5657">
            <v>0</v>
          </cell>
          <cell r="X5657">
            <v>9.7000000000000003E-6</v>
          </cell>
          <cell r="Y5657">
            <v>0</v>
          </cell>
          <cell r="Z5657">
            <v>0</v>
          </cell>
          <cell r="AA5657">
            <v>0</v>
          </cell>
          <cell r="AB5657">
            <v>0</v>
          </cell>
        </row>
        <row r="5658">
          <cell r="A5658">
            <v>91107000</v>
          </cell>
          <cell r="B5658" t="str">
            <v>Sugar substitute, sucralose, powder</v>
          </cell>
          <cell r="I5658">
            <v>1</v>
          </cell>
          <cell r="J5658">
            <v>3.36</v>
          </cell>
          <cell r="K5658">
            <v>3.36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>
            <v>0</v>
          </cell>
          <cell r="V5658">
            <v>0</v>
          </cell>
          <cell r="W5658">
            <v>0</v>
          </cell>
          <cell r="X5658">
            <v>0</v>
          </cell>
          <cell r="Y5658">
            <v>0</v>
          </cell>
          <cell r="Z5658">
            <v>0</v>
          </cell>
          <cell r="AA5658">
            <v>0</v>
          </cell>
          <cell r="AB5658">
            <v>0</v>
          </cell>
        </row>
        <row r="5659">
          <cell r="A5659">
            <v>91108000</v>
          </cell>
          <cell r="B5659" t="str">
            <v>Sugar substitute, stevia, powder</v>
          </cell>
          <cell r="I5659">
            <v>1</v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>
            <v>0</v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>
            <v>0</v>
          </cell>
          <cell r="V5659">
            <v>0</v>
          </cell>
          <cell r="W5659">
            <v>0</v>
          </cell>
          <cell r="X5659">
            <v>0</v>
          </cell>
          <cell r="Y5659">
            <v>0</v>
          </cell>
          <cell r="Z5659">
            <v>0</v>
          </cell>
          <cell r="AA5659">
            <v>0</v>
          </cell>
          <cell r="AB5659">
            <v>0</v>
          </cell>
        </row>
        <row r="5660">
          <cell r="A5660">
            <v>91108010</v>
          </cell>
          <cell r="B5660" t="str">
            <v>Sugar substitute, stevia, liquid</v>
          </cell>
          <cell r="I5660">
            <v>5</v>
          </cell>
          <cell r="J5660">
            <v>2.6</v>
          </cell>
          <cell r="K5660">
            <v>0.52</v>
          </cell>
          <cell r="L5660">
            <v>0</v>
          </cell>
          <cell r="M5660">
            <v>0</v>
          </cell>
          <cell r="N5660">
            <v>0</v>
          </cell>
          <cell r="O5660">
            <v>0</v>
          </cell>
          <cell r="P5660">
            <v>3.5000000000000003E-2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>
            <v>0</v>
          </cell>
          <cell r="V5660">
            <v>0</v>
          </cell>
          <cell r="W5660">
            <v>0</v>
          </cell>
          <cell r="X5660">
            <v>1.0500000000000001E-2</v>
          </cell>
          <cell r="Y5660">
            <v>0</v>
          </cell>
          <cell r="Z5660">
            <v>0</v>
          </cell>
          <cell r="AA5660">
            <v>0</v>
          </cell>
          <cell r="AB5660">
            <v>0</v>
          </cell>
        </row>
        <row r="5661">
          <cell r="A5661">
            <v>91109000</v>
          </cell>
          <cell r="B5661" t="str">
            <v>Blue Agave liquid sweetener, sugar substitute</v>
          </cell>
          <cell r="I5661">
            <v>0.8</v>
          </cell>
          <cell r="J5661">
            <v>2.48</v>
          </cell>
          <cell r="K5661">
            <v>3.0999999999999996</v>
          </cell>
          <cell r="L5661">
            <v>0</v>
          </cell>
          <cell r="M5661">
            <v>0</v>
          </cell>
          <cell r="N5661">
            <v>0</v>
          </cell>
          <cell r="O5661">
            <v>7.9999999999999996E-6</v>
          </cell>
          <cell r="P5661">
            <v>1.6000000000000001E-3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>
            <v>0</v>
          </cell>
          <cell r="V5661">
            <v>0</v>
          </cell>
          <cell r="W5661">
            <v>0</v>
          </cell>
          <cell r="X5661">
            <v>3.1999999999999999E-5</v>
          </cell>
          <cell r="Y5661">
            <v>0</v>
          </cell>
          <cell r="Z5661">
            <v>0</v>
          </cell>
          <cell r="AA5661">
            <v>0</v>
          </cell>
          <cell r="AB5661">
            <v>0</v>
          </cell>
        </row>
        <row r="5662">
          <cell r="A5662">
            <v>91200000</v>
          </cell>
          <cell r="B5662" t="str">
            <v>Sugar substitute, powder, NFS</v>
          </cell>
          <cell r="I5662">
            <v>0.8</v>
          </cell>
          <cell r="J5662">
            <v>2.79</v>
          </cell>
          <cell r="K5662">
            <v>3.4874999999999998</v>
          </cell>
          <cell r="L5662">
            <v>0</v>
          </cell>
          <cell r="M5662">
            <v>0</v>
          </cell>
          <cell r="N5662">
            <v>0</v>
          </cell>
          <cell r="O5662">
            <v>0</v>
          </cell>
          <cell r="P5662">
            <v>0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>
            <v>0</v>
          </cell>
          <cell r="V5662">
            <v>0</v>
          </cell>
          <cell r="W5662">
            <v>0</v>
          </cell>
          <cell r="X5662">
            <v>1.1984000000000001E-3</v>
          </cell>
          <cell r="Y5662">
            <v>0</v>
          </cell>
          <cell r="Z5662">
            <v>0</v>
          </cell>
          <cell r="AA5662">
            <v>0</v>
          </cell>
          <cell r="AB5662">
            <v>0</v>
          </cell>
        </row>
        <row r="5663">
          <cell r="A5663">
            <v>91200005</v>
          </cell>
          <cell r="B5663" t="str">
            <v>Sugar substitute, liquid, NFS</v>
          </cell>
          <cell r="I5663">
            <v>5</v>
          </cell>
          <cell r="J5663">
            <v>2.6</v>
          </cell>
          <cell r="K5663">
            <v>0.52</v>
          </cell>
          <cell r="L5663">
            <v>0</v>
          </cell>
          <cell r="M5663">
            <v>0</v>
          </cell>
          <cell r="N5663">
            <v>0</v>
          </cell>
          <cell r="O5663">
            <v>0</v>
          </cell>
          <cell r="P5663">
            <v>3.5000000000000003E-2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  <cell r="V5663">
            <v>0</v>
          </cell>
          <cell r="W5663">
            <v>0</v>
          </cell>
          <cell r="X5663">
            <v>1.0500000000000001E-2</v>
          </cell>
          <cell r="Y5663">
            <v>0</v>
          </cell>
          <cell r="Z5663">
            <v>0</v>
          </cell>
          <cell r="AA5663">
            <v>0</v>
          </cell>
          <cell r="AB5663">
            <v>0</v>
          </cell>
        </row>
        <row r="5664">
          <cell r="A5664">
            <v>91200020</v>
          </cell>
          <cell r="B5664" t="str">
            <v>Sugar substitute, saccharin-based, dry powder</v>
          </cell>
          <cell r="I5664">
            <v>0.8</v>
          </cell>
          <cell r="J5664">
            <v>2.88</v>
          </cell>
          <cell r="K5664">
            <v>3.5999999999999996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>
            <v>0</v>
          </cell>
          <cell r="V5664">
            <v>0</v>
          </cell>
          <cell r="W5664">
            <v>0</v>
          </cell>
          <cell r="X5664">
            <v>3.424E-3</v>
          </cell>
          <cell r="Y5664">
            <v>0</v>
          </cell>
          <cell r="Z5664">
            <v>0</v>
          </cell>
          <cell r="AA5664">
            <v>0</v>
          </cell>
          <cell r="AB5664">
            <v>0</v>
          </cell>
        </row>
        <row r="5665">
          <cell r="A5665">
            <v>91200040</v>
          </cell>
          <cell r="B5665" t="str">
            <v>Sugar substitute, saccharin, powder</v>
          </cell>
          <cell r="I5665">
            <v>1</v>
          </cell>
          <cell r="J5665">
            <v>3.6</v>
          </cell>
          <cell r="K5665">
            <v>3.6</v>
          </cell>
          <cell r="L5665">
            <v>0</v>
          </cell>
          <cell r="M5665">
            <v>0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>
            <v>0</v>
          </cell>
          <cell r="V5665">
            <v>0</v>
          </cell>
          <cell r="W5665">
            <v>0</v>
          </cell>
          <cell r="X5665">
            <v>4.28E-3</v>
          </cell>
          <cell r="Y5665">
            <v>0</v>
          </cell>
          <cell r="Z5665">
            <v>0</v>
          </cell>
          <cell r="AA5665">
            <v>0</v>
          </cell>
          <cell r="AB5665">
            <v>0</v>
          </cell>
        </row>
        <row r="5666">
          <cell r="A5666">
            <v>91200110</v>
          </cell>
          <cell r="B5666" t="str">
            <v>Sugar substitute, saccharin, liquid</v>
          </cell>
          <cell r="I5666">
            <v>5</v>
          </cell>
          <cell r="J5666">
            <v>0.41441440000000002</v>
          </cell>
          <cell r="K5666">
            <v>8.2882880000000006E-2</v>
          </cell>
          <cell r="L5666">
            <v>0</v>
          </cell>
          <cell r="M5666">
            <v>0</v>
          </cell>
          <cell r="N5666">
            <v>0</v>
          </cell>
          <cell r="O5666">
            <v>1.4650000000000001E-4</v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0</v>
          </cell>
          <cell r="V5666">
            <v>0</v>
          </cell>
          <cell r="W5666">
            <v>0</v>
          </cell>
          <cell r="X5666">
            <v>6.3920000000000003E-4</v>
          </cell>
          <cell r="Y5666">
            <v>0</v>
          </cell>
          <cell r="Z5666">
            <v>0</v>
          </cell>
          <cell r="AA5666">
            <v>0</v>
          </cell>
          <cell r="AB5666">
            <v>0</v>
          </cell>
        </row>
        <row r="5667">
          <cell r="A5667">
            <v>91201010</v>
          </cell>
          <cell r="B5667" t="str">
            <v>Sugar substitute, aspartame, powder</v>
          </cell>
          <cell r="I5667">
            <v>1</v>
          </cell>
          <cell r="J5667">
            <v>3.65</v>
          </cell>
          <cell r="K5667">
            <v>3.65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  <cell r="V5667">
            <v>0</v>
          </cell>
          <cell r="W5667">
            <v>0</v>
          </cell>
          <cell r="X5667">
            <v>0</v>
          </cell>
          <cell r="Y5667">
            <v>0</v>
          </cell>
          <cell r="Z5667">
            <v>0</v>
          </cell>
          <cell r="AA5667">
            <v>0</v>
          </cell>
          <cell r="AB5667">
            <v>0</v>
          </cell>
        </row>
        <row r="5668">
          <cell r="A5668">
            <v>91300010</v>
          </cell>
          <cell r="B5668" t="str">
            <v>Syrup, NFS</v>
          </cell>
          <cell r="I5668">
            <v>30</v>
          </cell>
          <cell r="J5668">
            <v>79.5</v>
          </cell>
          <cell r="K5668">
            <v>2.65</v>
          </cell>
          <cell r="L5668">
            <v>0</v>
          </cell>
          <cell r="M5668">
            <v>5.4000000000000003E-3</v>
          </cell>
          <cell r="N5668">
            <v>0</v>
          </cell>
          <cell r="O5668">
            <v>1.5E-3</v>
          </cell>
          <cell r="P5668">
            <v>0</v>
          </cell>
          <cell r="Q5668">
            <v>1.4999999999999999E-2</v>
          </cell>
          <cell r="R5668">
            <v>0</v>
          </cell>
          <cell r="S5668">
            <v>0</v>
          </cell>
          <cell r="T5668">
            <v>0</v>
          </cell>
          <cell r="U5668">
            <v>0</v>
          </cell>
          <cell r="V5668">
            <v>0</v>
          </cell>
          <cell r="W5668">
            <v>0</v>
          </cell>
          <cell r="X5668">
            <v>1.83E-2</v>
          </cell>
          <cell r="Y5668">
            <v>0</v>
          </cell>
          <cell r="Z5668">
            <v>0</v>
          </cell>
          <cell r="AA5668">
            <v>0</v>
          </cell>
          <cell r="AB5668">
            <v>0</v>
          </cell>
        </row>
        <row r="5669">
          <cell r="A5669">
            <v>91300100</v>
          </cell>
          <cell r="B5669" t="str">
            <v>Pancake syrup, NFS</v>
          </cell>
          <cell r="I5669">
            <v>30</v>
          </cell>
          <cell r="J5669">
            <v>79.5</v>
          </cell>
          <cell r="K5669">
            <v>2.65</v>
          </cell>
          <cell r="L5669">
            <v>0</v>
          </cell>
          <cell r="M5669">
            <v>5.4000000000000003E-3</v>
          </cell>
          <cell r="N5669">
            <v>0</v>
          </cell>
          <cell r="O5669">
            <v>1.5E-3</v>
          </cell>
          <cell r="P5669">
            <v>0</v>
          </cell>
          <cell r="Q5669">
            <v>1.4999999999999999E-2</v>
          </cell>
          <cell r="R5669">
            <v>0</v>
          </cell>
          <cell r="S5669">
            <v>0</v>
          </cell>
          <cell r="T5669">
            <v>0</v>
          </cell>
          <cell r="U5669">
            <v>0</v>
          </cell>
          <cell r="V5669">
            <v>0</v>
          </cell>
          <cell r="W5669">
            <v>0</v>
          </cell>
          <cell r="X5669">
            <v>1.83E-2</v>
          </cell>
          <cell r="Y5669">
            <v>0</v>
          </cell>
          <cell r="Z5669">
            <v>0</v>
          </cell>
          <cell r="AA5669">
            <v>0</v>
          </cell>
          <cell r="AB5669">
            <v>2.0149999999999999E-4</v>
          </cell>
        </row>
        <row r="5670">
          <cell r="A5670">
            <v>91301020</v>
          </cell>
          <cell r="B5670" t="str">
            <v>Cane and corn pancake syrup</v>
          </cell>
          <cell r="I5670">
            <v>30</v>
          </cell>
          <cell r="J5670">
            <v>70.2</v>
          </cell>
          <cell r="K5670">
            <v>2.3400000000000003</v>
          </cell>
          <cell r="L5670">
            <v>0</v>
          </cell>
          <cell r="M5670">
            <v>0</v>
          </cell>
          <cell r="N5670">
            <v>0</v>
          </cell>
          <cell r="O5670">
            <v>8.9999999999999998E-4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2.46E-2</v>
          </cell>
          <cell r="Y5670">
            <v>0</v>
          </cell>
          <cell r="Z5670">
            <v>0</v>
          </cell>
          <cell r="AA5670">
            <v>0</v>
          </cell>
          <cell r="AB5670">
            <v>6.6816000000000002E-3</v>
          </cell>
        </row>
        <row r="5671">
          <cell r="A5671">
            <v>91301030</v>
          </cell>
          <cell r="B5671" t="str">
            <v>Corn syrup, light or dark</v>
          </cell>
          <cell r="I5671">
            <v>30</v>
          </cell>
          <cell r="J5671">
            <v>84.9</v>
          </cell>
          <cell r="K5671">
            <v>2.83</v>
          </cell>
          <cell r="L5671">
            <v>0</v>
          </cell>
          <cell r="M5671">
            <v>0</v>
          </cell>
          <cell r="N5671">
            <v>0</v>
          </cell>
          <cell r="O5671">
            <v>3.8999999999999998E-3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1.8599999999999998E-2</v>
          </cell>
          <cell r="Y5671">
            <v>0</v>
          </cell>
          <cell r="Z5671">
            <v>0</v>
          </cell>
          <cell r="AA5671">
            <v>0</v>
          </cell>
          <cell r="AB5671">
            <v>8.1726000000000004E-3</v>
          </cell>
        </row>
        <row r="5672">
          <cell r="A5672">
            <v>91301040</v>
          </cell>
          <cell r="B5672" t="str">
            <v>Buttered blends syrup</v>
          </cell>
          <cell r="I5672">
            <v>30</v>
          </cell>
          <cell r="J5672">
            <v>87.3</v>
          </cell>
          <cell r="K5672">
            <v>2.9099999999999997</v>
          </cell>
          <cell r="L5672">
            <v>0</v>
          </cell>
          <cell r="M5672">
            <v>0</v>
          </cell>
          <cell r="N5672">
            <v>0</v>
          </cell>
          <cell r="O5672">
            <v>5.9999999999999995E-4</v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>
            <v>0</v>
          </cell>
          <cell r="V5672">
            <v>0</v>
          </cell>
          <cell r="W5672">
            <v>0</v>
          </cell>
          <cell r="X5672">
            <v>8.6099999999999996E-2</v>
          </cell>
          <cell r="Y5672">
            <v>0</v>
          </cell>
          <cell r="Z5672">
            <v>0</v>
          </cell>
          <cell r="AA5672">
            <v>0</v>
          </cell>
          <cell r="AB5672">
            <v>2.4466499999999999E-2</v>
          </cell>
        </row>
        <row r="5673">
          <cell r="A5673">
            <v>91301050</v>
          </cell>
          <cell r="B5673" t="str">
            <v>Fruit syrup</v>
          </cell>
          <cell r="I5673">
            <v>30</v>
          </cell>
          <cell r="J5673">
            <v>102.3</v>
          </cell>
          <cell r="K5673">
            <v>3.4099999999999997</v>
          </cell>
          <cell r="L5673">
            <v>0</v>
          </cell>
          <cell r="M5673">
            <v>0</v>
          </cell>
          <cell r="N5673">
            <v>0</v>
          </cell>
          <cell r="O5673">
            <v>2.3999999999999998E-3</v>
          </cell>
          <cell r="P5673">
            <v>0.03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>
            <v>0</v>
          </cell>
          <cell r="V5673">
            <v>0</v>
          </cell>
          <cell r="W5673">
            <v>0</v>
          </cell>
          <cell r="X5673">
            <v>0</v>
          </cell>
          <cell r="Y5673">
            <v>0</v>
          </cell>
          <cell r="Z5673">
            <v>0</v>
          </cell>
          <cell r="AA5673">
            <v>0</v>
          </cell>
          <cell r="AB5673">
            <v>0</v>
          </cell>
        </row>
        <row r="5674">
          <cell r="A5674">
            <v>91301060</v>
          </cell>
          <cell r="B5674" t="str">
            <v>Maple syrup</v>
          </cell>
          <cell r="I5674">
            <v>30</v>
          </cell>
          <cell r="J5674">
            <v>78</v>
          </cell>
          <cell r="K5674">
            <v>2.6</v>
          </cell>
          <cell r="L5674">
            <v>0</v>
          </cell>
          <cell r="M5674">
            <v>2.0999999999999999E-3</v>
          </cell>
          <cell r="N5674">
            <v>0</v>
          </cell>
          <cell r="O5674">
            <v>3.0599999999999999E-2</v>
          </cell>
          <cell r="P5674">
            <v>0</v>
          </cell>
          <cell r="Q5674">
            <v>5.1000000000000004E-3</v>
          </cell>
          <cell r="R5674">
            <v>0</v>
          </cell>
          <cell r="S5674">
            <v>0</v>
          </cell>
          <cell r="T5674">
            <v>0</v>
          </cell>
          <cell r="U5674">
            <v>0</v>
          </cell>
          <cell r="V5674">
            <v>0</v>
          </cell>
          <cell r="W5674">
            <v>0</v>
          </cell>
          <cell r="X5674">
            <v>3.5999999999999999E-3</v>
          </cell>
          <cell r="Y5674">
            <v>0</v>
          </cell>
          <cell r="Z5674">
            <v>0</v>
          </cell>
          <cell r="AA5674">
            <v>0</v>
          </cell>
          <cell r="AB5674">
            <v>0</v>
          </cell>
        </row>
        <row r="5675">
          <cell r="A5675">
            <v>91301080</v>
          </cell>
          <cell r="B5675" t="str">
            <v>Chocolate syrup, thin type</v>
          </cell>
          <cell r="I5675">
            <v>30</v>
          </cell>
          <cell r="J5675">
            <v>80.7</v>
          </cell>
          <cell r="K5675">
            <v>2.69</v>
          </cell>
          <cell r="L5675">
            <v>0</v>
          </cell>
          <cell r="M5675">
            <v>0</v>
          </cell>
          <cell r="N5675">
            <v>0</v>
          </cell>
          <cell r="O5675">
            <v>0</v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>
            <v>0</v>
          </cell>
          <cell r="V5675">
            <v>0</v>
          </cell>
          <cell r="W5675">
            <v>0</v>
          </cell>
          <cell r="X5675">
            <v>4.4999999999999998E-2</v>
          </cell>
          <cell r="Y5675">
            <v>0</v>
          </cell>
          <cell r="Z5675">
            <v>0</v>
          </cell>
          <cell r="AA5675">
            <v>0</v>
          </cell>
          <cell r="AB5675">
            <v>1.99738E-2</v>
          </cell>
        </row>
        <row r="5676">
          <cell r="A5676">
            <v>91301081</v>
          </cell>
          <cell r="B5676" t="str">
            <v>Chocolate syrup, thin type, light</v>
          </cell>
          <cell r="I5676">
            <v>30</v>
          </cell>
          <cell r="J5676">
            <v>45.9</v>
          </cell>
          <cell r="K5676">
            <v>1.53</v>
          </cell>
          <cell r="L5676">
            <v>0</v>
          </cell>
          <cell r="M5676">
            <v>0</v>
          </cell>
          <cell r="N5676">
            <v>0</v>
          </cell>
          <cell r="O5676">
            <v>3.3E-3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>
            <v>0</v>
          </cell>
          <cell r="V5676">
            <v>0</v>
          </cell>
          <cell r="W5676">
            <v>0</v>
          </cell>
          <cell r="X5676">
            <v>0.03</v>
          </cell>
          <cell r="Y5676">
            <v>0</v>
          </cell>
          <cell r="Z5676">
            <v>0</v>
          </cell>
          <cell r="AA5676">
            <v>0</v>
          </cell>
          <cell r="AB5676">
            <v>4.5230699999999999E-2</v>
          </cell>
        </row>
        <row r="5677">
          <cell r="A5677">
            <v>91301090</v>
          </cell>
          <cell r="B5677" t="str">
            <v>Sorghum syrup</v>
          </cell>
          <cell r="I5677">
            <v>30</v>
          </cell>
          <cell r="J5677">
            <v>87</v>
          </cell>
          <cell r="K5677">
            <v>2.9</v>
          </cell>
          <cell r="L5677">
            <v>0</v>
          </cell>
          <cell r="M5677">
            <v>0</v>
          </cell>
          <cell r="N5677">
            <v>0</v>
          </cell>
          <cell r="O5677">
            <v>4.4999999999999998E-2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>
            <v>0</v>
          </cell>
          <cell r="V5677">
            <v>0</v>
          </cell>
          <cell r="W5677">
            <v>0</v>
          </cell>
          <cell r="X5677">
            <v>2.3999999999999998E-3</v>
          </cell>
          <cell r="Y5677">
            <v>0</v>
          </cell>
          <cell r="Z5677">
            <v>0</v>
          </cell>
          <cell r="AA5677">
            <v>0</v>
          </cell>
          <cell r="AB5677">
            <v>0</v>
          </cell>
        </row>
        <row r="5678">
          <cell r="A5678">
            <v>91301100</v>
          </cell>
          <cell r="B5678" t="str">
            <v>Sugar, white, and water syrup</v>
          </cell>
          <cell r="I5678">
            <v>30</v>
          </cell>
          <cell r="J5678">
            <v>72.904239000000004</v>
          </cell>
          <cell r="K5678">
            <v>2.4301413000000003</v>
          </cell>
          <cell r="L5678">
            <v>0</v>
          </cell>
          <cell r="M5678">
            <v>0</v>
          </cell>
          <cell r="N5678">
            <v>0</v>
          </cell>
          <cell r="O5678">
            <v>5.2320000000000003E-4</v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>
            <v>0</v>
          </cell>
          <cell r="V5678">
            <v>0</v>
          </cell>
          <cell r="W5678">
            <v>0</v>
          </cell>
          <cell r="X5678">
            <v>6.3489999999999998E-4</v>
          </cell>
          <cell r="Y5678">
            <v>0</v>
          </cell>
          <cell r="Z5678">
            <v>0</v>
          </cell>
          <cell r="AA5678">
            <v>0</v>
          </cell>
          <cell r="AB5678">
            <v>0</v>
          </cell>
        </row>
        <row r="5679">
          <cell r="A5679">
            <v>91301130</v>
          </cell>
          <cell r="B5679" t="str">
            <v>Fruit flavored syrup used for milk beverages</v>
          </cell>
          <cell r="I5679">
            <v>30</v>
          </cell>
          <cell r="J5679">
            <v>78.3</v>
          </cell>
          <cell r="K5679">
            <v>2.61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  <cell r="V5679">
            <v>0</v>
          </cell>
          <cell r="W5679">
            <v>0</v>
          </cell>
          <cell r="X5679">
            <v>0</v>
          </cell>
          <cell r="Y5679">
            <v>0</v>
          </cell>
          <cell r="Z5679">
            <v>0</v>
          </cell>
          <cell r="AA5679">
            <v>0</v>
          </cell>
          <cell r="AB5679">
            <v>3.1199999999999999E-5</v>
          </cell>
        </row>
        <row r="5680">
          <cell r="A5680">
            <v>91301250</v>
          </cell>
          <cell r="B5680" t="str">
            <v>Maple and corn and/or cane pancake syrup blends</v>
          </cell>
          <cell r="I5680">
            <v>30</v>
          </cell>
          <cell r="J5680">
            <v>79.5</v>
          </cell>
          <cell r="K5680">
            <v>2.65</v>
          </cell>
          <cell r="L5680">
            <v>0</v>
          </cell>
          <cell r="M5680">
            <v>5.4000000000000003E-3</v>
          </cell>
          <cell r="N5680">
            <v>0</v>
          </cell>
          <cell r="O5680">
            <v>1.5E-3</v>
          </cell>
          <cell r="P5680">
            <v>0</v>
          </cell>
          <cell r="Q5680">
            <v>1.4999999999999999E-2</v>
          </cell>
          <cell r="R5680">
            <v>0</v>
          </cell>
          <cell r="S5680">
            <v>0</v>
          </cell>
          <cell r="T5680">
            <v>0</v>
          </cell>
          <cell r="U5680">
            <v>0</v>
          </cell>
          <cell r="V5680">
            <v>0</v>
          </cell>
          <cell r="W5680">
            <v>0</v>
          </cell>
          <cell r="X5680">
            <v>1.83E-2</v>
          </cell>
          <cell r="Y5680">
            <v>0</v>
          </cell>
          <cell r="Z5680">
            <v>0</v>
          </cell>
          <cell r="AA5680">
            <v>0</v>
          </cell>
          <cell r="AB5680">
            <v>1.8540000000000001E-4</v>
          </cell>
        </row>
        <row r="5681">
          <cell r="A5681">
            <v>91301510</v>
          </cell>
          <cell r="B5681" t="str">
            <v>Syrup, pancake, reduced calorie</v>
          </cell>
          <cell r="I5681">
            <v>30</v>
          </cell>
          <cell r="J5681">
            <v>49.5</v>
          </cell>
          <cell r="K5681">
            <v>1.65</v>
          </cell>
          <cell r="L5681">
            <v>0</v>
          </cell>
          <cell r="M5681">
            <v>0</v>
          </cell>
          <cell r="N5681">
            <v>0</v>
          </cell>
          <cell r="O5681">
            <v>3.0000000000000001E-3</v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>
            <v>0</v>
          </cell>
          <cell r="V5681">
            <v>0</v>
          </cell>
          <cell r="W5681">
            <v>0</v>
          </cell>
          <cell r="X5681">
            <v>5.3400000000000003E-2</v>
          </cell>
          <cell r="Y5681">
            <v>0</v>
          </cell>
          <cell r="Z5681">
            <v>0</v>
          </cell>
          <cell r="AA5681">
            <v>0</v>
          </cell>
          <cell r="AB5681">
            <v>0</v>
          </cell>
        </row>
        <row r="5682">
          <cell r="A5682">
            <v>91302010</v>
          </cell>
          <cell r="B5682" t="str">
            <v>Honey</v>
          </cell>
          <cell r="I5682">
            <v>21</v>
          </cell>
          <cell r="J5682">
            <v>63.84</v>
          </cell>
          <cell r="K5682">
            <v>3.04</v>
          </cell>
          <cell r="L5682">
            <v>0</v>
          </cell>
          <cell r="M5682">
            <v>0</v>
          </cell>
          <cell r="N5682">
            <v>0</v>
          </cell>
          <cell r="O5682">
            <v>1.2600000000000001E-3</v>
          </cell>
          <cell r="P5682">
            <v>4.2000000000000003E-2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>
            <v>0</v>
          </cell>
          <cell r="V5682">
            <v>0</v>
          </cell>
          <cell r="W5682">
            <v>0</v>
          </cell>
          <cell r="X5682">
            <v>8.4000000000000003E-4</v>
          </cell>
          <cell r="Y5682">
            <v>0</v>
          </cell>
          <cell r="Z5682">
            <v>0</v>
          </cell>
          <cell r="AA5682">
            <v>0</v>
          </cell>
          <cell r="AB5682">
            <v>0</v>
          </cell>
        </row>
        <row r="5683">
          <cell r="A5683">
            <v>91302020</v>
          </cell>
          <cell r="B5683" t="str">
            <v>Agave liquid sweetener</v>
          </cell>
          <cell r="I5683">
            <v>20</v>
          </cell>
          <cell r="J5683">
            <v>62</v>
          </cell>
          <cell r="K5683">
            <v>3.1</v>
          </cell>
          <cell r="L5683">
            <v>0</v>
          </cell>
          <cell r="M5683">
            <v>0</v>
          </cell>
          <cell r="N5683">
            <v>0</v>
          </cell>
          <cell r="O5683">
            <v>2.0000000000000001E-4</v>
          </cell>
          <cell r="P5683">
            <v>0.04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>
            <v>0</v>
          </cell>
          <cell r="V5683">
            <v>0</v>
          </cell>
          <cell r="W5683">
            <v>0</v>
          </cell>
          <cell r="X5683">
            <v>8.0000000000000004E-4</v>
          </cell>
          <cell r="Y5683">
            <v>0</v>
          </cell>
          <cell r="Z5683">
            <v>0</v>
          </cell>
          <cell r="AA5683">
            <v>0</v>
          </cell>
          <cell r="AB5683">
            <v>0</v>
          </cell>
        </row>
        <row r="5684">
          <cell r="A5684">
            <v>91303000</v>
          </cell>
          <cell r="B5684" t="str">
            <v>Molasses</v>
          </cell>
          <cell r="I5684">
            <v>20</v>
          </cell>
          <cell r="J5684">
            <v>58</v>
          </cell>
          <cell r="K5684">
            <v>2.9</v>
          </cell>
          <cell r="L5684">
            <v>0</v>
          </cell>
          <cell r="M5684">
            <v>3.5999999999999999E-3</v>
          </cell>
          <cell r="N5684">
            <v>0</v>
          </cell>
          <cell r="O5684">
            <v>4.1000000000000002E-2</v>
          </cell>
          <cell r="P5684">
            <v>0</v>
          </cell>
          <cell r="Q5684">
            <v>0.01</v>
          </cell>
          <cell r="R5684">
            <v>0</v>
          </cell>
          <cell r="S5684">
            <v>0</v>
          </cell>
          <cell r="T5684">
            <v>0</v>
          </cell>
          <cell r="U5684">
            <v>0</v>
          </cell>
          <cell r="V5684">
            <v>0</v>
          </cell>
          <cell r="W5684">
            <v>0</v>
          </cell>
          <cell r="X5684">
            <v>7.4000000000000003E-3</v>
          </cell>
          <cell r="Y5684">
            <v>0</v>
          </cell>
          <cell r="Z5684">
            <v>0</v>
          </cell>
          <cell r="AA5684">
            <v>0</v>
          </cell>
          <cell r="AB5684">
            <v>0</v>
          </cell>
        </row>
        <row r="5685">
          <cell r="A5685">
            <v>91304010</v>
          </cell>
          <cell r="B5685" t="str">
            <v>Topping, butterscotch or caramel</v>
          </cell>
          <cell r="I5685">
            <v>42.4</v>
          </cell>
          <cell r="J5685">
            <v>91.584000000000003</v>
          </cell>
          <cell r="K5685">
            <v>2.16</v>
          </cell>
          <cell r="L5685">
            <v>0</v>
          </cell>
          <cell r="M5685">
            <v>0</v>
          </cell>
          <cell r="N5685">
            <v>0</v>
          </cell>
          <cell r="O5685">
            <v>2.0775999999999999E-2</v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>
            <v>0</v>
          </cell>
          <cell r="V5685">
            <v>0</v>
          </cell>
          <cell r="W5685">
            <v>0</v>
          </cell>
          <cell r="X5685">
            <v>0.14458399999999999</v>
          </cell>
          <cell r="Y5685">
            <v>0</v>
          </cell>
          <cell r="Z5685">
            <v>0</v>
          </cell>
          <cell r="AA5685">
            <v>0</v>
          </cell>
          <cell r="AB5685">
            <v>0</v>
          </cell>
        </row>
        <row r="5686">
          <cell r="A5686">
            <v>91304020</v>
          </cell>
          <cell r="B5686" t="str">
            <v>Topping, chocolate, thick, fudge type</v>
          </cell>
          <cell r="I5686">
            <v>42</v>
          </cell>
          <cell r="J5686">
            <v>147</v>
          </cell>
          <cell r="K5686">
            <v>3.5</v>
          </cell>
          <cell r="L5686">
            <v>0</v>
          </cell>
          <cell r="M5686">
            <v>1.6716</v>
          </cell>
          <cell r="N5686">
            <v>0</v>
          </cell>
          <cell r="O5686">
            <v>2.0580000000000001E-2</v>
          </cell>
          <cell r="P5686">
            <v>1.1759999999999999</v>
          </cell>
          <cell r="Q5686">
            <v>0.11676</v>
          </cell>
          <cell r="R5686">
            <v>0</v>
          </cell>
          <cell r="S5686">
            <v>0</v>
          </cell>
          <cell r="T5686">
            <v>0</v>
          </cell>
          <cell r="U5686">
            <v>0</v>
          </cell>
          <cell r="V5686">
            <v>0</v>
          </cell>
          <cell r="W5686">
            <v>0</v>
          </cell>
          <cell r="X5686">
            <v>0.14532</v>
          </cell>
          <cell r="Y5686">
            <v>0</v>
          </cell>
          <cell r="Z5686">
            <v>0</v>
          </cell>
          <cell r="AA5686">
            <v>0</v>
          </cell>
          <cell r="AB5686">
            <v>0.1074444</v>
          </cell>
        </row>
        <row r="5687">
          <cell r="A5687">
            <v>91304030</v>
          </cell>
          <cell r="B5687" t="str">
            <v>Topping, fruit</v>
          </cell>
          <cell r="I5687">
            <v>42.4</v>
          </cell>
          <cell r="J5687">
            <v>107.696</v>
          </cell>
          <cell r="K5687">
            <v>2.54</v>
          </cell>
          <cell r="L5687">
            <v>0.29680000000000001</v>
          </cell>
          <cell r="M5687">
            <v>2.1199999999999999E-3</v>
          </cell>
          <cell r="N5687">
            <v>0</v>
          </cell>
          <cell r="O5687">
            <v>2.5439999999999998E-3</v>
          </cell>
          <cell r="P5687">
            <v>0</v>
          </cell>
          <cell r="Q5687">
            <v>2.12E-2</v>
          </cell>
          <cell r="R5687">
            <v>0</v>
          </cell>
          <cell r="S5687">
            <v>0</v>
          </cell>
          <cell r="T5687">
            <v>9.2219999999999995</v>
          </cell>
          <cell r="U5687">
            <v>0</v>
          </cell>
          <cell r="V5687">
            <v>0</v>
          </cell>
          <cell r="W5687">
            <v>0</v>
          </cell>
          <cell r="X5687">
            <v>8.9040000000000005E-3</v>
          </cell>
          <cell r="Y5687">
            <v>0</v>
          </cell>
          <cell r="Z5687">
            <v>0</v>
          </cell>
          <cell r="AA5687">
            <v>0</v>
          </cell>
          <cell r="AB5687">
            <v>7.7720000000000003E-4</v>
          </cell>
        </row>
        <row r="5688">
          <cell r="A5688">
            <v>91304040</v>
          </cell>
          <cell r="B5688" t="str">
            <v>Topping, marshmallow</v>
          </cell>
          <cell r="I5688">
            <v>12.4</v>
          </cell>
          <cell r="J5688">
            <v>39.927999999999997</v>
          </cell>
          <cell r="K5688">
            <v>3.2199999999999998</v>
          </cell>
          <cell r="L5688">
            <v>0</v>
          </cell>
          <cell r="M5688">
            <v>6.9439999999999997E-3</v>
          </cell>
          <cell r="N5688">
            <v>0</v>
          </cell>
          <cell r="O5688">
            <v>3.7199999999999999E-4</v>
          </cell>
          <cell r="P5688">
            <v>1.24E-2</v>
          </cell>
          <cell r="Q5688">
            <v>5.8279999999999998E-3</v>
          </cell>
          <cell r="R5688">
            <v>0</v>
          </cell>
          <cell r="S5688">
            <v>0</v>
          </cell>
          <cell r="T5688">
            <v>0</v>
          </cell>
          <cell r="U5688">
            <v>0</v>
          </cell>
          <cell r="V5688">
            <v>0</v>
          </cell>
          <cell r="W5688">
            <v>0</v>
          </cell>
          <cell r="X5688">
            <v>9.92E-3</v>
          </cell>
          <cell r="Y5688">
            <v>0</v>
          </cell>
          <cell r="Z5688">
            <v>0</v>
          </cell>
          <cell r="AA5688">
            <v>0</v>
          </cell>
          <cell r="AB5688">
            <v>2.5068999999999998E-3</v>
          </cell>
        </row>
        <row r="5689">
          <cell r="A5689">
            <v>91304060</v>
          </cell>
          <cell r="B5689" t="str">
            <v>Topping, nuts and syrup</v>
          </cell>
          <cell r="I5689">
            <v>40</v>
          </cell>
          <cell r="J5689">
            <v>179.2</v>
          </cell>
          <cell r="K5689">
            <v>4.4799999999999995</v>
          </cell>
          <cell r="L5689">
            <v>0</v>
          </cell>
          <cell r="M5689">
            <v>0.78400000000000003</v>
          </cell>
          <cell r="N5689">
            <v>0</v>
          </cell>
          <cell r="O5689">
            <v>1.4E-2</v>
          </cell>
          <cell r="P5689">
            <v>0.92</v>
          </cell>
          <cell r="Q5689">
            <v>5.492</v>
          </cell>
          <cell r="R5689">
            <v>0</v>
          </cell>
          <cell r="S5689">
            <v>0</v>
          </cell>
          <cell r="T5689">
            <v>0</v>
          </cell>
          <cell r="U5689">
            <v>0</v>
          </cell>
          <cell r="V5689">
            <v>0</v>
          </cell>
          <cell r="W5689">
            <v>0</v>
          </cell>
          <cell r="X5689">
            <v>1.6799999999999999E-2</v>
          </cell>
          <cell r="Y5689">
            <v>12.984299999999999</v>
          </cell>
          <cell r="Z5689">
            <v>0</v>
          </cell>
          <cell r="AA5689">
            <v>0</v>
          </cell>
          <cell r="AB5689">
            <v>0</v>
          </cell>
        </row>
        <row r="5690">
          <cell r="A5690">
            <v>91304070</v>
          </cell>
          <cell r="B5690" t="str">
            <v>Topping, peanut butter, thick, fudge type</v>
          </cell>
          <cell r="I5690">
            <v>42.4</v>
          </cell>
          <cell r="J5690">
            <v>123.46456000000001</v>
          </cell>
          <cell r="K5690">
            <v>2.9119000000000002</v>
          </cell>
          <cell r="L5690">
            <v>0</v>
          </cell>
          <cell r="M5690">
            <v>0.98339589999999999</v>
          </cell>
          <cell r="N5690">
            <v>0</v>
          </cell>
          <cell r="O5690">
            <v>2.9582500000000001E-2</v>
          </cell>
          <cell r="P5690">
            <v>1.6981200000000001</v>
          </cell>
          <cell r="Q5690">
            <v>0.76449319999999998</v>
          </cell>
          <cell r="R5690">
            <v>0</v>
          </cell>
          <cell r="S5690">
            <v>0</v>
          </cell>
          <cell r="T5690">
            <v>0</v>
          </cell>
          <cell r="U5690">
            <v>0</v>
          </cell>
          <cell r="V5690">
            <v>0</v>
          </cell>
          <cell r="W5690">
            <v>0</v>
          </cell>
          <cell r="X5690">
            <v>1.17109E-2</v>
          </cell>
          <cell r="Y5690">
            <v>5.2589249999999996</v>
          </cell>
          <cell r="Z5690">
            <v>0</v>
          </cell>
          <cell r="AA5690">
            <v>0</v>
          </cell>
          <cell r="AB5690">
            <v>3.9844999999999998E-2</v>
          </cell>
        </row>
        <row r="5691">
          <cell r="A5691">
            <v>91304090</v>
          </cell>
          <cell r="B5691" t="str">
            <v>Topping, chocolate flavored hazelnut spread</v>
          </cell>
          <cell r="I5691">
            <v>31</v>
          </cell>
          <cell r="J5691">
            <v>167.71</v>
          </cell>
          <cell r="K5691">
            <v>5.41</v>
          </cell>
          <cell r="L5691">
            <v>0</v>
          </cell>
          <cell r="M5691">
            <v>8.8111300000000004</v>
          </cell>
          <cell r="N5691">
            <v>0</v>
          </cell>
          <cell r="O5691">
            <v>3.3480000000000003E-2</v>
          </cell>
          <cell r="P5691">
            <v>1.6739999999999999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>
            <v>0</v>
          </cell>
          <cell r="V5691">
            <v>0</v>
          </cell>
          <cell r="W5691">
            <v>0</v>
          </cell>
          <cell r="X5691">
            <v>1.2710000000000001E-2</v>
          </cell>
          <cell r="Y5691">
            <v>3.7351125000000001</v>
          </cell>
          <cell r="Z5691">
            <v>0</v>
          </cell>
          <cell r="AA5691">
            <v>0</v>
          </cell>
          <cell r="AB5691">
            <v>0.1072042</v>
          </cell>
        </row>
        <row r="5692">
          <cell r="A5692">
            <v>91304300</v>
          </cell>
          <cell r="B5692" t="str">
            <v>Topping, chocolate, hard coating</v>
          </cell>
          <cell r="I5692">
            <v>33.4</v>
          </cell>
          <cell r="J5692">
            <v>203.40600000000001</v>
          </cell>
          <cell r="K5692">
            <v>6.0900000000000007</v>
          </cell>
          <cell r="L5692">
            <v>0</v>
          </cell>
          <cell r="M5692">
            <v>6.8770600000000002</v>
          </cell>
          <cell r="N5692">
            <v>0</v>
          </cell>
          <cell r="O5692">
            <v>0</v>
          </cell>
          <cell r="P5692">
            <v>0.96860000000000002</v>
          </cell>
          <cell r="Q5692">
            <v>5.0413959999999998</v>
          </cell>
          <cell r="R5692">
            <v>0</v>
          </cell>
          <cell r="S5692">
            <v>0</v>
          </cell>
          <cell r="T5692">
            <v>0</v>
          </cell>
          <cell r="U5692">
            <v>0</v>
          </cell>
          <cell r="V5692">
            <v>0</v>
          </cell>
          <cell r="W5692">
            <v>0</v>
          </cell>
          <cell r="X5692">
            <v>9.6860000000000002E-3</v>
          </cell>
          <cell r="Y5692">
            <v>0</v>
          </cell>
          <cell r="Z5692">
            <v>0</v>
          </cell>
          <cell r="AA5692">
            <v>0</v>
          </cell>
          <cell r="AB5692">
            <v>5.6779999999999999E-3</v>
          </cell>
        </row>
        <row r="5693">
          <cell r="A5693">
            <v>91305010</v>
          </cell>
          <cell r="B5693" t="str">
            <v>Icing, chocolate</v>
          </cell>
          <cell r="I5693">
            <v>34.4</v>
          </cell>
          <cell r="J5693">
            <v>136.56800000000001</v>
          </cell>
          <cell r="K5693">
            <v>3.9700000000000006</v>
          </cell>
          <cell r="L5693">
            <v>0</v>
          </cell>
          <cell r="M5693">
            <v>1.900944</v>
          </cell>
          <cell r="N5693">
            <v>0</v>
          </cell>
          <cell r="O5693">
            <v>2.7520000000000001E-3</v>
          </cell>
          <cell r="P5693">
            <v>0.30959999999999999</v>
          </cell>
          <cell r="Q5693">
            <v>0.76574399999999998</v>
          </cell>
          <cell r="R5693">
            <v>0</v>
          </cell>
          <cell r="S5693">
            <v>0</v>
          </cell>
          <cell r="T5693">
            <v>0</v>
          </cell>
          <cell r="U5693">
            <v>0</v>
          </cell>
          <cell r="V5693">
            <v>0</v>
          </cell>
          <cell r="W5693">
            <v>0</v>
          </cell>
          <cell r="X5693">
            <v>6.2951999999999994E-2</v>
          </cell>
          <cell r="Y5693">
            <v>0</v>
          </cell>
          <cell r="Z5693">
            <v>0</v>
          </cell>
          <cell r="AA5693">
            <v>0</v>
          </cell>
          <cell r="AB5693">
            <v>0.34369280000000002</v>
          </cell>
        </row>
        <row r="5694">
          <cell r="A5694">
            <v>91305020</v>
          </cell>
          <cell r="B5694" t="str">
            <v>Icing, white</v>
          </cell>
          <cell r="I5694">
            <v>39.799999999999997</v>
          </cell>
          <cell r="J5694">
            <v>166.364</v>
          </cell>
          <cell r="K5694">
            <v>4.1800000000000006</v>
          </cell>
          <cell r="L5694">
            <v>0</v>
          </cell>
          <cell r="M5694">
            <v>1.1836519999999999</v>
          </cell>
          <cell r="N5694">
            <v>0</v>
          </cell>
          <cell r="O5694">
            <v>1.194E-3</v>
          </cell>
          <cell r="P5694">
            <v>0</v>
          </cell>
          <cell r="Q5694">
            <v>3.164498</v>
          </cell>
          <cell r="R5694">
            <v>0</v>
          </cell>
          <cell r="S5694">
            <v>0</v>
          </cell>
          <cell r="T5694">
            <v>0</v>
          </cell>
          <cell r="U5694">
            <v>0</v>
          </cell>
          <cell r="V5694">
            <v>0</v>
          </cell>
          <cell r="W5694">
            <v>0</v>
          </cell>
          <cell r="X5694">
            <v>7.3232000000000005E-2</v>
          </cell>
          <cell r="Y5694">
            <v>0</v>
          </cell>
          <cell r="Z5694">
            <v>0</v>
          </cell>
          <cell r="AA5694">
            <v>0</v>
          </cell>
          <cell r="AB5694">
            <v>0</v>
          </cell>
        </row>
        <row r="5695">
          <cell r="A5695">
            <v>91306020</v>
          </cell>
          <cell r="B5695" t="str">
            <v>Caramel dip, regular</v>
          </cell>
          <cell r="I5695">
            <v>30</v>
          </cell>
          <cell r="J5695">
            <v>87.344999999999999</v>
          </cell>
          <cell r="K5695">
            <v>2.9114999999999998</v>
          </cell>
          <cell r="L5695">
            <v>0</v>
          </cell>
          <cell r="M5695">
            <v>2.3115600000000001</v>
          </cell>
          <cell r="N5695">
            <v>0</v>
          </cell>
          <cell r="O5695">
            <v>1.3575E-2</v>
          </cell>
          <cell r="P5695">
            <v>0</v>
          </cell>
          <cell r="Q5695">
            <v>0.136935</v>
          </cell>
          <cell r="R5695">
            <v>0</v>
          </cell>
          <cell r="S5695">
            <v>0</v>
          </cell>
          <cell r="T5695">
            <v>0</v>
          </cell>
          <cell r="U5695">
            <v>0</v>
          </cell>
          <cell r="V5695">
            <v>0</v>
          </cell>
          <cell r="W5695">
            <v>0</v>
          </cell>
          <cell r="X5695">
            <v>0.11589000000000001</v>
          </cell>
          <cell r="Y5695">
            <v>0</v>
          </cell>
          <cell r="Z5695">
            <v>0</v>
          </cell>
          <cell r="AA5695">
            <v>0</v>
          </cell>
          <cell r="AB5695">
            <v>0.14751</v>
          </cell>
        </row>
        <row r="5696">
          <cell r="A5696">
            <v>91306030</v>
          </cell>
          <cell r="B5696" t="str">
            <v>Chocolate dip</v>
          </cell>
          <cell r="I5696">
            <v>30</v>
          </cell>
          <cell r="J5696">
            <v>116.4875</v>
          </cell>
          <cell r="K5696">
            <v>3.8829166666666666</v>
          </cell>
          <cell r="L5696">
            <v>6.6609999999999999E-17</v>
          </cell>
          <cell r="M5696">
            <v>2.12995</v>
          </cell>
          <cell r="N5696">
            <v>0</v>
          </cell>
          <cell r="O5696">
            <v>1.1075E-2</v>
          </cell>
          <cell r="P5696">
            <v>0.59499999999999997</v>
          </cell>
          <cell r="Q5696">
            <v>0.13514999999999999</v>
          </cell>
          <cell r="R5696">
            <v>0</v>
          </cell>
          <cell r="S5696">
            <v>0</v>
          </cell>
          <cell r="T5696">
            <v>0</v>
          </cell>
          <cell r="U5696">
            <v>0</v>
          </cell>
          <cell r="V5696">
            <v>0</v>
          </cell>
          <cell r="W5696">
            <v>0</v>
          </cell>
          <cell r="X5696">
            <v>8.9662500000000006E-2</v>
          </cell>
          <cell r="Y5696">
            <v>0</v>
          </cell>
          <cell r="Z5696">
            <v>0</v>
          </cell>
          <cell r="AA5696">
            <v>0</v>
          </cell>
          <cell r="AB5696">
            <v>0.13348489999999999</v>
          </cell>
        </row>
        <row r="5697">
          <cell r="A5697">
            <v>91306040</v>
          </cell>
          <cell r="B5697" t="str">
            <v>Dessert dip</v>
          </cell>
          <cell r="I5697">
            <v>30</v>
          </cell>
          <cell r="J5697">
            <v>74.974999999999994</v>
          </cell>
          <cell r="K5697">
            <v>2.4991666666666665</v>
          </cell>
          <cell r="L5697">
            <v>0</v>
          </cell>
          <cell r="M5697">
            <v>2.7097500000000001</v>
          </cell>
          <cell r="N5697">
            <v>0</v>
          </cell>
          <cell r="O5697">
            <v>2.4674999999999999E-2</v>
          </cell>
          <cell r="P5697">
            <v>0</v>
          </cell>
          <cell r="Q5697">
            <v>0.21074999999999999</v>
          </cell>
          <cell r="R5697">
            <v>0</v>
          </cell>
          <cell r="S5697">
            <v>0</v>
          </cell>
          <cell r="T5697">
            <v>0</v>
          </cell>
          <cell r="U5697">
            <v>0</v>
          </cell>
          <cell r="V5697">
            <v>0</v>
          </cell>
          <cell r="W5697">
            <v>0</v>
          </cell>
          <cell r="X5697">
            <v>4.4299999999999999E-2</v>
          </cell>
          <cell r="Y5697">
            <v>0</v>
          </cell>
          <cell r="Z5697">
            <v>0</v>
          </cell>
          <cell r="AA5697">
            <v>0</v>
          </cell>
          <cell r="AB5697">
            <v>0.14468010000000001</v>
          </cell>
        </row>
        <row r="5698">
          <cell r="A5698">
            <v>91351010</v>
          </cell>
          <cell r="B5698" t="str">
            <v>Syrup, dietetic</v>
          </cell>
          <cell r="I5698">
            <v>60</v>
          </cell>
          <cell r="J5698">
            <v>31.2</v>
          </cell>
          <cell r="K5698">
            <v>0.52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0.42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>
            <v>0</v>
          </cell>
          <cell r="V5698">
            <v>0</v>
          </cell>
          <cell r="W5698">
            <v>0</v>
          </cell>
          <cell r="X5698">
            <v>0.126</v>
          </cell>
          <cell r="Y5698">
            <v>0</v>
          </cell>
          <cell r="Z5698">
            <v>0</v>
          </cell>
          <cell r="AA5698">
            <v>0</v>
          </cell>
          <cell r="AB5698">
            <v>0</v>
          </cell>
        </row>
        <row r="5699">
          <cell r="A5699">
            <v>91361010</v>
          </cell>
          <cell r="B5699" t="str">
            <v>Sweet and sour sauce</v>
          </cell>
          <cell r="I5699">
            <v>30</v>
          </cell>
          <cell r="J5699">
            <v>45</v>
          </cell>
          <cell r="K5699">
            <v>1.5</v>
          </cell>
          <cell r="L5699">
            <v>0</v>
          </cell>
          <cell r="M5699">
            <v>0</v>
          </cell>
          <cell r="N5699">
            <v>0</v>
          </cell>
          <cell r="O5699">
            <v>3.0000000000000001E-3</v>
          </cell>
          <cell r="P5699">
            <v>0.03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>
            <v>0</v>
          </cell>
          <cell r="V5699">
            <v>0</v>
          </cell>
          <cell r="W5699">
            <v>0</v>
          </cell>
          <cell r="X5699">
            <v>0.1113</v>
          </cell>
          <cell r="Y5699">
            <v>0</v>
          </cell>
          <cell r="Z5699">
            <v>0</v>
          </cell>
          <cell r="AA5699">
            <v>0</v>
          </cell>
          <cell r="AB5699">
            <v>0</v>
          </cell>
        </row>
        <row r="5700">
          <cell r="A5700">
            <v>91361020</v>
          </cell>
          <cell r="B5700" t="str">
            <v>Fruit sauce</v>
          </cell>
          <cell r="I5700">
            <v>42.4</v>
          </cell>
          <cell r="J5700">
            <v>85.281513000000004</v>
          </cell>
          <cell r="K5700">
            <v>2.0113564386792455</v>
          </cell>
          <cell r="L5700">
            <v>0.22622200000000001</v>
          </cell>
          <cell r="M5700">
            <v>1.7605039</v>
          </cell>
          <cell r="N5700">
            <v>0</v>
          </cell>
          <cell r="O5700">
            <v>4.3477999999999998E-3</v>
          </cell>
          <cell r="P5700">
            <v>8.8305999999999992E-3</v>
          </cell>
          <cell r="Q5700">
            <v>0.1126398</v>
          </cell>
          <cell r="R5700">
            <v>0</v>
          </cell>
          <cell r="S5700">
            <v>0</v>
          </cell>
          <cell r="T5700">
            <v>25.674035</v>
          </cell>
          <cell r="U5700">
            <v>0</v>
          </cell>
          <cell r="V5700">
            <v>0</v>
          </cell>
          <cell r="W5700">
            <v>0</v>
          </cell>
          <cell r="X5700">
            <v>1.4E-3</v>
          </cell>
          <cell r="Y5700">
            <v>0</v>
          </cell>
          <cell r="Z5700">
            <v>0</v>
          </cell>
          <cell r="AA5700">
            <v>0</v>
          </cell>
          <cell r="AB5700">
            <v>0.1209286</v>
          </cell>
        </row>
        <row r="5701">
          <cell r="A5701">
            <v>91361040</v>
          </cell>
          <cell r="B5701" t="str">
            <v>Dessert sauce</v>
          </cell>
          <cell r="I5701">
            <v>33</v>
          </cell>
          <cell r="J5701">
            <v>43.187325999999999</v>
          </cell>
          <cell r="K5701">
            <v>1.3087068484848485</v>
          </cell>
          <cell r="L5701">
            <v>1.1450000000000001E-18</v>
          </cell>
          <cell r="M5701">
            <v>1.4394233999999999</v>
          </cell>
          <cell r="N5701">
            <v>0</v>
          </cell>
          <cell r="O5701">
            <v>1.4959999999999999E-3</v>
          </cell>
          <cell r="P5701">
            <v>7.2338000000000003E-3</v>
          </cell>
          <cell r="Q5701">
            <v>8.6010699999999995E-2</v>
          </cell>
          <cell r="R5701">
            <v>0</v>
          </cell>
          <cell r="S5701">
            <v>0</v>
          </cell>
          <cell r="T5701">
            <v>0</v>
          </cell>
          <cell r="U5701">
            <v>0</v>
          </cell>
          <cell r="V5701">
            <v>0</v>
          </cell>
          <cell r="W5701">
            <v>0</v>
          </cell>
          <cell r="X5701">
            <v>3.0606600000000001E-2</v>
          </cell>
          <cell r="Y5701">
            <v>0</v>
          </cell>
          <cell r="Z5701">
            <v>0</v>
          </cell>
          <cell r="AA5701">
            <v>0</v>
          </cell>
          <cell r="AB5701">
            <v>0.10575560000000001</v>
          </cell>
        </row>
        <row r="5702">
          <cell r="A5702">
            <v>91361050</v>
          </cell>
          <cell r="B5702" t="str">
            <v>Duck sauce</v>
          </cell>
          <cell r="I5702">
            <v>36</v>
          </cell>
          <cell r="J5702">
            <v>88.2</v>
          </cell>
          <cell r="K5702">
            <v>2.4500000000000002</v>
          </cell>
          <cell r="L5702">
            <v>0.216</v>
          </cell>
          <cell r="M5702">
            <v>1.8360000000000001E-2</v>
          </cell>
          <cell r="N5702">
            <v>0</v>
          </cell>
          <cell r="O5702">
            <v>3.96E-3</v>
          </cell>
          <cell r="P5702">
            <v>0</v>
          </cell>
          <cell r="Q5702">
            <v>9.7199999999999995E-3</v>
          </cell>
          <cell r="R5702">
            <v>0</v>
          </cell>
          <cell r="S5702">
            <v>0</v>
          </cell>
          <cell r="T5702">
            <v>2.7</v>
          </cell>
          <cell r="U5702">
            <v>0</v>
          </cell>
          <cell r="V5702">
            <v>0</v>
          </cell>
          <cell r="W5702">
            <v>0</v>
          </cell>
          <cell r="X5702">
            <v>0.1638</v>
          </cell>
          <cell r="Y5702">
            <v>0</v>
          </cell>
          <cell r="Z5702">
            <v>0</v>
          </cell>
          <cell r="AA5702">
            <v>0</v>
          </cell>
          <cell r="AB5702">
            <v>0</v>
          </cell>
        </row>
        <row r="5703">
          <cell r="A5703">
            <v>91361070</v>
          </cell>
          <cell r="B5703" t="str">
            <v>Plum sauce, Asian style</v>
          </cell>
          <cell r="I5703">
            <v>38.799999999999997</v>
          </cell>
          <cell r="J5703">
            <v>77.673720000000003</v>
          </cell>
          <cell r="K5703">
            <v>2.0019</v>
          </cell>
          <cell r="L5703">
            <v>0.158886</v>
          </cell>
          <cell r="M5703">
            <v>3.02989E-2</v>
          </cell>
          <cell r="N5703">
            <v>0</v>
          </cell>
          <cell r="O5703">
            <v>5.8025000000000004E-3</v>
          </cell>
          <cell r="P5703">
            <v>0.28459800000000002</v>
          </cell>
          <cell r="Q5703">
            <v>5.42657E-2</v>
          </cell>
          <cell r="R5703">
            <v>0</v>
          </cell>
          <cell r="S5703">
            <v>0</v>
          </cell>
          <cell r="T5703">
            <v>16.295999999999999</v>
          </cell>
          <cell r="U5703">
            <v>0.58199999999999996</v>
          </cell>
          <cell r="V5703">
            <v>0</v>
          </cell>
          <cell r="W5703">
            <v>0</v>
          </cell>
          <cell r="X5703">
            <v>0.2429171</v>
          </cell>
          <cell r="Y5703">
            <v>0</v>
          </cell>
          <cell r="Z5703">
            <v>0</v>
          </cell>
          <cell r="AA5703">
            <v>0</v>
          </cell>
          <cell r="AB5703">
            <v>0</v>
          </cell>
        </row>
        <row r="5704">
          <cell r="A5704">
            <v>91401000</v>
          </cell>
          <cell r="B5704" t="str">
            <v>Jelly, all flavors</v>
          </cell>
          <cell r="I5704">
            <v>19</v>
          </cell>
          <cell r="J5704">
            <v>50.54</v>
          </cell>
          <cell r="K5704">
            <v>2.66</v>
          </cell>
          <cell r="L5704">
            <v>0.19</v>
          </cell>
          <cell r="M5704">
            <v>9.5E-4</v>
          </cell>
          <cell r="N5704">
            <v>0</v>
          </cell>
          <cell r="O5704">
            <v>1.33E-3</v>
          </cell>
          <cell r="P5704">
            <v>0</v>
          </cell>
          <cell r="Q5704">
            <v>7.6000000000000004E-4</v>
          </cell>
          <cell r="R5704">
            <v>0</v>
          </cell>
          <cell r="S5704">
            <v>0</v>
          </cell>
          <cell r="T5704">
            <v>8.5701400000000003</v>
          </cell>
          <cell r="U5704">
            <v>0</v>
          </cell>
          <cell r="V5704">
            <v>0</v>
          </cell>
          <cell r="W5704">
            <v>0</v>
          </cell>
          <cell r="X5704">
            <v>5.7000000000000002E-3</v>
          </cell>
          <cell r="Y5704">
            <v>0</v>
          </cell>
          <cell r="Z5704">
            <v>0</v>
          </cell>
          <cell r="AA5704">
            <v>0</v>
          </cell>
          <cell r="AB5704">
            <v>0</v>
          </cell>
        </row>
        <row r="5705">
          <cell r="A5705">
            <v>91402000</v>
          </cell>
          <cell r="B5705" t="str">
            <v>Jam, preserve, all flavors</v>
          </cell>
          <cell r="I5705">
            <v>21</v>
          </cell>
          <cell r="J5705">
            <v>58.38</v>
          </cell>
          <cell r="K5705">
            <v>2.7800000000000002</v>
          </cell>
          <cell r="L5705">
            <v>0.23100000000000001</v>
          </cell>
          <cell r="M5705">
            <v>2.0999999999999999E-3</v>
          </cell>
          <cell r="N5705">
            <v>0</v>
          </cell>
          <cell r="O5705">
            <v>4.1999999999999997E-3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10.09848</v>
          </cell>
          <cell r="U5705">
            <v>0</v>
          </cell>
          <cell r="V5705">
            <v>0</v>
          </cell>
          <cell r="W5705">
            <v>0</v>
          </cell>
          <cell r="X5705">
            <v>6.7200000000000003E-3</v>
          </cell>
          <cell r="Y5705">
            <v>0</v>
          </cell>
          <cell r="Z5705">
            <v>0</v>
          </cell>
          <cell r="AA5705">
            <v>0</v>
          </cell>
          <cell r="AB5705">
            <v>0</v>
          </cell>
        </row>
        <row r="5706">
          <cell r="A5706">
            <v>91403000</v>
          </cell>
          <cell r="B5706" t="str">
            <v>Fruit butter, all flavors</v>
          </cell>
          <cell r="I5706">
            <v>18</v>
          </cell>
          <cell r="J5706">
            <v>31.14</v>
          </cell>
          <cell r="K5706">
            <v>1.73</v>
          </cell>
          <cell r="L5706">
            <v>0.27</v>
          </cell>
          <cell r="M5706">
            <v>9.5399999999999999E-3</v>
          </cell>
          <cell r="N5706">
            <v>0</v>
          </cell>
          <cell r="O5706">
            <v>2.5200000000000001E-3</v>
          </cell>
          <cell r="P5706">
            <v>0</v>
          </cell>
          <cell r="Q5706">
            <v>1.512E-2</v>
          </cell>
          <cell r="R5706">
            <v>0</v>
          </cell>
          <cell r="S5706">
            <v>0</v>
          </cell>
          <cell r="T5706">
            <v>13.14648</v>
          </cell>
          <cell r="U5706">
            <v>0</v>
          </cell>
          <cell r="V5706">
            <v>0</v>
          </cell>
          <cell r="W5706">
            <v>0</v>
          </cell>
          <cell r="X5706">
            <v>2.7000000000000001E-3</v>
          </cell>
          <cell r="Y5706">
            <v>0</v>
          </cell>
          <cell r="Z5706">
            <v>0</v>
          </cell>
          <cell r="AA5706">
            <v>0</v>
          </cell>
          <cell r="AB5706">
            <v>2.7747000000000002E-3</v>
          </cell>
        </row>
        <row r="5707">
          <cell r="A5707">
            <v>91404000</v>
          </cell>
          <cell r="B5707" t="str">
            <v>Marmalade, all flavors</v>
          </cell>
          <cell r="I5707">
            <v>20</v>
          </cell>
          <cell r="J5707">
            <v>49.2</v>
          </cell>
          <cell r="K5707">
            <v>2.46</v>
          </cell>
          <cell r="L5707">
            <v>0.14000000000000001</v>
          </cell>
          <cell r="M5707">
            <v>0</v>
          </cell>
          <cell r="N5707">
            <v>0</v>
          </cell>
          <cell r="O5707">
            <v>7.6E-3</v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9.0212000000000003</v>
          </cell>
          <cell r="U5707">
            <v>0</v>
          </cell>
          <cell r="V5707">
            <v>0</v>
          </cell>
          <cell r="W5707">
            <v>0</v>
          </cell>
          <cell r="X5707">
            <v>1.12E-2</v>
          </cell>
          <cell r="Y5707">
            <v>0</v>
          </cell>
          <cell r="Z5707">
            <v>0</v>
          </cell>
          <cell r="AA5707">
            <v>0</v>
          </cell>
          <cell r="AB5707">
            <v>0</v>
          </cell>
        </row>
        <row r="5708">
          <cell r="A5708">
            <v>91405000</v>
          </cell>
          <cell r="B5708" t="str">
            <v>Jelly, sugar free, all flavors</v>
          </cell>
          <cell r="I5708">
            <v>18.8</v>
          </cell>
          <cell r="J5708">
            <v>22.748000000000001</v>
          </cell>
          <cell r="K5708">
            <v>1.21</v>
          </cell>
          <cell r="L5708">
            <v>0.41360000000000002</v>
          </cell>
          <cell r="M5708">
            <v>0</v>
          </cell>
          <cell r="N5708">
            <v>0</v>
          </cell>
          <cell r="O5708">
            <v>5.8279999999999998E-3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4.9067999999999996</v>
          </cell>
          <cell r="U5708">
            <v>0</v>
          </cell>
          <cell r="V5708">
            <v>0</v>
          </cell>
          <cell r="W5708">
            <v>0</v>
          </cell>
          <cell r="X5708">
            <v>5.6400000000000005E-4</v>
          </cell>
          <cell r="Y5708">
            <v>0</v>
          </cell>
          <cell r="Z5708">
            <v>0</v>
          </cell>
          <cell r="AA5708">
            <v>0</v>
          </cell>
          <cell r="AB5708">
            <v>2.1898E-3</v>
          </cell>
        </row>
        <row r="5709">
          <cell r="A5709">
            <v>91405500</v>
          </cell>
          <cell r="B5709" t="str">
            <v>Jelly, reduced sugar, all flavors</v>
          </cell>
          <cell r="I5709">
            <v>18.8</v>
          </cell>
          <cell r="J5709">
            <v>28.388000000000002</v>
          </cell>
          <cell r="K5709">
            <v>1.51</v>
          </cell>
          <cell r="L5709">
            <v>0.28199999999999997</v>
          </cell>
          <cell r="M5709">
            <v>9.3999999999999997E-4</v>
          </cell>
          <cell r="N5709">
            <v>0</v>
          </cell>
          <cell r="O5709">
            <v>0</v>
          </cell>
          <cell r="P5709">
            <v>0</v>
          </cell>
          <cell r="Q5709">
            <v>9.4000000000000004E-3</v>
          </cell>
          <cell r="R5709">
            <v>0</v>
          </cell>
          <cell r="S5709">
            <v>0</v>
          </cell>
          <cell r="T5709">
            <v>4.0890000000000004</v>
          </cell>
          <cell r="U5709">
            <v>0</v>
          </cell>
          <cell r="V5709">
            <v>0</v>
          </cell>
          <cell r="W5709">
            <v>0</v>
          </cell>
          <cell r="X5709">
            <v>0</v>
          </cell>
          <cell r="Y5709">
            <v>0</v>
          </cell>
          <cell r="Z5709">
            <v>0</v>
          </cell>
          <cell r="AA5709">
            <v>0</v>
          </cell>
          <cell r="AB5709">
            <v>0</v>
          </cell>
        </row>
        <row r="5710">
          <cell r="A5710">
            <v>91406000</v>
          </cell>
          <cell r="B5710" t="str">
            <v>Jam, preserve, marmalade, sugar free, all flavors</v>
          </cell>
          <cell r="I5710">
            <v>14</v>
          </cell>
          <cell r="J5710">
            <v>16.940000000000001</v>
          </cell>
          <cell r="K5710">
            <v>1.2100000000000002</v>
          </cell>
          <cell r="L5710">
            <v>0.308</v>
          </cell>
          <cell r="M5710">
            <v>0</v>
          </cell>
          <cell r="N5710">
            <v>0</v>
          </cell>
          <cell r="O5710">
            <v>4.3400000000000001E-3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3.6539999999999999</v>
          </cell>
          <cell r="U5710">
            <v>0</v>
          </cell>
          <cell r="V5710">
            <v>0</v>
          </cell>
          <cell r="W5710">
            <v>0</v>
          </cell>
          <cell r="X5710">
            <v>4.2000000000000002E-4</v>
          </cell>
          <cell r="Y5710">
            <v>0</v>
          </cell>
          <cell r="Z5710">
            <v>0</v>
          </cell>
          <cell r="AA5710">
            <v>0</v>
          </cell>
          <cell r="AB5710">
            <v>1.6343E-3</v>
          </cell>
        </row>
        <row r="5711">
          <cell r="A5711">
            <v>91406500</v>
          </cell>
          <cell r="B5711" t="str">
            <v>Jam, preserve, marmalade, sweetened with fruit juice concentrates, all flavors</v>
          </cell>
          <cell r="I5711">
            <v>20</v>
          </cell>
          <cell r="J5711">
            <v>42.4</v>
          </cell>
          <cell r="K5711">
            <v>2.12</v>
          </cell>
          <cell r="L5711">
            <v>0.18</v>
          </cell>
          <cell r="M5711">
            <v>0</v>
          </cell>
          <cell r="N5711">
            <v>0</v>
          </cell>
          <cell r="O5711">
            <v>2.2000000000000001E-3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8.82</v>
          </cell>
          <cell r="U5711">
            <v>0</v>
          </cell>
          <cell r="V5711">
            <v>0</v>
          </cell>
          <cell r="W5711">
            <v>0</v>
          </cell>
          <cell r="X5711">
            <v>0</v>
          </cell>
          <cell r="Y5711">
            <v>0</v>
          </cell>
          <cell r="Z5711">
            <v>0</v>
          </cell>
          <cell r="AA5711">
            <v>0</v>
          </cell>
          <cell r="AB5711">
            <v>0</v>
          </cell>
        </row>
        <row r="5712">
          <cell r="A5712">
            <v>91406600</v>
          </cell>
          <cell r="B5712" t="str">
            <v>Jam, preserve, marmalade, reduced sugar, all flavors</v>
          </cell>
          <cell r="I5712">
            <v>18.100000000000001</v>
          </cell>
          <cell r="J5712">
            <v>27.331</v>
          </cell>
          <cell r="K5712">
            <v>1.5099999999999998</v>
          </cell>
          <cell r="L5712">
            <v>0.27150000000000002</v>
          </cell>
          <cell r="M5712">
            <v>9.0499999999999999E-4</v>
          </cell>
          <cell r="N5712">
            <v>0</v>
          </cell>
          <cell r="O5712">
            <v>0</v>
          </cell>
          <cell r="P5712">
            <v>0</v>
          </cell>
          <cell r="Q5712">
            <v>9.0500000000000008E-3</v>
          </cell>
          <cell r="R5712">
            <v>0</v>
          </cell>
          <cell r="S5712">
            <v>0</v>
          </cell>
          <cell r="T5712">
            <v>3.93675</v>
          </cell>
          <cell r="U5712">
            <v>0</v>
          </cell>
          <cell r="V5712">
            <v>0</v>
          </cell>
          <cell r="W5712">
            <v>0</v>
          </cell>
          <cell r="X5712">
            <v>0</v>
          </cell>
          <cell r="Y5712">
            <v>0</v>
          </cell>
          <cell r="Z5712">
            <v>0</v>
          </cell>
          <cell r="AA5712">
            <v>0</v>
          </cell>
          <cell r="AB5712">
            <v>1.1019999999999999E-3</v>
          </cell>
        </row>
        <row r="5713">
          <cell r="A5713">
            <v>91407100</v>
          </cell>
          <cell r="B5713" t="str">
            <v>Guava paste</v>
          </cell>
          <cell r="I5713">
            <v>30</v>
          </cell>
          <cell r="J5713">
            <v>84.51</v>
          </cell>
          <cell r="K5713">
            <v>2.8170000000000002</v>
          </cell>
          <cell r="L5713">
            <v>0.32400000000000001</v>
          </cell>
          <cell r="M5713">
            <v>3.5999999999999999E-3</v>
          </cell>
          <cell r="N5713">
            <v>0</v>
          </cell>
          <cell r="O5713">
            <v>8.4000000000000003E-4</v>
          </cell>
          <cell r="P5713">
            <v>0</v>
          </cell>
          <cell r="Q5713">
            <v>5.3099999999999996E-3</v>
          </cell>
          <cell r="R5713">
            <v>0</v>
          </cell>
          <cell r="S5713">
            <v>0</v>
          </cell>
          <cell r="T5713">
            <v>9</v>
          </cell>
          <cell r="U5713">
            <v>0</v>
          </cell>
          <cell r="V5713">
            <v>0</v>
          </cell>
          <cell r="W5713">
            <v>0</v>
          </cell>
          <cell r="X5713">
            <v>5.6999999999999998E-4</v>
          </cell>
          <cell r="Y5713">
            <v>0</v>
          </cell>
          <cell r="Z5713">
            <v>0</v>
          </cell>
          <cell r="AA5713">
            <v>0</v>
          </cell>
          <cell r="AB5713">
            <v>0</v>
          </cell>
        </row>
        <row r="5714">
          <cell r="A5714">
            <v>91407120</v>
          </cell>
          <cell r="B5714" t="str">
            <v>Sweet potato paste</v>
          </cell>
          <cell r="I5714">
            <v>30</v>
          </cell>
          <cell r="J5714">
            <v>88.11</v>
          </cell>
          <cell r="K5714">
            <v>2.9369999999999998</v>
          </cell>
          <cell r="L5714">
            <v>0.22500000000000001</v>
          </cell>
          <cell r="M5714">
            <v>2.7899999999999999E-3</v>
          </cell>
          <cell r="N5714">
            <v>0</v>
          </cell>
          <cell r="O5714">
            <v>2.64E-3</v>
          </cell>
          <cell r="P5714">
            <v>0</v>
          </cell>
          <cell r="Q5714">
            <v>5.4900000000000001E-3</v>
          </cell>
          <cell r="R5714">
            <v>0</v>
          </cell>
          <cell r="S5714">
            <v>0</v>
          </cell>
          <cell r="T5714">
            <v>0</v>
          </cell>
          <cell r="U5714">
            <v>9</v>
          </cell>
          <cell r="V5714">
            <v>0</v>
          </cell>
          <cell r="W5714">
            <v>0</v>
          </cell>
          <cell r="X5714">
            <v>2.64E-3</v>
          </cell>
          <cell r="Y5714">
            <v>0</v>
          </cell>
          <cell r="Z5714">
            <v>0</v>
          </cell>
          <cell r="AA5714">
            <v>0</v>
          </cell>
          <cell r="AB5714">
            <v>0</v>
          </cell>
        </row>
        <row r="5715">
          <cell r="A5715">
            <v>91407150</v>
          </cell>
          <cell r="B5715" t="str">
            <v>Bean paste, sweetened</v>
          </cell>
          <cell r="I5715">
            <v>30</v>
          </cell>
          <cell r="J5715">
            <v>62.871386000000001</v>
          </cell>
          <cell r="K5715">
            <v>2.0957128666666667</v>
          </cell>
          <cell r="L5715">
            <v>1.5050847000000001</v>
          </cell>
          <cell r="M5715">
            <v>1.46441E-2</v>
          </cell>
          <cell r="N5715">
            <v>0</v>
          </cell>
          <cell r="O5715">
            <v>5.8122E-3</v>
          </cell>
          <cell r="P5715">
            <v>0</v>
          </cell>
          <cell r="Q5715">
            <v>5.5932200000000001E-2</v>
          </cell>
          <cell r="R5715">
            <v>0</v>
          </cell>
          <cell r="S5715">
            <v>20.288136000000002</v>
          </cell>
          <cell r="T5715">
            <v>0</v>
          </cell>
          <cell r="U5715">
            <v>0</v>
          </cell>
          <cell r="V5715">
            <v>0</v>
          </cell>
          <cell r="W5715">
            <v>0</v>
          </cell>
          <cell r="X5715">
            <v>3.5280400000000003E-2</v>
          </cell>
          <cell r="Y5715">
            <v>0</v>
          </cell>
          <cell r="Z5715">
            <v>0</v>
          </cell>
          <cell r="AA5715">
            <v>0</v>
          </cell>
          <cell r="AB5715">
            <v>0</v>
          </cell>
        </row>
        <row r="5716">
          <cell r="A5716">
            <v>91408100</v>
          </cell>
          <cell r="B5716" t="str">
            <v>Chinese preserved sweet vegetable</v>
          </cell>
          <cell r="I5716">
            <v>30</v>
          </cell>
          <cell r="J5716">
            <v>87.997685000000004</v>
          </cell>
          <cell r="K5716">
            <v>2.9332561666666668</v>
          </cell>
          <cell r="L5716">
            <v>0</v>
          </cell>
          <cell r="M5716">
            <v>6.3800000000000003E-3</v>
          </cell>
          <cell r="N5716">
            <v>0</v>
          </cell>
          <cell r="O5716">
            <v>1.4392999999999999E-3</v>
          </cell>
          <cell r="P5716">
            <v>7.5952199999999997E-2</v>
          </cell>
          <cell r="Q5716">
            <v>6.9116999999999998E-3</v>
          </cell>
          <cell r="R5716">
            <v>0</v>
          </cell>
          <cell r="S5716">
            <v>0</v>
          </cell>
          <cell r="T5716">
            <v>0</v>
          </cell>
          <cell r="U5716">
            <v>0</v>
          </cell>
          <cell r="V5716">
            <v>0</v>
          </cell>
          <cell r="W5716">
            <v>0</v>
          </cell>
          <cell r="X5716">
            <v>8.317E-4</v>
          </cell>
          <cell r="Y5716">
            <v>0</v>
          </cell>
          <cell r="Z5716">
            <v>0</v>
          </cell>
          <cell r="AA5716">
            <v>0</v>
          </cell>
          <cell r="AB5716">
            <v>0</v>
          </cell>
        </row>
        <row r="5717">
          <cell r="A5717">
            <v>91500200</v>
          </cell>
          <cell r="B5717" t="str">
            <v>Gelatin powder, sweetened, dry</v>
          </cell>
          <cell r="I5717">
            <v>12</v>
          </cell>
          <cell r="J5717">
            <v>45.72</v>
          </cell>
          <cell r="K5717">
            <v>3.81</v>
          </cell>
          <cell r="L5717">
            <v>0</v>
          </cell>
          <cell r="M5717">
            <v>0</v>
          </cell>
          <cell r="N5717">
            <v>0</v>
          </cell>
          <cell r="O5717">
            <v>3.6000000000000002E-4</v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>
            <v>0</v>
          </cell>
          <cell r="V5717">
            <v>0</v>
          </cell>
          <cell r="W5717">
            <v>0</v>
          </cell>
          <cell r="X5717">
            <v>5.5919999999999997E-2</v>
          </cell>
          <cell r="Y5717">
            <v>0</v>
          </cell>
          <cell r="Z5717">
            <v>0</v>
          </cell>
          <cell r="AA5717">
            <v>0</v>
          </cell>
          <cell r="AB5717">
            <v>0</v>
          </cell>
        </row>
        <row r="5718">
          <cell r="A5718">
            <v>91501010</v>
          </cell>
          <cell r="B5718" t="str">
            <v>Gelatin dessert</v>
          </cell>
          <cell r="I5718">
            <v>120</v>
          </cell>
          <cell r="J5718">
            <v>74.400000000000006</v>
          </cell>
          <cell r="K5718">
            <v>0.62</v>
          </cell>
          <cell r="L5718">
            <v>0</v>
          </cell>
          <cell r="M5718">
            <v>0</v>
          </cell>
          <cell r="N5718">
            <v>0</v>
          </cell>
          <cell r="O5718">
            <v>3.5999999999999999E-3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0</v>
          </cell>
          <cell r="V5718">
            <v>0</v>
          </cell>
          <cell r="W5718">
            <v>0</v>
          </cell>
          <cell r="X5718">
            <v>0.09</v>
          </cell>
          <cell r="Y5718">
            <v>0</v>
          </cell>
          <cell r="Z5718">
            <v>0</v>
          </cell>
          <cell r="AA5718">
            <v>0</v>
          </cell>
          <cell r="AB5718">
            <v>0</v>
          </cell>
        </row>
        <row r="5719">
          <cell r="A5719">
            <v>91501020</v>
          </cell>
          <cell r="B5719" t="str">
            <v>Gelatin dessert with fruit</v>
          </cell>
          <cell r="I5719">
            <v>120</v>
          </cell>
          <cell r="J5719">
            <v>78.376442999999995</v>
          </cell>
          <cell r="K5719">
            <v>0.65313702499999993</v>
          </cell>
          <cell r="L5719">
            <v>0.73377130000000002</v>
          </cell>
          <cell r="M5719">
            <v>3.4817500000000001E-2</v>
          </cell>
          <cell r="N5719">
            <v>0</v>
          </cell>
          <cell r="O5719">
            <v>5.4933999999999998E-3</v>
          </cell>
          <cell r="P5719">
            <v>0</v>
          </cell>
          <cell r="Q5719">
            <v>2.53911E-2</v>
          </cell>
          <cell r="R5719">
            <v>0</v>
          </cell>
          <cell r="S5719">
            <v>0</v>
          </cell>
          <cell r="T5719">
            <v>41.997557999999998</v>
          </cell>
          <cell r="U5719">
            <v>0</v>
          </cell>
          <cell r="V5719">
            <v>0</v>
          </cell>
          <cell r="W5719">
            <v>0</v>
          </cell>
          <cell r="X5719">
            <v>5.7913800000000001E-2</v>
          </cell>
          <cell r="Y5719">
            <v>0</v>
          </cell>
          <cell r="Z5719">
            <v>0</v>
          </cell>
          <cell r="AA5719">
            <v>0</v>
          </cell>
          <cell r="AB5719">
            <v>0</v>
          </cell>
        </row>
        <row r="5720">
          <cell r="A5720">
            <v>91501030</v>
          </cell>
          <cell r="B5720" t="str">
            <v>Gelatin dessert with whipped cream</v>
          </cell>
          <cell r="I5720">
            <v>113.5</v>
          </cell>
          <cell r="J5720">
            <v>91.425072</v>
          </cell>
          <cell r="K5720">
            <v>0.80550724229074888</v>
          </cell>
          <cell r="L5720">
            <v>0</v>
          </cell>
          <cell r="M5720">
            <v>1.7915728</v>
          </cell>
          <cell r="N5720">
            <v>0</v>
          </cell>
          <cell r="O5720">
            <v>3.6516999999999999E-3</v>
          </cell>
          <cell r="P5720">
            <v>0</v>
          </cell>
          <cell r="Q5720">
            <v>4.3014900000000002E-2</v>
          </cell>
          <cell r="R5720">
            <v>0</v>
          </cell>
          <cell r="S5720">
            <v>0</v>
          </cell>
          <cell r="T5720">
            <v>0</v>
          </cell>
          <cell r="U5720">
            <v>0</v>
          </cell>
          <cell r="V5720">
            <v>0</v>
          </cell>
          <cell r="W5720">
            <v>0</v>
          </cell>
          <cell r="X5720">
            <v>8.1012700000000007E-2</v>
          </cell>
          <cell r="Y5720">
            <v>0</v>
          </cell>
          <cell r="Z5720">
            <v>0</v>
          </cell>
          <cell r="AA5720">
            <v>0</v>
          </cell>
          <cell r="AB5720">
            <v>6.4186000000000007E-2</v>
          </cell>
        </row>
        <row r="5721">
          <cell r="A5721">
            <v>91501040</v>
          </cell>
          <cell r="B5721" t="str">
            <v>Gelatin dessert with fruit and whipped cream</v>
          </cell>
          <cell r="I5721">
            <v>113.5</v>
          </cell>
          <cell r="J5721">
            <v>113.07510000000001</v>
          </cell>
          <cell r="K5721">
            <v>0.99625638766519831</v>
          </cell>
          <cell r="L5721">
            <v>0.60966909999999996</v>
          </cell>
          <cell r="M5721">
            <v>3.0179296999999998</v>
          </cell>
          <cell r="N5721">
            <v>0</v>
          </cell>
          <cell r="O5721">
            <v>1.3007899999999999E-2</v>
          </cell>
          <cell r="P5721">
            <v>0</v>
          </cell>
          <cell r="Q5721">
            <v>0.1994089</v>
          </cell>
          <cell r="R5721">
            <v>0</v>
          </cell>
          <cell r="S5721">
            <v>0</v>
          </cell>
          <cell r="T5721">
            <v>34.894540999999997</v>
          </cell>
          <cell r="U5721">
            <v>0</v>
          </cell>
          <cell r="V5721">
            <v>0</v>
          </cell>
          <cell r="W5721">
            <v>0</v>
          </cell>
          <cell r="X5721">
            <v>5.3616200000000003E-2</v>
          </cell>
          <cell r="Y5721">
            <v>0</v>
          </cell>
          <cell r="Z5721">
            <v>0</v>
          </cell>
          <cell r="AA5721">
            <v>0</v>
          </cell>
          <cell r="AB5721">
            <v>0.17436699999999999</v>
          </cell>
        </row>
        <row r="5722">
          <cell r="A5722">
            <v>91501060</v>
          </cell>
          <cell r="B5722" t="str">
            <v>Gelatin dessert with sour cream</v>
          </cell>
          <cell r="I5722">
            <v>113.5</v>
          </cell>
          <cell r="J5722">
            <v>104.5206</v>
          </cell>
          <cell r="K5722">
            <v>0.92088634361233479</v>
          </cell>
          <cell r="L5722">
            <v>0</v>
          </cell>
          <cell r="M5722">
            <v>2.5462286000000001</v>
          </cell>
          <cell r="N5722">
            <v>0</v>
          </cell>
          <cell r="O5722">
            <v>2.80135E-2</v>
          </cell>
          <cell r="P5722">
            <v>0</v>
          </cell>
          <cell r="Q5722">
            <v>0.20088590000000001</v>
          </cell>
          <cell r="R5722">
            <v>0</v>
          </cell>
          <cell r="S5722">
            <v>0</v>
          </cell>
          <cell r="T5722">
            <v>0</v>
          </cell>
          <cell r="U5722">
            <v>0</v>
          </cell>
          <cell r="V5722">
            <v>0</v>
          </cell>
          <cell r="W5722">
            <v>0</v>
          </cell>
          <cell r="X5722">
            <v>7.4076299999999998E-2</v>
          </cell>
          <cell r="Y5722">
            <v>0</v>
          </cell>
          <cell r="Z5722">
            <v>0</v>
          </cell>
          <cell r="AA5722">
            <v>0</v>
          </cell>
          <cell r="AB5722">
            <v>0.2322227</v>
          </cell>
        </row>
        <row r="5723">
          <cell r="A5723">
            <v>91501090</v>
          </cell>
          <cell r="B5723" t="str">
            <v>Gelatin dessert with fruit, vegetable, and nuts</v>
          </cell>
          <cell r="I5723">
            <v>124.5</v>
          </cell>
          <cell r="J5723">
            <v>94.915122999999994</v>
          </cell>
          <cell r="K5723">
            <v>0.76237046586345381</v>
          </cell>
          <cell r="L5723">
            <v>0.50222290000000003</v>
          </cell>
          <cell r="M5723">
            <v>0.26914379999999999</v>
          </cell>
          <cell r="N5723">
            <v>0</v>
          </cell>
          <cell r="O5723">
            <v>1.14719E-2</v>
          </cell>
          <cell r="P5723">
            <v>0.27558500000000002</v>
          </cell>
          <cell r="Q5723">
            <v>1.9611289999999999</v>
          </cell>
          <cell r="R5723">
            <v>0</v>
          </cell>
          <cell r="S5723">
            <v>0</v>
          </cell>
          <cell r="T5723">
            <v>38.252850000000002</v>
          </cell>
          <cell r="U5723">
            <v>5.4842795000000004</v>
          </cell>
          <cell r="V5723">
            <v>0</v>
          </cell>
          <cell r="W5723">
            <v>0</v>
          </cell>
          <cell r="X5723">
            <v>6.1823299999999998E-2</v>
          </cell>
          <cell r="Y5723">
            <v>4.1104846000000004</v>
          </cell>
          <cell r="Z5723">
            <v>0</v>
          </cell>
          <cell r="AA5723">
            <v>0</v>
          </cell>
          <cell r="AB5723">
            <v>0</v>
          </cell>
        </row>
        <row r="5724">
          <cell r="A5724">
            <v>91501100</v>
          </cell>
          <cell r="B5724" t="str">
            <v>Gelatin salad with vegetables</v>
          </cell>
          <cell r="I5724">
            <v>121.5</v>
          </cell>
          <cell r="J5724">
            <v>62.334634999999999</v>
          </cell>
          <cell r="K5724">
            <v>0.51304226337448555</v>
          </cell>
          <cell r="L5724">
            <v>0.4237108</v>
          </cell>
          <cell r="M5724">
            <v>9.7030999999999992E-3</v>
          </cell>
          <cell r="N5724">
            <v>0</v>
          </cell>
          <cell r="O5724">
            <v>8.8695000000000006E-3</v>
          </cell>
          <cell r="P5724">
            <v>0</v>
          </cell>
          <cell r="Q5724">
            <v>1.6472899999999999E-2</v>
          </cell>
          <cell r="R5724">
            <v>0</v>
          </cell>
          <cell r="S5724">
            <v>0</v>
          </cell>
          <cell r="T5724">
            <v>0</v>
          </cell>
          <cell r="U5724">
            <v>22.398622</v>
          </cell>
          <cell r="V5724">
            <v>0</v>
          </cell>
          <cell r="W5724">
            <v>0</v>
          </cell>
          <cell r="X5724">
            <v>0.28803269999999997</v>
          </cell>
          <cell r="Y5724">
            <v>0</v>
          </cell>
          <cell r="Z5724">
            <v>0</v>
          </cell>
          <cell r="AA5724">
            <v>0</v>
          </cell>
          <cell r="AB5724">
            <v>0</v>
          </cell>
        </row>
        <row r="5725">
          <cell r="A5725">
            <v>91501110</v>
          </cell>
          <cell r="B5725" t="str">
            <v>Gelatin dessert with fruit and whipped topping</v>
          </cell>
          <cell r="I5725">
            <v>113.5</v>
          </cell>
          <cell r="J5725">
            <v>117.19068</v>
          </cell>
          <cell r="K5725">
            <v>1.0325170044052863</v>
          </cell>
          <cell r="L5725">
            <v>0.61851350000000005</v>
          </cell>
          <cell r="M5725">
            <v>2.166925</v>
          </cell>
          <cell r="N5725">
            <v>0</v>
          </cell>
          <cell r="O5725">
            <v>8.6175000000000002E-3</v>
          </cell>
          <cell r="P5725">
            <v>0.2363971</v>
          </cell>
          <cell r="Q5725">
            <v>1.7319826</v>
          </cell>
          <cell r="R5725">
            <v>0</v>
          </cell>
          <cell r="S5725">
            <v>0</v>
          </cell>
          <cell r="T5725">
            <v>35.400756000000001</v>
          </cell>
          <cell r="U5725">
            <v>0</v>
          </cell>
          <cell r="V5725">
            <v>0</v>
          </cell>
          <cell r="W5725">
            <v>0</v>
          </cell>
          <cell r="X5725">
            <v>5.16502E-2</v>
          </cell>
          <cell r="Y5725">
            <v>3.5259771</v>
          </cell>
          <cell r="Z5725">
            <v>0</v>
          </cell>
          <cell r="AA5725">
            <v>0</v>
          </cell>
          <cell r="AB5725">
            <v>5.6220399999999997E-2</v>
          </cell>
        </row>
        <row r="5726">
          <cell r="A5726">
            <v>91501120</v>
          </cell>
          <cell r="B5726" t="str">
            <v>Gelatin dessert with fruit and vegetables</v>
          </cell>
          <cell r="I5726">
            <v>120</v>
          </cell>
          <cell r="J5726">
            <v>73.493087000000003</v>
          </cell>
          <cell r="K5726">
            <v>0.6124423916666667</v>
          </cell>
          <cell r="L5726">
            <v>0.73532730000000002</v>
          </cell>
          <cell r="M5726">
            <v>1.9613599999999998E-2</v>
          </cell>
          <cell r="N5726">
            <v>0</v>
          </cell>
          <cell r="O5726">
            <v>7.8834000000000005E-3</v>
          </cell>
          <cell r="P5726">
            <v>0</v>
          </cell>
          <cell r="Q5726">
            <v>2.4686900000000001E-2</v>
          </cell>
          <cell r="R5726">
            <v>0</v>
          </cell>
          <cell r="S5726">
            <v>0</v>
          </cell>
          <cell r="T5726">
            <v>40.598185999999998</v>
          </cell>
          <cell r="U5726">
            <v>5.8837950000000001</v>
          </cell>
          <cell r="V5726">
            <v>0</v>
          </cell>
          <cell r="W5726">
            <v>0</v>
          </cell>
          <cell r="X5726">
            <v>6.6073999999999994E-2</v>
          </cell>
          <cell r="Y5726">
            <v>0</v>
          </cell>
          <cell r="Z5726">
            <v>0</v>
          </cell>
          <cell r="AA5726">
            <v>0</v>
          </cell>
          <cell r="AB5726">
            <v>2.9050000000000001E-4</v>
          </cell>
        </row>
        <row r="5727">
          <cell r="A5727">
            <v>91511010</v>
          </cell>
          <cell r="B5727" t="str">
            <v>Gelatin dessert, dietetic, sweetened with low calorie sweetener</v>
          </cell>
          <cell r="I5727">
            <v>120</v>
          </cell>
          <cell r="J5727">
            <v>5.1096773999999998</v>
          </cell>
          <cell r="K5727">
            <v>4.2580645E-2</v>
          </cell>
          <cell r="L5727">
            <v>0</v>
          </cell>
          <cell r="M5727">
            <v>0</v>
          </cell>
          <cell r="N5727">
            <v>0</v>
          </cell>
          <cell r="O5727">
            <v>3.7290000000000001E-3</v>
          </cell>
          <cell r="P5727">
            <v>2.5806000000000002E-3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2.6941900000000001E-2</v>
          </cell>
          <cell r="Y5727">
            <v>0</v>
          </cell>
          <cell r="Z5727">
            <v>0</v>
          </cell>
          <cell r="AA5727">
            <v>0</v>
          </cell>
          <cell r="AB5727">
            <v>0</v>
          </cell>
        </row>
        <row r="5728">
          <cell r="A5728">
            <v>91511020</v>
          </cell>
          <cell r="B5728" t="str">
            <v>Gelatin dessert, dietetic, with fruit, sweetened with low calorie sweetener</v>
          </cell>
          <cell r="I5728">
            <v>120</v>
          </cell>
          <cell r="J5728">
            <v>51.696748999999997</v>
          </cell>
          <cell r="K5728">
            <v>0.43080624166666664</v>
          </cell>
          <cell r="L5728">
            <v>0.8206502</v>
          </cell>
          <cell r="M5728">
            <v>3.89399E-2</v>
          </cell>
          <cell r="N5728">
            <v>0</v>
          </cell>
          <cell r="O5728">
            <v>5.7175999999999998E-3</v>
          </cell>
          <cell r="P5728">
            <v>0</v>
          </cell>
          <cell r="Q5728">
            <v>2.83974E-2</v>
          </cell>
          <cell r="R5728">
            <v>0</v>
          </cell>
          <cell r="S5728">
            <v>0</v>
          </cell>
          <cell r="T5728">
            <v>46.970090999999996</v>
          </cell>
          <cell r="U5728">
            <v>0</v>
          </cell>
          <cell r="V5728">
            <v>0</v>
          </cell>
          <cell r="W5728">
            <v>0</v>
          </cell>
          <cell r="X5728">
            <v>3.5759699999999998E-2</v>
          </cell>
          <cell r="Y5728">
            <v>0</v>
          </cell>
          <cell r="Z5728">
            <v>0</v>
          </cell>
          <cell r="AA5728">
            <v>0</v>
          </cell>
          <cell r="AB5728">
            <v>0</v>
          </cell>
        </row>
        <row r="5729">
          <cell r="A5729">
            <v>91511030</v>
          </cell>
          <cell r="B5729" t="str">
            <v>Gelatin dessert, dietetic, with whipped topping, sweetened with low calorie sweetener</v>
          </cell>
          <cell r="I5729">
            <v>113.5</v>
          </cell>
          <cell r="J5729">
            <v>29.849606000000001</v>
          </cell>
          <cell r="K5729">
            <v>0.26299212334801764</v>
          </cell>
          <cell r="L5729">
            <v>0</v>
          </cell>
          <cell r="M5729">
            <v>0.28473310000000002</v>
          </cell>
          <cell r="N5729">
            <v>0</v>
          </cell>
          <cell r="O5729">
            <v>3.405E-3</v>
          </cell>
          <cell r="P5729">
            <v>0</v>
          </cell>
          <cell r="Q5729">
            <v>0.1034906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5.9663500000000001E-2</v>
          </cell>
          <cell r="Y5729">
            <v>0</v>
          </cell>
          <cell r="Z5729">
            <v>0</v>
          </cell>
          <cell r="AA5729">
            <v>0</v>
          </cell>
          <cell r="AB5729">
            <v>1.19144E-2</v>
          </cell>
        </row>
        <row r="5730">
          <cell r="A5730">
            <v>91511050</v>
          </cell>
          <cell r="B5730" t="str">
            <v>Gelatin dessert, dietetic, with cream cheese, sweetened with low calorie sweetener</v>
          </cell>
          <cell r="I5730">
            <v>124.5</v>
          </cell>
          <cell r="J5730">
            <v>63.518962999999999</v>
          </cell>
          <cell r="K5730">
            <v>0.51019247389558231</v>
          </cell>
          <cell r="L5730">
            <v>0</v>
          </cell>
          <cell r="M5730">
            <v>3.4035612</v>
          </cell>
          <cell r="N5730">
            <v>0</v>
          </cell>
          <cell r="O5730">
            <v>1.9678899999999999E-2</v>
          </cell>
          <cell r="P5730">
            <v>2.3153000000000002E-3</v>
          </cell>
          <cell r="Q5730">
            <v>0.24971460000000001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7.7044600000000005E-2</v>
          </cell>
          <cell r="Y5730">
            <v>0</v>
          </cell>
          <cell r="Z5730">
            <v>0</v>
          </cell>
          <cell r="AA5730">
            <v>0</v>
          </cell>
          <cell r="AB5730">
            <v>0.28422520000000001</v>
          </cell>
        </row>
        <row r="5731">
          <cell r="A5731">
            <v>91511060</v>
          </cell>
          <cell r="B5731" t="str">
            <v>Gelatin dessert, dietetic, with sour cream, sweetened with low calorie sweetener</v>
          </cell>
          <cell r="I5731">
            <v>124.5</v>
          </cell>
          <cell r="J5731">
            <v>58.031765</v>
          </cell>
          <cell r="K5731">
            <v>0.46611859437751002</v>
          </cell>
          <cell r="L5731">
            <v>0</v>
          </cell>
          <cell r="M5731">
            <v>1.8850832</v>
          </cell>
          <cell r="N5731">
            <v>0</v>
          </cell>
          <cell r="O5731">
            <v>4.3150399999999998E-2</v>
          </cell>
          <cell r="P5731">
            <v>0</v>
          </cell>
          <cell r="Q5731">
            <v>0.1142475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6.9756700000000005E-2</v>
          </cell>
          <cell r="Y5731">
            <v>0</v>
          </cell>
          <cell r="Z5731">
            <v>0</v>
          </cell>
          <cell r="AA5731">
            <v>0</v>
          </cell>
          <cell r="AB5731">
            <v>0.1111221</v>
          </cell>
        </row>
        <row r="5732">
          <cell r="A5732">
            <v>91520100</v>
          </cell>
          <cell r="B5732" t="str">
            <v>Yookan (Yokan), a Japanese dessert made with bean paste and sugar</v>
          </cell>
          <cell r="I5732">
            <v>120</v>
          </cell>
          <cell r="J5732">
            <v>149.25799000000001</v>
          </cell>
          <cell r="K5732">
            <v>1.2438165833333334</v>
          </cell>
          <cell r="L5732">
            <v>2.2391253</v>
          </cell>
          <cell r="M5732">
            <v>6.5533900000000006E-2</v>
          </cell>
          <cell r="N5732">
            <v>0</v>
          </cell>
          <cell r="O5732">
            <v>1.6925599999999999E-2</v>
          </cell>
          <cell r="P5732">
            <v>0</v>
          </cell>
          <cell r="Q5732">
            <v>9.0669799999999995E-2</v>
          </cell>
          <cell r="R5732">
            <v>0</v>
          </cell>
          <cell r="S5732">
            <v>51.942498999999998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0.1360229</v>
          </cell>
          <cell r="Y5732">
            <v>0</v>
          </cell>
          <cell r="Z5732">
            <v>0</v>
          </cell>
          <cell r="AA5732">
            <v>0</v>
          </cell>
          <cell r="AB5732">
            <v>0</v>
          </cell>
        </row>
        <row r="5733">
          <cell r="A5733">
            <v>91550300</v>
          </cell>
          <cell r="B5733" t="str">
            <v>Pineapple custard, Puerto Rican style</v>
          </cell>
          <cell r="I5733">
            <v>120</v>
          </cell>
          <cell r="J5733">
            <v>162.37629000000001</v>
          </cell>
          <cell r="K5733">
            <v>1.3531357500000001</v>
          </cell>
          <cell r="L5733">
            <v>0.113805</v>
          </cell>
          <cell r="M5733">
            <v>1.4390455</v>
          </cell>
          <cell r="N5733">
            <v>0</v>
          </cell>
          <cell r="O5733">
            <v>3.32673E-2</v>
          </cell>
          <cell r="P5733">
            <v>0</v>
          </cell>
          <cell r="Q5733">
            <v>0.90083979999999997</v>
          </cell>
          <cell r="R5733">
            <v>0</v>
          </cell>
          <cell r="S5733">
            <v>0</v>
          </cell>
          <cell r="T5733">
            <v>56.902486000000003</v>
          </cell>
          <cell r="U5733">
            <v>0</v>
          </cell>
          <cell r="V5733">
            <v>0</v>
          </cell>
          <cell r="W5733">
            <v>0</v>
          </cell>
          <cell r="X5733">
            <v>6.6472699999999996E-2</v>
          </cell>
          <cell r="Y5733">
            <v>0</v>
          </cell>
          <cell r="Z5733">
            <v>0</v>
          </cell>
          <cell r="AA5733">
            <v>0</v>
          </cell>
          <cell r="AB5733">
            <v>5.3629400000000001E-2</v>
          </cell>
        </row>
        <row r="5734">
          <cell r="A5734">
            <v>91601000</v>
          </cell>
          <cell r="B5734" t="str">
            <v>Ice, fruit</v>
          </cell>
          <cell r="I5734">
            <v>85</v>
          </cell>
          <cell r="J5734">
            <v>108.8</v>
          </cell>
          <cell r="K5734">
            <v>1.28</v>
          </cell>
          <cell r="L5734">
            <v>0</v>
          </cell>
          <cell r="M5734">
            <v>0</v>
          </cell>
          <cell r="N5734">
            <v>0</v>
          </cell>
          <cell r="O5734">
            <v>1.6999999999999999E-3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1.8700000000000001E-2</v>
          </cell>
          <cell r="Y5734">
            <v>0</v>
          </cell>
          <cell r="Z5734">
            <v>0</v>
          </cell>
          <cell r="AA5734">
            <v>0</v>
          </cell>
          <cell r="AB5734">
            <v>0</v>
          </cell>
        </row>
        <row r="5735">
          <cell r="A5735">
            <v>91611000</v>
          </cell>
          <cell r="B5735" t="str">
            <v>Ice pop</v>
          </cell>
          <cell r="I5735">
            <v>85</v>
          </cell>
          <cell r="J5735">
            <v>67.150000000000006</v>
          </cell>
          <cell r="K5735">
            <v>0.79</v>
          </cell>
          <cell r="L5735">
            <v>0</v>
          </cell>
          <cell r="M5735">
            <v>1.1050000000000001E-2</v>
          </cell>
          <cell r="N5735">
            <v>0</v>
          </cell>
          <cell r="O5735">
            <v>0</v>
          </cell>
          <cell r="P5735">
            <v>0</v>
          </cell>
          <cell r="Q5735">
            <v>1.3599999999999999E-2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5.9500000000000004E-3</v>
          </cell>
          <cell r="Y5735">
            <v>0</v>
          </cell>
          <cell r="Z5735">
            <v>0</v>
          </cell>
          <cell r="AA5735">
            <v>0</v>
          </cell>
          <cell r="AB5735">
            <v>1.8866999999999998E-2</v>
          </cell>
        </row>
        <row r="5736">
          <cell r="A5736">
            <v>91621000</v>
          </cell>
          <cell r="B5736" t="str">
            <v>Snow cone</v>
          </cell>
          <cell r="I5736">
            <v>85</v>
          </cell>
          <cell r="J5736">
            <v>108.8</v>
          </cell>
          <cell r="K5736">
            <v>1.28</v>
          </cell>
          <cell r="L5736">
            <v>0</v>
          </cell>
          <cell r="M5736">
            <v>0</v>
          </cell>
          <cell r="N5736">
            <v>0</v>
          </cell>
          <cell r="O5736">
            <v>1.6999999999999999E-3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1.8700000000000001E-2</v>
          </cell>
          <cell r="Y5736">
            <v>0</v>
          </cell>
          <cell r="Z5736">
            <v>0</v>
          </cell>
          <cell r="AA5736">
            <v>0</v>
          </cell>
          <cell r="AB5736">
            <v>0</v>
          </cell>
        </row>
        <row r="5737">
          <cell r="A5737">
            <v>91700010</v>
          </cell>
          <cell r="B5737" t="str">
            <v>Candy, NFS</v>
          </cell>
          <cell r="I5737">
            <v>30</v>
          </cell>
          <cell r="J5737">
            <v>118.2</v>
          </cell>
          <cell r="K5737">
            <v>3.94</v>
          </cell>
          <cell r="L5737">
            <v>0</v>
          </cell>
          <cell r="M5737">
            <v>0</v>
          </cell>
          <cell r="N5737">
            <v>0</v>
          </cell>
          <cell r="O5737">
            <v>8.9999999999999998E-4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1.14E-2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</row>
        <row r="5738">
          <cell r="A5738">
            <v>91701010</v>
          </cell>
          <cell r="B5738" t="str">
            <v>Almonds, chocolate covered</v>
          </cell>
          <cell r="I5738">
            <v>30</v>
          </cell>
          <cell r="J5738">
            <v>172.05</v>
          </cell>
          <cell r="K5738">
            <v>5.7350000000000003</v>
          </cell>
          <cell r="L5738">
            <v>5.3290000000000004E-16</v>
          </cell>
          <cell r="M5738">
            <v>2.49594</v>
          </cell>
          <cell r="N5738">
            <v>0</v>
          </cell>
          <cell r="O5738">
            <v>6.6570000000000004E-2</v>
          </cell>
          <cell r="P5738">
            <v>2.3849999999999998</v>
          </cell>
          <cell r="Q5738">
            <v>2.72112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1.11E-2</v>
          </cell>
          <cell r="Y5738">
            <v>20.986087999999999</v>
          </cell>
          <cell r="Z5738">
            <v>0</v>
          </cell>
          <cell r="AA5738">
            <v>0</v>
          </cell>
          <cell r="AB5738">
            <v>3.9899999999999996E-3</v>
          </cell>
        </row>
        <row r="5739">
          <cell r="A5739">
            <v>91701020</v>
          </cell>
          <cell r="B5739" t="str">
            <v>Almonds, sugar-coated</v>
          </cell>
          <cell r="I5739">
            <v>30</v>
          </cell>
          <cell r="J5739">
            <v>142.19999999999999</v>
          </cell>
          <cell r="K5739">
            <v>4.7399999999999993</v>
          </cell>
          <cell r="L5739">
            <v>0</v>
          </cell>
          <cell r="M5739">
            <v>0.58440000000000003</v>
          </cell>
          <cell r="N5739">
            <v>0</v>
          </cell>
          <cell r="O5739">
            <v>0.03</v>
          </cell>
          <cell r="P5739">
            <v>0.75</v>
          </cell>
          <cell r="Q5739">
            <v>1.1712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3.8999999999999998E-3</v>
          </cell>
          <cell r="Y5739">
            <v>9.0152999999999999</v>
          </cell>
          <cell r="Z5739">
            <v>0</v>
          </cell>
          <cell r="AA5739">
            <v>0</v>
          </cell>
          <cell r="AB5739">
            <v>0</v>
          </cell>
        </row>
        <row r="5740">
          <cell r="A5740">
            <v>91702010</v>
          </cell>
          <cell r="B5740" t="str">
            <v>Butterscotch morsels</v>
          </cell>
          <cell r="I5740">
            <v>30</v>
          </cell>
          <cell r="J5740">
            <v>161.69999999999999</v>
          </cell>
          <cell r="K5740">
            <v>5.39</v>
          </cell>
          <cell r="L5740">
            <v>0</v>
          </cell>
          <cell r="M5740">
            <v>7.23</v>
          </cell>
          <cell r="N5740">
            <v>0</v>
          </cell>
          <cell r="O5740">
            <v>1.0200000000000001E-2</v>
          </cell>
          <cell r="P5740">
            <v>0</v>
          </cell>
          <cell r="Q5740">
            <v>0.31230000000000002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2.6700000000000002E-2</v>
          </cell>
          <cell r="Y5740">
            <v>0</v>
          </cell>
          <cell r="Z5740">
            <v>0</v>
          </cell>
          <cell r="AA5740">
            <v>0</v>
          </cell>
          <cell r="AB5740">
            <v>0</v>
          </cell>
        </row>
        <row r="5741">
          <cell r="A5741">
            <v>91703010</v>
          </cell>
          <cell r="B5741" t="str">
            <v>Caramel, chocolate-flavored roll</v>
          </cell>
          <cell r="I5741">
            <v>30</v>
          </cell>
          <cell r="J5741">
            <v>116.1</v>
          </cell>
          <cell r="K5741">
            <v>3.8699999999999997</v>
          </cell>
          <cell r="L5741">
            <v>0</v>
          </cell>
          <cell r="M5741">
            <v>0.29010000000000002</v>
          </cell>
          <cell r="N5741">
            <v>0</v>
          </cell>
          <cell r="O5741">
            <v>1.0800000000000001E-2</v>
          </cell>
          <cell r="P5741">
            <v>0.03</v>
          </cell>
          <cell r="Q5741">
            <v>7.9799999999999996E-2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1.32E-2</v>
          </cell>
          <cell r="Y5741">
            <v>0</v>
          </cell>
          <cell r="Z5741">
            <v>0</v>
          </cell>
          <cell r="AA5741">
            <v>0</v>
          </cell>
          <cell r="AB5741">
            <v>0.28889999999999999</v>
          </cell>
        </row>
        <row r="5742">
          <cell r="A5742">
            <v>91703020</v>
          </cell>
          <cell r="B5742" t="str">
            <v>Caramel, flavor other than chocolate</v>
          </cell>
          <cell r="I5742">
            <v>30</v>
          </cell>
          <cell r="J5742">
            <v>114.6</v>
          </cell>
          <cell r="K5742">
            <v>3.82</v>
          </cell>
          <cell r="L5742">
            <v>0</v>
          </cell>
          <cell r="M5742">
            <v>0.74280000000000002</v>
          </cell>
          <cell r="N5742">
            <v>0</v>
          </cell>
          <cell r="O5742">
            <v>4.1399999999999999E-2</v>
          </cell>
          <cell r="P5742">
            <v>0</v>
          </cell>
          <cell r="Q5742">
            <v>1.0434000000000001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7.3499999999999996E-2</v>
          </cell>
          <cell r="Y5742">
            <v>0</v>
          </cell>
          <cell r="Z5742">
            <v>0</v>
          </cell>
          <cell r="AA5742">
            <v>0</v>
          </cell>
          <cell r="AB5742">
            <v>0</v>
          </cell>
        </row>
        <row r="5743">
          <cell r="A5743">
            <v>91703030</v>
          </cell>
          <cell r="B5743" t="str">
            <v>Caramel, with nuts</v>
          </cell>
          <cell r="I5743">
            <v>30</v>
          </cell>
          <cell r="J5743">
            <v>123.58678</v>
          </cell>
          <cell r="K5743">
            <v>4.1195593333333331</v>
          </cell>
          <cell r="L5743">
            <v>0</v>
          </cell>
          <cell r="M5743">
            <v>0.86339469999999996</v>
          </cell>
          <cell r="N5743">
            <v>0</v>
          </cell>
          <cell r="O5743">
            <v>4.00784E-2</v>
          </cell>
          <cell r="P5743">
            <v>0.2213656</v>
          </cell>
          <cell r="Q5743">
            <v>2.4871004000000001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6.5471399999999999E-2</v>
          </cell>
          <cell r="Y5743">
            <v>3.3017759</v>
          </cell>
          <cell r="Z5743">
            <v>0</v>
          </cell>
          <cell r="AA5743">
            <v>0</v>
          </cell>
          <cell r="AB5743">
            <v>0</v>
          </cell>
        </row>
        <row r="5744">
          <cell r="A5744">
            <v>91703040</v>
          </cell>
          <cell r="B5744" t="str">
            <v>Caramel candy, chocolate covered</v>
          </cell>
          <cell r="I5744">
            <v>30</v>
          </cell>
          <cell r="J5744">
            <v>125.157</v>
          </cell>
          <cell r="K5744">
            <v>4.1718999999999999</v>
          </cell>
          <cell r="L5744">
            <v>0</v>
          </cell>
          <cell r="M5744">
            <v>1.8490770000000001</v>
          </cell>
          <cell r="N5744">
            <v>0</v>
          </cell>
          <cell r="O5744">
            <v>4.4919000000000001E-2</v>
          </cell>
          <cell r="P5744">
            <v>0.2346</v>
          </cell>
          <cell r="Q5744">
            <v>0.89836199999999999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6.2045999999999997E-2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</row>
        <row r="5745">
          <cell r="A5745">
            <v>91703060</v>
          </cell>
          <cell r="B5745" t="str">
            <v>Caramel with nuts, chocolate covered</v>
          </cell>
          <cell r="I5745">
            <v>30</v>
          </cell>
          <cell r="J5745">
            <v>141</v>
          </cell>
          <cell r="K5745">
            <v>4.7</v>
          </cell>
          <cell r="L5745">
            <v>0</v>
          </cell>
          <cell r="M5745">
            <v>1.3971</v>
          </cell>
          <cell r="N5745">
            <v>0</v>
          </cell>
          <cell r="O5745">
            <v>2.3400000000000001E-2</v>
          </cell>
          <cell r="P5745">
            <v>1.29</v>
          </cell>
          <cell r="Q5745">
            <v>1.7502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4.6800000000000001E-2</v>
          </cell>
          <cell r="Y5745">
            <v>8.41995</v>
          </cell>
          <cell r="Z5745">
            <v>0</v>
          </cell>
          <cell r="AA5745">
            <v>0</v>
          </cell>
          <cell r="AB5745">
            <v>0</v>
          </cell>
        </row>
        <row r="5746">
          <cell r="A5746">
            <v>91703070</v>
          </cell>
          <cell r="B5746" t="str">
            <v>Rolo</v>
          </cell>
          <cell r="I5746">
            <v>5</v>
          </cell>
          <cell r="J5746">
            <v>23.7</v>
          </cell>
          <cell r="K5746">
            <v>4.74</v>
          </cell>
          <cell r="L5746">
            <v>0</v>
          </cell>
          <cell r="M5746">
            <v>0.72709999999999997</v>
          </cell>
          <cell r="N5746">
            <v>0</v>
          </cell>
          <cell r="O5746">
            <v>7.2500000000000004E-3</v>
          </cell>
          <cell r="P5746">
            <v>4.4999999999999998E-2</v>
          </cell>
          <cell r="Q5746">
            <v>1.325E-2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9.4000000000000004E-3</v>
          </cell>
          <cell r="Y5746">
            <v>0</v>
          </cell>
          <cell r="Z5746">
            <v>0</v>
          </cell>
          <cell r="AA5746">
            <v>0</v>
          </cell>
          <cell r="AB5746">
            <v>0</v>
          </cell>
        </row>
        <row r="5747">
          <cell r="A5747">
            <v>91703150</v>
          </cell>
          <cell r="B5747" t="str">
            <v>Toblerone, milk chocolate with honey and almond nougat</v>
          </cell>
          <cell r="I5747">
            <v>30</v>
          </cell>
          <cell r="J5747">
            <v>157.5</v>
          </cell>
          <cell r="K5747">
            <v>5.25</v>
          </cell>
          <cell r="L5747">
            <v>0</v>
          </cell>
          <cell r="M5747">
            <v>5.1429</v>
          </cell>
          <cell r="N5747">
            <v>0</v>
          </cell>
          <cell r="O5747">
            <v>3.78E-2</v>
          </cell>
          <cell r="P5747">
            <v>0.75</v>
          </cell>
          <cell r="Q5747">
            <v>0.97019999999999995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1.6199999999999999E-2</v>
          </cell>
          <cell r="Y5747">
            <v>0.67200000000000004</v>
          </cell>
          <cell r="Z5747">
            <v>0</v>
          </cell>
          <cell r="AA5747">
            <v>0</v>
          </cell>
          <cell r="AB5747">
            <v>0</v>
          </cell>
        </row>
        <row r="5748">
          <cell r="A5748">
            <v>91703200</v>
          </cell>
          <cell r="B5748" t="str">
            <v>TWIX Caramel Cookie Bars</v>
          </cell>
          <cell r="I5748">
            <v>30</v>
          </cell>
          <cell r="J5748">
            <v>150.6</v>
          </cell>
          <cell r="K5748">
            <v>5.0199999999999996</v>
          </cell>
          <cell r="L5748">
            <v>0</v>
          </cell>
          <cell r="M5748">
            <v>5.6879999999999997</v>
          </cell>
          <cell r="N5748">
            <v>0</v>
          </cell>
          <cell r="O5748">
            <v>3.1800000000000002E-2</v>
          </cell>
          <cell r="P5748">
            <v>0.33</v>
          </cell>
          <cell r="Q5748">
            <v>0.18840000000000001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5.9400000000000001E-2</v>
          </cell>
          <cell r="Y5748">
            <v>0</v>
          </cell>
          <cell r="Z5748">
            <v>0</v>
          </cell>
          <cell r="AA5748">
            <v>0</v>
          </cell>
          <cell r="AB5748">
            <v>0.1026</v>
          </cell>
        </row>
        <row r="5749">
          <cell r="A5749">
            <v>91703300</v>
          </cell>
          <cell r="B5749" t="str">
            <v>TWIX Peanut Butter Cookie Bars</v>
          </cell>
          <cell r="I5749">
            <v>30</v>
          </cell>
          <cell r="J5749">
            <v>160.80000000000001</v>
          </cell>
          <cell r="K5749">
            <v>5.36</v>
          </cell>
          <cell r="L5749">
            <v>0</v>
          </cell>
          <cell r="M5749">
            <v>4.7274000000000003</v>
          </cell>
          <cell r="N5749">
            <v>0</v>
          </cell>
          <cell r="O5749">
            <v>2.2499999999999999E-2</v>
          </cell>
          <cell r="P5749">
            <v>0.93</v>
          </cell>
          <cell r="Q5749">
            <v>1.0221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6.7799999999999999E-2</v>
          </cell>
          <cell r="Y5749">
            <v>7.2</v>
          </cell>
          <cell r="Z5749">
            <v>0</v>
          </cell>
          <cell r="AA5749">
            <v>0</v>
          </cell>
          <cell r="AB5749">
            <v>0.1515</v>
          </cell>
        </row>
        <row r="5750">
          <cell r="A5750">
            <v>91703400</v>
          </cell>
          <cell r="B5750" t="str">
            <v>Whatchamacallit</v>
          </cell>
          <cell r="I5750">
            <v>30</v>
          </cell>
          <cell r="J5750">
            <v>148.19999999999999</v>
          </cell>
          <cell r="K5750">
            <v>4.9399999999999995</v>
          </cell>
          <cell r="L5750">
            <v>0</v>
          </cell>
          <cell r="M5750">
            <v>5.1120000000000001</v>
          </cell>
          <cell r="N5750">
            <v>0</v>
          </cell>
          <cell r="O5750">
            <v>3.5400000000000001E-2</v>
          </cell>
          <cell r="P5750">
            <v>0.56999999999999995</v>
          </cell>
          <cell r="Q5750">
            <v>0.249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8.9700000000000002E-2</v>
          </cell>
          <cell r="Y5750">
            <v>2.7216</v>
          </cell>
          <cell r="Z5750">
            <v>0</v>
          </cell>
          <cell r="AA5750">
            <v>0</v>
          </cell>
          <cell r="AB5750">
            <v>3.5999999999999997E-2</v>
          </cell>
        </row>
        <row r="5751">
          <cell r="A5751">
            <v>91703500</v>
          </cell>
          <cell r="B5751" t="str">
            <v>Nuts, carob-coated</v>
          </cell>
          <cell r="I5751">
            <v>30</v>
          </cell>
          <cell r="J5751">
            <v>167.77500000000001</v>
          </cell>
          <cell r="K5751">
            <v>5.5925000000000002</v>
          </cell>
          <cell r="L5751">
            <v>0.56999999999999995</v>
          </cell>
          <cell r="M5751">
            <v>5.1200999999999999</v>
          </cell>
          <cell r="N5751">
            <v>0</v>
          </cell>
          <cell r="O5751">
            <v>7.0050000000000001E-2</v>
          </cell>
          <cell r="P5751">
            <v>1.38</v>
          </cell>
          <cell r="Q5751">
            <v>2.1387</v>
          </cell>
          <cell r="R5751">
            <v>0</v>
          </cell>
          <cell r="S5751">
            <v>9.6107783999999992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1.8825000000000001E-2</v>
          </cell>
          <cell r="Y5751">
            <v>14.990062999999999</v>
          </cell>
          <cell r="Z5751">
            <v>0</v>
          </cell>
          <cell r="AA5751">
            <v>0</v>
          </cell>
          <cell r="AB5751">
            <v>1.4250000000000001E-3</v>
          </cell>
        </row>
        <row r="5752">
          <cell r="A5752">
            <v>91703600</v>
          </cell>
          <cell r="B5752" t="str">
            <v>Espresso coffee beans, chocolate-covered</v>
          </cell>
          <cell r="I5752">
            <v>30</v>
          </cell>
          <cell r="J5752">
            <v>164.7</v>
          </cell>
          <cell r="K5752">
            <v>5.4899999999999993</v>
          </cell>
          <cell r="L5752">
            <v>0</v>
          </cell>
          <cell r="M5752">
            <v>5.4413999999999998</v>
          </cell>
          <cell r="N5752">
            <v>0</v>
          </cell>
          <cell r="O5752">
            <v>5.0700000000000002E-2</v>
          </cell>
          <cell r="P5752">
            <v>1.71</v>
          </cell>
          <cell r="Q5752">
            <v>0.39300000000000002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2.1000000000000001E-2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</row>
        <row r="5753">
          <cell r="A5753">
            <v>91705010</v>
          </cell>
          <cell r="B5753" t="str">
            <v>Milk chocolate candy, plain</v>
          </cell>
          <cell r="I5753">
            <v>30</v>
          </cell>
          <cell r="J5753">
            <v>160.5</v>
          </cell>
          <cell r="K5753">
            <v>5.35</v>
          </cell>
          <cell r="L5753">
            <v>0</v>
          </cell>
          <cell r="M5753">
            <v>5.5526999999999997</v>
          </cell>
          <cell r="N5753">
            <v>0</v>
          </cell>
          <cell r="O5753">
            <v>5.67E-2</v>
          </cell>
          <cell r="P5753">
            <v>1.02</v>
          </cell>
          <cell r="Q5753">
            <v>0.4128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2.3699999999999999E-2</v>
          </cell>
          <cell r="Y5753">
            <v>0</v>
          </cell>
          <cell r="Z5753">
            <v>0</v>
          </cell>
          <cell r="AA5753">
            <v>0</v>
          </cell>
          <cell r="AB5753">
            <v>0.30127609999999999</v>
          </cell>
        </row>
        <row r="5754">
          <cell r="A5754">
            <v>91705020</v>
          </cell>
          <cell r="B5754" t="str">
            <v>Milk chocolate candy, with cereal</v>
          </cell>
          <cell r="I5754">
            <v>30</v>
          </cell>
          <cell r="J5754">
            <v>153.30000000000001</v>
          </cell>
          <cell r="K5754">
            <v>5.1100000000000003</v>
          </cell>
          <cell r="L5754">
            <v>0</v>
          </cell>
          <cell r="M5754">
            <v>4.7670000000000003</v>
          </cell>
          <cell r="N5754">
            <v>0</v>
          </cell>
          <cell r="O5754">
            <v>5.6099999999999997E-2</v>
          </cell>
          <cell r="P5754">
            <v>0.99</v>
          </cell>
          <cell r="Q5754">
            <v>0.23400000000000001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2.58E-2</v>
          </cell>
          <cell r="Y5754">
            <v>0</v>
          </cell>
          <cell r="Z5754">
            <v>0</v>
          </cell>
          <cell r="AA5754">
            <v>0</v>
          </cell>
          <cell r="AB5754">
            <v>0.37115599999999999</v>
          </cell>
        </row>
        <row r="5755">
          <cell r="A5755">
            <v>91705030</v>
          </cell>
          <cell r="B5755" t="str">
            <v>Kit Kat</v>
          </cell>
          <cell r="I5755">
            <v>30</v>
          </cell>
          <cell r="J5755">
            <v>155.4</v>
          </cell>
          <cell r="K5755">
            <v>5.1800000000000006</v>
          </cell>
          <cell r="L5755">
            <v>0</v>
          </cell>
          <cell r="M5755">
            <v>5.3859000000000004</v>
          </cell>
          <cell r="N5755">
            <v>0</v>
          </cell>
          <cell r="O5755">
            <v>3.7499999999999999E-2</v>
          </cell>
          <cell r="P5755">
            <v>0.3</v>
          </cell>
          <cell r="Q5755">
            <v>0.26850000000000002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1.6199999999999999E-2</v>
          </cell>
          <cell r="Y5755">
            <v>0</v>
          </cell>
          <cell r="Z5755">
            <v>0</v>
          </cell>
          <cell r="AA5755">
            <v>0</v>
          </cell>
          <cell r="AB5755">
            <v>2.9700000000000001E-2</v>
          </cell>
        </row>
        <row r="5756">
          <cell r="A5756">
            <v>91705040</v>
          </cell>
          <cell r="B5756" t="str">
            <v>Chocolate, milk, with nuts, not almond or peanuts</v>
          </cell>
          <cell r="I5756">
            <v>30</v>
          </cell>
          <cell r="J5756">
            <v>165.684</v>
          </cell>
          <cell r="K5756">
            <v>5.5228000000000002</v>
          </cell>
          <cell r="L5756">
            <v>0</v>
          </cell>
          <cell r="M5756">
            <v>4.9096320000000002</v>
          </cell>
          <cell r="N5756">
            <v>0</v>
          </cell>
          <cell r="O5756">
            <v>5.0616000000000001E-2</v>
          </cell>
          <cell r="P5756">
            <v>1.2378</v>
          </cell>
          <cell r="Q5756">
            <v>1.0111559999999999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1.9722E-2</v>
          </cell>
          <cell r="Y5756">
            <v>5.3964224999999999</v>
          </cell>
          <cell r="Z5756">
            <v>0</v>
          </cell>
          <cell r="AA5756">
            <v>0</v>
          </cell>
          <cell r="AB5756">
            <v>0.24169499999999999</v>
          </cell>
        </row>
        <row r="5757">
          <cell r="A5757">
            <v>91705050</v>
          </cell>
          <cell r="B5757" t="str">
            <v>Milk chocolate candy, with fruit and nuts</v>
          </cell>
          <cell r="I5757">
            <v>30</v>
          </cell>
          <cell r="J5757">
            <v>136.875</v>
          </cell>
          <cell r="K5757">
            <v>4.5625</v>
          </cell>
          <cell r="L5757">
            <v>0.46500000000000002</v>
          </cell>
          <cell r="M5757">
            <v>3.9633750000000001</v>
          </cell>
          <cell r="N5757">
            <v>0</v>
          </cell>
          <cell r="O5757">
            <v>3.7499999999999999E-2</v>
          </cell>
          <cell r="P5757">
            <v>0.8175</v>
          </cell>
          <cell r="Q5757">
            <v>0.63682499999999997</v>
          </cell>
          <cell r="R5757">
            <v>0</v>
          </cell>
          <cell r="S5757">
            <v>0</v>
          </cell>
          <cell r="T5757">
            <v>4.8375000000000004</v>
          </cell>
          <cell r="U5757">
            <v>0</v>
          </cell>
          <cell r="V5757">
            <v>0</v>
          </cell>
          <cell r="W5757">
            <v>0</v>
          </cell>
          <cell r="X5757">
            <v>1.4024999999999999E-2</v>
          </cell>
          <cell r="Y5757">
            <v>3.0299062999999999</v>
          </cell>
          <cell r="Z5757">
            <v>0</v>
          </cell>
          <cell r="AA5757">
            <v>0</v>
          </cell>
          <cell r="AB5757">
            <v>8.02871E-2</v>
          </cell>
        </row>
        <row r="5758">
          <cell r="A5758">
            <v>91705060</v>
          </cell>
          <cell r="B5758" t="str">
            <v>Milk chocolate candy, with almonds</v>
          </cell>
          <cell r="I5758">
            <v>30</v>
          </cell>
          <cell r="J5758">
            <v>157.80000000000001</v>
          </cell>
          <cell r="K5758">
            <v>5.2600000000000007</v>
          </cell>
          <cell r="L5758">
            <v>0</v>
          </cell>
          <cell r="M5758">
            <v>5.3102999999999998</v>
          </cell>
          <cell r="N5758">
            <v>0</v>
          </cell>
          <cell r="O5758">
            <v>6.7199999999999996E-2</v>
          </cell>
          <cell r="P5758">
            <v>1.86</v>
          </cell>
          <cell r="Q5758">
            <v>0.90569999999999995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2.2200000000000001E-2</v>
          </cell>
          <cell r="Y5758">
            <v>3.3169499999999998</v>
          </cell>
          <cell r="Z5758">
            <v>0</v>
          </cell>
          <cell r="AA5758">
            <v>0</v>
          </cell>
          <cell r="AB5758">
            <v>0.2614823</v>
          </cell>
        </row>
        <row r="5759">
          <cell r="A5759">
            <v>91705070</v>
          </cell>
          <cell r="B5759" t="str">
            <v>Chocolate, milk, with peanuts</v>
          </cell>
          <cell r="I5759">
            <v>30</v>
          </cell>
          <cell r="J5759">
            <v>161.4</v>
          </cell>
          <cell r="K5759">
            <v>5.38</v>
          </cell>
          <cell r="L5759">
            <v>0</v>
          </cell>
          <cell r="M5759">
            <v>4.2389999999999999</v>
          </cell>
          <cell r="N5759">
            <v>0</v>
          </cell>
          <cell r="O5759">
            <v>3.3000000000000002E-2</v>
          </cell>
          <cell r="P5759">
            <v>1.1399999999999999</v>
          </cell>
          <cell r="Q5759">
            <v>1.3098000000000001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1.23E-2</v>
          </cell>
          <cell r="Y5759">
            <v>11.992050000000001</v>
          </cell>
          <cell r="Z5759">
            <v>0</v>
          </cell>
          <cell r="AA5759">
            <v>0</v>
          </cell>
          <cell r="AB5759">
            <v>9.0093099999999995E-2</v>
          </cell>
        </row>
        <row r="5760">
          <cell r="A5760">
            <v>91705090</v>
          </cell>
          <cell r="B5760" t="str">
            <v>Chocolate candy with fondant and caramel</v>
          </cell>
          <cell r="I5760">
            <v>30</v>
          </cell>
          <cell r="J5760">
            <v>143.38200000000001</v>
          </cell>
          <cell r="K5760">
            <v>4.7793999999999999</v>
          </cell>
          <cell r="L5760">
            <v>0</v>
          </cell>
          <cell r="M5760">
            <v>3.6577199999999999</v>
          </cell>
          <cell r="N5760">
            <v>0</v>
          </cell>
          <cell r="O5760">
            <v>4.2282E-2</v>
          </cell>
          <cell r="P5760">
            <v>0.65280000000000005</v>
          </cell>
          <cell r="Q5760">
            <v>0.41026800000000002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2.6183999999999999E-2</v>
          </cell>
          <cell r="Y5760">
            <v>0</v>
          </cell>
          <cell r="Z5760">
            <v>0</v>
          </cell>
          <cell r="AA5760">
            <v>0</v>
          </cell>
          <cell r="AB5760">
            <v>5.0897600000000001E-2</v>
          </cell>
        </row>
        <row r="5761">
          <cell r="A5761">
            <v>91705200</v>
          </cell>
          <cell r="B5761" t="str">
            <v>Chocolate, semi-sweet morsel</v>
          </cell>
          <cell r="I5761">
            <v>30</v>
          </cell>
          <cell r="J5761">
            <v>144</v>
          </cell>
          <cell r="K5761">
            <v>4.8</v>
          </cell>
          <cell r="L5761">
            <v>0</v>
          </cell>
          <cell r="M5761">
            <v>5.3250000000000002</v>
          </cell>
          <cell r="N5761">
            <v>0</v>
          </cell>
          <cell r="O5761">
            <v>9.5999999999999992E-3</v>
          </cell>
          <cell r="P5761">
            <v>1.77</v>
          </cell>
          <cell r="Q5761">
            <v>0.2898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3.3E-3</v>
          </cell>
          <cell r="Y5761">
            <v>0</v>
          </cell>
          <cell r="Z5761">
            <v>0</v>
          </cell>
          <cell r="AA5761">
            <v>0</v>
          </cell>
          <cell r="AB5761">
            <v>0.44909359999999998</v>
          </cell>
        </row>
        <row r="5762">
          <cell r="A5762">
            <v>91705300</v>
          </cell>
          <cell r="B5762" t="str">
            <v>Chocolate, sweet or dark</v>
          </cell>
          <cell r="I5762">
            <v>30</v>
          </cell>
          <cell r="J5762">
            <v>158.55000000000001</v>
          </cell>
          <cell r="K5762">
            <v>5.2850000000000001</v>
          </cell>
          <cell r="L5762">
            <v>0</v>
          </cell>
          <cell r="M5762">
            <v>5.8609499999999999</v>
          </cell>
          <cell r="N5762">
            <v>0</v>
          </cell>
          <cell r="O5762">
            <v>1.2149999999999999E-2</v>
          </cell>
          <cell r="P5762">
            <v>1.905</v>
          </cell>
          <cell r="Q5762">
            <v>0.31455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5.8500000000000002E-3</v>
          </cell>
          <cell r="Y5762">
            <v>0</v>
          </cell>
          <cell r="Z5762">
            <v>0</v>
          </cell>
          <cell r="AA5762">
            <v>0</v>
          </cell>
          <cell r="AB5762">
            <v>0.51627999999999996</v>
          </cell>
        </row>
        <row r="5763">
          <cell r="A5763">
            <v>91705310</v>
          </cell>
          <cell r="B5763" t="str">
            <v>Chocolate, sweet or dark, with almonds</v>
          </cell>
          <cell r="I5763">
            <v>30</v>
          </cell>
          <cell r="J5763">
            <v>165.79091</v>
          </cell>
          <cell r="K5763">
            <v>5.5263636666666667</v>
          </cell>
          <cell r="L5763">
            <v>2.6649999999999999E-16</v>
          </cell>
          <cell r="M5763">
            <v>5.2835999999999999</v>
          </cell>
          <cell r="N5763">
            <v>0</v>
          </cell>
          <cell r="O5763">
            <v>2.2881800000000001E-2</v>
          </cell>
          <cell r="P5763">
            <v>2.3045455000000001</v>
          </cell>
          <cell r="Q5763">
            <v>0.63815449999999996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6.3E-3</v>
          </cell>
          <cell r="Y5763">
            <v>2.7254659000000001</v>
          </cell>
          <cell r="Z5763">
            <v>0</v>
          </cell>
          <cell r="AA5763">
            <v>0</v>
          </cell>
          <cell r="AB5763">
            <v>2.9318199999999999E-2</v>
          </cell>
        </row>
        <row r="5764">
          <cell r="A5764">
            <v>91705400</v>
          </cell>
          <cell r="B5764" t="str">
            <v>Chocolate, white</v>
          </cell>
          <cell r="I5764">
            <v>30</v>
          </cell>
          <cell r="J5764">
            <v>161.69999999999999</v>
          </cell>
          <cell r="K5764">
            <v>5.39</v>
          </cell>
          <cell r="L5764">
            <v>0</v>
          </cell>
          <cell r="M5764">
            <v>5.8235999999999999</v>
          </cell>
          <cell r="N5764">
            <v>0</v>
          </cell>
          <cell r="O5764">
            <v>5.9700000000000003E-2</v>
          </cell>
          <cell r="P5764">
            <v>0.06</v>
          </cell>
          <cell r="Q5764">
            <v>0.3039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2.7E-2</v>
          </cell>
          <cell r="Y5764">
            <v>0</v>
          </cell>
          <cell r="Z5764">
            <v>0</v>
          </cell>
          <cell r="AA5764">
            <v>0</v>
          </cell>
          <cell r="AB5764">
            <v>0</v>
          </cell>
        </row>
        <row r="5765">
          <cell r="A5765">
            <v>91705420</v>
          </cell>
          <cell r="B5765" t="str">
            <v>Chocolate, white, with cereal</v>
          </cell>
          <cell r="I5765">
            <v>30</v>
          </cell>
          <cell r="J5765">
            <v>153.30000000000001</v>
          </cell>
          <cell r="K5765">
            <v>5.1100000000000003</v>
          </cell>
          <cell r="L5765">
            <v>0</v>
          </cell>
          <cell r="M5765">
            <v>4.7670000000000003</v>
          </cell>
          <cell r="N5765">
            <v>0</v>
          </cell>
          <cell r="O5765">
            <v>5.6099999999999997E-2</v>
          </cell>
          <cell r="P5765">
            <v>0.99</v>
          </cell>
          <cell r="Q5765">
            <v>0.23400000000000001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2.58E-2</v>
          </cell>
          <cell r="Y5765">
            <v>0</v>
          </cell>
          <cell r="Z5765">
            <v>0</v>
          </cell>
          <cell r="AA5765">
            <v>0</v>
          </cell>
          <cell r="AB5765">
            <v>0.55565140000000002</v>
          </cell>
        </row>
        <row r="5766">
          <cell r="A5766">
            <v>91705430</v>
          </cell>
          <cell r="B5766" t="str">
            <v>Kit Kat White</v>
          </cell>
          <cell r="I5766">
            <v>30</v>
          </cell>
          <cell r="J5766">
            <v>155.4</v>
          </cell>
          <cell r="K5766">
            <v>5.1800000000000006</v>
          </cell>
          <cell r="L5766">
            <v>0</v>
          </cell>
          <cell r="M5766">
            <v>5.3859000000000004</v>
          </cell>
          <cell r="N5766">
            <v>0</v>
          </cell>
          <cell r="O5766">
            <v>3.7499999999999999E-2</v>
          </cell>
          <cell r="P5766">
            <v>0.3</v>
          </cell>
          <cell r="Q5766">
            <v>0.26850000000000002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1.6199999999999999E-2</v>
          </cell>
          <cell r="Y5766">
            <v>0</v>
          </cell>
          <cell r="Z5766">
            <v>0</v>
          </cell>
          <cell r="AA5766">
            <v>0</v>
          </cell>
          <cell r="AB5766">
            <v>2.9700000000000001E-2</v>
          </cell>
        </row>
        <row r="5767">
          <cell r="A5767">
            <v>91705500</v>
          </cell>
          <cell r="B5767" t="str">
            <v>Mexican chocolate, tablet</v>
          </cell>
          <cell r="I5767">
            <v>30</v>
          </cell>
          <cell r="J5767">
            <v>127.8</v>
          </cell>
          <cell r="K5767">
            <v>4.26</v>
          </cell>
          <cell r="L5767">
            <v>0</v>
          </cell>
          <cell r="M5767">
            <v>2.5817999999999999</v>
          </cell>
          <cell r="N5767">
            <v>0</v>
          </cell>
          <cell r="O5767">
            <v>1.0200000000000001E-2</v>
          </cell>
          <cell r="P5767">
            <v>1.2</v>
          </cell>
          <cell r="Q5767">
            <v>0.34860000000000002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8.9999999999999998E-4</v>
          </cell>
          <cell r="Y5767">
            <v>1.8711</v>
          </cell>
          <cell r="Z5767">
            <v>0</v>
          </cell>
          <cell r="AA5767">
            <v>0</v>
          </cell>
          <cell r="AB5767">
            <v>1.6779E-3</v>
          </cell>
        </row>
        <row r="5768">
          <cell r="A5768">
            <v>91706000</v>
          </cell>
          <cell r="B5768" t="str">
            <v>Coconut candy, chocolate covered</v>
          </cell>
          <cell r="I5768">
            <v>30</v>
          </cell>
          <cell r="J5768">
            <v>145.80000000000001</v>
          </cell>
          <cell r="K5768">
            <v>4.8600000000000003</v>
          </cell>
          <cell r="L5768">
            <v>0</v>
          </cell>
          <cell r="M5768">
            <v>6.1740000000000004</v>
          </cell>
          <cell r="N5768">
            <v>0</v>
          </cell>
          <cell r="O5768">
            <v>6.3E-3</v>
          </cell>
          <cell r="P5768">
            <v>1.1100000000000001</v>
          </cell>
          <cell r="Q5768">
            <v>4.2000000000000003E-2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4.3499999999999997E-2</v>
          </cell>
          <cell r="Y5768">
            <v>0</v>
          </cell>
          <cell r="Z5768">
            <v>0</v>
          </cell>
          <cell r="AA5768">
            <v>0</v>
          </cell>
          <cell r="AB5768">
            <v>0.12336800000000001</v>
          </cell>
        </row>
        <row r="5769">
          <cell r="A5769">
            <v>91706100</v>
          </cell>
          <cell r="B5769" t="str">
            <v>Coconut candy, no chocolate covering</v>
          </cell>
          <cell r="I5769">
            <v>30</v>
          </cell>
          <cell r="J5769">
            <v>144.30000000000001</v>
          </cell>
          <cell r="K5769">
            <v>4.8100000000000005</v>
          </cell>
          <cell r="L5769">
            <v>0</v>
          </cell>
          <cell r="M5769">
            <v>7.6619999999999999</v>
          </cell>
          <cell r="N5769">
            <v>0</v>
          </cell>
          <cell r="O5769">
            <v>1.29E-2</v>
          </cell>
          <cell r="P5769">
            <v>1.92</v>
          </cell>
          <cell r="Q5769">
            <v>2.52E-2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3.8399999999999997E-2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</row>
        <row r="5770">
          <cell r="A5770">
            <v>91706400</v>
          </cell>
          <cell r="B5770" t="str">
            <v>Coconut candy, Puerto Rican style</v>
          </cell>
          <cell r="I5770">
            <v>30</v>
          </cell>
          <cell r="J5770">
            <v>95.166667000000004</v>
          </cell>
          <cell r="K5770">
            <v>3.1722222333333336</v>
          </cell>
          <cell r="L5770">
            <v>0</v>
          </cell>
          <cell r="M5770">
            <v>2.8186667000000001</v>
          </cell>
          <cell r="N5770">
            <v>0</v>
          </cell>
          <cell r="O5770">
            <v>2.3E-3</v>
          </cell>
          <cell r="P5770">
            <v>0.29333330000000002</v>
          </cell>
          <cell r="Q5770">
            <v>3.4799999999999998E-2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2.1667000000000001E-3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</row>
        <row r="5771">
          <cell r="A5771">
            <v>91707000</v>
          </cell>
          <cell r="B5771" t="str">
            <v>Fondant</v>
          </cell>
          <cell r="I5771">
            <v>30</v>
          </cell>
          <cell r="J5771">
            <v>111.9</v>
          </cell>
          <cell r="K5771">
            <v>3.73</v>
          </cell>
          <cell r="L5771">
            <v>0</v>
          </cell>
          <cell r="M5771">
            <v>0</v>
          </cell>
          <cell r="N5771">
            <v>0</v>
          </cell>
          <cell r="O5771">
            <v>8.9999999999999998E-4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3.3E-3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</row>
        <row r="5772">
          <cell r="A5772">
            <v>91707010</v>
          </cell>
          <cell r="B5772" t="str">
            <v>Fondant, chocolate covered</v>
          </cell>
          <cell r="I5772">
            <v>30</v>
          </cell>
          <cell r="J5772">
            <v>109.8</v>
          </cell>
          <cell r="K5772">
            <v>3.6599999999999997</v>
          </cell>
          <cell r="L5772">
            <v>0</v>
          </cell>
          <cell r="M5772">
            <v>1.6379999999999999</v>
          </cell>
          <cell r="N5772">
            <v>0</v>
          </cell>
          <cell r="O5772">
            <v>5.1000000000000004E-3</v>
          </cell>
          <cell r="P5772">
            <v>0.63</v>
          </cell>
          <cell r="Q5772">
            <v>0.09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7.7999999999999996E-3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</row>
        <row r="5773">
          <cell r="A5773">
            <v>91708000</v>
          </cell>
          <cell r="B5773" t="str">
            <v>Fruit peel, candied</v>
          </cell>
          <cell r="I5773">
            <v>30</v>
          </cell>
          <cell r="J5773">
            <v>96.6</v>
          </cell>
          <cell r="K5773">
            <v>3.2199999999999998</v>
          </cell>
          <cell r="L5773">
            <v>0</v>
          </cell>
          <cell r="M5773">
            <v>3.0000000000000001E-3</v>
          </cell>
          <cell r="N5773">
            <v>0</v>
          </cell>
          <cell r="O5773">
            <v>5.4000000000000003E-3</v>
          </cell>
          <cell r="P5773">
            <v>0.48</v>
          </cell>
          <cell r="Q5773">
            <v>6.0000000000000001E-3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2.9399999999999999E-2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</row>
        <row r="5774">
          <cell r="A5774">
            <v>91708010</v>
          </cell>
          <cell r="B5774" t="str">
            <v>Date candy</v>
          </cell>
          <cell r="I5774">
            <v>30</v>
          </cell>
          <cell r="J5774">
            <v>113.71917999999999</v>
          </cell>
          <cell r="K5774">
            <v>3.790639333333333</v>
          </cell>
          <cell r="L5774">
            <v>1.2939795999999999</v>
          </cell>
          <cell r="M5774">
            <v>0.47229399999999999</v>
          </cell>
          <cell r="N5774">
            <v>0</v>
          </cell>
          <cell r="O5774">
            <v>2.29467E-2</v>
          </cell>
          <cell r="P5774">
            <v>0.7668971</v>
          </cell>
          <cell r="Q5774">
            <v>1.6235111</v>
          </cell>
          <cell r="R5774">
            <v>0</v>
          </cell>
          <cell r="S5774">
            <v>0</v>
          </cell>
          <cell r="T5774">
            <v>18.938983</v>
          </cell>
          <cell r="U5774">
            <v>0</v>
          </cell>
          <cell r="V5774">
            <v>0</v>
          </cell>
          <cell r="W5774">
            <v>0</v>
          </cell>
          <cell r="X5774">
            <v>5.3565000000000002E-3</v>
          </cell>
          <cell r="Y5774">
            <v>7.3691257999999999</v>
          </cell>
          <cell r="Z5774">
            <v>0</v>
          </cell>
          <cell r="AA5774">
            <v>0</v>
          </cell>
          <cell r="AB5774">
            <v>0</v>
          </cell>
        </row>
        <row r="5775">
          <cell r="A5775">
            <v>91708020</v>
          </cell>
          <cell r="B5775" t="str">
            <v>Soft fruit confections</v>
          </cell>
          <cell r="I5775">
            <v>30</v>
          </cell>
          <cell r="J5775">
            <v>117</v>
          </cell>
          <cell r="K5775">
            <v>3.9</v>
          </cell>
          <cell r="L5775">
            <v>0</v>
          </cell>
          <cell r="M5775">
            <v>0.26939999999999997</v>
          </cell>
          <cell r="N5775">
            <v>0</v>
          </cell>
          <cell r="O5775">
            <v>5.1000000000000004E-3</v>
          </cell>
          <cell r="P5775">
            <v>0.72</v>
          </cell>
          <cell r="Q5775">
            <v>2.052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3.9300000000000002E-2</v>
          </cell>
          <cell r="Y5775">
            <v>4.3375500000000002</v>
          </cell>
          <cell r="Z5775">
            <v>0</v>
          </cell>
          <cell r="AA5775">
            <v>0</v>
          </cell>
          <cell r="AB5775">
            <v>0</v>
          </cell>
        </row>
        <row r="5776">
          <cell r="A5776">
            <v>91708030</v>
          </cell>
          <cell r="B5776" t="str">
            <v>Fruit leather and fruit snacks candy</v>
          </cell>
          <cell r="I5776">
            <v>30</v>
          </cell>
          <cell r="J5776">
            <v>109.5</v>
          </cell>
          <cell r="K5776">
            <v>3.65</v>
          </cell>
          <cell r="L5776">
            <v>0</v>
          </cell>
          <cell r="M5776">
            <v>0.1983</v>
          </cell>
          <cell r="N5776">
            <v>0</v>
          </cell>
          <cell r="O5776">
            <v>7.4999999999999997E-3</v>
          </cell>
          <cell r="P5776">
            <v>0</v>
          </cell>
          <cell r="Q5776">
            <v>0.1653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0.108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</row>
        <row r="5777">
          <cell r="A5777">
            <v>91708070</v>
          </cell>
          <cell r="B5777" t="str">
            <v>Tamarind candy</v>
          </cell>
          <cell r="I5777">
            <v>30</v>
          </cell>
          <cell r="J5777">
            <v>110.4</v>
          </cell>
          <cell r="K5777">
            <v>3.68</v>
          </cell>
          <cell r="L5777">
            <v>0.75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12.9396</v>
          </cell>
          <cell r="U5777">
            <v>0</v>
          </cell>
          <cell r="V5777">
            <v>0</v>
          </cell>
          <cell r="W5777">
            <v>0</v>
          </cell>
          <cell r="X5777">
            <v>0.4929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</row>
        <row r="5778">
          <cell r="A5778">
            <v>91708100</v>
          </cell>
          <cell r="B5778" t="str">
            <v>Fruit snacks candy, with high vitamin C</v>
          </cell>
          <cell r="I5778">
            <v>30</v>
          </cell>
          <cell r="J5778">
            <v>105.6</v>
          </cell>
          <cell r="K5778">
            <v>3.52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6.8999999999999999E-3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</row>
        <row r="5779">
          <cell r="A5779">
            <v>91709000</v>
          </cell>
          <cell r="B5779" t="str">
            <v>Gumdrops, chocolate covered</v>
          </cell>
          <cell r="I5779">
            <v>30</v>
          </cell>
          <cell r="J5779">
            <v>130.476</v>
          </cell>
          <cell r="K5779">
            <v>4.3491999999999997</v>
          </cell>
          <cell r="L5779">
            <v>0</v>
          </cell>
          <cell r="M5779">
            <v>1.554756</v>
          </cell>
          <cell r="N5779">
            <v>0</v>
          </cell>
          <cell r="O5779">
            <v>1.6524E-2</v>
          </cell>
          <cell r="P5779">
            <v>0.30719999999999997</v>
          </cell>
          <cell r="Q5779">
            <v>0.11558400000000001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1.6140000000000002E-2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</row>
        <row r="5780">
          <cell r="A5780">
            <v>91713010</v>
          </cell>
          <cell r="B5780" t="str">
            <v>Fudge, chocolate, chocolate-coated</v>
          </cell>
          <cell r="I5780">
            <v>30</v>
          </cell>
          <cell r="J5780">
            <v>134.46</v>
          </cell>
          <cell r="K5780">
            <v>4.4820000000000002</v>
          </cell>
          <cell r="L5780">
            <v>0</v>
          </cell>
          <cell r="M5780">
            <v>3.0198900000000002</v>
          </cell>
          <cell r="N5780">
            <v>0</v>
          </cell>
          <cell r="O5780">
            <v>2.7300000000000001E-2</v>
          </cell>
          <cell r="P5780">
            <v>0.66300000000000003</v>
          </cell>
          <cell r="Q5780">
            <v>0.20216999999999999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1.6559999999999998E-2</v>
          </cell>
          <cell r="Y5780">
            <v>0</v>
          </cell>
          <cell r="Z5780">
            <v>0</v>
          </cell>
          <cell r="AA5780">
            <v>0</v>
          </cell>
          <cell r="AB5780">
            <v>9.4453899999999993E-2</v>
          </cell>
        </row>
        <row r="5781">
          <cell r="A5781">
            <v>91713030</v>
          </cell>
          <cell r="B5781" t="str">
            <v>Fudge, chocolate</v>
          </cell>
          <cell r="I5781">
            <v>30</v>
          </cell>
          <cell r="J5781">
            <v>123.3</v>
          </cell>
          <cell r="K5781">
            <v>4.1100000000000003</v>
          </cell>
          <cell r="L5781">
            <v>0</v>
          </cell>
          <cell r="M5781">
            <v>1.9343999999999999</v>
          </cell>
          <cell r="N5781">
            <v>0</v>
          </cell>
          <cell r="O5781">
            <v>1.47E-2</v>
          </cell>
          <cell r="P5781">
            <v>0.51</v>
          </cell>
          <cell r="Q5781">
            <v>0.1119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1.35E-2</v>
          </cell>
          <cell r="Y5781">
            <v>0</v>
          </cell>
          <cell r="Z5781">
            <v>0</v>
          </cell>
          <cell r="AA5781">
            <v>0</v>
          </cell>
          <cell r="AB5781">
            <v>4.9500000000000002E-2</v>
          </cell>
        </row>
        <row r="5782">
          <cell r="A5782">
            <v>91713040</v>
          </cell>
          <cell r="B5782" t="str">
            <v>Fudge, chocolate, with nuts</v>
          </cell>
          <cell r="I5782">
            <v>30</v>
          </cell>
          <cell r="J5782">
            <v>138.30000000000001</v>
          </cell>
          <cell r="K5782">
            <v>4.6100000000000003</v>
          </cell>
          <cell r="L5782">
            <v>0</v>
          </cell>
          <cell r="M5782">
            <v>1.9467000000000001</v>
          </cell>
          <cell r="N5782">
            <v>0</v>
          </cell>
          <cell r="O5782">
            <v>1.7100000000000001E-2</v>
          </cell>
          <cell r="P5782">
            <v>0.75</v>
          </cell>
          <cell r="Q5782">
            <v>2.2587000000000002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1.17E-2</v>
          </cell>
          <cell r="Y5782">
            <v>3.8272499999999998</v>
          </cell>
          <cell r="Z5782">
            <v>0</v>
          </cell>
          <cell r="AA5782">
            <v>0</v>
          </cell>
          <cell r="AB5782">
            <v>4.2599999999999999E-2</v>
          </cell>
        </row>
        <row r="5783">
          <cell r="A5783">
            <v>91713050</v>
          </cell>
          <cell r="B5783" t="str">
            <v>Fudge, peanut butter</v>
          </cell>
          <cell r="I5783">
            <v>30</v>
          </cell>
          <cell r="J5783">
            <v>130.90376000000001</v>
          </cell>
          <cell r="K5783">
            <v>4.3634586666666673</v>
          </cell>
          <cell r="L5783">
            <v>0</v>
          </cell>
          <cell r="M5783">
            <v>1.5314098</v>
          </cell>
          <cell r="N5783">
            <v>0</v>
          </cell>
          <cell r="O5783">
            <v>1.22188E-2</v>
          </cell>
          <cell r="P5783">
            <v>0.37218050000000003</v>
          </cell>
          <cell r="Q5783">
            <v>0.98425940000000001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4.2311300000000003E-2</v>
          </cell>
          <cell r="Y5783">
            <v>6.5945723999999997</v>
          </cell>
          <cell r="Z5783">
            <v>0</v>
          </cell>
          <cell r="AA5783">
            <v>0</v>
          </cell>
          <cell r="AB5783">
            <v>4.5958600000000002E-2</v>
          </cell>
        </row>
        <row r="5784">
          <cell r="A5784">
            <v>91715100</v>
          </cell>
          <cell r="B5784" t="str">
            <v>SNICKERS Bar</v>
          </cell>
          <cell r="I5784">
            <v>30</v>
          </cell>
          <cell r="J5784">
            <v>147.30000000000001</v>
          </cell>
          <cell r="K5784">
            <v>4.91</v>
          </cell>
          <cell r="L5784">
            <v>0</v>
          </cell>
          <cell r="M5784">
            <v>2.7206999999999999</v>
          </cell>
          <cell r="N5784">
            <v>0</v>
          </cell>
          <cell r="O5784">
            <v>2.7900000000000001E-2</v>
          </cell>
          <cell r="P5784">
            <v>0.69</v>
          </cell>
          <cell r="Q5784">
            <v>0.9042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7.17E-2</v>
          </cell>
          <cell r="Y5784">
            <v>4.7628000000000004</v>
          </cell>
          <cell r="Z5784">
            <v>0</v>
          </cell>
          <cell r="AA5784">
            <v>0</v>
          </cell>
          <cell r="AB5784">
            <v>0.1308</v>
          </cell>
        </row>
        <row r="5785">
          <cell r="A5785">
            <v>91715200</v>
          </cell>
          <cell r="B5785" t="str">
            <v>Baby Ruth</v>
          </cell>
          <cell r="I5785">
            <v>30</v>
          </cell>
          <cell r="J5785">
            <v>137.69999999999999</v>
          </cell>
          <cell r="K5785">
            <v>4.59</v>
          </cell>
          <cell r="L5785">
            <v>0</v>
          </cell>
          <cell r="M5785">
            <v>3.63</v>
          </cell>
          <cell r="N5785">
            <v>0</v>
          </cell>
          <cell r="O5785">
            <v>1.41E-2</v>
          </cell>
          <cell r="P5785">
            <v>0.6</v>
          </cell>
          <cell r="Q5785">
            <v>0.79139999999999999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6.9000000000000006E-2</v>
          </cell>
          <cell r="Y5785">
            <v>4.8903749999999997</v>
          </cell>
          <cell r="Z5785">
            <v>0</v>
          </cell>
          <cell r="AA5785">
            <v>0</v>
          </cell>
          <cell r="AB5785">
            <v>1.4999999999999999E-2</v>
          </cell>
        </row>
        <row r="5786">
          <cell r="A5786">
            <v>91715300</v>
          </cell>
          <cell r="B5786" t="str">
            <v>100 GRAND Bar</v>
          </cell>
          <cell r="I5786">
            <v>30</v>
          </cell>
          <cell r="J5786">
            <v>140.4</v>
          </cell>
          <cell r="K5786">
            <v>4.6800000000000006</v>
          </cell>
          <cell r="L5786">
            <v>0</v>
          </cell>
          <cell r="M5786">
            <v>3.57</v>
          </cell>
          <cell r="N5786">
            <v>0</v>
          </cell>
          <cell r="O5786">
            <v>2.2800000000000001E-2</v>
          </cell>
          <cell r="P5786">
            <v>0.3</v>
          </cell>
          <cell r="Q5786">
            <v>0.41639999999999999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6.0900000000000003E-2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</row>
        <row r="5787">
          <cell r="A5787">
            <v>91718000</v>
          </cell>
          <cell r="B5787" t="str">
            <v>Honey-combed hard candy with peanut butter</v>
          </cell>
          <cell r="I5787">
            <v>30</v>
          </cell>
          <cell r="J5787">
            <v>145.80000000000001</v>
          </cell>
          <cell r="K5787">
            <v>4.8600000000000003</v>
          </cell>
          <cell r="L5787">
            <v>0</v>
          </cell>
          <cell r="M5787">
            <v>1.7204999999999999</v>
          </cell>
          <cell r="N5787">
            <v>0</v>
          </cell>
          <cell r="O5787">
            <v>6.3E-3</v>
          </cell>
          <cell r="P5787">
            <v>0.56999999999999995</v>
          </cell>
          <cell r="Q5787">
            <v>1.4381999999999999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5.2200000000000003E-2</v>
          </cell>
          <cell r="Y5787">
            <v>11.712</v>
          </cell>
          <cell r="Z5787">
            <v>0</v>
          </cell>
          <cell r="AA5787">
            <v>0</v>
          </cell>
          <cell r="AB5787">
            <v>8.6999999999999994E-3</v>
          </cell>
        </row>
        <row r="5788">
          <cell r="A5788">
            <v>91718100</v>
          </cell>
          <cell r="B5788" t="str">
            <v>Butterfinger</v>
          </cell>
          <cell r="I5788">
            <v>30</v>
          </cell>
          <cell r="J5788">
            <v>137.69999999999999</v>
          </cell>
          <cell r="K5788">
            <v>4.59</v>
          </cell>
          <cell r="L5788">
            <v>0</v>
          </cell>
          <cell r="M5788">
            <v>2.85</v>
          </cell>
          <cell r="N5788">
            <v>0</v>
          </cell>
          <cell r="O5788">
            <v>1.0800000000000001E-2</v>
          </cell>
          <cell r="P5788">
            <v>0.6</v>
          </cell>
          <cell r="Q5788">
            <v>0.94920000000000004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6.9000000000000006E-2</v>
          </cell>
          <cell r="Y5788">
            <v>3.7919999999999998</v>
          </cell>
          <cell r="Z5788">
            <v>0</v>
          </cell>
          <cell r="AA5788">
            <v>0</v>
          </cell>
          <cell r="AB5788">
            <v>1.2E-2</v>
          </cell>
        </row>
        <row r="5789">
          <cell r="A5789">
            <v>91718110</v>
          </cell>
          <cell r="B5789" t="str">
            <v>Butterfinger Crisp</v>
          </cell>
          <cell r="I5789">
            <v>30</v>
          </cell>
          <cell r="J5789">
            <v>139.5</v>
          </cell>
          <cell r="K5789">
            <v>4.6500000000000004</v>
          </cell>
          <cell r="L5789">
            <v>0</v>
          </cell>
          <cell r="M5789">
            <v>3.1776</v>
          </cell>
          <cell r="N5789">
            <v>0</v>
          </cell>
          <cell r="O5789">
            <v>9.9000000000000008E-3</v>
          </cell>
          <cell r="P5789">
            <v>0.51</v>
          </cell>
          <cell r="Q5789">
            <v>0.65100000000000002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3.8999999999999998E-3</v>
          </cell>
          <cell r="Y5789">
            <v>5.5679999999999996</v>
          </cell>
          <cell r="Z5789">
            <v>0</v>
          </cell>
          <cell r="AA5789">
            <v>0</v>
          </cell>
          <cell r="AB5789">
            <v>0</v>
          </cell>
        </row>
        <row r="5790">
          <cell r="A5790">
            <v>91718200</v>
          </cell>
          <cell r="B5790" t="str">
            <v>Chocolate-flavored sprinkles</v>
          </cell>
          <cell r="I5790">
            <v>30</v>
          </cell>
          <cell r="J5790">
            <v>153.23159999999999</v>
          </cell>
          <cell r="K5790">
            <v>5.1077199999999996</v>
          </cell>
          <cell r="L5790">
            <v>0</v>
          </cell>
          <cell r="M5790">
            <v>7.6780374</v>
          </cell>
          <cell r="N5790">
            <v>0</v>
          </cell>
          <cell r="O5790">
            <v>4.0157999999999999E-3</v>
          </cell>
          <cell r="P5790">
            <v>0.98340000000000005</v>
          </cell>
          <cell r="Q5790">
            <v>0.13827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1.2371999999999999E-3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</row>
        <row r="5791">
          <cell r="A5791">
            <v>91718300</v>
          </cell>
          <cell r="B5791" t="str">
            <v>Ladoo, round ball, Asian-Indian dessert</v>
          </cell>
          <cell r="I5791">
            <v>30</v>
          </cell>
          <cell r="J5791">
            <v>60.203609999999998</v>
          </cell>
          <cell r="K5791">
            <v>2.0067870000000001</v>
          </cell>
          <cell r="L5791">
            <v>0.59954790000000002</v>
          </cell>
          <cell r="M5791">
            <v>1.9219172</v>
          </cell>
          <cell r="N5791">
            <v>0</v>
          </cell>
          <cell r="O5791">
            <v>4.2487000000000002E-3</v>
          </cell>
          <cell r="P5791">
            <v>0</v>
          </cell>
          <cell r="Q5791">
            <v>0.24630769999999999</v>
          </cell>
          <cell r="R5791">
            <v>0</v>
          </cell>
          <cell r="S5791">
            <v>4.9143268999999998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2.54296E-2</v>
          </cell>
          <cell r="Y5791">
            <v>0</v>
          </cell>
          <cell r="Z5791">
            <v>0</v>
          </cell>
          <cell r="AA5791">
            <v>0</v>
          </cell>
          <cell r="AB5791">
            <v>0.12075429999999999</v>
          </cell>
        </row>
        <row r="5792">
          <cell r="A5792">
            <v>91721000</v>
          </cell>
          <cell r="B5792" t="str">
            <v>Licorice</v>
          </cell>
          <cell r="I5792">
            <v>30</v>
          </cell>
          <cell r="J5792">
            <v>112.5</v>
          </cell>
          <cell r="K5792">
            <v>3.75</v>
          </cell>
          <cell r="L5792">
            <v>0</v>
          </cell>
          <cell r="M5792">
            <v>0</v>
          </cell>
          <cell r="N5792">
            <v>0</v>
          </cell>
          <cell r="O5792">
            <v>8.9999999999999998E-4</v>
          </cell>
          <cell r="P5792">
            <v>0.06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1.4999999999999999E-2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</row>
        <row r="5793">
          <cell r="A5793">
            <v>91723000</v>
          </cell>
          <cell r="B5793" t="str">
            <v>Marshmallow</v>
          </cell>
          <cell r="I5793">
            <v>30</v>
          </cell>
          <cell r="J5793">
            <v>95.4</v>
          </cell>
          <cell r="K5793">
            <v>3.18</v>
          </cell>
          <cell r="L5793">
            <v>0</v>
          </cell>
          <cell r="M5793">
            <v>1.6799999999999999E-2</v>
          </cell>
          <cell r="N5793">
            <v>0</v>
          </cell>
          <cell r="O5793">
            <v>8.9999999999999998E-4</v>
          </cell>
          <cell r="P5793">
            <v>0.03</v>
          </cell>
          <cell r="Q5793">
            <v>1.41E-2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2.4E-2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</row>
        <row r="5794">
          <cell r="A5794">
            <v>91723010</v>
          </cell>
          <cell r="B5794" t="str">
            <v>Marshmallow, chocolate covered</v>
          </cell>
          <cell r="I5794">
            <v>30</v>
          </cell>
          <cell r="J5794">
            <v>112.41</v>
          </cell>
          <cell r="K5794">
            <v>3.7469999999999999</v>
          </cell>
          <cell r="L5794">
            <v>0</v>
          </cell>
          <cell r="M5794">
            <v>1.8189599999999999</v>
          </cell>
          <cell r="N5794">
            <v>0</v>
          </cell>
          <cell r="O5794">
            <v>2.7899999999999999E-3</v>
          </cell>
          <cell r="P5794">
            <v>0.51600000000000001</v>
          </cell>
          <cell r="Q5794">
            <v>9.8970000000000002E-2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1.8239999999999999E-2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</row>
        <row r="5795">
          <cell r="A5795">
            <v>91723020</v>
          </cell>
          <cell r="B5795" t="str">
            <v>Marshmallow, candy-coated</v>
          </cell>
          <cell r="I5795">
            <v>30</v>
          </cell>
          <cell r="J5795">
            <v>102.81059999999999</v>
          </cell>
          <cell r="K5795">
            <v>3.4270199999999997</v>
          </cell>
          <cell r="L5795">
            <v>0</v>
          </cell>
          <cell r="M5795">
            <v>1.0785599999999999E-2</v>
          </cell>
          <cell r="N5795">
            <v>0</v>
          </cell>
          <cell r="O5795">
            <v>6.8519999999999996E-4</v>
          </cell>
          <cell r="P5795">
            <v>1.9259999999999999E-2</v>
          </cell>
          <cell r="Q5795">
            <v>9.0521999999999998E-3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1.55154E-2</v>
          </cell>
          <cell r="Y5795">
            <v>0</v>
          </cell>
          <cell r="Z5795">
            <v>0</v>
          </cell>
          <cell r="AA5795">
            <v>0</v>
          </cell>
          <cell r="AB5795">
            <v>0</v>
          </cell>
        </row>
        <row r="5796">
          <cell r="A5796">
            <v>91723050</v>
          </cell>
          <cell r="B5796" t="str">
            <v>Marshmallow, coconut-coated</v>
          </cell>
          <cell r="I5796">
            <v>30</v>
          </cell>
          <cell r="J5796">
            <v>99.644999999999996</v>
          </cell>
          <cell r="K5796">
            <v>3.3214999999999999</v>
          </cell>
          <cell r="L5796">
            <v>3.3309999999999999E-17</v>
          </cell>
          <cell r="M5796">
            <v>1.4295</v>
          </cell>
          <cell r="N5796">
            <v>0</v>
          </cell>
          <cell r="O5796">
            <v>1.5E-3</v>
          </cell>
          <cell r="P5796">
            <v>0.22650000000000001</v>
          </cell>
          <cell r="Q5796">
            <v>2.8740000000000002E-2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3.3480000000000003E-2</v>
          </cell>
          <cell r="Y5796">
            <v>0</v>
          </cell>
          <cell r="Z5796">
            <v>0</v>
          </cell>
          <cell r="AA5796">
            <v>0</v>
          </cell>
          <cell r="AB5796">
            <v>0</v>
          </cell>
        </row>
        <row r="5797">
          <cell r="A5797">
            <v>91726000</v>
          </cell>
          <cell r="B5797" t="str">
            <v>Nougat, plain</v>
          </cell>
          <cell r="I5797">
            <v>30</v>
          </cell>
          <cell r="J5797">
            <v>119.4</v>
          </cell>
          <cell r="K5797">
            <v>3.98</v>
          </cell>
          <cell r="L5797">
            <v>0</v>
          </cell>
          <cell r="M5797">
            <v>0.50009999999999999</v>
          </cell>
          <cell r="N5797">
            <v>0</v>
          </cell>
          <cell r="O5797">
            <v>9.5999999999999992E-3</v>
          </cell>
          <cell r="P5797">
            <v>0.99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9.9000000000000008E-3</v>
          </cell>
          <cell r="Y5797">
            <v>1.488375</v>
          </cell>
          <cell r="Z5797">
            <v>0</v>
          </cell>
          <cell r="AA5797">
            <v>0</v>
          </cell>
          <cell r="AB5797">
            <v>0</v>
          </cell>
        </row>
        <row r="5798">
          <cell r="A5798">
            <v>91726110</v>
          </cell>
          <cell r="B5798" t="str">
            <v>Nougat, with caramel, chocolate covered</v>
          </cell>
          <cell r="I5798">
            <v>30</v>
          </cell>
          <cell r="J5798">
            <v>136.80000000000001</v>
          </cell>
          <cell r="K5798">
            <v>4.5600000000000005</v>
          </cell>
          <cell r="L5798">
            <v>0</v>
          </cell>
          <cell r="M5798">
            <v>3.6048</v>
          </cell>
          <cell r="N5798">
            <v>0</v>
          </cell>
          <cell r="O5798">
            <v>3.4500000000000003E-2</v>
          </cell>
          <cell r="P5798">
            <v>0.3</v>
          </cell>
          <cell r="Q5798">
            <v>7.8E-2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5.0099999999999999E-2</v>
          </cell>
          <cell r="Y5798">
            <v>0</v>
          </cell>
          <cell r="Z5798">
            <v>0</v>
          </cell>
          <cell r="AA5798">
            <v>0</v>
          </cell>
          <cell r="AB5798">
            <v>6.1800000000000001E-2</v>
          </cell>
        </row>
        <row r="5799">
          <cell r="A5799">
            <v>91726130</v>
          </cell>
          <cell r="B5799" t="str">
            <v>MILKY WAY Bar</v>
          </cell>
          <cell r="I5799">
            <v>30</v>
          </cell>
          <cell r="J5799">
            <v>136.80000000000001</v>
          </cell>
          <cell r="K5799">
            <v>4.5600000000000005</v>
          </cell>
          <cell r="L5799">
            <v>0</v>
          </cell>
          <cell r="M5799">
            <v>3.6048</v>
          </cell>
          <cell r="N5799">
            <v>0</v>
          </cell>
          <cell r="O5799">
            <v>3.4500000000000003E-2</v>
          </cell>
          <cell r="P5799">
            <v>0.3</v>
          </cell>
          <cell r="Q5799">
            <v>7.8E-2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5.0099999999999999E-2</v>
          </cell>
          <cell r="Y5799">
            <v>0</v>
          </cell>
          <cell r="Z5799">
            <v>0</v>
          </cell>
          <cell r="AA5799">
            <v>0</v>
          </cell>
          <cell r="AB5799">
            <v>6.1800000000000001E-2</v>
          </cell>
        </row>
        <row r="5800">
          <cell r="A5800">
            <v>91726140</v>
          </cell>
          <cell r="B5800" t="str">
            <v>MILKY WAY MIDNIGHT Bar</v>
          </cell>
          <cell r="I5800">
            <v>30</v>
          </cell>
          <cell r="J5800">
            <v>132.9</v>
          </cell>
          <cell r="K5800">
            <v>4.4300000000000006</v>
          </cell>
          <cell r="L5800">
            <v>0</v>
          </cell>
          <cell r="M5800">
            <v>3.4422000000000001</v>
          </cell>
          <cell r="N5800">
            <v>0</v>
          </cell>
          <cell r="O5800">
            <v>1.5900000000000001E-2</v>
          </cell>
          <cell r="P5800">
            <v>0.87</v>
          </cell>
          <cell r="Q5800">
            <v>0.1542</v>
          </cell>
          <cell r="R5800">
            <v>0</v>
          </cell>
          <cell r="S5800">
            <v>0</v>
          </cell>
          <cell r="T5800">
            <v>0</v>
          </cell>
          <cell r="U5800">
            <v>0</v>
          </cell>
          <cell r="V5800">
            <v>0</v>
          </cell>
          <cell r="W5800">
            <v>0</v>
          </cell>
          <cell r="X5800">
            <v>5.04E-2</v>
          </cell>
          <cell r="Y5800">
            <v>0</v>
          </cell>
          <cell r="Z5800">
            <v>0</v>
          </cell>
          <cell r="AA5800">
            <v>0</v>
          </cell>
          <cell r="AB5800">
            <v>5.28E-2</v>
          </cell>
        </row>
        <row r="5801">
          <cell r="A5801">
            <v>91726150</v>
          </cell>
          <cell r="B5801" t="str">
            <v>MARS Almond Bar</v>
          </cell>
          <cell r="I5801">
            <v>30</v>
          </cell>
          <cell r="J5801">
            <v>140.1</v>
          </cell>
          <cell r="K5801">
            <v>4.67</v>
          </cell>
          <cell r="L5801">
            <v>0</v>
          </cell>
          <cell r="M5801">
            <v>2.1804000000000001</v>
          </cell>
          <cell r="N5801">
            <v>0</v>
          </cell>
          <cell r="O5801">
            <v>5.04E-2</v>
          </cell>
          <cell r="P5801">
            <v>0.6</v>
          </cell>
          <cell r="Q5801">
            <v>1.194</v>
          </cell>
          <cell r="R5801">
            <v>0</v>
          </cell>
          <cell r="S5801">
            <v>0</v>
          </cell>
          <cell r="T5801">
            <v>0</v>
          </cell>
          <cell r="U5801">
            <v>0</v>
          </cell>
          <cell r="V5801">
            <v>0</v>
          </cell>
          <cell r="W5801">
            <v>0</v>
          </cell>
          <cell r="X5801">
            <v>5.0999999999999997E-2</v>
          </cell>
          <cell r="Y5801">
            <v>4.8903749999999997</v>
          </cell>
          <cell r="Z5801">
            <v>0</v>
          </cell>
          <cell r="AA5801">
            <v>0</v>
          </cell>
          <cell r="AB5801">
            <v>0</v>
          </cell>
        </row>
        <row r="5802">
          <cell r="A5802">
            <v>91726410</v>
          </cell>
          <cell r="B5802" t="str">
            <v>Nougat, chocolate covered</v>
          </cell>
          <cell r="I5802">
            <v>30</v>
          </cell>
          <cell r="J5802">
            <v>130.90799999999999</v>
          </cell>
          <cell r="K5802">
            <v>4.3635999999999999</v>
          </cell>
          <cell r="L5802">
            <v>0</v>
          </cell>
          <cell r="M5802">
            <v>1.914828</v>
          </cell>
          <cell r="N5802">
            <v>0</v>
          </cell>
          <cell r="O5802">
            <v>2.2787999999999999E-2</v>
          </cell>
          <cell r="P5802">
            <v>0.99839999999999995</v>
          </cell>
          <cell r="Q5802">
            <v>0.11558400000000001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1.3764E-2</v>
          </cell>
          <cell r="Y5802">
            <v>1.0716300000000001</v>
          </cell>
          <cell r="Z5802">
            <v>0</v>
          </cell>
          <cell r="AA5802">
            <v>0</v>
          </cell>
          <cell r="AB5802">
            <v>0</v>
          </cell>
        </row>
        <row r="5803">
          <cell r="A5803">
            <v>91726420</v>
          </cell>
          <cell r="B5803" t="str">
            <v>3 MUSKETEERS Bar</v>
          </cell>
          <cell r="I5803">
            <v>30</v>
          </cell>
          <cell r="J5803">
            <v>130.80000000000001</v>
          </cell>
          <cell r="K5803">
            <v>4.3600000000000003</v>
          </cell>
          <cell r="L5803">
            <v>0</v>
          </cell>
          <cell r="M5803">
            <v>2.5937999999999999</v>
          </cell>
          <cell r="N5803">
            <v>0</v>
          </cell>
          <cell r="O5803">
            <v>1.6199999999999999E-2</v>
          </cell>
          <cell r="P5803">
            <v>0.45</v>
          </cell>
          <cell r="Q5803">
            <v>9.4799999999999995E-2</v>
          </cell>
          <cell r="R5803">
            <v>0</v>
          </cell>
          <cell r="S5803">
            <v>0</v>
          </cell>
          <cell r="T5803">
            <v>0</v>
          </cell>
          <cell r="U5803">
            <v>0</v>
          </cell>
          <cell r="V5803">
            <v>0</v>
          </cell>
          <cell r="W5803">
            <v>0</v>
          </cell>
          <cell r="X5803">
            <v>5.8200000000000002E-2</v>
          </cell>
          <cell r="Y5803">
            <v>0</v>
          </cell>
          <cell r="Z5803">
            <v>0</v>
          </cell>
          <cell r="AA5803">
            <v>0</v>
          </cell>
          <cell r="AB5803">
            <v>3.8699999999999998E-2</v>
          </cell>
        </row>
        <row r="5804">
          <cell r="A5804">
            <v>91727010</v>
          </cell>
          <cell r="B5804" t="str">
            <v>Nuts, chocolate covered, not almonds or peanuts</v>
          </cell>
          <cell r="I5804">
            <v>30</v>
          </cell>
          <cell r="J5804">
            <v>170.4</v>
          </cell>
          <cell r="K5804">
            <v>5.6800000000000006</v>
          </cell>
          <cell r="L5804">
            <v>0</v>
          </cell>
          <cell r="M5804">
            <v>3.7979250000000002</v>
          </cell>
          <cell r="N5804">
            <v>0</v>
          </cell>
          <cell r="O5804">
            <v>4.0274999999999998E-2</v>
          </cell>
          <cell r="P5804">
            <v>1.4624999999999999</v>
          </cell>
          <cell r="Q5804">
            <v>1.3880999999999999</v>
          </cell>
          <cell r="R5804">
            <v>0</v>
          </cell>
          <cell r="S5804">
            <v>0</v>
          </cell>
          <cell r="T5804">
            <v>0</v>
          </cell>
          <cell r="U5804">
            <v>0</v>
          </cell>
          <cell r="V5804">
            <v>0</v>
          </cell>
          <cell r="W5804">
            <v>0</v>
          </cell>
          <cell r="X5804">
            <v>1.3050000000000001E-2</v>
          </cell>
          <cell r="Y5804">
            <v>14.990062999999999</v>
          </cell>
          <cell r="Z5804">
            <v>0</v>
          </cell>
          <cell r="AA5804">
            <v>0</v>
          </cell>
          <cell r="AB5804">
            <v>8.0838999999999994E-2</v>
          </cell>
        </row>
        <row r="5805">
          <cell r="A5805">
            <v>91728000</v>
          </cell>
          <cell r="B5805" t="str">
            <v>Nut roll, fudge or nougat, caramel and nuts</v>
          </cell>
          <cell r="I5805">
            <v>30</v>
          </cell>
          <cell r="J5805">
            <v>147</v>
          </cell>
          <cell r="K5805">
            <v>4.9000000000000004</v>
          </cell>
          <cell r="L5805">
            <v>0</v>
          </cell>
          <cell r="M5805">
            <v>1.4418</v>
          </cell>
          <cell r="N5805">
            <v>0</v>
          </cell>
          <cell r="O5805">
            <v>2.8199999999999999E-2</v>
          </cell>
          <cell r="P5805">
            <v>1.1399999999999999</v>
          </cell>
          <cell r="Q5805">
            <v>1.4073</v>
          </cell>
          <cell r="R5805">
            <v>0</v>
          </cell>
          <cell r="S5805">
            <v>0</v>
          </cell>
          <cell r="T5805">
            <v>0</v>
          </cell>
          <cell r="U5805">
            <v>0</v>
          </cell>
          <cell r="V5805">
            <v>0</v>
          </cell>
          <cell r="W5805">
            <v>0</v>
          </cell>
          <cell r="X5805">
            <v>6.93E-2</v>
          </cell>
          <cell r="Y5805">
            <v>13.820625</v>
          </cell>
          <cell r="Z5805">
            <v>0</v>
          </cell>
          <cell r="AA5805">
            <v>0</v>
          </cell>
          <cell r="AB5805">
            <v>0</v>
          </cell>
        </row>
        <row r="5806">
          <cell r="A5806">
            <v>91728500</v>
          </cell>
          <cell r="B5806" t="str">
            <v>Sugared pecans, sugar and egg white coating</v>
          </cell>
          <cell r="I5806">
            <v>30</v>
          </cell>
          <cell r="J5806">
            <v>167.97472999999999</v>
          </cell>
          <cell r="K5806">
            <v>5.5991576666666667</v>
          </cell>
          <cell r="L5806">
            <v>0</v>
          </cell>
          <cell r="M5806">
            <v>1.2559355000000001</v>
          </cell>
          <cell r="N5806">
            <v>0</v>
          </cell>
          <cell r="O5806">
            <v>1.4500000000000001E-2</v>
          </cell>
          <cell r="P5806">
            <v>1.9509677000000001</v>
          </cell>
          <cell r="Q5806">
            <v>4.3925226000000004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  <cell r="V5806">
            <v>0</v>
          </cell>
          <cell r="W5806">
            <v>0</v>
          </cell>
          <cell r="X5806">
            <v>4.9757999999999998E-3</v>
          </cell>
          <cell r="Y5806">
            <v>20.309117000000001</v>
          </cell>
          <cell r="Z5806">
            <v>0</v>
          </cell>
          <cell r="AA5806">
            <v>0</v>
          </cell>
          <cell r="AB5806">
            <v>0.13015280000000001</v>
          </cell>
        </row>
        <row r="5807">
          <cell r="A5807">
            <v>91731000</v>
          </cell>
          <cell r="B5807" t="str">
            <v>Peanuts, chocolate covered</v>
          </cell>
          <cell r="I5807">
            <v>30</v>
          </cell>
          <cell r="J5807">
            <v>155.69999999999999</v>
          </cell>
          <cell r="K5807">
            <v>5.1899999999999995</v>
          </cell>
          <cell r="L5807">
            <v>0</v>
          </cell>
          <cell r="M5807">
            <v>4.38</v>
          </cell>
          <cell r="N5807">
            <v>0</v>
          </cell>
          <cell r="O5807">
            <v>3.1199999999999999E-2</v>
          </cell>
          <cell r="P5807">
            <v>1.41</v>
          </cell>
          <cell r="Q5807">
            <v>1.2989999999999999</v>
          </cell>
          <cell r="R5807">
            <v>0</v>
          </cell>
          <cell r="S5807">
            <v>0</v>
          </cell>
          <cell r="T5807">
            <v>0</v>
          </cell>
          <cell r="U5807">
            <v>0</v>
          </cell>
          <cell r="V5807">
            <v>0</v>
          </cell>
          <cell r="W5807">
            <v>0</v>
          </cell>
          <cell r="X5807">
            <v>1.23E-2</v>
          </cell>
          <cell r="Y5807">
            <v>8.8026750000000007</v>
          </cell>
          <cell r="Z5807">
            <v>0</v>
          </cell>
          <cell r="AA5807">
            <v>0</v>
          </cell>
          <cell r="AB5807">
            <v>0.11143260000000001</v>
          </cell>
        </row>
        <row r="5808">
          <cell r="A5808">
            <v>91731010</v>
          </cell>
          <cell r="B5808" t="str">
            <v>M&amp;M's Peanut Chocolate Candies</v>
          </cell>
          <cell r="I5808">
            <v>30</v>
          </cell>
          <cell r="J5808">
            <v>154.5</v>
          </cell>
          <cell r="K5808">
            <v>5.15</v>
          </cell>
          <cell r="L5808">
            <v>0</v>
          </cell>
          <cell r="M5808">
            <v>3.0507</v>
          </cell>
          <cell r="N5808">
            <v>0</v>
          </cell>
          <cell r="O5808">
            <v>3.0599999999999999E-2</v>
          </cell>
          <cell r="P5808">
            <v>1.1100000000000001</v>
          </cell>
          <cell r="Q5808">
            <v>1.0367999999999999</v>
          </cell>
          <cell r="R5808">
            <v>0</v>
          </cell>
          <cell r="S5808">
            <v>0</v>
          </cell>
          <cell r="T5808">
            <v>0</v>
          </cell>
          <cell r="U5808">
            <v>0</v>
          </cell>
          <cell r="V5808">
            <v>0</v>
          </cell>
          <cell r="W5808">
            <v>0</v>
          </cell>
          <cell r="X5808">
            <v>1.4999999999999999E-2</v>
          </cell>
          <cell r="Y5808">
            <v>9.9508500000000009</v>
          </cell>
          <cell r="Z5808">
            <v>0</v>
          </cell>
          <cell r="AA5808">
            <v>0</v>
          </cell>
          <cell r="AB5808">
            <v>9.8400000000000001E-2</v>
          </cell>
        </row>
        <row r="5809">
          <cell r="A5809">
            <v>91731060</v>
          </cell>
          <cell r="B5809" t="str">
            <v>M&amp;M's Peanut Butter Chocolate Candies</v>
          </cell>
          <cell r="I5809">
            <v>30</v>
          </cell>
          <cell r="J5809">
            <v>158.69999999999999</v>
          </cell>
          <cell r="K5809">
            <v>5.29</v>
          </cell>
          <cell r="L5809">
            <v>0</v>
          </cell>
          <cell r="M5809">
            <v>5.5454999999999997</v>
          </cell>
          <cell r="N5809">
            <v>0</v>
          </cell>
          <cell r="O5809">
            <v>2.64E-2</v>
          </cell>
          <cell r="P5809">
            <v>1.2</v>
          </cell>
          <cell r="Q5809">
            <v>0.16259999999999999</v>
          </cell>
          <cell r="R5809">
            <v>0</v>
          </cell>
          <cell r="S5809">
            <v>0</v>
          </cell>
          <cell r="T5809">
            <v>0</v>
          </cell>
          <cell r="U5809">
            <v>0</v>
          </cell>
          <cell r="V5809">
            <v>0</v>
          </cell>
          <cell r="W5809">
            <v>0</v>
          </cell>
          <cell r="X5809">
            <v>6.3899999999999998E-2</v>
          </cell>
          <cell r="Y5809">
            <v>10.512</v>
          </cell>
          <cell r="Z5809">
            <v>0</v>
          </cell>
          <cell r="AA5809">
            <v>0</v>
          </cell>
          <cell r="AB5809">
            <v>6.3E-2</v>
          </cell>
        </row>
        <row r="5810">
          <cell r="A5810">
            <v>91731100</v>
          </cell>
          <cell r="B5810" t="str">
            <v>Peanuts, sugar-coated</v>
          </cell>
          <cell r="I5810">
            <v>30</v>
          </cell>
          <cell r="J5810">
            <v>156.6</v>
          </cell>
          <cell r="K5810">
            <v>5.22</v>
          </cell>
          <cell r="L5810">
            <v>0</v>
          </cell>
          <cell r="M5810">
            <v>1.4034</v>
          </cell>
          <cell r="N5810">
            <v>0</v>
          </cell>
          <cell r="O5810">
            <v>2.3400000000000001E-2</v>
          </cell>
          <cell r="P5810">
            <v>1.23</v>
          </cell>
          <cell r="Q5810">
            <v>3.1949999999999998</v>
          </cell>
          <cell r="R5810">
            <v>0</v>
          </cell>
          <cell r="S5810">
            <v>0</v>
          </cell>
          <cell r="T5810">
            <v>0</v>
          </cell>
          <cell r="U5810">
            <v>0</v>
          </cell>
          <cell r="V5810">
            <v>0</v>
          </cell>
          <cell r="W5810">
            <v>0</v>
          </cell>
          <cell r="X5810">
            <v>4.6800000000000001E-2</v>
          </cell>
          <cell r="Y5810">
            <v>9.2704500000000003</v>
          </cell>
          <cell r="Z5810">
            <v>0</v>
          </cell>
          <cell r="AA5810">
            <v>0</v>
          </cell>
          <cell r="AB5810">
            <v>0.14558370000000001</v>
          </cell>
        </row>
        <row r="5811">
          <cell r="A5811">
            <v>91731150</v>
          </cell>
          <cell r="B5811" t="str">
            <v>Peanuts, yogurt covered</v>
          </cell>
          <cell r="I5811">
            <v>30</v>
          </cell>
          <cell r="J5811">
            <v>162.67500000000001</v>
          </cell>
          <cell r="K5811">
            <v>5.4225000000000003</v>
          </cell>
          <cell r="L5811">
            <v>0</v>
          </cell>
          <cell r="M5811">
            <v>4.8248249999999997</v>
          </cell>
          <cell r="N5811">
            <v>0</v>
          </cell>
          <cell r="O5811">
            <v>4.6245000000000001E-2</v>
          </cell>
          <cell r="P5811">
            <v>1.1475</v>
          </cell>
          <cell r="Q5811">
            <v>2.1867899999999998</v>
          </cell>
          <cell r="R5811">
            <v>0</v>
          </cell>
          <cell r="S5811">
            <v>0</v>
          </cell>
          <cell r="T5811">
            <v>0</v>
          </cell>
          <cell r="U5811">
            <v>0</v>
          </cell>
          <cell r="V5811">
            <v>0</v>
          </cell>
          <cell r="W5811">
            <v>0</v>
          </cell>
          <cell r="X5811">
            <v>1.695E-2</v>
          </cell>
          <cell r="Y5811">
            <v>13.491056</v>
          </cell>
          <cell r="Z5811">
            <v>0</v>
          </cell>
          <cell r="AA5811">
            <v>0</v>
          </cell>
          <cell r="AB5811">
            <v>0</v>
          </cell>
        </row>
        <row r="5812">
          <cell r="A5812">
            <v>91732000</v>
          </cell>
          <cell r="B5812" t="str">
            <v>Peanut bar</v>
          </cell>
          <cell r="I5812">
            <v>30</v>
          </cell>
          <cell r="J5812">
            <v>156.6</v>
          </cell>
          <cell r="K5812">
            <v>5.22</v>
          </cell>
          <cell r="L5812">
            <v>0</v>
          </cell>
          <cell r="M5812">
            <v>1.4034</v>
          </cell>
          <cell r="N5812">
            <v>0</v>
          </cell>
          <cell r="O5812">
            <v>2.3400000000000001E-2</v>
          </cell>
          <cell r="P5812">
            <v>1.23</v>
          </cell>
          <cell r="Q5812">
            <v>3.1949999999999998</v>
          </cell>
          <cell r="R5812">
            <v>0</v>
          </cell>
          <cell r="S5812">
            <v>0</v>
          </cell>
          <cell r="T5812">
            <v>0</v>
          </cell>
          <cell r="U5812">
            <v>0</v>
          </cell>
          <cell r="V5812">
            <v>0</v>
          </cell>
          <cell r="W5812">
            <v>0</v>
          </cell>
          <cell r="X5812">
            <v>4.6800000000000001E-2</v>
          </cell>
          <cell r="Y5812">
            <v>9.2704500000000003</v>
          </cell>
          <cell r="Z5812">
            <v>0</v>
          </cell>
          <cell r="AA5812">
            <v>0</v>
          </cell>
          <cell r="AB5812">
            <v>0.1456595</v>
          </cell>
        </row>
        <row r="5813">
          <cell r="A5813">
            <v>91732100</v>
          </cell>
          <cell r="B5813" t="str">
            <v>Planters Peanut Bar</v>
          </cell>
          <cell r="I5813">
            <v>30</v>
          </cell>
          <cell r="J5813">
            <v>152.988</v>
          </cell>
          <cell r="K5813">
            <v>5.0995999999999997</v>
          </cell>
          <cell r="L5813">
            <v>0</v>
          </cell>
          <cell r="M5813">
            <v>1.50597</v>
          </cell>
          <cell r="N5813">
            <v>0</v>
          </cell>
          <cell r="O5813">
            <v>1.074E-2</v>
          </cell>
          <cell r="P5813">
            <v>1.6355999999999999</v>
          </cell>
          <cell r="Q5813">
            <v>2.662722</v>
          </cell>
          <cell r="R5813">
            <v>0</v>
          </cell>
          <cell r="S5813">
            <v>0</v>
          </cell>
          <cell r="T5813">
            <v>0</v>
          </cell>
          <cell r="U5813">
            <v>0</v>
          </cell>
          <cell r="V5813">
            <v>0</v>
          </cell>
          <cell r="W5813">
            <v>0</v>
          </cell>
          <cell r="X5813">
            <v>5.5806000000000001E-2</v>
          </cell>
          <cell r="Y5813">
            <v>17.388473000000001</v>
          </cell>
          <cell r="Z5813">
            <v>0</v>
          </cell>
          <cell r="AA5813">
            <v>0</v>
          </cell>
          <cell r="AB5813">
            <v>0</v>
          </cell>
        </row>
        <row r="5814">
          <cell r="A5814">
            <v>91733000</v>
          </cell>
          <cell r="B5814" t="str">
            <v>Peanut brittle</v>
          </cell>
          <cell r="I5814">
            <v>30</v>
          </cell>
          <cell r="J5814">
            <v>145.80000000000001</v>
          </cell>
          <cell r="K5814">
            <v>4.8600000000000003</v>
          </cell>
          <cell r="L5814">
            <v>0</v>
          </cell>
          <cell r="M5814">
            <v>1.2432000000000001</v>
          </cell>
          <cell r="N5814">
            <v>0</v>
          </cell>
          <cell r="O5814">
            <v>8.0999999999999996E-3</v>
          </cell>
          <cell r="P5814">
            <v>0.75</v>
          </cell>
          <cell r="Q5814">
            <v>1.3673999999999999</v>
          </cell>
          <cell r="R5814">
            <v>0</v>
          </cell>
          <cell r="S5814">
            <v>0</v>
          </cell>
          <cell r="T5814">
            <v>0</v>
          </cell>
          <cell r="U5814">
            <v>0</v>
          </cell>
          <cell r="V5814">
            <v>0</v>
          </cell>
          <cell r="W5814">
            <v>0</v>
          </cell>
          <cell r="X5814">
            <v>0.13350000000000001</v>
          </cell>
          <cell r="Y5814">
            <v>10.801349999999999</v>
          </cell>
          <cell r="Z5814">
            <v>0</v>
          </cell>
          <cell r="AA5814">
            <v>0</v>
          </cell>
          <cell r="AB5814">
            <v>0</v>
          </cell>
        </row>
        <row r="5815">
          <cell r="A5815">
            <v>91733200</v>
          </cell>
          <cell r="B5815" t="str">
            <v>Peanut Bar, chocolate covered candy</v>
          </cell>
          <cell r="I5815">
            <v>30</v>
          </cell>
          <cell r="J5815">
            <v>157.809</v>
          </cell>
          <cell r="K5815">
            <v>5.2603</v>
          </cell>
          <cell r="L5815">
            <v>0</v>
          </cell>
          <cell r="M5815">
            <v>2.689683</v>
          </cell>
          <cell r="N5815">
            <v>0</v>
          </cell>
          <cell r="O5815">
            <v>3.3723000000000003E-2</v>
          </cell>
          <cell r="P5815">
            <v>1.1649</v>
          </cell>
          <cell r="Q5815">
            <v>2.3325179999999999</v>
          </cell>
          <cell r="R5815">
            <v>0</v>
          </cell>
          <cell r="S5815">
            <v>0</v>
          </cell>
          <cell r="T5815">
            <v>0</v>
          </cell>
          <cell r="U5815">
            <v>0</v>
          </cell>
          <cell r="V5815">
            <v>0</v>
          </cell>
          <cell r="W5815">
            <v>0</v>
          </cell>
          <cell r="X5815">
            <v>3.9639000000000001E-2</v>
          </cell>
          <cell r="Y5815">
            <v>6.3966105000000004</v>
          </cell>
          <cell r="Z5815">
            <v>0</v>
          </cell>
          <cell r="AA5815">
            <v>0</v>
          </cell>
          <cell r="AB5815">
            <v>7.8380900000000003E-2</v>
          </cell>
        </row>
        <row r="5816">
          <cell r="A5816">
            <v>91734000</v>
          </cell>
          <cell r="B5816" t="str">
            <v>Peanut butter, chocolate covered</v>
          </cell>
          <cell r="I5816">
            <v>30</v>
          </cell>
          <cell r="J5816">
            <v>153.79499999999999</v>
          </cell>
          <cell r="K5816">
            <v>5.1264999999999992</v>
          </cell>
          <cell r="L5816">
            <v>0</v>
          </cell>
          <cell r="M5816">
            <v>3.0275699999999999</v>
          </cell>
          <cell r="N5816">
            <v>0</v>
          </cell>
          <cell r="O5816">
            <v>2.5080000000000002E-2</v>
          </cell>
          <cell r="P5816">
            <v>0.88200000000000001</v>
          </cell>
          <cell r="Q5816">
            <v>1.460655</v>
          </cell>
          <cell r="R5816">
            <v>0</v>
          </cell>
          <cell r="S5816">
            <v>0</v>
          </cell>
          <cell r="T5816">
            <v>0</v>
          </cell>
          <cell r="U5816">
            <v>0</v>
          </cell>
          <cell r="V5816">
            <v>0</v>
          </cell>
          <cell r="W5816">
            <v>0</v>
          </cell>
          <cell r="X5816">
            <v>5.3115000000000002E-2</v>
          </cell>
          <cell r="Y5816">
            <v>9.3023437999999992</v>
          </cell>
          <cell r="Z5816">
            <v>0</v>
          </cell>
          <cell r="AA5816">
            <v>0</v>
          </cell>
          <cell r="AB5816">
            <v>7.8750000000000001E-3</v>
          </cell>
        </row>
        <row r="5817">
          <cell r="A5817">
            <v>91734100</v>
          </cell>
          <cell r="B5817" t="str">
            <v>Reese's Peanut Butter Cup</v>
          </cell>
          <cell r="I5817">
            <v>30</v>
          </cell>
          <cell r="J5817">
            <v>154.5</v>
          </cell>
          <cell r="K5817">
            <v>5.15</v>
          </cell>
          <cell r="L5817">
            <v>0</v>
          </cell>
          <cell r="M5817">
            <v>3.2189999999999999</v>
          </cell>
          <cell r="N5817">
            <v>0</v>
          </cell>
          <cell r="O5817">
            <v>2.3400000000000001E-2</v>
          </cell>
          <cell r="P5817">
            <v>1.08</v>
          </cell>
          <cell r="Q5817">
            <v>1.65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  <cell r="V5817">
            <v>0</v>
          </cell>
          <cell r="W5817">
            <v>0</v>
          </cell>
          <cell r="X5817">
            <v>0.1071</v>
          </cell>
          <cell r="Y5817">
            <v>12.576000000000001</v>
          </cell>
          <cell r="Z5817">
            <v>0</v>
          </cell>
          <cell r="AA5817">
            <v>0</v>
          </cell>
          <cell r="AB5817">
            <v>0</v>
          </cell>
        </row>
        <row r="5818">
          <cell r="A5818">
            <v>91734200</v>
          </cell>
          <cell r="B5818" t="str">
            <v>Reese's Pieces</v>
          </cell>
          <cell r="I5818">
            <v>30</v>
          </cell>
          <cell r="J5818">
            <v>149.1</v>
          </cell>
          <cell r="K5818">
            <v>4.97</v>
          </cell>
          <cell r="L5818">
            <v>0</v>
          </cell>
          <cell r="M5818">
            <v>4.9260000000000002</v>
          </cell>
          <cell r="N5818">
            <v>0</v>
          </cell>
          <cell r="O5818">
            <v>2.07E-2</v>
          </cell>
          <cell r="P5818">
            <v>0.9</v>
          </cell>
          <cell r="Q5818">
            <v>0.56399999999999995</v>
          </cell>
          <cell r="R5818">
            <v>0</v>
          </cell>
          <cell r="S5818">
            <v>0</v>
          </cell>
          <cell r="T5818">
            <v>0</v>
          </cell>
          <cell r="U5818">
            <v>0</v>
          </cell>
          <cell r="V5818">
            <v>0</v>
          </cell>
          <cell r="W5818">
            <v>0</v>
          </cell>
          <cell r="X5818">
            <v>5.8200000000000002E-2</v>
          </cell>
          <cell r="Y5818">
            <v>7.8239999999999998</v>
          </cell>
          <cell r="Z5818">
            <v>0</v>
          </cell>
          <cell r="AA5818">
            <v>0</v>
          </cell>
          <cell r="AB5818">
            <v>0</v>
          </cell>
        </row>
        <row r="5819">
          <cell r="A5819">
            <v>91734300</v>
          </cell>
          <cell r="B5819" t="str">
            <v>Reese's Sticks</v>
          </cell>
          <cell r="I5819">
            <v>30</v>
          </cell>
          <cell r="J5819">
            <v>156.30000000000001</v>
          </cell>
          <cell r="K5819">
            <v>5.21</v>
          </cell>
          <cell r="L5819">
            <v>0</v>
          </cell>
          <cell r="M5819">
            <v>3.9630000000000001</v>
          </cell>
          <cell r="N5819">
            <v>0</v>
          </cell>
          <cell r="O5819">
            <v>2.1000000000000001E-2</v>
          </cell>
          <cell r="P5819">
            <v>0.99</v>
          </cell>
          <cell r="Q5819">
            <v>1.4039999999999999</v>
          </cell>
          <cell r="R5819">
            <v>0</v>
          </cell>
          <cell r="S5819">
            <v>0</v>
          </cell>
          <cell r="T5819">
            <v>0</v>
          </cell>
          <cell r="U5819">
            <v>0</v>
          </cell>
          <cell r="V5819">
            <v>0</v>
          </cell>
          <cell r="W5819">
            <v>0</v>
          </cell>
          <cell r="X5819">
            <v>7.9200000000000007E-2</v>
          </cell>
          <cell r="Y5819">
            <v>5.2320000000000002</v>
          </cell>
          <cell r="Z5819">
            <v>0</v>
          </cell>
          <cell r="AA5819">
            <v>0</v>
          </cell>
          <cell r="AB5819">
            <v>0.26624419999999999</v>
          </cell>
        </row>
        <row r="5820">
          <cell r="A5820">
            <v>91734400</v>
          </cell>
          <cell r="B5820" t="str">
            <v>Reese's Fast Break</v>
          </cell>
          <cell r="I5820">
            <v>30</v>
          </cell>
          <cell r="J5820">
            <v>148.5</v>
          </cell>
          <cell r="K5820">
            <v>4.95</v>
          </cell>
          <cell r="L5820">
            <v>0</v>
          </cell>
          <cell r="M5820">
            <v>2.4108000000000001</v>
          </cell>
          <cell r="N5820">
            <v>0</v>
          </cell>
          <cell r="O5820">
            <v>1.0800000000000001E-2</v>
          </cell>
          <cell r="P5820">
            <v>1.08</v>
          </cell>
          <cell r="Q5820">
            <v>1.2723</v>
          </cell>
          <cell r="R5820">
            <v>0</v>
          </cell>
          <cell r="S5820">
            <v>0</v>
          </cell>
          <cell r="T5820">
            <v>0</v>
          </cell>
          <cell r="U5820">
            <v>0</v>
          </cell>
          <cell r="V5820">
            <v>0</v>
          </cell>
          <cell r="W5820">
            <v>0</v>
          </cell>
          <cell r="X5820">
            <v>9.6299999999999997E-2</v>
          </cell>
          <cell r="Y5820">
            <v>9.6</v>
          </cell>
          <cell r="Z5820">
            <v>0</v>
          </cell>
          <cell r="AA5820">
            <v>0</v>
          </cell>
          <cell r="AB5820">
            <v>0</v>
          </cell>
        </row>
        <row r="5821">
          <cell r="A5821">
            <v>91735000</v>
          </cell>
          <cell r="B5821" t="str">
            <v>Pralines</v>
          </cell>
          <cell r="I5821">
            <v>30</v>
          </cell>
          <cell r="J5821">
            <v>99.358328</v>
          </cell>
          <cell r="K5821">
            <v>3.3119442666666665</v>
          </cell>
          <cell r="L5821">
            <v>3.3309999999999999E-17</v>
          </cell>
          <cell r="M5821">
            <v>0.27394819999999998</v>
          </cell>
          <cell r="N5821">
            <v>0</v>
          </cell>
          <cell r="O5821">
            <v>2.6602199999999999E-2</v>
          </cell>
          <cell r="P5821">
            <v>0.27534979999999998</v>
          </cell>
          <cell r="Q5821">
            <v>0.76906379999999996</v>
          </cell>
          <cell r="R5821">
            <v>0</v>
          </cell>
          <cell r="S5821">
            <v>0</v>
          </cell>
          <cell r="T5821">
            <v>0</v>
          </cell>
          <cell r="U5821">
            <v>0</v>
          </cell>
          <cell r="V5821">
            <v>0</v>
          </cell>
          <cell r="W5821">
            <v>0</v>
          </cell>
          <cell r="X5821">
            <v>8.03146E-2</v>
          </cell>
          <cell r="Y5821">
            <v>2.8663265</v>
          </cell>
          <cell r="Z5821">
            <v>0</v>
          </cell>
          <cell r="AA5821">
            <v>0</v>
          </cell>
          <cell r="AB5821">
            <v>9.1239600000000004E-2</v>
          </cell>
        </row>
        <row r="5822">
          <cell r="A5822">
            <v>91739010</v>
          </cell>
          <cell r="B5822" t="str">
            <v>Raisins, chocolate covered</v>
          </cell>
          <cell r="I5822">
            <v>30</v>
          </cell>
          <cell r="J5822">
            <v>117</v>
          </cell>
          <cell r="K5822">
            <v>3.9</v>
          </cell>
          <cell r="L5822">
            <v>0.93</v>
          </cell>
          <cell r="M5822">
            <v>3.0815999999999999</v>
          </cell>
          <cell r="N5822">
            <v>0</v>
          </cell>
          <cell r="O5822">
            <v>2.58E-2</v>
          </cell>
          <cell r="P5822">
            <v>0</v>
          </cell>
          <cell r="Q5822">
            <v>0.17130000000000001</v>
          </cell>
          <cell r="R5822">
            <v>0</v>
          </cell>
          <cell r="S5822">
            <v>0</v>
          </cell>
          <cell r="T5822">
            <v>9.6750000000000007</v>
          </cell>
          <cell r="U5822">
            <v>0</v>
          </cell>
          <cell r="V5822">
            <v>0</v>
          </cell>
          <cell r="W5822">
            <v>0</v>
          </cell>
          <cell r="X5822">
            <v>1.0800000000000001E-2</v>
          </cell>
          <cell r="Y5822">
            <v>0</v>
          </cell>
          <cell r="Z5822">
            <v>0</v>
          </cell>
          <cell r="AA5822">
            <v>0</v>
          </cell>
          <cell r="AB5822">
            <v>0</v>
          </cell>
        </row>
        <row r="5823">
          <cell r="A5823">
            <v>91739600</v>
          </cell>
          <cell r="B5823" t="str">
            <v>Raisins, yogurt covered</v>
          </cell>
          <cell r="I5823">
            <v>30</v>
          </cell>
          <cell r="J5823">
            <v>117.798</v>
          </cell>
          <cell r="K5823">
            <v>3.9266000000000001</v>
          </cell>
          <cell r="L5823">
            <v>0.64380000000000004</v>
          </cell>
          <cell r="M5823">
            <v>3.047196</v>
          </cell>
          <cell r="N5823">
            <v>0</v>
          </cell>
          <cell r="O5823">
            <v>3.4529999999999998E-2</v>
          </cell>
          <cell r="P5823">
            <v>0</v>
          </cell>
          <cell r="Q5823">
            <v>7.2461999999999999E-2</v>
          </cell>
          <cell r="R5823">
            <v>0</v>
          </cell>
          <cell r="S5823">
            <v>0</v>
          </cell>
          <cell r="T5823">
            <v>17.399999999999999</v>
          </cell>
          <cell r="U5823">
            <v>0</v>
          </cell>
          <cell r="V5823">
            <v>0</v>
          </cell>
          <cell r="W5823">
            <v>0</v>
          </cell>
          <cell r="X5823">
            <v>1.3002E-2</v>
          </cell>
          <cell r="Y5823">
            <v>0</v>
          </cell>
          <cell r="Z5823">
            <v>0</v>
          </cell>
          <cell r="AA5823">
            <v>0</v>
          </cell>
          <cell r="AB5823">
            <v>0</v>
          </cell>
        </row>
        <row r="5824">
          <cell r="A5824">
            <v>91742010</v>
          </cell>
          <cell r="B5824" t="str">
            <v>Sesame Crunch, Sahadi</v>
          </cell>
          <cell r="I5824">
            <v>30</v>
          </cell>
          <cell r="J5824">
            <v>154.80000000000001</v>
          </cell>
          <cell r="K5824">
            <v>5.16</v>
          </cell>
          <cell r="L5824">
            <v>0</v>
          </cell>
          <cell r="M5824">
            <v>1.3986000000000001</v>
          </cell>
          <cell r="N5824">
            <v>0</v>
          </cell>
          <cell r="O5824">
            <v>0.19170000000000001</v>
          </cell>
          <cell r="P5824">
            <v>2.31</v>
          </cell>
          <cell r="Q5824">
            <v>4.3773</v>
          </cell>
          <cell r="R5824">
            <v>0</v>
          </cell>
          <cell r="S5824">
            <v>0</v>
          </cell>
          <cell r="T5824">
            <v>0</v>
          </cell>
          <cell r="U5824">
            <v>0</v>
          </cell>
          <cell r="V5824">
            <v>0</v>
          </cell>
          <cell r="W5824">
            <v>0</v>
          </cell>
          <cell r="X5824">
            <v>5.0099999999999999E-2</v>
          </cell>
          <cell r="Y5824">
            <v>19.604025</v>
          </cell>
          <cell r="Z5824">
            <v>0</v>
          </cell>
          <cell r="AA5824">
            <v>0</v>
          </cell>
          <cell r="AB5824">
            <v>0</v>
          </cell>
        </row>
        <row r="5825">
          <cell r="A5825">
            <v>91745010</v>
          </cell>
          <cell r="B5825" t="str">
            <v>Gumdrops</v>
          </cell>
          <cell r="I5825">
            <v>30</v>
          </cell>
          <cell r="J5825">
            <v>118.8</v>
          </cell>
          <cell r="K5825">
            <v>3.96</v>
          </cell>
          <cell r="L5825">
            <v>0</v>
          </cell>
          <cell r="M5825">
            <v>0</v>
          </cell>
          <cell r="N5825">
            <v>0</v>
          </cell>
          <cell r="O5825">
            <v>8.9999999999999998E-4</v>
          </cell>
          <cell r="P5825">
            <v>0.03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>
            <v>0</v>
          </cell>
          <cell r="V5825">
            <v>0</v>
          </cell>
          <cell r="W5825">
            <v>0</v>
          </cell>
          <cell r="X5825">
            <v>1.32E-2</v>
          </cell>
          <cell r="Y5825">
            <v>0</v>
          </cell>
          <cell r="Z5825">
            <v>0</v>
          </cell>
          <cell r="AA5825">
            <v>0</v>
          </cell>
          <cell r="AB5825">
            <v>0</v>
          </cell>
        </row>
        <row r="5826">
          <cell r="A5826">
            <v>91745020</v>
          </cell>
          <cell r="B5826" t="str">
            <v>Hard candy</v>
          </cell>
          <cell r="I5826">
            <v>15</v>
          </cell>
          <cell r="J5826">
            <v>59.1</v>
          </cell>
          <cell r="K5826">
            <v>3.94</v>
          </cell>
          <cell r="L5826">
            <v>0</v>
          </cell>
          <cell r="M5826">
            <v>0</v>
          </cell>
          <cell r="N5826">
            <v>0</v>
          </cell>
          <cell r="O5826">
            <v>4.4999999999999999E-4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>
            <v>0</v>
          </cell>
          <cell r="V5826">
            <v>0</v>
          </cell>
          <cell r="W5826">
            <v>0</v>
          </cell>
          <cell r="X5826">
            <v>5.7000000000000002E-3</v>
          </cell>
          <cell r="Y5826">
            <v>0</v>
          </cell>
          <cell r="Z5826">
            <v>0</v>
          </cell>
          <cell r="AA5826">
            <v>0</v>
          </cell>
          <cell r="AB5826">
            <v>0</v>
          </cell>
        </row>
        <row r="5827">
          <cell r="A5827">
            <v>91745040</v>
          </cell>
          <cell r="B5827" t="str">
            <v>Butterscotch hard candy</v>
          </cell>
          <cell r="I5827">
            <v>15</v>
          </cell>
          <cell r="J5827">
            <v>58.65</v>
          </cell>
          <cell r="K5827">
            <v>3.9099999999999997</v>
          </cell>
          <cell r="L5827">
            <v>0</v>
          </cell>
          <cell r="M5827">
            <v>0.30975000000000003</v>
          </cell>
          <cell r="N5827">
            <v>0</v>
          </cell>
          <cell r="O5827">
            <v>5.9999999999999995E-4</v>
          </cell>
          <cell r="P5827">
            <v>0</v>
          </cell>
          <cell r="Q5827">
            <v>1.83E-2</v>
          </cell>
          <cell r="R5827">
            <v>0</v>
          </cell>
          <cell r="S5827">
            <v>0</v>
          </cell>
          <cell r="T5827">
            <v>0</v>
          </cell>
          <cell r="U5827">
            <v>0</v>
          </cell>
          <cell r="V5827">
            <v>0</v>
          </cell>
          <cell r="W5827">
            <v>0</v>
          </cell>
          <cell r="X5827">
            <v>5.8650000000000001E-2</v>
          </cell>
          <cell r="Y5827">
            <v>0</v>
          </cell>
          <cell r="Z5827">
            <v>0</v>
          </cell>
          <cell r="AA5827">
            <v>0</v>
          </cell>
          <cell r="AB5827">
            <v>0</v>
          </cell>
        </row>
        <row r="5828">
          <cell r="A5828">
            <v>91745100</v>
          </cell>
          <cell r="B5828" t="str">
            <v>Skittles</v>
          </cell>
          <cell r="I5828">
            <v>30</v>
          </cell>
          <cell r="J5828">
            <v>121.5</v>
          </cell>
          <cell r="K5828">
            <v>4.05</v>
          </cell>
          <cell r="L5828">
            <v>0</v>
          </cell>
          <cell r="M5828">
            <v>1.2344999999999999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  <cell r="V5828">
            <v>0</v>
          </cell>
          <cell r="W5828">
            <v>0</v>
          </cell>
          <cell r="X5828">
            <v>4.4999999999999997E-3</v>
          </cell>
          <cell r="Y5828">
            <v>0</v>
          </cell>
          <cell r="Z5828">
            <v>0</v>
          </cell>
          <cell r="AA5828">
            <v>0</v>
          </cell>
          <cell r="AB5828">
            <v>2.2200000000000001E-2</v>
          </cell>
        </row>
        <row r="5829">
          <cell r="A5829">
            <v>91746100</v>
          </cell>
          <cell r="B5829" t="str">
            <v>M&amp;M's Milk Chocolate Candies</v>
          </cell>
          <cell r="I5829">
            <v>30</v>
          </cell>
          <cell r="J5829">
            <v>147.6</v>
          </cell>
          <cell r="K5829">
            <v>4.92</v>
          </cell>
          <cell r="L5829">
            <v>0</v>
          </cell>
          <cell r="M5829">
            <v>3.9239999999999999</v>
          </cell>
          <cell r="N5829">
            <v>0</v>
          </cell>
          <cell r="O5829">
            <v>3.15E-2</v>
          </cell>
          <cell r="P5829">
            <v>0.84</v>
          </cell>
          <cell r="Q5829">
            <v>0.27629999999999999</v>
          </cell>
          <cell r="R5829">
            <v>0</v>
          </cell>
          <cell r="S5829">
            <v>0</v>
          </cell>
          <cell r="T5829">
            <v>0</v>
          </cell>
          <cell r="U5829">
            <v>0</v>
          </cell>
          <cell r="V5829">
            <v>0</v>
          </cell>
          <cell r="W5829">
            <v>0</v>
          </cell>
          <cell r="X5829">
            <v>1.83E-2</v>
          </cell>
          <cell r="Y5829">
            <v>0</v>
          </cell>
          <cell r="Z5829">
            <v>0</v>
          </cell>
          <cell r="AA5829">
            <v>0</v>
          </cell>
          <cell r="AB5829">
            <v>5.0099999999999999E-2</v>
          </cell>
        </row>
        <row r="5830">
          <cell r="A5830">
            <v>91746120</v>
          </cell>
          <cell r="B5830" t="str">
            <v>Sixlets</v>
          </cell>
          <cell r="I5830">
            <v>30</v>
          </cell>
          <cell r="J5830">
            <v>147.6</v>
          </cell>
          <cell r="K5830">
            <v>4.92</v>
          </cell>
          <cell r="L5830">
            <v>0</v>
          </cell>
          <cell r="M5830">
            <v>3.9239999999999999</v>
          </cell>
          <cell r="N5830">
            <v>0</v>
          </cell>
          <cell r="O5830">
            <v>3.15E-2</v>
          </cell>
          <cell r="P5830">
            <v>0.84</v>
          </cell>
          <cell r="Q5830">
            <v>0.27629999999999999</v>
          </cell>
          <cell r="R5830">
            <v>0</v>
          </cell>
          <cell r="S5830">
            <v>0</v>
          </cell>
          <cell r="T5830">
            <v>0</v>
          </cell>
          <cell r="U5830">
            <v>0</v>
          </cell>
          <cell r="V5830">
            <v>0</v>
          </cell>
          <cell r="W5830">
            <v>0</v>
          </cell>
          <cell r="X5830">
            <v>1.83E-2</v>
          </cell>
          <cell r="Y5830">
            <v>0</v>
          </cell>
          <cell r="Z5830">
            <v>0</v>
          </cell>
          <cell r="AA5830">
            <v>0</v>
          </cell>
          <cell r="AB5830">
            <v>5.0099999999999999E-2</v>
          </cell>
        </row>
        <row r="5831">
          <cell r="A5831">
            <v>91746150</v>
          </cell>
          <cell r="B5831" t="str">
            <v>Easter egg, candy coated chocolate</v>
          </cell>
          <cell r="I5831">
            <v>30</v>
          </cell>
          <cell r="J5831">
            <v>147.6</v>
          </cell>
          <cell r="K5831">
            <v>4.92</v>
          </cell>
          <cell r="L5831">
            <v>0</v>
          </cell>
          <cell r="M5831">
            <v>3.9239999999999999</v>
          </cell>
          <cell r="N5831">
            <v>0</v>
          </cell>
          <cell r="O5831">
            <v>3.15E-2</v>
          </cell>
          <cell r="P5831">
            <v>0.84</v>
          </cell>
          <cell r="Q5831">
            <v>0.27629999999999999</v>
          </cell>
          <cell r="R5831">
            <v>0</v>
          </cell>
          <cell r="S5831">
            <v>0</v>
          </cell>
          <cell r="T5831">
            <v>0</v>
          </cell>
          <cell r="U5831">
            <v>0</v>
          </cell>
          <cell r="V5831">
            <v>0</v>
          </cell>
          <cell r="W5831">
            <v>0</v>
          </cell>
          <cell r="X5831">
            <v>1.83E-2</v>
          </cell>
          <cell r="Y5831">
            <v>0</v>
          </cell>
          <cell r="Z5831">
            <v>0</v>
          </cell>
          <cell r="AA5831">
            <v>0</v>
          </cell>
          <cell r="AB5831">
            <v>5.0099999999999999E-2</v>
          </cell>
        </row>
        <row r="5832">
          <cell r="A5832">
            <v>91750000</v>
          </cell>
          <cell r="B5832" t="str">
            <v>Taffy</v>
          </cell>
          <cell r="I5832">
            <v>30</v>
          </cell>
          <cell r="J5832">
            <v>119.925</v>
          </cell>
          <cell r="K5832">
            <v>3.9975000000000001</v>
          </cell>
          <cell r="L5832">
            <v>0</v>
          </cell>
          <cell r="M5832">
            <v>2.16255</v>
          </cell>
          <cell r="N5832">
            <v>0</v>
          </cell>
          <cell r="O5832">
            <v>2.6250000000000002E-3</v>
          </cell>
          <cell r="P5832">
            <v>1.4999999999999999E-2</v>
          </cell>
          <cell r="Q5832">
            <v>2.5350000000000001E-2</v>
          </cell>
          <cell r="R5832">
            <v>0</v>
          </cell>
          <cell r="S5832">
            <v>0</v>
          </cell>
          <cell r="T5832">
            <v>0</v>
          </cell>
          <cell r="U5832">
            <v>0</v>
          </cell>
          <cell r="V5832">
            <v>0</v>
          </cell>
          <cell r="W5832">
            <v>0</v>
          </cell>
          <cell r="X5832">
            <v>2.2575000000000001E-2</v>
          </cell>
          <cell r="Y5832">
            <v>0.38272499999999998</v>
          </cell>
          <cell r="Z5832">
            <v>0</v>
          </cell>
          <cell r="AA5832">
            <v>0</v>
          </cell>
          <cell r="AB5832">
            <v>3.1725000000000003E-2</v>
          </cell>
        </row>
        <row r="5833">
          <cell r="A5833">
            <v>91760000</v>
          </cell>
          <cell r="B5833" t="str">
            <v>Toffee, plain</v>
          </cell>
          <cell r="I5833">
            <v>30</v>
          </cell>
          <cell r="J5833">
            <v>114.6</v>
          </cell>
          <cell r="K5833">
            <v>3.82</v>
          </cell>
          <cell r="L5833">
            <v>0</v>
          </cell>
          <cell r="M5833">
            <v>0.74280000000000002</v>
          </cell>
          <cell r="N5833">
            <v>0</v>
          </cell>
          <cell r="O5833">
            <v>4.1399999999999999E-2</v>
          </cell>
          <cell r="P5833">
            <v>0</v>
          </cell>
          <cell r="Q5833">
            <v>1.0434000000000001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  <cell r="V5833">
            <v>0</v>
          </cell>
          <cell r="W5833">
            <v>0</v>
          </cell>
          <cell r="X5833">
            <v>7.3499999999999996E-2</v>
          </cell>
          <cell r="Y5833">
            <v>0</v>
          </cell>
          <cell r="Z5833">
            <v>0</v>
          </cell>
          <cell r="AA5833">
            <v>0</v>
          </cell>
          <cell r="AB5833">
            <v>0</v>
          </cell>
        </row>
        <row r="5834">
          <cell r="A5834">
            <v>91760100</v>
          </cell>
          <cell r="B5834" t="str">
            <v>Toffee, chocolate covered</v>
          </cell>
          <cell r="I5834">
            <v>30</v>
          </cell>
          <cell r="J5834">
            <v>162.30000000000001</v>
          </cell>
          <cell r="K5834">
            <v>5.41</v>
          </cell>
          <cell r="L5834">
            <v>0</v>
          </cell>
          <cell r="M5834">
            <v>5.6340000000000003</v>
          </cell>
          <cell r="N5834">
            <v>0</v>
          </cell>
          <cell r="O5834">
            <v>8.9999999999999993E-3</v>
          </cell>
          <cell r="P5834">
            <v>0.39</v>
          </cell>
          <cell r="Q5834">
            <v>0.35730000000000001</v>
          </cell>
          <cell r="R5834">
            <v>0</v>
          </cell>
          <cell r="S5834">
            <v>0</v>
          </cell>
          <cell r="T5834">
            <v>0</v>
          </cell>
          <cell r="U5834">
            <v>0</v>
          </cell>
          <cell r="V5834">
            <v>0</v>
          </cell>
          <cell r="W5834">
            <v>0</v>
          </cell>
          <cell r="X5834">
            <v>9.5100000000000004E-2</v>
          </cell>
          <cell r="Y5834">
            <v>0.29767500000000002</v>
          </cell>
          <cell r="Z5834">
            <v>0</v>
          </cell>
          <cell r="AA5834">
            <v>0</v>
          </cell>
          <cell r="AB5834">
            <v>2.0238900000000001E-2</v>
          </cell>
        </row>
        <row r="5835">
          <cell r="A5835">
            <v>91760200</v>
          </cell>
          <cell r="B5835" t="str">
            <v>Toffee, chocolate-coated, with nuts</v>
          </cell>
          <cell r="I5835">
            <v>30</v>
          </cell>
          <cell r="J5835">
            <v>132.54300000000001</v>
          </cell>
          <cell r="K5835">
            <v>4.4180999999999999</v>
          </cell>
          <cell r="L5835">
            <v>-1.3299999999999999E-16</v>
          </cell>
          <cell r="M5835">
            <v>2.1555629999999999</v>
          </cell>
          <cell r="N5835">
            <v>0</v>
          </cell>
          <cell r="O5835">
            <v>4.4151000000000003E-2</v>
          </cell>
          <cell r="P5835">
            <v>0.53039999999999998</v>
          </cell>
          <cell r="Q5835">
            <v>1.235538</v>
          </cell>
          <cell r="R5835">
            <v>0</v>
          </cell>
          <cell r="S5835">
            <v>0</v>
          </cell>
          <cell r="T5835">
            <v>0</v>
          </cell>
          <cell r="U5835">
            <v>0</v>
          </cell>
          <cell r="V5835">
            <v>0</v>
          </cell>
          <cell r="W5835">
            <v>0</v>
          </cell>
          <cell r="X5835">
            <v>5.3244E-2</v>
          </cell>
          <cell r="Y5835">
            <v>2.9980125000000002</v>
          </cell>
          <cell r="Z5835">
            <v>0</v>
          </cell>
          <cell r="AA5835">
            <v>0</v>
          </cell>
          <cell r="AB5835">
            <v>0</v>
          </cell>
        </row>
        <row r="5836">
          <cell r="A5836">
            <v>91760500</v>
          </cell>
          <cell r="B5836" t="str">
            <v>Truffles</v>
          </cell>
          <cell r="I5836">
            <v>30</v>
          </cell>
          <cell r="J5836">
            <v>153.39821000000001</v>
          </cell>
          <cell r="K5836">
            <v>5.1132736666666672</v>
          </cell>
          <cell r="L5836">
            <v>0</v>
          </cell>
          <cell r="M5836">
            <v>6.0057004000000003</v>
          </cell>
          <cell r="N5836">
            <v>0</v>
          </cell>
          <cell r="O5836">
            <v>5.0045199999999998E-2</v>
          </cell>
          <cell r="P5836">
            <v>0.84507069999999995</v>
          </cell>
          <cell r="Q5836">
            <v>0.43423279999999997</v>
          </cell>
          <cell r="R5836">
            <v>0</v>
          </cell>
          <cell r="S5836">
            <v>0</v>
          </cell>
          <cell r="T5836">
            <v>0</v>
          </cell>
          <cell r="U5836">
            <v>0</v>
          </cell>
          <cell r="V5836">
            <v>0</v>
          </cell>
          <cell r="W5836">
            <v>0</v>
          </cell>
          <cell r="X5836">
            <v>2.5813599999999999E-2</v>
          </cell>
          <cell r="Y5836">
            <v>0</v>
          </cell>
          <cell r="Z5836">
            <v>0</v>
          </cell>
          <cell r="AA5836">
            <v>0</v>
          </cell>
          <cell r="AB5836">
            <v>0.24240220000000001</v>
          </cell>
        </row>
        <row r="5837">
          <cell r="A5837">
            <v>91770020</v>
          </cell>
          <cell r="B5837" t="str">
            <v>Dietetic or low calorie hard candy</v>
          </cell>
          <cell r="I5837">
            <v>15</v>
          </cell>
          <cell r="J5837">
            <v>59.1</v>
          </cell>
          <cell r="K5837">
            <v>3.94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>
            <v>0</v>
          </cell>
          <cell r="V5837">
            <v>0</v>
          </cell>
          <cell r="W5837">
            <v>0</v>
          </cell>
          <cell r="X5837">
            <v>0</v>
          </cell>
          <cell r="Y5837">
            <v>0</v>
          </cell>
          <cell r="Z5837">
            <v>0</v>
          </cell>
          <cell r="AA5837">
            <v>0</v>
          </cell>
          <cell r="AB5837">
            <v>0</v>
          </cell>
        </row>
        <row r="5838">
          <cell r="A5838">
            <v>91770030</v>
          </cell>
          <cell r="B5838" t="str">
            <v>Dietetic or low calorie candy, chocolate covered</v>
          </cell>
          <cell r="I5838">
            <v>30</v>
          </cell>
          <cell r="J5838">
            <v>177</v>
          </cell>
          <cell r="K5838">
            <v>5.9</v>
          </cell>
          <cell r="L5838">
            <v>0</v>
          </cell>
          <cell r="M5838">
            <v>6.5168999999999997</v>
          </cell>
          <cell r="N5838">
            <v>0</v>
          </cell>
          <cell r="O5838">
            <v>8.5500000000000007E-2</v>
          </cell>
          <cell r="P5838">
            <v>1.05</v>
          </cell>
          <cell r="Q5838">
            <v>1.3047</v>
          </cell>
          <cell r="R5838">
            <v>0</v>
          </cell>
          <cell r="S5838">
            <v>0</v>
          </cell>
          <cell r="T5838">
            <v>0</v>
          </cell>
          <cell r="U5838">
            <v>0</v>
          </cell>
          <cell r="V5838">
            <v>0</v>
          </cell>
          <cell r="W5838">
            <v>0</v>
          </cell>
          <cell r="X5838">
            <v>3.3300000000000003E-2</v>
          </cell>
          <cell r="Y5838">
            <v>0</v>
          </cell>
          <cell r="Z5838">
            <v>0</v>
          </cell>
          <cell r="AA5838">
            <v>0</v>
          </cell>
          <cell r="AB5838">
            <v>3.6299999999999999E-2</v>
          </cell>
        </row>
        <row r="5839">
          <cell r="A5839">
            <v>91800100</v>
          </cell>
          <cell r="B5839" t="str">
            <v>Chewing gum, NFS</v>
          </cell>
          <cell r="I5839">
            <v>3</v>
          </cell>
          <cell r="J5839">
            <v>8.8680000000000003</v>
          </cell>
          <cell r="K5839">
            <v>2.956</v>
          </cell>
          <cell r="L5839">
            <v>0</v>
          </cell>
          <cell r="M5839">
            <v>1.596E-3</v>
          </cell>
          <cell r="N5839">
            <v>0</v>
          </cell>
          <cell r="O5839">
            <v>4.2000000000000002E-4</v>
          </cell>
          <cell r="P5839">
            <v>7.1999999999999995E-2</v>
          </cell>
          <cell r="Q5839">
            <v>6.1050000000000002E-3</v>
          </cell>
          <cell r="R5839">
            <v>0</v>
          </cell>
          <cell r="S5839">
            <v>0</v>
          </cell>
          <cell r="T5839">
            <v>0</v>
          </cell>
          <cell r="U5839">
            <v>0</v>
          </cell>
          <cell r="V5839">
            <v>0</v>
          </cell>
          <cell r="W5839">
            <v>0</v>
          </cell>
          <cell r="X5839">
            <v>1.56E-4</v>
          </cell>
          <cell r="Y5839">
            <v>0</v>
          </cell>
          <cell r="Z5839">
            <v>0</v>
          </cell>
          <cell r="AA5839">
            <v>0</v>
          </cell>
          <cell r="AB5839">
            <v>0</v>
          </cell>
        </row>
        <row r="5840">
          <cell r="A5840">
            <v>91801000</v>
          </cell>
          <cell r="B5840" t="str">
            <v>Chewing gum, regular</v>
          </cell>
          <cell r="I5840">
            <v>3</v>
          </cell>
          <cell r="J5840">
            <v>10.8</v>
          </cell>
          <cell r="K5840">
            <v>3.6</v>
          </cell>
          <cell r="L5840">
            <v>0</v>
          </cell>
          <cell r="M5840">
            <v>1.2600000000000001E-3</v>
          </cell>
          <cell r="N5840">
            <v>0</v>
          </cell>
          <cell r="O5840">
            <v>0</v>
          </cell>
          <cell r="P5840">
            <v>7.1999999999999995E-2</v>
          </cell>
          <cell r="Q5840">
            <v>4.1099999999999999E-3</v>
          </cell>
          <cell r="R5840">
            <v>0</v>
          </cell>
          <cell r="S5840">
            <v>0</v>
          </cell>
          <cell r="T5840">
            <v>0</v>
          </cell>
          <cell r="U5840">
            <v>0</v>
          </cell>
          <cell r="V5840">
            <v>0</v>
          </cell>
          <cell r="W5840">
            <v>0</v>
          </cell>
          <cell r="X5840">
            <v>3.0000000000000001E-5</v>
          </cell>
          <cell r="Y5840">
            <v>0</v>
          </cell>
          <cell r="Z5840">
            <v>0</v>
          </cell>
          <cell r="AA5840">
            <v>0</v>
          </cell>
          <cell r="AB5840">
            <v>0</v>
          </cell>
        </row>
        <row r="5841">
          <cell r="A5841">
            <v>91802000</v>
          </cell>
          <cell r="B5841" t="str">
            <v>Chewing gum, sugar free</v>
          </cell>
          <cell r="I5841">
            <v>3</v>
          </cell>
          <cell r="J5841">
            <v>8.0399999999999991</v>
          </cell>
          <cell r="K5841">
            <v>2.6799999999999997</v>
          </cell>
          <cell r="L5841">
            <v>0</v>
          </cell>
          <cell r="M5841">
            <v>1.74E-3</v>
          </cell>
          <cell r="N5841">
            <v>0</v>
          </cell>
          <cell r="O5841">
            <v>5.9999999999999995E-4</v>
          </cell>
          <cell r="P5841">
            <v>7.1999999999999995E-2</v>
          </cell>
          <cell r="Q5841">
            <v>6.96E-3</v>
          </cell>
          <cell r="R5841">
            <v>0</v>
          </cell>
          <cell r="S5841">
            <v>0</v>
          </cell>
          <cell r="T5841">
            <v>0</v>
          </cell>
          <cell r="U5841">
            <v>0</v>
          </cell>
          <cell r="V5841">
            <v>0</v>
          </cell>
          <cell r="W5841">
            <v>0</v>
          </cell>
          <cell r="X5841">
            <v>2.1000000000000001E-4</v>
          </cell>
          <cell r="Y5841">
            <v>0</v>
          </cell>
          <cell r="Z5841">
            <v>0</v>
          </cell>
          <cell r="AA5841">
            <v>0</v>
          </cell>
          <cell r="AB5841">
            <v>0</v>
          </cell>
        </row>
        <row r="5842">
          <cell r="A5842">
            <v>92100000</v>
          </cell>
          <cell r="B5842" t="str">
            <v>Coffee, NS as to type</v>
          </cell>
          <cell r="I5842">
            <v>360</v>
          </cell>
          <cell r="J5842">
            <v>3.6</v>
          </cell>
          <cell r="K5842">
            <v>0.01</v>
          </cell>
          <cell r="L5842">
            <v>0</v>
          </cell>
          <cell r="M5842">
            <v>7.1999999999999998E-3</v>
          </cell>
          <cell r="N5842">
            <v>0</v>
          </cell>
          <cell r="O5842">
            <v>7.1999999999999998E-3</v>
          </cell>
          <cell r="P5842">
            <v>0</v>
          </cell>
          <cell r="Q5842">
            <v>3.5999999999999999E-3</v>
          </cell>
          <cell r="R5842">
            <v>0</v>
          </cell>
          <cell r="S5842">
            <v>0</v>
          </cell>
          <cell r="T5842">
            <v>0</v>
          </cell>
          <cell r="U5842">
            <v>0</v>
          </cell>
          <cell r="V5842">
            <v>0</v>
          </cell>
          <cell r="W5842">
            <v>0</v>
          </cell>
          <cell r="X5842">
            <v>7.1999999999999998E-3</v>
          </cell>
          <cell r="Y5842">
            <v>0</v>
          </cell>
          <cell r="Z5842">
            <v>0</v>
          </cell>
          <cell r="AA5842">
            <v>0</v>
          </cell>
          <cell r="AB5842">
            <v>0</v>
          </cell>
        </row>
        <row r="5843">
          <cell r="A5843">
            <v>92100500</v>
          </cell>
          <cell r="B5843" t="str">
            <v>Coffee, NS as to brewed or instant</v>
          </cell>
          <cell r="I5843">
            <v>360</v>
          </cell>
          <cell r="J5843">
            <v>3.6</v>
          </cell>
          <cell r="K5843">
            <v>0.01</v>
          </cell>
          <cell r="L5843">
            <v>0</v>
          </cell>
          <cell r="M5843">
            <v>7.1999999999999998E-3</v>
          </cell>
          <cell r="N5843">
            <v>0</v>
          </cell>
          <cell r="O5843">
            <v>7.1999999999999998E-3</v>
          </cell>
          <cell r="P5843">
            <v>0</v>
          </cell>
          <cell r="Q5843">
            <v>3.5999999999999999E-3</v>
          </cell>
          <cell r="R5843">
            <v>0</v>
          </cell>
          <cell r="S5843">
            <v>0</v>
          </cell>
          <cell r="T5843">
            <v>0</v>
          </cell>
          <cell r="U5843">
            <v>0</v>
          </cell>
          <cell r="V5843">
            <v>0</v>
          </cell>
          <cell r="W5843">
            <v>0</v>
          </cell>
          <cell r="X5843">
            <v>7.1999999999999998E-3</v>
          </cell>
          <cell r="Y5843">
            <v>0</v>
          </cell>
          <cell r="Z5843">
            <v>0</v>
          </cell>
          <cell r="AA5843">
            <v>0</v>
          </cell>
          <cell r="AB5843">
            <v>0</v>
          </cell>
        </row>
        <row r="5844">
          <cell r="A5844">
            <v>92101000</v>
          </cell>
          <cell r="B5844" t="str">
            <v>Coffee, brewed</v>
          </cell>
          <cell r="I5844">
            <v>360</v>
          </cell>
          <cell r="J5844">
            <v>3.6</v>
          </cell>
          <cell r="K5844">
            <v>0.01</v>
          </cell>
          <cell r="L5844">
            <v>0</v>
          </cell>
          <cell r="M5844">
            <v>7.1999999999999998E-3</v>
          </cell>
          <cell r="N5844">
            <v>0</v>
          </cell>
          <cell r="O5844">
            <v>7.1999999999999998E-3</v>
          </cell>
          <cell r="P5844">
            <v>0</v>
          </cell>
          <cell r="Q5844">
            <v>3.5999999999999999E-3</v>
          </cell>
          <cell r="R5844">
            <v>0</v>
          </cell>
          <cell r="S5844">
            <v>0</v>
          </cell>
          <cell r="T5844">
            <v>0</v>
          </cell>
          <cell r="U5844">
            <v>0</v>
          </cell>
          <cell r="V5844">
            <v>0</v>
          </cell>
          <cell r="W5844">
            <v>0</v>
          </cell>
          <cell r="X5844">
            <v>7.1999999999999998E-3</v>
          </cell>
          <cell r="Y5844">
            <v>0</v>
          </cell>
          <cell r="Z5844">
            <v>0</v>
          </cell>
          <cell r="AA5844">
            <v>0</v>
          </cell>
          <cell r="AB5844">
            <v>0</v>
          </cell>
        </row>
        <row r="5845">
          <cell r="A5845">
            <v>92101500</v>
          </cell>
          <cell r="B5845" t="str">
            <v>Coffee, brewed, blend of regular and decaffeinated</v>
          </cell>
          <cell r="I5845">
            <v>360</v>
          </cell>
          <cell r="J5845">
            <v>1.8</v>
          </cell>
          <cell r="K5845">
            <v>5.0000000000000001E-3</v>
          </cell>
          <cell r="L5845">
            <v>0</v>
          </cell>
          <cell r="M5845">
            <v>7.1999999999999998E-3</v>
          </cell>
          <cell r="N5845">
            <v>0</v>
          </cell>
          <cell r="O5845">
            <v>7.1999999999999998E-3</v>
          </cell>
          <cell r="P5845">
            <v>0</v>
          </cell>
          <cell r="Q5845">
            <v>5.4000000000000003E-3</v>
          </cell>
          <cell r="R5845">
            <v>0</v>
          </cell>
          <cell r="S5845">
            <v>0</v>
          </cell>
          <cell r="T5845">
            <v>0</v>
          </cell>
          <cell r="U5845">
            <v>0</v>
          </cell>
          <cell r="V5845">
            <v>0</v>
          </cell>
          <cell r="W5845">
            <v>0</v>
          </cell>
          <cell r="X5845">
            <v>7.1999999999999998E-3</v>
          </cell>
          <cell r="Y5845">
            <v>0</v>
          </cell>
          <cell r="Z5845">
            <v>0</v>
          </cell>
          <cell r="AA5845">
            <v>0</v>
          </cell>
          <cell r="AB5845">
            <v>0</v>
          </cell>
        </row>
        <row r="5846">
          <cell r="A5846">
            <v>92101610</v>
          </cell>
          <cell r="B5846" t="str">
            <v>Coffee, espresso</v>
          </cell>
          <cell r="I5846">
            <v>360</v>
          </cell>
          <cell r="J5846">
            <v>32.4</v>
          </cell>
          <cell r="K5846">
            <v>0.09</v>
          </cell>
          <cell r="L5846">
            <v>0</v>
          </cell>
          <cell r="M5846">
            <v>0.33119999999999999</v>
          </cell>
          <cell r="N5846">
            <v>0</v>
          </cell>
          <cell r="O5846">
            <v>7.1999999999999998E-3</v>
          </cell>
          <cell r="P5846">
            <v>0</v>
          </cell>
          <cell r="Q5846">
            <v>0.33119999999999999</v>
          </cell>
          <cell r="R5846">
            <v>0</v>
          </cell>
          <cell r="S5846">
            <v>0</v>
          </cell>
          <cell r="T5846">
            <v>0</v>
          </cell>
          <cell r="U5846">
            <v>0</v>
          </cell>
          <cell r="V5846">
            <v>0</v>
          </cell>
          <cell r="W5846">
            <v>0</v>
          </cell>
          <cell r="X5846">
            <v>5.04E-2</v>
          </cell>
          <cell r="Y5846">
            <v>0</v>
          </cell>
          <cell r="Z5846">
            <v>0</v>
          </cell>
          <cell r="AA5846">
            <v>0</v>
          </cell>
          <cell r="AB5846">
            <v>0</v>
          </cell>
        </row>
        <row r="5847">
          <cell r="A5847">
            <v>92101630</v>
          </cell>
          <cell r="B5847" t="str">
            <v>Coffee, espresso, decaffeinated</v>
          </cell>
          <cell r="I5847">
            <v>360</v>
          </cell>
          <cell r="J5847">
            <v>32.4</v>
          </cell>
          <cell r="K5847">
            <v>0.09</v>
          </cell>
          <cell r="L5847">
            <v>0</v>
          </cell>
          <cell r="M5847">
            <v>0.33119999999999999</v>
          </cell>
          <cell r="N5847">
            <v>0</v>
          </cell>
          <cell r="O5847">
            <v>7.1999999999999998E-3</v>
          </cell>
          <cell r="P5847">
            <v>0</v>
          </cell>
          <cell r="Q5847">
            <v>0.33119999999999999</v>
          </cell>
          <cell r="R5847">
            <v>0</v>
          </cell>
          <cell r="S5847">
            <v>0</v>
          </cell>
          <cell r="T5847">
            <v>0</v>
          </cell>
          <cell r="U5847">
            <v>0</v>
          </cell>
          <cell r="V5847">
            <v>0</v>
          </cell>
          <cell r="W5847">
            <v>0</v>
          </cell>
          <cell r="X5847">
            <v>5.04E-2</v>
          </cell>
          <cell r="Y5847">
            <v>0</v>
          </cell>
          <cell r="Z5847">
            <v>0</v>
          </cell>
          <cell r="AA5847">
            <v>0</v>
          </cell>
          <cell r="AB5847">
            <v>0</v>
          </cell>
        </row>
        <row r="5848">
          <cell r="A5848">
            <v>92101700</v>
          </cell>
          <cell r="B5848" t="str">
            <v>Coffee, brewed, flavored</v>
          </cell>
          <cell r="I5848">
            <v>360</v>
          </cell>
          <cell r="J5848">
            <v>3.6</v>
          </cell>
          <cell r="K5848">
            <v>0.01</v>
          </cell>
          <cell r="L5848">
            <v>0</v>
          </cell>
          <cell r="M5848">
            <v>7.1999999999999998E-3</v>
          </cell>
          <cell r="N5848">
            <v>0</v>
          </cell>
          <cell r="O5848">
            <v>7.1999999999999998E-3</v>
          </cell>
          <cell r="P5848">
            <v>0</v>
          </cell>
          <cell r="Q5848">
            <v>3.5999999999999999E-3</v>
          </cell>
          <cell r="R5848">
            <v>0</v>
          </cell>
          <cell r="S5848">
            <v>0</v>
          </cell>
          <cell r="T5848">
            <v>0</v>
          </cell>
          <cell r="U5848">
            <v>0</v>
          </cell>
          <cell r="V5848">
            <v>0</v>
          </cell>
          <cell r="W5848">
            <v>0</v>
          </cell>
          <cell r="X5848">
            <v>7.1999999999999998E-3</v>
          </cell>
          <cell r="Y5848">
            <v>0</v>
          </cell>
          <cell r="Z5848">
            <v>0</v>
          </cell>
          <cell r="AA5848">
            <v>0</v>
          </cell>
          <cell r="AB5848">
            <v>0</v>
          </cell>
        </row>
        <row r="5849">
          <cell r="A5849">
            <v>92101800</v>
          </cell>
          <cell r="B5849" t="str">
            <v>Coffee, Cuban</v>
          </cell>
          <cell r="I5849">
            <v>360</v>
          </cell>
          <cell r="J5849">
            <v>118.09912</v>
          </cell>
          <cell r="K5849">
            <v>0.32805311111111113</v>
          </cell>
          <cell r="L5849">
            <v>0</v>
          </cell>
          <cell r="M5849">
            <v>0.31034200000000001</v>
          </cell>
          <cell r="N5849">
            <v>0</v>
          </cell>
          <cell r="O5849">
            <v>6.9733E-3</v>
          </cell>
          <cell r="P5849">
            <v>0</v>
          </cell>
          <cell r="Q5849">
            <v>0.31034200000000001</v>
          </cell>
          <cell r="R5849">
            <v>0</v>
          </cell>
          <cell r="S5849">
            <v>0</v>
          </cell>
          <cell r="T5849">
            <v>0</v>
          </cell>
          <cell r="U5849">
            <v>0</v>
          </cell>
          <cell r="V5849">
            <v>0</v>
          </cell>
          <cell r="W5849">
            <v>0</v>
          </cell>
          <cell r="X5849">
            <v>4.74527E-2</v>
          </cell>
          <cell r="Y5849">
            <v>0</v>
          </cell>
          <cell r="Z5849">
            <v>0</v>
          </cell>
          <cell r="AA5849">
            <v>0</v>
          </cell>
          <cell r="AB5849">
            <v>0</v>
          </cell>
        </row>
        <row r="5850">
          <cell r="A5850">
            <v>92101820</v>
          </cell>
          <cell r="B5850" t="str">
            <v>Coffee, macchiato, sweetened</v>
          </cell>
          <cell r="I5850">
            <v>360</v>
          </cell>
          <cell r="J5850">
            <v>138.45902000000001</v>
          </cell>
          <cell r="K5850">
            <v>0.38460838888888893</v>
          </cell>
          <cell r="L5850">
            <v>0</v>
          </cell>
          <cell r="M5850">
            <v>1.6113584000000001</v>
          </cell>
          <cell r="N5850">
            <v>0</v>
          </cell>
          <cell r="O5850">
            <v>0.13950860000000001</v>
          </cell>
          <cell r="P5850">
            <v>0</v>
          </cell>
          <cell r="Q5850">
            <v>0.32775910000000003</v>
          </cell>
          <cell r="R5850">
            <v>0</v>
          </cell>
          <cell r="S5850">
            <v>0</v>
          </cell>
          <cell r="T5850">
            <v>0</v>
          </cell>
          <cell r="U5850">
            <v>0</v>
          </cell>
          <cell r="V5850">
            <v>0</v>
          </cell>
          <cell r="W5850">
            <v>0</v>
          </cell>
          <cell r="X5850">
            <v>8.3071699999999998E-2</v>
          </cell>
          <cell r="Y5850">
            <v>0</v>
          </cell>
          <cell r="Z5850">
            <v>0</v>
          </cell>
          <cell r="AA5850">
            <v>0</v>
          </cell>
          <cell r="AB5850">
            <v>3.5722700000000003E-2</v>
          </cell>
        </row>
        <row r="5851">
          <cell r="A5851">
            <v>92101850</v>
          </cell>
          <cell r="B5851" t="str">
            <v>Coffee, cafe con leche</v>
          </cell>
          <cell r="I5851">
            <v>360</v>
          </cell>
          <cell r="J5851">
            <v>138.7739</v>
          </cell>
          <cell r="K5851">
            <v>0.38548305555555556</v>
          </cell>
          <cell r="L5851">
            <v>0</v>
          </cell>
          <cell r="M5851">
            <v>2.3072028000000002</v>
          </cell>
          <cell r="N5851">
            <v>0</v>
          </cell>
          <cell r="O5851">
            <v>0.2101614</v>
          </cell>
          <cell r="P5851">
            <v>0</v>
          </cell>
          <cell r="Q5851">
            <v>0.33960420000000002</v>
          </cell>
          <cell r="R5851">
            <v>0</v>
          </cell>
          <cell r="S5851">
            <v>0</v>
          </cell>
          <cell r="T5851">
            <v>0</v>
          </cell>
          <cell r="U5851">
            <v>0</v>
          </cell>
          <cell r="V5851">
            <v>0</v>
          </cell>
          <cell r="W5851">
            <v>0</v>
          </cell>
          <cell r="X5851">
            <v>0.10241450000000001</v>
          </cell>
          <cell r="Y5851">
            <v>0</v>
          </cell>
          <cell r="Z5851">
            <v>0</v>
          </cell>
          <cell r="AA5851">
            <v>0</v>
          </cell>
          <cell r="AB5851">
            <v>6.6681500000000005E-2</v>
          </cell>
        </row>
        <row r="5852">
          <cell r="A5852">
            <v>92101851</v>
          </cell>
          <cell r="B5852" t="str">
            <v>Coffee, cafe con leche, decaffeinated</v>
          </cell>
          <cell r="I5852">
            <v>360</v>
          </cell>
          <cell r="J5852">
            <v>140.48787999999999</v>
          </cell>
          <cell r="K5852">
            <v>0.39024411111111107</v>
          </cell>
          <cell r="L5852">
            <v>0</v>
          </cell>
          <cell r="M5852">
            <v>2.3390417000000001</v>
          </cell>
          <cell r="N5852">
            <v>0</v>
          </cell>
          <cell r="O5852">
            <v>0.2134316</v>
          </cell>
          <cell r="P5852">
            <v>0</v>
          </cell>
          <cell r="Q5852">
            <v>0.33973959999999997</v>
          </cell>
          <cell r="R5852">
            <v>0</v>
          </cell>
          <cell r="S5852">
            <v>0</v>
          </cell>
          <cell r="T5852">
            <v>0</v>
          </cell>
          <cell r="U5852">
            <v>0</v>
          </cell>
          <cell r="V5852">
            <v>0</v>
          </cell>
          <cell r="W5852">
            <v>0</v>
          </cell>
          <cell r="X5852">
            <v>0.1032526</v>
          </cell>
          <cell r="Y5852">
            <v>0</v>
          </cell>
          <cell r="Z5852">
            <v>0</v>
          </cell>
          <cell r="AA5852">
            <v>0</v>
          </cell>
          <cell r="AB5852">
            <v>7.1347999999999995E-2</v>
          </cell>
        </row>
        <row r="5853">
          <cell r="A5853">
            <v>92101900</v>
          </cell>
          <cell r="B5853" t="str">
            <v>Coffee, Latte</v>
          </cell>
          <cell r="I5853">
            <v>360</v>
          </cell>
          <cell r="J5853">
            <v>155.06485000000001</v>
          </cell>
          <cell r="K5853">
            <v>0.43073569444444448</v>
          </cell>
          <cell r="L5853">
            <v>0</v>
          </cell>
          <cell r="M5853">
            <v>3.8166768000000002</v>
          </cell>
          <cell r="N5853">
            <v>0</v>
          </cell>
          <cell r="O5853">
            <v>0.36023539999999998</v>
          </cell>
          <cell r="P5853">
            <v>0</v>
          </cell>
          <cell r="Q5853">
            <v>0.27435530000000002</v>
          </cell>
          <cell r="R5853">
            <v>0</v>
          </cell>
          <cell r="S5853">
            <v>0</v>
          </cell>
          <cell r="T5853">
            <v>0</v>
          </cell>
          <cell r="U5853">
            <v>0</v>
          </cell>
          <cell r="V5853">
            <v>0</v>
          </cell>
          <cell r="W5853">
            <v>0</v>
          </cell>
          <cell r="X5853">
            <v>0.14913019999999999</v>
          </cell>
          <cell r="Y5853">
            <v>0</v>
          </cell>
          <cell r="Z5853">
            <v>0</v>
          </cell>
          <cell r="AA5853">
            <v>0</v>
          </cell>
          <cell r="AB5853">
            <v>0.25430520000000001</v>
          </cell>
        </row>
        <row r="5854">
          <cell r="A5854">
            <v>92101901</v>
          </cell>
          <cell r="B5854" t="str">
            <v>Coffee, Latte, nonfat</v>
          </cell>
          <cell r="I5854">
            <v>360</v>
          </cell>
          <cell r="J5854">
            <v>107.19564</v>
          </cell>
          <cell r="K5854">
            <v>0.29776566666666665</v>
          </cell>
          <cell r="L5854">
            <v>0</v>
          </cell>
          <cell r="M5854">
            <v>0.22349430000000001</v>
          </cell>
          <cell r="N5854">
            <v>0</v>
          </cell>
          <cell r="O5854">
            <v>0.36621910000000002</v>
          </cell>
          <cell r="P5854">
            <v>0</v>
          </cell>
          <cell r="Q5854">
            <v>6.4927499999999999E-2</v>
          </cell>
          <cell r="R5854">
            <v>0</v>
          </cell>
          <cell r="S5854">
            <v>0</v>
          </cell>
          <cell r="T5854">
            <v>0</v>
          </cell>
          <cell r="U5854">
            <v>0</v>
          </cell>
          <cell r="V5854">
            <v>0</v>
          </cell>
          <cell r="W5854">
            <v>0</v>
          </cell>
          <cell r="X5854">
            <v>0.13417109999999999</v>
          </cell>
          <cell r="Y5854">
            <v>0</v>
          </cell>
          <cell r="Z5854">
            <v>0</v>
          </cell>
          <cell r="AA5854">
            <v>0</v>
          </cell>
          <cell r="AB5854">
            <v>0</v>
          </cell>
        </row>
        <row r="5855">
          <cell r="A5855">
            <v>92101903</v>
          </cell>
          <cell r="B5855" t="str">
            <v>Coffee, Latte, with non-dairy milk</v>
          </cell>
          <cell r="I5855">
            <v>360</v>
          </cell>
          <cell r="J5855">
            <v>126.69457</v>
          </cell>
          <cell r="K5855">
            <v>0.35192936111111112</v>
          </cell>
          <cell r="L5855">
            <v>0</v>
          </cell>
          <cell r="M5855">
            <v>0.3626315</v>
          </cell>
          <cell r="N5855">
            <v>0</v>
          </cell>
          <cell r="O5855">
            <v>0.46669890000000003</v>
          </cell>
          <cell r="P5855">
            <v>0.89804349999999999</v>
          </cell>
          <cell r="Q5855">
            <v>1.6513239</v>
          </cell>
          <cell r="R5855">
            <v>0</v>
          </cell>
          <cell r="S5855">
            <v>0</v>
          </cell>
          <cell r="T5855">
            <v>0</v>
          </cell>
          <cell r="U5855">
            <v>0</v>
          </cell>
          <cell r="V5855">
            <v>0</v>
          </cell>
          <cell r="W5855">
            <v>0</v>
          </cell>
          <cell r="X5855">
            <v>0.1731326</v>
          </cell>
          <cell r="Y5855">
            <v>2.9702788</v>
          </cell>
          <cell r="Z5855">
            <v>0</v>
          </cell>
          <cell r="AA5855">
            <v>0</v>
          </cell>
          <cell r="AB5855">
            <v>0</v>
          </cell>
        </row>
        <row r="5856">
          <cell r="A5856">
            <v>92101904</v>
          </cell>
          <cell r="B5856" t="str">
            <v>Coffee, Latte, flavored</v>
          </cell>
          <cell r="I5856">
            <v>360</v>
          </cell>
          <cell r="J5856">
            <v>195.84664000000001</v>
          </cell>
          <cell r="K5856">
            <v>0.54401844444444447</v>
          </cell>
          <cell r="L5856">
            <v>0</v>
          </cell>
          <cell r="M5856">
            <v>3.6909627999999999</v>
          </cell>
          <cell r="N5856">
            <v>0</v>
          </cell>
          <cell r="O5856">
            <v>0.34848849999999998</v>
          </cell>
          <cell r="P5856">
            <v>0</v>
          </cell>
          <cell r="Q5856">
            <v>0.26531860000000002</v>
          </cell>
          <cell r="R5856">
            <v>0</v>
          </cell>
          <cell r="S5856">
            <v>0</v>
          </cell>
          <cell r="T5856">
            <v>0</v>
          </cell>
          <cell r="U5856">
            <v>0</v>
          </cell>
          <cell r="V5856">
            <v>0</v>
          </cell>
          <cell r="W5856">
            <v>0</v>
          </cell>
          <cell r="X5856">
            <v>0.14433679999999999</v>
          </cell>
          <cell r="Y5856">
            <v>0</v>
          </cell>
          <cell r="Z5856">
            <v>0</v>
          </cell>
          <cell r="AA5856">
            <v>0</v>
          </cell>
          <cell r="AB5856">
            <v>0.24592890000000001</v>
          </cell>
        </row>
        <row r="5857">
          <cell r="A5857">
            <v>92101905</v>
          </cell>
          <cell r="B5857" t="str">
            <v>Coffee, Latte, nonfat, flavored</v>
          </cell>
          <cell r="I5857">
            <v>360</v>
          </cell>
          <cell r="J5857">
            <v>149.55414999999999</v>
          </cell>
          <cell r="K5857">
            <v>0.4154281944444444</v>
          </cell>
          <cell r="L5857">
            <v>0</v>
          </cell>
          <cell r="M5857">
            <v>0.21613280000000001</v>
          </cell>
          <cell r="N5857">
            <v>0</v>
          </cell>
          <cell r="O5857">
            <v>0.35427510000000001</v>
          </cell>
          <cell r="P5857">
            <v>0</v>
          </cell>
          <cell r="Q5857">
            <v>6.2788899999999995E-2</v>
          </cell>
          <cell r="R5857">
            <v>0</v>
          </cell>
          <cell r="S5857">
            <v>0</v>
          </cell>
          <cell r="T5857">
            <v>0</v>
          </cell>
          <cell r="U5857">
            <v>0</v>
          </cell>
          <cell r="V5857">
            <v>0</v>
          </cell>
          <cell r="W5857">
            <v>0</v>
          </cell>
          <cell r="X5857">
            <v>0.1298704</v>
          </cell>
          <cell r="Y5857">
            <v>0</v>
          </cell>
          <cell r="Z5857">
            <v>0</v>
          </cell>
          <cell r="AA5857">
            <v>0</v>
          </cell>
          <cell r="AB5857">
            <v>0</v>
          </cell>
        </row>
        <row r="5858">
          <cell r="A5858">
            <v>92101906</v>
          </cell>
          <cell r="B5858" t="str">
            <v>Coffee, Latte, with non-dairy milk, flavored</v>
          </cell>
          <cell r="I5858">
            <v>360</v>
          </cell>
          <cell r="J5858">
            <v>168.30117999999999</v>
          </cell>
          <cell r="K5858">
            <v>0.46750327777777773</v>
          </cell>
          <cell r="L5858">
            <v>0</v>
          </cell>
          <cell r="M5858">
            <v>0.35071849999999999</v>
          </cell>
          <cell r="N5858">
            <v>0</v>
          </cell>
          <cell r="O5858">
            <v>0.45148539999999998</v>
          </cell>
          <cell r="P5858">
            <v>0.86854140000000002</v>
          </cell>
          <cell r="Q5858">
            <v>1.5970754</v>
          </cell>
          <cell r="R5858">
            <v>0</v>
          </cell>
          <cell r="S5858">
            <v>0</v>
          </cell>
          <cell r="T5858">
            <v>0</v>
          </cell>
          <cell r="U5858">
            <v>0</v>
          </cell>
          <cell r="V5858">
            <v>0</v>
          </cell>
          <cell r="W5858">
            <v>0</v>
          </cell>
          <cell r="X5858">
            <v>0.1675632</v>
          </cell>
          <cell r="Y5858">
            <v>2.8727007000000002</v>
          </cell>
          <cell r="Z5858">
            <v>0</v>
          </cell>
          <cell r="AA5858">
            <v>0</v>
          </cell>
          <cell r="AB5858">
            <v>0</v>
          </cell>
        </row>
        <row r="5859">
          <cell r="A5859">
            <v>92101910</v>
          </cell>
          <cell r="B5859" t="str">
            <v>Coffee, Latte, decaffeinated</v>
          </cell>
          <cell r="I5859">
            <v>360</v>
          </cell>
          <cell r="J5859">
            <v>155.73698999999999</v>
          </cell>
          <cell r="K5859">
            <v>0.43260274999999998</v>
          </cell>
          <cell r="L5859">
            <v>0</v>
          </cell>
          <cell r="M5859">
            <v>3.8357752999999999</v>
          </cell>
          <cell r="N5859">
            <v>0</v>
          </cell>
          <cell r="O5859">
            <v>0.36216989999999999</v>
          </cell>
          <cell r="P5859">
            <v>0</v>
          </cell>
          <cell r="Q5859">
            <v>0.2740438</v>
          </cell>
          <cell r="R5859">
            <v>0</v>
          </cell>
          <cell r="S5859">
            <v>0</v>
          </cell>
          <cell r="T5859">
            <v>0</v>
          </cell>
          <cell r="U5859">
            <v>0</v>
          </cell>
          <cell r="V5859">
            <v>0</v>
          </cell>
          <cell r="W5859">
            <v>0</v>
          </cell>
          <cell r="X5859">
            <v>0.1496712</v>
          </cell>
          <cell r="Y5859">
            <v>0</v>
          </cell>
          <cell r="Z5859">
            <v>0</v>
          </cell>
          <cell r="AA5859">
            <v>0</v>
          </cell>
          <cell r="AB5859">
            <v>0.2556986</v>
          </cell>
        </row>
        <row r="5860">
          <cell r="A5860">
            <v>92101917</v>
          </cell>
          <cell r="B5860" t="str">
            <v>Coffee, Latte, decaffeinated, flavored</v>
          </cell>
          <cell r="I5860">
            <v>360</v>
          </cell>
          <cell r="J5860">
            <v>196.71258</v>
          </cell>
          <cell r="K5860">
            <v>0.54642383333333333</v>
          </cell>
          <cell r="L5860">
            <v>0</v>
          </cell>
          <cell r="M5860">
            <v>3.7087629</v>
          </cell>
          <cell r="N5860">
            <v>0</v>
          </cell>
          <cell r="O5860">
            <v>0.35029670000000002</v>
          </cell>
          <cell r="P5860">
            <v>0</v>
          </cell>
          <cell r="Q5860">
            <v>0.26496950000000002</v>
          </cell>
          <cell r="R5860">
            <v>0</v>
          </cell>
          <cell r="S5860">
            <v>0</v>
          </cell>
          <cell r="T5860">
            <v>0</v>
          </cell>
          <cell r="U5860">
            <v>0</v>
          </cell>
          <cell r="V5860">
            <v>0</v>
          </cell>
          <cell r="W5860">
            <v>0</v>
          </cell>
          <cell r="X5860">
            <v>0.1448344</v>
          </cell>
          <cell r="Y5860">
            <v>0</v>
          </cell>
          <cell r="Z5860">
            <v>0</v>
          </cell>
          <cell r="AA5860">
            <v>0</v>
          </cell>
          <cell r="AB5860">
            <v>0.2472318</v>
          </cell>
        </row>
        <row r="5861">
          <cell r="A5861">
            <v>92101918</v>
          </cell>
          <cell r="B5861" t="str">
            <v>Coffee, Latte, decaffeinated, nonfat, flavored</v>
          </cell>
          <cell r="I5861">
            <v>360</v>
          </cell>
          <cell r="J5861">
            <v>150.17482999999999</v>
          </cell>
          <cell r="K5861">
            <v>0.41715230555555549</v>
          </cell>
          <cell r="L5861">
            <v>0</v>
          </cell>
          <cell r="M5861">
            <v>0.2155232</v>
          </cell>
          <cell r="N5861">
            <v>0</v>
          </cell>
          <cell r="O5861">
            <v>0.35611389999999998</v>
          </cell>
          <cell r="P5861">
            <v>0</v>
          </cell>
          <cell r="Q5861">
            <v>6.1366900000000002E-2</v>
          </cell>
          <cell r="R5861">
            <v>0</v>
          </cell>
          <cell r="S5861">
            <v>0</v>
          </cell>
          <cell r="T5861">
            <v>0</v>
          </cell>
          <cell r="U5861">
            <v>0</v>
          </cell>
          <cell r="V5861">
            <v>0</v>
          </cell>
          <cell r="W5861">
            <v>0</v>
          </cell>
          <cell r="X5861">
            <v>0.1302914</v>
          </cell>
          <cell r="Y5861">
            <v>0</v>
          </cell>
          <cell r="Z5861">
            <v>0</v>
          </cell>
          <cell r="AA5861">
            <v>0</v>
          </cell>
          <cell r="AB5861">
            <v>0</v>
          </cell>
        </row>
        <row r="5862">
          <cell r="A5862">
            <v>92101920</v>
          </cell>
          <cell r="B5862" t="str">
            <v>Frozen coffee drink</v>
          </cell>
          <cell r="I5862">
            <v>360</v>
          </cell>
          <cell r="J5862">
            <v>239.90319</v>
          </cell>
          <cell r="K5862">
            <v>0.66639775000000001</v>
          </cell>
          <cell r="L5862">
            <v>0</v>
          </cell>
          <cell r="M5862">
            <v>2.1229418</v>
          </cell>
          <cell r="N5862">
            <v>0</v>
          </cell>
          <cell r="O5862">
            <v>0.20227319999999999</v>
          </cell>
          <cell r="P5862">
            <v>0</v>
          </cell>
          <cell r="Q5862">
            <v>0.1716743</v>
          </cell>
          <cell r="R5862">
            <v>0</v>
          </cell>
          <cell r="S5862">
            <v>0</v>
          </cell>
          <cell r="T5862">
            <v>0</v>
          </cell>
          <cell r="U5862">
            <v>0</v>
          </cell>
          <cell r="V5862">
            <v>0</v>
          </cell>
          <cell r="W5862">
            <v>0</v>
          </cell>
          <cell r="X5862">
            <v>8.8667200000000002E-2</v>
          </cell>
          <cell r="Y5862">
            <v>0</v>
          </cell>
          <cell r="Z5862">
            <v>0</v>
          </cell>
          <cell r="AA5862">
            <v>0</v>
          </cell>
          <cell r="AB5862">
            <v>0.28649809999999998</v>
          </cell>
        </row>
        <row r="5863">
          <cell r="A5863">
            <v>92101921</v>
          </cell>
          <cell r="B5863" t="str">
            <v>Frozen coffee drink, nonfat</v>
          </cell>
          <cell r="I5863">
            <v>360</v>
          </cell>
          <cell r="J5863">
            <v>213.53470999999999</v>
          </cell>
          <cell r="K5863">
            <v>0.59315197222222216</v>
          </cell>
          <cell r="L5863">
            <v>0</v>
          </cell>
          <cell r="M5863">
            <v>0.1436578</v>
          </cell>
          <cell r="N5863">
            <v>0</v>
          </cell>
          <cell r="O5863">
            <v>0.20556920000000001</v>
          </cell>
          <cell r="P5863">
            <v>0</v>
          </cell>
          <cell r="Q5863">
            <v>5.63122E-2</v>
          </cell>
          <cell r="R5863">
            <v>0</v>
          </cell>
          <cell r="S5863">
            <v>0</v>
          </cell>
          <cell r="T5863">
            <v>0</v>
          </cell>
          <cell r="U5863">
            <v>0</v>
          </cell>
          <cell r="V5863">
            <v>0</v>
          </cell>
          <cell r="W5863">
            <v>0</v>
          </cell>
          <cell r="X5863">
            <v>8.0426999999999998E-2</v>
          </cell>
          <cell r="Y5863">
            <v>0</v>
          </cell>
          <cell r="Z5863">
            <v>0</v>
          </cell>
          <cell r="AA5863">
            <v>0</v>
          </cell>
          <cell r="AB5863">
            <v>0</v>
          </cell>
        </row>
        <row r="5864">
          <cell r="A5864">
            <v>92101925</v>
          </cell>
          <cell r="B5864" t="str">
            <v>Frozen coffee drink, with whipped cream</v>
          </cell>
          <cell r="I5864">
            <v>360</v>
          </cell>
          <cell r="J5864">
            <v>292.13429000000002</v>
          </cell>
          <cell r="K5864">
            <v>0.81148413888888893</v>
          </cell>
          <cell r="L5864">
            <v>0</v>
          </cell>
          <cell r="M5864">
            <v>6.4110044000000004</v>
          </cell>
          <cell r="N5864">
            <v>0</v>
          </cell>
          <cell r="O5864">
            <v>0.2041481</v>
          </cell>
          <cell r="P5864">
            <v>0</v>
          </cell>
          <cell r="Q5864">
            <v>0.4625435</v>
          </cell>
          <cell r="R5864">
            <v>0</v>
          </cell>
          <cell r="S5864">
            <v>0</v>
          </cell>
          <cell r="T5864">
            <v>0</v>
          </cell>
          <cell r="U5864">
            <v>0</v>
          </cell>
          <cell r="V5864">
            <v>0</v>
          </cell>
          <cell r="W5864">
            <v>0</v>
          </cell>
          <cell r="X5864">
            <v>8.9120000000000005E-2</v>
          </cell>
          <cell r="Y5864">
            <v>0</v>
          </cell>
          <cell r="Z5864">
            <v>0</v>
          </cell>
          <cell r="AA5864">
            <v>0</v>
          </cell>
          <cell r="AB5864">
            <v>0.58691559999999998</v>
          </cell>
        </row>
        <row r="5865">
          <cell r="A5865">
            <v>92101930</v>
          </cell>
          <cell r="B5865" t="str">
            <v>Frozen coffee drink, decaffeinated</v>
          </cell>
          <cell r="I5865">
            <v>360</v>
          </cell>
          <cell r="J5865">
            <v>240.94657000000001</v>
          </cell>
          <cell r="K5865">
            <v>0.66929602777777775</v>
          </cell>
          <cell r="L5865">
            <v>0</v>
          </cell>
          <cell r="M5865">
            <v>2.1319512</v>
          </cell>
          <cell r="N5865">
            <v>0</v>
          </cell>
          <cell r="O5865">
            <v>0.20325409999999999</v>
          </cell>
          <cell r="P5865">
            <v>0</v>
          </cell>
          <cell r="Q5865">
            <v>0.1708722</v>
          </cell>
          <cell r="R5865">
            <v>0</v>
          </cell>
          <cell r="S5865">
            <v>0</v>
          </cell>
          <cell r="T5865">
            <v>0</v>
          </cell>
          <cell r="U5865">
            <v>0</v>
          </cell>
          <cell r="V5865">
            <v>0</v>
          </cell>
          <cell r="W5865">
            <v>0</v>
          </cell>
          <cell r="X5865">
            <v>8.8859599999999997E-2</v>
          </cell>
          <cell r="Y5865">
            <v>0</v>
          </cell>
          <cell r="Z5865">
            <v>0</v>
          </cell>
          <cell r="AA5865">
            <v>0</v>
          </cell>
          <cell r="AB5865">
            <v>0.32067790000000002</v>
          </cell>
        </row>
        <row r="5866">
          <cell r="A5866">
            <v>92101936</v>
          </cell>
          <cell r="B5866" t="str">
            <v>Frozen coffee drink, decaffeinated, nonfat, with whipped cream</v>
          </cell>
          <cell r="I5866">
            <v>360</v>
          </cell>
          <cell r="J5866">
            <v>268.28284000000002</v>
          </cell>
          <cell r="K5866">
            <v>0.74523011111111115</v>
          </cell>
          <cell r="L5866">
            <v>0</v>
          </cell>
          <cell r="M5866">
            <v>4.5567903000000003</v>
          </cell>
          <cell r="N5866">
            <v>0</v>
          </cell>
          <cell r="O5866">
            <v>0.20822160000000001</v>
          </cell>
          <cell r="P5866">
            <v>0</v>
          </cell>
          <cell r="Q5866">
            <v>0.35340949999999999</v>
          </cell>
          <cell r="R5866">
            <v>0</v>
          </cell>
          <cell r="S5866">
            <v>0</v>
          </cell>
          <cell r="T5866">
            <v>0</v>
          </cell>
          <cell r="U5866">
            <v>0</v>
          </cell>
          <cell r="V5866">
            <v>0</v>
          </cell>
          <cell r="W5866">
            <v>0</v>
          </cell>
          <cell r="X5866">
            <v>8.1464400000000006E-2</v>
          </cell>
          <cell r="Y5866">
            <v>0</v>
          </cell>
          <cell r="Z5866">
            <v>0</v>
          </cell>
          <cell r="AA5866">
            <v>0</v>
          </cell>
          <cell r="AB5866">
            <v>0.2572006</v>
          </cell>
        </row>
        <row r="5867">
          <cell r="A5867">
            <v>92101950</v>
          </cell>
          <cell r="B5867" t="str">
            <v>Coffee, Cafe Mocha</v>
          </cell>
          <cell r="I5867">
            <v>360</v>
          </cell>
          <cell r="J5867">
            <v>231.45093</v>
          </cell>
          <cell r="K5867">
            <v>0.64291925000000005</v>
          </cell>
          <cell r="L5867">
            <v>0</v>
          </cell>
          <cell r="M5867">
            <v>3.478405</v>
          </cell>
          <cell r="N5867">
            <v>0</v>
          </cell>
          <cell r="O5867">
            <v>0.32842729999999998</v>
          </cell>
          <cell r="P5867">
            <v>0</v>
          </cell>
          <cell r="Q5867">
            <v>0.2485118</v>
          </cell>
          <cell r="R5867">
            <v>0</v>
          </cell>
          <cell r="S5867">
            <v>0</v>
          </cell>
          <cell r="T5867">
            <v>0</v>
          </cell>
          <cell r="U5867">
            <v>0</v>
          </cell>
          <cell r="V5867">
            <v>0</v>
          </cell>
          <cell r="W5867">
            <v>0</v>
          </cell>
          <cell r="X5867">
            <v>0.18603729999999999</v>
          </cell>
          <cell r="Y5867">
            <v>0</v>
          </cell>
          <cell r="Z5867">
            <v>0</v>
          </cell>
          <cell r="AA5867">
            <v>0</v>
          </cell>
          <cell r="AB5867">
            <v>0.23187579999999999</v>
          </cell>
        </row>
        <row r="5868">
          <cell r="A5868">
            <v>92101955</v>
          </cell>
          <cell r="B5868" t="str">
            <v>Coffee, Cafe Mocha, nonfat</v>
          </cell>
          <cell r="I5868">
            <v>360</v>
          </cell>
          <cell r="J5868">
            <v>187.03534999999999</v>
          </cell>
          <cell r="K5868">
            <v>0.51954263888888885</v>
          </cell>
          <cell r="L5868">
            <v>0</v>
          </cell>
          <cell r="M5868">
            <v>0.20277480000000001</v>
          </cell>
          <cell r="N5868">
            <v>0</v>
          </cell>
          <cell r="O5868">
            <v>0.33226800000000001</v>
          </cell>
          <cell r="P5868">
            <v>0</v>
          </cell>
          <cell r="Q5868">
            <v>5.8908299999999997E-2</v>
          </cell>
          <cell r="R5868">
            <v>0</v>
          </cell>
          <cell r="S5868">
            <v>0</v>
          </cell>
          <cell r="T5868">
            <v>0</v>
          </cell>
          <cell r="U5868">
            <v>0</v>
          </cell>
          <cell r="V5868">
            <v>0</v>
          </cell>
          <cell r="W5868">
            <v>0</v>
          </cell>
          <cell r="X5868">
            <v>0.17179430000000001</v>
          </cell>
          <cell r="Y5868">
            <v>0</v>
          </cell>
          <cell r="Z5868">
            <v>0</v>
          </cell>
          <cell r="AA5868">
            <v>0</v>
          </cell>
          <cell r="AB5868">
            <v>0</v>
          </cell>
        </row>
        <row r="5869">
          <cell r="A5869">
            <v>92101960</v>
          </cell>
          <cell r="B5869" t="str">
            <v>Coffee, Cafe Mocha, with non-dairy milk</v>
          </cell>
          <cell r="I5869">
            <v>360</v>
          </cell>
          <cell r="J5869">
            <v>204.53416000000001</v>
          </cell>
          <cell r="K5869">
            <v>0.56815044444444451</v>
          </cell>
          <cell r="L5869">
            <v>-2E-16</v>
          </cell>
          <cell r="M5869">
            <v>0.3290959</v>
          </cell>
          <cell r="N5869">
            <v>0</v>
          </cell>
          <cell r="O5869">
            <v>0.42353930000000001</v>
          </cell>
          <cell r="P5869">
            <v>0.81499379999999999</v>
          </cell>
          <cell r="Q5869">
            <v>1.4986120999999999</v>
          </cell>
          <cell r="R5869">
            <v>0</v>
          </cell>
          <cell r="S5869">
            <v>0</v>
          </cell>
          <cell r="T5869">
            <v>0</v>
          </cell>
          <cell r="U5869">
            <v>0</v>
          </cell>
          <cell r="V5869">
            <v>0</v>
          </cell>
          <cell r="W5869">
            <v>0</v>
          </cell>
          <cell r="X5869">
            <v>0.20705989999999999</v>
          </cell>
          <cell r="Y5869">
            <v>2.6955920999999998</v>
          </cell>
          <cell r="Z5869">
            <v>0</v>
          </cell>
          <cell r="AA5869">
            <v>0</v>
          </cell>
          <cell r="AB5869">
            <v>0</v>
          </cell>
        </row>
        <row r="5870">
          <cell r="A5870">
            <v>92102000</v>
          </cell>
          <cell r="B5870" t="str">
            <v>Frozen mocha coffee drink</v>
          </cell>
          <cell r="I5870">
            <v>360</v>
          </cell>
          <cell r="J5870">
            <v>236.23116999999999</v>
          </cell>
          <cell r="K5870">
            <v>0.65619769444444442</v>
          </cell>
          <cell r="L5870">
            <v>0</v>
          </cell>
          <cell r="M5870">
            <v>2.0585713000000001</v>
          </cell>
          <cell r="N5870">
            <v>0</v>
          </cell>
          <cell r="O5870">
            <v>0.1959216</v>
          </cell>
          <cell r="P5870">
            <v>0</v>
          </cell>
          <cell r="Q5870">
            <v>0.1664689</v>
          </cell>
          <cell r="R5870">
            <v>0</v>
          </cell>
          <cell r="S5870">
            <v>0</v>
          </cell>
          <cell r="T5870">
            <v>0</v>
          </cell>
          <cell r="U5870">
            <v>0</v>
          </cell>
          <cell r="V5870">
            <v>0</v>
          </cell>
          <cell r="W5870">
            <v>0</v>
          </cell>
          <cell r="X5870">
            <v>0.134881</v>
          </cell>
          <cell r="Y5870">
            <v>0</v>
          </cell>
          <cell r="Z5870">
            <v>0</v>
          </cell>
          <cell r="AA5870">
            <v>0</v>
          </cell>
          <cell r="AB5870">
            <v>0.13583509999999999</v>
          </cell>
        </row>
        <row r="5871">
          <cell r="A5871">
            <v>92102030</v>
          </cell>
          <cell r="B5871" t="str">
            <v>Frozen mocha coffee drink, with whipped cream</v>
          </cell>
          <cell r="I5871">
            <v>360</v>
          </cell>
          <cell r="J5871">
            <v>287.14947999999998</v>
          </cell>
          <cell r="K5871">
            <v>0.7976374444444444</v>
          </cell>
          <cell r="L5871">
            <v>0</v>
          </cell>
          <cell r="M5871">
            <v>6.2266342999999997</v>
          </cell>
          <cell r="N5871">
            <v>0</v>
          </cell>
          <cell r="O5871">
            <v>0.1980701</v>
          </cell>
          <cell r="P5871">
            <v>0</v>
          </cell>
          <cell r="Q5871">
            <v>0.44924150000000002</v>
          </cell>
          <cell r="R5871">
            <v>0</v>
          </cell>
          <cell r="S5871">
            <v>0</v>
          </cell>
          <cell r="T5871">
            <v>0</v>
          </cell>
          <cell r="U5871">
            <v>0</v>
          </cell>
          <cell r="V5871">
            <v>0</v>
          </cell>
          <cell r="W5871">
            <v>0</v>
          </cell>
          <cell r="X5871">
            <v>0.13293859999999999</v>
          </cell>
          <cell r="Y5871">
            <v>0</v>
          </cell>
          <cell r="Z5871">
            <v>0</v>
          </cell>
          <cell r="AA5871">
            <v>0</v>
          </cell>
          <cell r="AB5871">
            <v>0.35820449999999998</v>
          </cell>
        </row>
        <row r="5872">
          <cell r="A5872">
            <v>92102040</v>
          </cell>
          <cell r="B5872" t="str">
            <v>Frozen mocha coffee drink, nonfat, with whipped cream</v>
          </cell>
          <cell r="I5872">
            <v>360</v>
          </cell>
          <cell r="J5872">
            <v>262.89857999999998</v>
          </cell>
          <cell r="K5872">
            <v>0.73027383333333329</v>
          </cell>
          <cell r="L5872">
            <v>0</v>
          </cell>
          <cell r="M5872">
            <v>4.406301</v>
          </cell>
          <cell r="N5872">
            <v>0</v>
          </cell>
          <cell r="O5872">
            <v>0.20110149999999999</v>
          </cell>
          <cell r="P5872">
            <v>0</v>
          </cell>
          <cell r="Q5872">
            <v>0.3431438</v>
          </cell>
          <cell r="R5872">
            <v>0</v>
          </cell>
          <cell r="S5872">
            <v>0</v>
          </cell>
          <cell r="T5872">
            <v>0</v>
          </cell>
          <cell r="U5872">
            <v>0</v>
          </cell>
          <cell r="V5872">
            <v>0</v>
          </cell>
          <cell r="W5872">
            <v>0</v>
          </cell>
          <cell r="X5872">
            <v>0.1253602</v>
          </cell>
          <cell r="Y5872">
            <v>0</v>
          </cell>
          <cell r="Z5872">
            <v>0</v>
          </cell>
          <cell r="AA5872">
            <v>0</v>
          </cell>
          <cell r="AB5872">
            <v>0.24083470000000001</v>
          </cell>
        </row>
        <row r="5873">
          <cell r="A5873">
            <v>92102400</v>
          </cell>
          <cell r="B5873" t="str">
            <v>Iced Coffee, brewed</v>
          </cell>
          <cell r="I5873">
            <v>360</v>
          </cell>
          <cell r="J5873">
            <v>2.7515923999999998</v>
          </cell>
          <cell r="K5873">
            <v>7.6433122222222217E-3</v>
          </cell>
          <cell r="L5873">
            <v>0</v>
          </cell>
          <cell r="M5873">
            <v>5.5031999999999998E-3</v>
          </cell>
          <cell r="N5873">
            <v>0</v>
          </cell>
          <cell r="O5873">
            <v>8.0484000000000007E-3</v>
          </cell>
          <cell r="P5873">
            <v>0</v>
          </cell>
          <cell r="Q5873">
            <v>2.7515999999999999E-3</v>
          </cell>
          <cell r="R5873">
            <v>0</v>
          </cell>
          <cell r="S5873">
            <v>0</v>
          </cell>
          <cell r="T5873">
            <v>0</v>
          </cell>
          <cell r="U5873">
            <v>0</v>
          </cell>
          <cell r="V5873">
            <v>0</v>
          </cell>
          <cell r="W5873">
            <v>0</v>
          </cell>
          <cell r="X5873">
            <v>8.0484000000000007E-3</v>
          </cell>
          <cell r="Y5873">
            <v>0</v>
          </cell>
          <cell r="Z5873">
            <v>0</v>
          </cell>
          <cell r="AA5873">
            <v>0</v>
          </cell>
          <cell r="AB5873">
            <v>0</v>
          </cell>
        </row>
        <row r="5874">
          <cell r="A5874">
            <v>92102401</v>
          </cell>
          <cell r="B5874" t="str">
            <v>Iced Coffee, brewed, decaffeinated</v>
          </cell>
          <cell r="I5874">
            <v>360</v>
          </cell>
          <cell r="J5874">
            <v>0</v>
          </cell>
          <cell r="K5874">
            <v>0</v>
          </cell>
          <cell r="L5874">
            <v>0</v>
          </cell>
          <cell r="M5874">
            <v>5.5031999999999998E-3</v>
          </cell>
          <cell r="N5874">
            <v>0</v>
          </cell>
          <cell r="O5874">
            <v>8.0484000000000007E-3</v>
          </cell>
          <cell r="P5874">
            <v>0</v>
          </cell>
          <cell r="Q5874">
            <v>5.5031999999999998E-3</v>
          </cell>
          <cell r="R5874">
            <v>0</v>
          </cell>
          <cell r="S5874">
            <v>0</v>
          </cell>
          <cell r="T5874">
            <v>0</v>
          </cell>
          <cell r="U5874">
            <v>0</v>
          </cell>
          <cell r="V5874">
            <v>0</v>
          </cell>
          <cell r="W5874">
            <v>0</v>
          </cell>
          <cell r="X5874">
            <v>8.0484000000000007E-3</v>
          </cell>
          <cell r="Y5874">
            <v>0</v>
          </cell>
          <cell r="Z5874">
            <v>0</v>
          </cell>
          <cell r="AA5874">
            <v>0</v>
          </cell>
          <cell r="AB5874">
            <v>0</v>
          </cell>
        </row>
        <row r="5875">
          <cell r="A5875">
            <v>92102450</v>
          </cell>
          <cell r="B5875" t="str">
            <v>Iced Coffee, pre-lightened and pre-sweetened</v>
          </cell>
          <cell r="I5875">
            <v>360</v>
          </cell>
          <cell r="J5875">
            <v>107.89734</v>
          </cell>
          <cell r="K5875">
            <v>0.29971483333333332</v>
          </cell>
          <cell r="L5875">
            <v>0</v>
          </cell>
          <cell r="M5875">
            <v>2.0942965999999998</v>
          </cell>
          <cell r="N5875">
            <v>0</v>
          </cell>
          <cell r="O5875">
            <v>2.6062399999999999E-2</v>
          </cell>
          <cell r="P5875">
            <v>0</v>
          </cell>
          <cell r="Q5875">
            <v>0.1644639</v>
          </cell>
          <cell r="R5875">
            <v>0</v>
          </cell>
          <cell r="S5875">
            <v>0</v>
          </cell>
          <cell r="T5875">
            <v>0</v>
          </cell>
          <cell r="U5875">
            <v>0</v>
          </cell>
          <cell r="V5875">
            <v>0</v>
          </cell>
          <cell r="W5875">
            <v>0</v>
          </cell>
          <cell r="X5875">
            <v>2.2161199999999999E-2</v>
          </cell>
          <cell r="Y5875">
            <v>0</v>
          </cell>
          <cell r="Z5875">
            <v>0</v>
          </cell>
          <cell r="AA5875">
            <v>0</v>
          </cell>
          <cell r="AB5875">
            <v>0.1961348</v>
          </cell>
        </row>
        <row r="5876">
          <cell r="A5876">
            <v>92102500</v>
          </cell>
          <cell r="B5876" t="str">
            <v>Coffee, Iced Latte</v>
          </cell>
          <cell r="I5876">
            <v>360</v>
          </cell>
          <cell r="J5876">
            <v>98.170787000000004</v>
          </cell>
          <cell r="K5876">
            <v>0.27269663055555554</v>
          </cell>
          <cell r="L5876">
            <v>0</v>
          </cell>
          <cell r="M5876">
            <v>2.3838371</v>
          </cell>
          <cell r="N5876">
            <v>0</v>
          </cell>
          <cell r="O5876">
            <v>0.2266888</v>
          </cell>
          <cell r="P5876">
            <v>0</v>
          </cell>
          <cell r="Q5876">
            <v>0.1927719</v>
          </cell>
          <cell r="R5876">
            <v>0</v>
          </cell>
          <cell r="S5876">
            <v>0</v>
          </cell>
          <cell r="T5876">
            <v>0</v>
          </cell>
          <cell r="U5876">
            <v>0</v>
          </cell>
          <cell r="V5876">
            <v>0</v>
          </cell>
          <cell r="W5876">
            <v>0</v>
          </cell>
          <cell r="X5876">
            <v>9.9121299999999996E-2</v>
          </cell>
          <cell r="Y5876">
            <v>0</v>
          </cell>
          <cell r="Z5876">
            <v>0</v>
          </cell>
          <cell r="AA5876">
            <v>0</v>
          </cell>
          <cell r="AB5876">
            <v>0.15729779999999999</v>
          </cell>
        </row>
        <row r="5877">
          <cell r="A5877">
            <v>92102501</v>
          </cell>
          <cell r="B5877" t="str">
            <v>Coffee, Iced Latte, nonfat</v>
          </cell>
          <cell r="I5877">
            <v>360</v>
          </cell>
          <cell r="J5877">
            <v>68.561797999999996</v>
          </cell>
          <cell r="K5877">
            <v>0.19044943888888888</v>
          </cell>
          <cell r="L5877">
            <v>0</v>
          </cell>
          <cell r="M5877">
            <v>0.16131239999999999</v>
          </cell>
          <cell r="N5877">
            <v>0</v>
          </cell>
          <cell r="O5877">
            <v>0.23038990000000001</v>
          </cell>
          <cell r="P5877">
            <v>0</v>
          </cell>
          <cell r="Q5877">
            <v>6.32326E-2</v>
          </cell>
          <cell r="R5877">
            <v>0</v>
          </cell>
          <cell r="S5877">
            <v>0</v>
          </cell>
          <cell r="T5877">
            <v>0</v>
          </cell>
          <cell r="U5877">
            <v>0</v>
          </cell>
          <cell r="V5877">
            <v>0</v>
          </cell>
          <cell r="W5877">
            <v>0</v>
          </cell>
          <cell r="X5877">
            <v>8.9868500000000004E-2</v>
          </cell>
          <cell r="Y5877">
            <v>0</v>
          </cell>
          <cell r="Z5877">
            <v>0</v>
          </cell>
          <cell r="AA5877">
            <v>0</v>
          </cell>
          <cell r="AB5877">
            <v>0</v>
          </cell>
        </row>
        <row r="5878">
          <cell r="A5878">
            <v>92102503</v>
          </cell>
          <cell r="B5878" t="str">
            <v>Coffee, Iced Latte, flavored</v>
          </cell>
          <cell r="I5878">
            <v>360</v>
          </cell>
          <cell r="J5878">
            <v>142.09986000000001</v>
          </cell>
          <cell r="K5878">
            <v>0.39472183333333333</v>
          </cell>
          <cell r="L5878">
            <v>0</v>
          </cell>
          <cell r="M5878">
            <v>2.3029742</v>
          </cell>
          <cell r="N5878">
            <v>0</v>
          </cell>
          <cell r="O5878">
            <v>0.21912129999999999</v>
          </cell>
          <cell r="P5878">
            <v>0</v>
          </cell>
          <cell r="Q5878">
            <v>0.1862328</v>
          </cell>
          <cell r="R5878">
            <v>0</v>
          </cell>
          <cell r="S5878">
            <v>0</v>
          </cell>
          <cell r="T5878">
            <v>0</v>
          </cell>
          <cell r="U5878">
            <v>0</v>
          </cell>
          <cell r="V5878">
            <v>0</v>
          </cell>
          <cell r="W5878">
            <v>0</v>
          </cell>
          <cell r="X5878">
            <v>9.5881099999999997E-2</v>
          </cell>
          <cell r="Y5878">
            <v>0</v>
          </cell>
          <cell r="Z5878">
            <v>0</v>
          </cell>
          <cell r="AA5878">
            <v>0</v>
          </cell>
          <cell r="AB5878">
            <v>0.15196200000000001</v>
          </cell>
        </row>
        <row r="5879">
          <cell r="A5879">
            <v>92102600</v>
          </cell>
          <cell r="B5879" t="str">
            <v>Coffee, Iced Cafe Mocha</v>
          </cell>
          <cell r="I5879">
            <v>360</v>
          </cell>
          <cell r="J5879">
            <v>181.10240999999999</v>
          </cell>
          <cell r="K5879">
            <v>0.50306224999999993</v>
          </cell>
          <cell r="L5879">
            <v>0</v>
          </cell>
          <cell r="M5879">
            <v>2.1566607000000002</v>
          </cell>
          <cell r="N5879">
            <v>0</v>
          </cell>
          <cell r="O5879">
            <v>0.20508560000000001</v>
          </cell>
          <cell r="P5879">
            <v>0</v>
          </cell>
          <cell r="Q5879">
            <v>0.174401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  <cell r="V5879">
            <v>0</v>
          </cell>
          <cell r="W5879">
            <v>0</v>
          </cell>
          <cell r="X5879">
            <v>0.1411365</v>
          </cell>
          <cell r="Y5879">
            <v>0</v>
          </cell>
          <cell r="Z5879">
            <v>0</v>
          </cell>
          <cell r="AA5879">
            <v>0</v>
          </cell>
          <cell r="AB5879">
            <v>0.1423075</v>
          </cell>
        </row>
        <row r="5880">
          <cell r="A5880">
            <v>92102602</v>
          </cell>
          <cell r="B5880" t="str">
            <v>Coffee, Iced Cafe Mocha, with non-dairy milk</v>
          </cell>
          <cell r="I5880">
            <v>360</v>
          </cell>
          <cell r="J5880">
            <v>165.14829</v>
          </cell>
          <cell r="K5880">
            <v>0.45874524999999999</v>
          </cell>
          <cell r="L5880">
            <v>0</v>
          </cell>
          <cell r="M5880">
            <v>0.2241582</v>
          </cell>
          <cell r="N5880">
            <v>0</v>
          </cell>
          <cell r="O5880">
            <v>0.26526840000000002</v>
          </cell>
          <cell r="P5880">
            <v>0.50372620000000001</v>
          </cell>
          <cell r="Q5880">
            <v>0.94700530000000005</v>
          </cell>
          <cell r="R5880">
            <v>0</v>
          </cell>
          <cell r="S5880">
            <v>0</v>
          </cell>
          <cell r="T5880">
            <v>0</v>
          </cell>
          <cell r="U5880">
            <v>0</v>
          </cell>
          <cell r="V5880">
            <v>0</v>
          </cell>
          <cell r="W5880">
            <v>0</v>
          </cell>
          <cell r="X5880">
            <v>0.15464030000000001</v>
          </cell>
          <cell r="Y5880">
            <v>1.6660744999999999</v>
          </cell>
          <cell r="Z5880">
            <v>0</v>
          </cell>
          <cell r="AA5880">
            <v>0</v>
          </cell>
          <cell r="AB5880">
            <v>0</v>
          </cell>
        </row>
        <row r="5881">
          <cell r="A5881">
            <v>92103000</v>
          </cell>
          <cell r="B5881" t="str">
            <v>Coffee, instant, reconstituted</v>
          </cell>
          <cell r="I5881">
            <v>360</v>
          </cell>
          <cell r="J5881">
            <v>10.634309999999999</v>
          </cell>
          <cell r="K5881">
            <v>2.9539749999999997E-2</v>
          </cell>
          <cell r="L5881">
            <v>0</v>
          </cell>
          <cell r="M5881">
            <v>5.9347000000000002E-3</v>
          </cell>
          <cell r="N5881">
            <v>0</v>
          </cell>
          <cell r="O5881">
            <v>1.49573E-2</v>
          </cell>
          <cell r="P5881">
            <v>0</v>
          </cell>
          <cell r="Q5881">
            <v>5.9046000000000003E-3</v>
          </cell>
          <cell r="R5881">
            <v>0</v>
          </cell>
          <cell r="S5881">
            <v>0</v>
          </cell>
          <cell r="T5881">
            <v>0</v>
          </cell>
          <cell r="U5881">
            <v>0</v>
          </cell>
          <cell r="V5881">
            <v>0</v>
          </cell>
          <cell r="W5881">
            <v>0</v>
          </cell>
          <cell r="X5881">
            <v>1.5394100000000001E-2</v>
          </cell>
          <cell r="Y5881">
            <v>0</v>
          </cell>
          <cell r="Z5881">
            <v>0</v>
          </cell>
          <cell r="AA5881">
            <v>0</v>
          </cell>
          <cell r="AB5881">
            <v>0</v>
          </cell>
        </row>
        <row r="5882">
          <cell r="A5882">
            <v>92104000</v>
          </cell>
          <cell r="B5882" t="str">
            <v>Coffee, instant, 50% less caffeine, reconstituted</v>
          </cell>
          <cell r="I5882">
            <v>360</v>
          </cell>
          <cell r="J5882">
            <v>10.613065000000001</v>
          </cell>
          <cell r="K5882">
            <v>2.9480736111111114E-2</v>
          </cell>
          <cell r="L5882">
            <v>0</v>
          </cell>
          <cell r="M5882">
            <v>5.9397E-3</v>
          </cell>
          <cell r="N5882">
            <v>0</v>
          </cell>
          <cell r="O5882">
            <v>1.49608E-2</v>
          </cell>
          <cell r="P5882">
            <v>0</v>
          </cell>
          <cell r="Q5882">
            <v>5.9094999999999998E-3</v>
          </cell>
          <cell r="R5882">
            <v>0</v>
          </cell>
          <cell r="S5882">
            <v>0</v>
          </cell>
          <cell r="T5882">
            <v>0</v>
          </cell>
          <cell r="U5882">
            <v>0</v>
          </cell>
          <cell r="V5882">
            <v>0</v>
          </cell>
          <cell r="W5882">
            <v>0</v>
          </cell>
          <cell r="X5882">
            <v>1.5395000000000001E-2</v>
          </cell>
          <cell r="Y5882">
            <v>0</v>
          </cell>
          <cell r="Z5882">
            <v>0</v>
          </cell>
          <cell r="AA5882">
            <v>0</v>
          </cell>
          <cell r="AB5882">
            <v>0</v>
          </cell>
        </row>
        <row r="5883">
          <cell r="A5883">
            <v>92111000</v>
          </cell>
          <cell r="B5883" t="str">
            <v>Coffee, NS as to brewed or instant, decaffeinated</v>
          </cell>
          <cell r="I5883">
            <v>360</v>
          </cell>
          <cell r="J5883">
            <v>0</v>
          </cell>
          <cell r="K5883">
            <v>0</v>
          </cell>
          <cell r="L5883">
            <v>0</v>
          </cell>
          <cell r="M5883">
            <v>7.1999999999999998E-3</v>
          </cell>
          <cell r="N5883">
            <v>0</v>
          </cell>
          <cell r="O5883">
            <v>7.1999999999999998E-3</v>
          </cell>
          <cell r="P5883">
            <v>0</v>
          </cell>
          <cell r="Q5883">
            <v>7.1999999999999998E-3</v>
          </cell>
          <cell r="R5883">
            <v>0</v>
          </cell>
          <cell r="S5883">
            <v>0</v>
          </cell>
          <cell r="T5883">
            <v>0</v>
          </cell>
          <cell r="U5883">
            <v>0</v>
          </cell>
          <cell r="V5883">
            <v>0</v>
          </cell>
          <cell r="W5883">
            <v>0</v>
          </cell>
          <cell r="X5883">
            <v>7.1999999999999998E-3</v>
          </cell>
          <cell r="Y5883">
            <v>0</v>
          </cell>
          <cell r="Z5883">
            <v>0</v>
          </cell>
          <cell r="AA5883">
            <v>0</v>
          </cell>
          <cell r="AB5883">
            <v>0</v>
          </cell>
        </row>
        <row r="5884">
          <cell r="A5884">
            <v>92111010</v>
          </cell>
          <cell r="B5884" t="str">
            <v>Coffee, brewed, decaffeinated</v>
          </cell>
          <cell r="I5884">
            <v>360</v>
          </cell>
          <cell r="J5884">
            <v>0</v>
          </cell>
          <cell r="K5884">
            <v>0</v>
          </cell>
          <cell r="L5884">
            <v>0</v>
          </cell>
          <cell r="M5884">
            <v>7.1999999999999998E-3</v>
          </cell>
          <cell r="N5884">
            <v>0</v>
          </cell>
          <cell r="O5884">
            <v>7.1999999999999998E-3</v>
          </cell>
          <cell r="P5884">
            <v>0</v>
          </cell>
          <cell r="Q5884">
            <v>7.1999999999999998E-3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  <cell r="V5884">
            <v>0</v>
          </cell>
          <cell r="W5884">
            <v>0</v>
          </cell>
          <cell r="X5884">
            <v>7.1999999999999998E-3</v>
          </cell>
          <cell r="Y5884">
            <v>0</v>
          </cell>
          <cell r="Z5884">
            <v>0</v>
          </cell>
          <cell r="AA5884">
            <v>0</v>
          </cell>
          <cell r="AB5884">
            <v>0</v>
          </cell>
        </row>
        <row r="5885">
          <cell r="A5885">
            <v>92114000</v>
          </cell>
          <cell r="B5885" t="str">
            <v>Coffee, instant, decaffeinated, reconstituted</v>
          </cell>
          <cell r="I5885">
            <v>360</v>
          </cell>
          <cell r="J5885">
            <v>10.574059</v>
          </cell>
          <cell r="K5885">
            <v>2.937238611111111E-2</v>
          </cell>
          <cell r="L5885">
            <v>0</v>
          </cell>
          <cell r="M5885">
            <v>3.0427000000000002E-3</v>
          </cell>
          <cell r="N5885">
            <v>0</v>
          </cell>
          <cell r="O5885">
            <v>1.49272E-2</v>
          </cell>
          <cell r="P5885">
            <v>0</v>
          </cell>
          <cell r="Q5885">
            <v>3.0427000000000002E-3</v>
          </cell>
          <cell r="R5885">
            <v>0</v>
          </cell>
          <cell r="S5885">
            <v>0</v>
          </cell>
          <cell r="T5885">
            <v>0</v>
          </cell>
          <cell r="U5885">
            <v>0</v>
          </cell>
          <cell r="V5885">
            <v>0</v>
          </cell>
          <cell r="W5885">
            <v>0</v>
          </cell>
          <cell r="X5885">
            <v>1.49724E-2</v>
          </cell>
          <cell r="Y5885">
            <v>0</v>
          </cell>
          <cell r="Z5885">
            <v>0</v>
          </cell>
          <cell r="AA5885">
            <v>0</v>
          </cell>
          <cell r="AB5885">
            <v>0</v>
          </cell>
        </row>
        <row r="5886">
          <cell r="A5886">
            <v>92121000</v>
          </cell>
          <cell r="B5886" t="str">
            <v>Coffee, instant, pre-lightened and pre-sweetened with sugar, reconstituted</v>
          </cell>
          <cell r="I5886">
            <v>360</v>
          </cell>
          <cell r="J5886">
            <v>95.415062000000006</v>
          </cell>
          <cell r="K5886">
            <v>0.26504183888888888</v>
          </cell>
          <cell r="L5886">
            <v>0</v>
          </cell>
          <cell r="M5886">
            <v>1.4309453000000001</v>
          </cell>
          <cell r="N5886">
            <v>0</v>
          </cell>
          <cell r="O5886">
            <v>1.44222E-2</v>
          </cell>
          <cell r="P5886">
            <v>0</v>
          </cell>
          <cell r="Q5886">
            <v>3.5961300000000002E-2</v>
          </cell>
          <cell r="R5886">
            <v>0</v>
          </cell>
          <cell r="S5886">
            <v>0</v>
          </cell>
          <cell r="T5886">
            <v>0</v>
          </cell>
          <cell r="U5886">
            <v>0</v>
          </cell>
          <cell r="V5886">
            <v>0</v>
          </cell>
          <cell r="W5886">
            <v>0</v>
          </cell>
          <cell r="X5886">
            <v>2.3917899999999999E-2</v>
          </cell>
          <cell r="Y5886">
            <v>0</v>
          </cell>
          <cell r="Z5886">
            <v>0</v>
          </cell>
          <cell r="AA5886">
            <v>0</v>
          </cell>
          <cell r="AB5886">
            <v>0.41250120000000001</v>
          </cell>
        </row>
        <row r="5887">
          <cell r="A5887">
            <v>92121001</v>
          </cell>
          <cell r="B5887" t="str">
            <v>Coffee, instant, decaffeinated, pre-lightened and pre-sweetened with sugar, reconsitituted</v>
          </cell>
          <cell r="I5887">
            <v>360</v>
          </cell>
          <cell r="J5887">
            <v>95.358045000000004</v>
          </cell>
          <cell r="K5887">
            <v>0.26488345833333332</v>
          </cell>
          <cell r="L5887">
            <v>0</v>
          </cell>
          <cell r="M5887">
            <v>1.4282085</v>
          </cell>
          <cell r="N5887">
            <v>0</v>
          </cell>
          <cell r="O5887">
            <v>1.4393700000000001E-2</v>
          </cell>
          <cell r="P5887">
            <v>0</v>
          </cell>
          <cell r="Q5887">
            <v>3.3252999999999998E-2</v>
          </cell>
          <cell r="R5887">
            <v>0</v>
          </cell>
          <cell r="S5887">
            <v>0</v>
          </cell>
          <cell r="T5887">
            <v>0</v>
          </cell>
          <cell r="U5887">
            <v>0</v>
          </cell>
          <cell r="V5887">
            <v>0</v>
          </cell>
          <cell r="W5887">
            <v>0</v>
          </cell>
          <cell r="X5887">
            <v>2.35187E-2</v>
          </cell>
          <cell r="Y5887">
            <v>0</v>
          </cell>
          <cell r="Z5887">
            <v>0</v>
          </cell>
          <cell r="AA5887">
            <v>0</v>
          </cell>
          <cell r="AB5887">
            <v>0.41250120000000001</v>
          </cell>
        </row>
        <row r="5888">
          <cell r="A5888">
            <v>92121010</v>
          </cell>
          <cell r="B5888" t="str">
            <v>Coffee, instant, pre-sweetened with sugar, reconstituted</v>
          </cell>
          <cell r="I5888">
            <v>360</v>
          </cell>
          <cell r="J5888">
            <v>57.216712000000001</v>
          </cell>
          <cell r="K5888">
            <v>0.15893531111111112</v>
          </cell>
          <cell r="L5888">
            <v>0</v>
          </cell>
          <cell r="M5888">
            <v>5.7348E-3</v>
          </cell>
          <cell r="N5888">
            <v>0</v>
          </cell>
          <cell r="O5888">
            <v>1.4574699999999999E-2</v>
          </cell>
          <cell r="P5888">
            <v>0</v>
          </cell>
          <cell r="Q5888">
            <v>5.7057000000000002E-3</v>
          </cell>
          <cell r="R5888">
            <v>0</v>
          </cell>
          <cell r="S5888">
            <v>0</v>
          </cell>
          <cell r="T5888">
            <v>0</v>
          </cell>
          <cell r="U5888">
            <v>0</v>
          </cell>
          <cell r="V5888">
            <v>0</v>
          </cell>
          <cell r="W5888">
            <v>0</v>
          </cell>
          <cell r="X5888">
            <v>1.4996799999999999E-2</v>
          </cell>
          <cell r="Y5888">
            <v>0</v>
          </cell>
          <cell r="Z5888">
            <v>0</v>
          </cell>
          <cell r="AA5888">
            <v>0</v>
          </cell>
          <cell r="AB5888">
            <v>0</v>
          </cell>
        </row>
        <row r="5889">
          <cell r="A5889">
            <v>92121020</v>
          </cell>
          <cell r="B5889" t="str">
            <v>Coffee, mocha, instant, pre-lightened and pre-sweetened with sugar, reconstituted</v>
          </cell>
          <cell r="I5889">
            <v>360</v>
          </cell>
          <cell r="J5889">
            <v>156.73079000000001</v>
          </cell>
          <cell r="K5889">
            <v>0.43536330555555558</v>
          </cell>
          <cell r="L5889">
            <v>-9.9900000000000006E-17</v>
          </cell>
          <cell r="M5889">
            <v>2.6527370000000001</v>
          </cell>
          <cell r="N5889">
            <v>0</v>
          </cell>
          <cell r="O5889">
            <v>7.9812400000000006E-2</v>
          </cell>
          <cell r="P5889">
            <v>0.4897784</v>
          </cell>
          <cell r="Q5889">
            <v>0.30086639999999998</v>
          </cell>
          <cell r="R5889">
            <v>0</v>
          </cell>
          <cell r="S5889">
            <v>0</v>
          </cell>
          <cell r="T5889">
            <v>0</v>
          </cell>
          <cell r="U5889">
            <v>0</v>
          </cell>
          <cell r="V5889">
            <v>0</v>
          </cell>
          <cell r="W5889">
            <v>0</v>
          </cell>
          <cell r="X5889">
            <v>0.10373930000000001</v>
          </cell>
          <cell r="Y5889">
            <v>0</v>
          </cell>
          <cell r="Z5889">
            <v>0</v>
          </cell>
          <cell r="AA5889">
            <v>0</v>
          </cell>
          <cell r="AB5889">
            <v>0.39963149999999997</v>
          </cell>
        </row>
        <row r="5890">
          <cell r="A5890">
            <v>92121040</v>
          </cell>
          <cell r="B5890" t="str">
            <v>Coffee, instant, pre-lightened and pre-sweetened with low calorie sweetener, reconstituted</v>
          </cell>
          <cell r="I5890">
            <v>360</v>
          </cell>
          <cell r="J5890">
            <v>57.422528</v>
          </cell>
          <cell r="K5890">
            <v>0.15950702222222221</v>
          </cell>
          <cell r="L5890">
            <v>0</v>
          </cell>
          <cell r="M5890">
            <v>1.4717369</v>
          </cell>
          <cell r="N5890">
            <v>0</v>
          </cell>
          <cell r="O5890">
            <v>1.47111E-2</v>
          </cell>
          <cell r="P5890">
            <v>0</v>
          </cell>
          <cell r="Q5890">
            <v>3.6986499999999999E-2</v>
          </cell>
          <cell r="R5890">
            <v>0</v>
          </cell>
          <cell r="S5890">
            <v>0</v>
          </cell>
          <cell r="T5890">
            <v>0</v>
          </cell>
          <cell r="U5890">
            <v>0</v>
          </cell>
          <cell r="V5890">
            <v>0</v>
          </cell>
          <cell r="W5890">
            <v>0</v>
          </cell>
          <cell r="X5890">
            <v>2.4477499999999999E-2</v>
          </cell>
          <cell r="Y5890">
            <v>0</v>
          </cell>
          <cell r="Z5890">
            <v>0</v>
          </cell>
          <cell r="AA5890">
            <v>0</v>
          </cell>
          <cell r="AB5890">
            <v>0.42426029999999998</v>
          </cell>
        </row>
        <row r="5891">
          <cell r="A5891">
            <v>92121041</v>
          </cell>
          <cell r="B5891" t="str">
            <v>Coffee, instant, decaffeinated, pre-lightened and pre-sweetened with low calorie sweetener, reconstituted</v>
          </cell>
          <cell r="I5891">
            <v>360</v>
          </cell>
          <cell r="J5891">
            <v>57.410646</v>
          </cell>
          <cell r="K5891">
            <v>0.15947401666666666</v>
          </cell>
          <cell r="L5891">
            <v>0</v>
          </cell>
          <cell r="M5891">
            <v>1.4701195</v>
          </cell>
          <cell r="N5891">
            <v>0</v>
          </cell>
          <cell r="O5891">
            <v>1.4685E-2</v>
          </cell>
          <cell r="P5891">
            <v>0</v>
          </cell>
          <cell r="Q5891">
            <v>3.4228799999999997E-2</v>
          </cell>
          <cell r="R5891">
            <v>0</v>
          </cell>
          <cell r="S5891">
            <v>0</v>
          </cell>
          <cell r="T5891">
            <v>0</v>
          </cell>
          <cell r="U5891">
            <v>0</v>
          </cell>
          <cell r="V5891">
            <v>0</v>
          </cell>
          <cell r="W5891">
            <v>0</v>
          </cell>
          <cell r="X5891">
            <v>2.40749E-2</v>
          </cell>
          <cell r="Y5891">
            <v>0</v>
          </cell>
          <cell r="Z5891">
            <v>0</v>
          </cell>
          <cell r="AA5891">
            <v>0</v>
          </cell>
          <cell r="AB5891">
            <v>0.42460609999999999</v>
          </cell>
        </row>
        <row r="5892">
          <cell r="A5892">
            <v>92121050</v>
          </cell>
          <cell r="B5892" t="str">
            <v>Coffee and cocoa (mocha), made from powdered instant mix, with whitener and low calorie sweetener, decaffeinated</v>
          </cell>
          <cell r="I5892">
            <v>360</v>
          </cell>
          <cell r="J5892">
            <v>115.46241000000001</v>
          </cell>
          <cell r="K5892">
            <v>0.3207289166666667</v>
          </cell>
          <cell r="L5892">
            <v>0</v>
          </cell>
          <cell r="M5892">
            <v>2.9852281999999999</v>
          </cell>
          <cell r="N5892">
            <v>0</v>
          </cell>
          <cell r="O5892">
            <v>2.5757599999999999E-2</v>
          </cell>
          <cell r="P5892">
            <v>1.25959</v>
          </cell>
          <cell r="Q5892">
            <v>9.1582700000000003E-2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  <cell r="V5892">
            <v>0</v>
          </cell>
          <cell r="W5892">
            <v>0</v>
          </cell>
          <cell r="X5892">
            <v>0.14455760000000001</v>
          </cell>
          <cell r="Y5892">
            <v>0</v>
          </cell>
          <cell r="Z5892">
            <v>0</v>
          </cell>
          <cell r="AA5892">
            <v>0</v>
          </cell>
          <cell r="AB5892">
            <v>0</v>
          </cell>
        </row>
        <row r="5893">
          <cell r="A5893">
            <v>92130000</v>
          </cell>
          <cell r="B5893" t="str">
            <v>Coffee, pre-lightened and pre-sweetened with sugar</v>
          </cell>
          <cell r="I5893">
            <v>360</v>
          </cell>
          <cell r="J5893">
            <v>95.415062000000006</v>
          </cell>
          <cell r="K5893">
            <v>0.26504183888888888</v>
          </cell>
          <cell r="L5893">
            <v>0</v>
          </cell>
          <cell r="M5893">
            <v>1.4309453000000001</v>
          </cell>
          <cell r="N5893">
            <v>0</v>
          </cell>
          <cell r="O5893">
            <v>1.44222E-2</v>
          </cell>
          <cell r="P5893">
            <v>0</v>
          </cell>
          <cell r="Q5893">
            <v>3.5961300000000002E-2</v>
          </cell>
          <cell r="R5893">
            <v>0</v>
          </cell>
          <cell r="S5893">
            <v>0</v>
          </cell>
          <cell r="T5893">
            <v>0</v>
          </cell>
          <cell r="U5893">
            <v>0</v>
          </cell>
          <cell r="V5893">
            <v>0</v>
          </cell>
          <cell r="W5893">
            <v>0</v>
          </cell>
          <cell r="X5893">
            <v>2.3917899999999999E-2</v>
          </cell>
          <cell r="Y5893">
            <v>0</v>
          </cell>
          <cell r="Z5893">
            <v>0</v>
          </cell>
          <cell r="AA5893">
            <v>0</v>
          </cell>
          <cell r="AB5893">
            <v>0.41250120000000001</v>
          </cell>
        </row>
        <row r="5894">
          <cell r="A5894">
            <v>92130001</v>
          </cell>
          <cell r="B5894" t="str">
            <v>Coffee, decaffeinated, pre-lightened and pre-sweetened with sugar</v>
          </cell>
          <cell r="I5894">
            <v>360</v>
          </cell>
          <cell r="J5894">
            <v>95.358045000000004</v>
          </cell>
          <cell r="K5894">
            <v>0.26488345833333332</v>
          </cell>
          <cell r="L5894">
            <v>0</v>
          </cell>
          <cell r="M5894">
            <v>1.4282085</v>
          </cell>
          <cell r="N5894">
            <v>0</v>
          </cell>
          <cell r="O5894">
            <v>1.4393700000000001E-2</v>
          </cell>
          <cell r="P5894">
            <v>0</v>
          </cell>
          <cell r="Q5894">
            <v>3.3252999999999998E-2</v>
          </cell>
          <cell r="R5894">
            <v>0</v>
          </cell>
          <cell r="S5894">
            <v>0</v>
          </cell>
          <cell r="T5894">
            <v>0</v>
          </cell>
          <cell r="U5894">
            <v>0</v>
          </cell>
          <cell r="V5894">
            <v>0</v>
          </cell>
          <cell r="W5894">
            <v>0</v>
          </cell>
          <cell r="X5894">
            <v>2.35187E-2</v>
          </cell>
          <cell r="Y5894">
            <v>0</v>
          </cell>
          <cell r="Z5894">
            <v>0</v>
          </cell>
          <cell r="AA5894">
            <v>0</v>
          </cell>
          <cell r="AB5894">
            <v>0.41250120000000001</v>
          </cell>
        </row>
        <row r="5895">
          <cell r="A5895">
            <v>92130010</v>
          </cell>
          <cell r="B5895" t="str">
            <v>Coffee, pre-lightened</v>
          </cell>
          <cell r="I5895">
            <v>360</v>
          </cell>
          <cell r="J5895">
            <v>51.132216999999997</v>
          </cell>
          <cell r="K5895">
            <v>0.14203393611111109</v>
          </cell>
          <cell r="L5895">
            <v>0</v>
          </cell>
          <cell r="M5895">
            <v>1.4797719</v>
          </cell>
          <cell r="N5895">
            <v>0</v>
          </cell>
          <cell r="O5895">
            <v>1.47914E-2</v>
          </cell>
          <cell r="P5895">
            <v>0</v>
          </cell>
          <cell r="Q5895">
            <v>3.7188400000000003E-2</v>
          </cell>
          <cell r="R5895">
            <v>0</v>
          </cell>
          <cell r="S5895">
            <v>0</v>
          </cell>
          <cell r="T5895">
            <v>0</v>
          </cell>
          <cell r="U5895">
            <v>0</v>
          </cell>
          <cell r="V5895">
            <v>0</v>
          </cell>
          <cell r="W5895">
            <v>0</v>
          </cell>
          <cell r="X5895">
            <v>2.46111E-2</v>
          </cell>
          <cell r="Y5895">
            <v>0</v>
          </cell>
          <cell r="Z5895">
            <v>0</v>
          </cell>
          <cell r="AA5895">
            <v>0</v>
          </cell>
          <cell r="AB5895">
            <v>0.42657659999999997</v>
          </cell>
        </row>
        <row r="5896">
          <cell r="A5896">
            <v>92130011</v>
          </cell>
          <cell r="B5896" t="str">
            <v>Coffee, decaffeinated, pre-lightened</v>
          </cell>
          <cell r="I5896">
            <v>360</v>
          </cell>
          <cell r="J5896">
            <v>51.115113999999998</v>
          </cell>
          <cell r="K5896">
            <v>0.14198642777777779</v>
          </cell>
          <cell r="L5896">
            <v>0</v>
          </cell>
          <cell r="M5896">
            <v>1.4781522</v>
          </cell>
          <cell r="N5896">
            <v>0</v>
          </cell>
          <cell r="O5896">
            <v>1.4765199999999999E-2</v>
          </cell>
          <cell r="P5896">
            <v>0</v>
          </cell>
          <cell r="Q5896">
            <v>3.4415899999999999E-2</v>
          </cell>
          <cell r="R5896">
            <v>0</v>
          </cell>
          <cell r="S5896">
            <v>0</v>
          </cell>
          <cell r="T5896">
            <v>0</v>
          </cell>
          <cell r="U5896">
            <v>0</v>
          </cell>
          <cell r="V5896">
            <v>0</v>
          </cell>
          <cell r="W5896">
            <v>0</v>
          </cell>
          <cell r="X5896">
            <v>2.4206399999999999E-2</v>
          </cell>
          <cell r="Y5896">
            <v>0</v>
          </cell>
          <cell r="Z5896">
            <v>0</v>
          </cell>
          <cell r="AA5896">
            <v>0</v>
          </cell>
          <cell r="AB5896">
            <v>0.42692619999999998</v>
          </cell>
        </row>
        <row r="5897">
          <cell r="A5897">
            <v>92130020</v>
          </cell>
          <cell r="B5897" t="str">
            <v>Coffee, pre-sweetened with sugar</v>
          </cell>
          <cell r="I5897">
            <v>360</v>
          </cell>
          <cell r="J5897">
            <v>57.216712000000001</v>
          </cell>
          <cell r="K5897">
            <v>0.15893531111111112</v>
          </cell>
          <cell r="L5897">
            <v>0</v>
          </cell>
          <cell r="M5897">
            <v>5.7348E-3</v>
          </cell>
          <cell r="N5897">
            <v>0</v>
          </cell>
          <cell r="O5897">
            <v>1.4574699999999999E-2</v>
          </cell>
          <cell r="P5897">
            <v>0</v>
          </cell>
          <cell r="Q5897">
            <v>5.7057000000000002E-3</v>
          </cell>
          <cell r="R5897">
            <v>0</v>
          </cell>
          <cell r="S5897">
            <v>0</v>
          </cell>
          <cell r="T5897">
            <v>0</v>
          </cell>
          <cell r="U5897">
            <v>0</v>
          </cell>
          <cell r="V5897">
            <v>0</v>
          </cell>
          <cell r="W5897">
            <v>0</v>
          </cell>
          <cell r="X5897">
            <v>1.4996799999999999E-2</v>
          </cell>
          <cell r="Y5897">
            <v>0</v>
          </cell>
          <cell r="Z5897">
            <v>0</v>
          </cell>
          <cell r="AA5897">
            <v>0</v>
          </cell>
          <cell r="AB5897">
            <v>0</v>
          </cell>
        </row>
        <row r="5898">
          <cell r="A5898">
            <v>92130021</v>
          </cell>
          <cell r="B5898" t="str">
            <v>Coffee, decaffeinated, pre-sweetened with sugar</v>
          </cell>
          <cell r="I5898">
            <v>360</v>
          </cell>
          <cell r="J5898">
            <v>57.204748000000002</v>
          </cell>
          <cell r="K5898">
            <v>0.15890207777777779</v>
          </cell>
          <cell r="L5898">
            <v>0</v>
          </cell>
          <cell r="M5898">
            <v>2.9424999999999998E-3</v>
          </cell>
          <cell r="N5898">
            <v>0</v>
          </cell>
          <cell r="O5898">
            <v>1.45486E-2</v>
          </cell>
          <cell r="P5898">
            <v>0</v>
          </cell>
          <cell r="Q5898">
            <v>2.9424999999999998E-3</v>
          </cell>
          <cell r="R5898">
            <v>0</v>
          </cell>
          <cell r="S5898">
            <v>0</v>
          </cell>
          <cell r="T5898">
            <v>0</v>
          </cell>
          <cell r="U5898">
            <v>0</v>
          </cell>
          <cell r="V5898">
            <v>0</v>
          </cell>
          <cell r="W5898">
            <v>0</v>
          </cell>
          <cell r="X5898">
            <v>1.4589400000000001E-2</v>
          </cell>
          <cell r="Y5898">
            <v>0</v>
          </cell>
          <cell r="Z5898">
            <v>0</v>
          </cell>
          <cell r="AA5898">
            <v>0</v>
          </cell>
          <cell r="AB5898">
            <v>0</v>
          </cell>
        </row>
        <row r="5899">
          <cell r="A5899">
            <v>92130030</v>
          </cell>
          <cell r="B5899" t="str">
            <v>Coffee, pre-sweetened with low calorie sweetener</v>
          </cell>
          <cell r="I5899">
            <v>360</v>
          </cell>
          <cell r="J5899">
            <v>17.300388999999999</v>
          </cell>
          <cell r="K5899">
            <v>4.8056636111111106E-2</v>
          </cell>
          <cell r="L5899">
            <v>0</v>
          </cell>
          <cell r="M5899">
            <v>5.9067E-3</v>
          </cell>
          <cell r="N5899">
            <v>0</v>
          </cell>
          <cell r="O5899">
            <v>1.4877700000000001E-2</v>
          </cell>
          <cell r="P5899">
            <v>0</v>
          </cell>
          <cell r="Q5899">
            <v>5.8767000000000003E-3</v>
          </cell>
          <cell r="R5899">
            <v>0</v>
          </cell>
          <cell r="S5899">
            <v>0</v>
          </cell>
          <cell r="T5899">
            <v>0</v>
          </cell>
          <cell r="U5899">
            <v>0</v>
          </cell>
          <cell r="V5899">
            <v>0</v>
          </cell>
          <cell r="W5899">
            <v>0</v>
          </cell>
          <cell r="X5899">
            <v>1.53095E-2</v>
          </cell>
          <cell r="Y5899">
            <v>0</v>
          </cell>
          <cell r="Z5899">
            <v>0</v>
          </cell>
          <cell r="AA5899">
            <v>0</v>
          </cell>
          <cell r="AB5899">
            <v>0</v>
          </cell>
        </row>
        <row r="5900">
          <cell r="A5900">
            <v>92130031</v>
          </cell>
          <cell r="B5900" t="str">
            <v>Coffee, decaffeinated, pre-sweetened with low calorie sweetener</v>
          </cell>
          <cell r="I5900">
            <v>360</v>
          </cell>
          <cell r="J5900">
            <v>17.240421999999999</v>
          </cell>
          <cell r="K5900">
            <v>4.7890061111111111E-2</v>
          </cell>
          <cell r="L5900">
            <v>0</v>
          </cell>
          <cell r="M5900">
            <v>3.0282999999999998E-3</v>
          </cell>
          <cell r="N5900">
            <v>0</v>
          </cell>
          <cell r="O5900">
            <v>1.48478E-2</v>
          </cell>
          <cell r="P5900">
            <v>0</v>
          </cell>
          <cell r="Q5900">
            <v>3.0282999999999998E-3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  <cell r="V5900">
            <v>0</v>
          </cell>
          <cell r="W5900">
            <v>0</v>
          </cell>
          <cell r="X5900">
            <v>1.4889700000000001E-2</v>
          </cell>
          <cell r="Y5900">
            <v>0</v>
          </cell>
          <cell r="Z5900">
            <v>0</v>
          </cell>
          <cell r="AA5900">
            <v>0</v>
          </cell>
          <cell r="AB5900">
            <v>0</v>
          </cell>
        </row>
        <row r="5901">
          <cell r="A5901">
            <v>92152000</v>
          </cell>
          <cell r="B5901" t="str">
            <v>Coffee and chicory, brewed</v>
          </cell>
          <cell r="I5901">
            <v>360</v>
          </cell>
          <cell r="J5901">
            <v>3.6</v>
          </cell>
          <cell r="K5901">
            <v>0.01</v>
          </cell>
          <cell r="L5901">
            <v>0</v>
          </cell>
          <cell r="M5901">
            <v>7.1999999999999998E-3</v>
          </cell>
          <cell r="N5901">
            <v>0</v>
          </cell>
          <cell r="O5901">
            <v>7.1999999999999998E-3</v>
          </cell>
          <cell r="P5901">
            <v>0</v>
          </cell>
          <cell r="Q5901">
            <v>3.5999999999999999E-3</v>
          </cell>
          <cell r="R5901">
            <v>0</v>
          </cell>
          <cell r="S5901">
            <v>0</v>
          </cell>
          <cell r="T5901">
            <v>0</v>
          </cell>
          <cell r="U5901">
            <v>0</v>
          </cell>
          <cell r="V5901">
            <v>0</v>
          </cell>
          <cell r="W5901">
            <v>0</v>
          </cell>
          <cell r="X5901">
            <v>7.1999999999999998E-3</v>
          </cell>
          <cell r="Y5901">
            <v>0</v>
          </cell>
          <cell r="Z5901">
            <v>0</v>
          </cell>
          <cell r="AA5901">
            <v>0</v>
          </cell>
          <cell r="AB5901">
            <v>0</v>
          </cell>
        </row>
        <row r="5902">
          <cell r="A5902">
            <v>92153100</v>
          </cell>
          <cell r="B5902" t="str">
            <v>Coffee, decaffeinated, with cereal</v>
          </cell>
          <cell r="I5902">
            <v>360</v>
          </cell>
          <cell r="J5902">
            <v>11.526533000000001</v>
          </cell>
          <cell r="K5902">
            <v>3.2018147222222224E-2</v>
          </cell>
          <cell r="L5902">
            <v>0</v>
          </cell>
          <cell r="M5902">
            <v>3.3168E-3</v>
          </cell>
          <cell r="N5902">
            <v>0</v>
          </cell>
          <cell r="O5902">
            <v>1.5299E-2</v>
          </cell>
          <cell r="P5902">
            <v>0</v>
          </cell>
          <cell r="Q5902">
            <v>3.3168E-3</v>
          </cell>
          <cell r="R5902">
            <v>0</v>
          </cell>
          <cell r="S5902">
            <v>0</v>
          </cell>
          <cell r="T5902">
            <v>0</v>
          </cell>
          <cell r="U5902">
            <v>0</v>
          </cell>
          <cell r="V5902">
            <v>0</v>
          </cell>
          <cell r="W5902">
            <v>0</v>
          </cell>
          <cell r="X5902">
            <v>1.50239E-2</v>
          </cell>
          <cell r="Y5902">
            <v>0</v>
          </cell>
          <cell r="Z5902">
            <v>0</v>
          </cell>
          <cell r="AA5902">
            <v>0</v>
          </cell>
          <cell r="AB5902">
            <v>0</v>
          </cell>
        </row>
        <row r="5903">
          <cell r="A5903">
            <v>92161000</v>
          </cell>
          <cell r="B5903" t="str">
            <v>Coffee, Cappuccino</v>
          </cell>
          <cell r="I5903">
            <v>360</v>
          </cell>
          <cell r="J5903">
            <v>96.145253999999994</v>
          </cell>
          <cell r="K5903">
            <v>0.26707015000000001</v>
          </cell>
          <cell r="L5903">
            <v>0</v>
          </cell>
          <cell r="M5903">
            <v>2.3346520000000002</v>
          </cell>
          <cell r="N5903">
            <v>0</v>
          </cell>
          <cell r="O5903">
            <v>0.2222344</v>
          </cell>
          <cell r="P5903">
            <v>0</v>
          </cell>
          <cell r="Q5903">
            <v>0.1887945</v>
          </cell>
          <cell r="R5903">
            <v>0</v>
          </cell>
          <cell r="S5903">
            <v>0</v>
          </cell>
          <cell r="T5903">
            <v>0</v>
          </cell>
          <cell r="U5903">
            <v>0</v>
          </cell>
          <cell r="V5903">
            <v>0</v>
          </cell>
          <cell r="W5903">
            <v>0</v>
          </cell>
          <cell r="X5903">
            <v>9.8472599999999993E-2</v>
          </cell>
          <cell r="Y5903">
            <v>0</v>
          </cell>
          <cell r="Z5903">
            <v>0</v>
          </cell>
          <cell r="AA5903">
            <v>0</v>
          </cell>
          <cell r="AB5903">
            <v>0.1540523</v>
          </cell>
        </row>
        <row r="5904">
          <cell r="A5904">
            <v>92161001</v>
          </cell>
          <cell r="B5904" t="str">
            <v>Coffee, Cappuccino, nonfat</v>
          </cell>
          <cell r="I5904">
            <v>360</v>
          </cell>
          <cell r="J5904">
            <v>67.147180000000006</v>
          </cell>
          <cell r="K5904">
            <v>0.18651994444444447</v>
          </cell>
          <cell r="L5904">
            <v>0</v>
          </cell>
          <cell r="M5904">
            <v>0.15798400000000001</v>
          </cell>
          <cell r="N5904">
            <v>0</v>
          </cell>
          <cell r="O5904">
            <v>0.22585910000000001</v>
          </cell>
          <cell r="P5904">
            <v>0</v>
          </cell>
          <cell r="Q5904">
            <v>6.1927900000000001E-2</v>
          </cell>
          <cell r="R5904">
            <v>0</v>
          </cell>
          <cell r="S5904">
            <v>0</v>
          </cell>
          <cell r="T5904">
            <v>0</v>
          </cell>
          <cell r="U5904">
            <v>0</v>
          </cell>
          <cell r="V5904">
            <v>0</v>
          </cell>
          <cell r="W5904">
            <v>0</v>
          </cell>
          <cell r="X5904">
            <v>8.9410699999999996E-2</v>
          </cell>
          <cell r="Y5904">
            <v>0</v>
          </cell>
          <cell r="Z5904">
            <v>0</v>
          </cell>
          <cell r="AA5904">
            <v>0</v>
          </cell>
          <cell r="AB5904">
            <v>0</v>
          </cell>
        </row>
        <row r="5905">
          <cell r="A5905">
            <v>92161002</v>
          </cell>
          <cell r="B5905" t="str">
            <v>Coffee, Cappuccino, with non-dairy milk</v>
          </cell>
          <cell r="I5905">
            <v>360</v>
          </cell>
          <cell r="J5905">
            <v>79.475033999999994</v>
          </cell>
          <cell r="K5905">
            <v>0.2207639833333333</v>
          </cell>
          <cell r="L5905">
            <v>0</v>
          </cell>
          <cell r="M5905">
            <v>0.24329709999999999</v>
          </cell>
          <cell r="N5905">
            <v>0</v>
          </cell>
          <cell r="O5905">
            <v>0.28881040000000002</v>
          </cell>
          <cell r="P5905">
            <v>0.54810369999999997</v>
          </cell>
          <cell r="Q5905">
            <v>1.0298259000000001</v>
          </cell>
          <cell r="R5905">
            <v>0</v>
          </cell>
          <cell r="S5905">
            <v>0</v>
          </cell>
          <cell r="T5905">
            <v>0</v>
          </cell>
          <cell r="U5905">
            <v>0</v>
          </cell>
          <cell r="V5905">
            <v>0</v>
          </cell>
          <cell r="W5905">
            <v>0</v>
          </cell>
          <cell r="X5905">
            <v>0.1136677</v>
          </cell>
          <cell r="Y5905">
            <v>1.8128529</v>
          </cell>
          <cell r="Z5905">
            <v>0</v>
          </cell>
          <cell r="AA5905">
            <v>0</v>
          </cell>
          <cell r="AB5905">
            <v>0</v>
          </cell>
        </row>
        <row r="5906">
          <cell r="A5906">
            <v>92161005</v>
          </cell>
          <cell r="B5906" t="str">
            <v>Cappuccino, sweetened</v>
          </cell>
          <cell r="I5906">
            <v>360</v>
          </cell>
          <cell r="J5906">
            <v>175.25708</v>
          </cell>
          <cell r="K5906">
            <v>0.48682522222222224</v>
          </cell>
          <cell r="L5906">
            <v>0</v>
          </cell>
          <cell r="M5906">
            <v>2.9287296</v>
          </cell>
          <cell r="N5906">
            <v>0</v>
          </cell>
          <cell r="O5906">
            <v>0.26575969999999999</v>
          </cell>
          <cell r="P5906">
            <v>0</v>
          </cell>
          <cell r="Q5906">
            <v>0.65790009999999999</v>
          </cell>
          <cell r="R5906">
            <v>0</v>
          </cell>
          <cell r="S5906">
            <v>0</v>
          </cell>
          <cell r="T5906">
            <v>0</v>
          </cell>
          <cell r="U5906">
            <v>0</v>
          </cell>
          <cell r="V5906">
            <v>0</v>
          </cell>
          <cell r="W5906">
            <v>0</v>
          </cell>
          <cell r="X5906">
            <v>0.13872080000000001</v>
          </cell>
          <cell r="Y5906">
            <v>0</v>
          </cell>
          <cell r="Z5906">
            <v>0</v>
          </cell>
          <cell r="AA5906">
            <v>0</v>
          </cell>
          <cell r="AB5906">
            <v>0.17260249999999999</v>
          </cell>
        </row>
        <row r="5907">
          <cell r="A5907">
            <v>92162000</v>
          </cell>
          <cell r="B5907" t="str">
            <v>Coffee, Cappuccino, decaffeinated</v>
          </cell>
          <cell r="I5907">
            <v>360</v>
          </cell>
          <cell r="J5907">
            <v>96.497924999999995</v>
          </cell>
          <cell r="K5907">
            <v>0.26804979166666665</v>
          </cell>
          <cell r="L5907">
            <v>0</v>
          </cell>
          <cell r="M5907">
            <v>2.3457360999999999</v>
          </cell>
          <cell r="N5907">
            <v>0</v>
          </cell>
          <cell r="O5907">
            <v>0.22342409999999999</v>
          </cell>
          <cell r="P5907">
            <v>0</v>
          </cell>
          <cell r="Q5907">
            <v>0.1880066</v>
          </cell>
          <cell r="R5907">
            <v>0</v>
          </cell>
          <cell r="S5907">
            <v>0</v>
          </cell>
          <cell r="T5907">
            <v>0</v>
          </cell>
          <cell r="U5907">
            <v>0</v>
          </cell>
          <cell r="V5907">
            <v>0</v>
          </cell>
          <cell r="W5907">
            <v>0</v>
          </cell>
          <cell r="X5907">
            <v>9.8738599999999996E-2</v>
          </cell>
          <cell r="Y5907">
            <v>0</v>
          </cell>
          <cell r="Z5907">
            <v>0</v>
          </cell>
          <cell r="AA5907">
            <v>0</v>
          </cell>
          <cell r="AB5907">
            <v>0.1549046</v>
          </cell>
        </row>
        <row r="5908">
          <cell r="A5908">
            <v>92162001</v>
          </cell>
          <cell r="B5908" t="str">
            <v>Coffee, Cappuccino, decaffeinated, nonfat</v>
          </cell>
          <cell r="I5908">
            <v>360</v>
          </cell>
          <cell r="J5908">
            <v>67.339419000000007</v>
          </cell>
          <cell r="K5908">
            <v>0.1870539416666667</v>
          </cell>
          <cell r="L5908">
            <v>0</v>
          </cell>
          <cell r="M5908">
            <v>0.15702569999999999</v>
          </cell>
          <cell r="N5908">
            <v>0</v>
          </cell>
          <cell r="O5908">
            <v>0.22706889999999999</v>
          </cell>
          <cell r="P5908">
            <v>0</v>
          </cell>
          <cell r="Q5908">
            <v>6.0438199999999997E-2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  <cell r="V5908">
            <v>0</v>
          </cell>
          <cell r="W5908">
            <v>0</v>
          </cell>
          <cell r="X5908">
            <v>8.9626600000000001E-2</v>
          </cell>
          <cell r="Y5908">
            <v>0</v>
          </cell>
          <cell r="Z5908">
            <v>0</v>
          </cell>
          <cell r="AA5908">
            <v>0</v>
          </cell>
          <cell r="AB5908">
            <v>0</v>
          </cell>
        </row>
        <row r="5909">
          <cell r="A5909">
            <v>92171000</v>
          </cell>
          <cell r="B5909" t="str">
            <v>Coffee, bottled/canned</v>
          </cell>
          <cell r="I5909">
            <v>360</v>
          </cell>
          <cell r="J5909">
            <v>255.6</v>
          </cell>
          <cell r="K5909">
            <v>0.71</v>
          </cell>
          <cell r="L5909">
            <v>0</v>
          </cell>
          <cell r="M5909">
            <v>0</v>
          </cell>
          <cell r="N5909">
            <v>0</v>
          </cell>
          <cell r="O5909">
            <v>0.26640000000000003</v>
          </cell>
          <cell r="P5909">
            <v>0</v>
          </cell>
          <cell r="Q5909">
            <v>0.1368</v>
          </cell>
          <cell r="R5909">
            <v>0</v>
          </cell>
          <cell r="S5909">
            <v>0</v>
          </cell>
          <cell r="T5909">
            <v>0</v>
          </cell>
          <cell r="U5909">
            <v>0</v>
          </cell>
          <cell r="V5909">
            <v>0</v>
          </cell>
          <cell r="W5909">
            <v>0</v>
          </cell>
          <cell r="X5909">
            <v>9.3600000000000003E-2</v>
          </cell>
          <cell r="Y5909">
            <v>0</v>
          </cell>
          <cell r="Z5909">
            <v>0</v>
          </cell>
          <cell r="AA5909">
            <v>0</v>
          </cell>
          <cell r="AB5909">
            <v>0.67463600000000001</v>
          </cell>
        </row>
        <row r="5910">
          <cell r="A5910">
            <v>92171010</v>
          </cell>
          <cell r="B5910" t="str">
            <v>Coffee, bottled/canned, light</v>
          </cell>
          <cell r="I5910">
            <v>360</v>
          </cell>
          <cell r="J5910">
            <v>124.57143000000001</v>
          </cell>
          <cell r="K5910">
            <v>0.34603175000000003</v>
          </cell>
          <cell r="L5910">
            <v>0</v>
          </cell>
          <cell r="M5910">
            <v>1.6185835</v>
          </cell>
          <cell r="N5910">
            <v>0</v>
          </cell>
          <cell r="O5910">
            <v>0.15858649999999999</v>
          </cell>
          <cell r="P5910">
            <v>0</v>
          </cell>
          <cell r="Q5910">
            <v>9.5912800000000006E-2</v>
          </cell>
          <cell r="R5910">
            <v>0</v>
          </cell>
          <cell r="S5910">
            <v>0</v>
          </cell>
          <cell r="T5910">
            <v>0</v>
          </cell>
          <cell r="U5910">
            <v>0</v>
          </cell>
          <cell r="V5910">
            <v>0</v>
          </cell>
          <cell r="W5910">
            <v>0</v>
          </cell>
          <cell r="X5910">
            <v>6.4839099999999997E-2</v>
          </cell>
          <cell r="Y5910">
            <v>0</v>
          </cell>
          <cell r="Z5910">
            <v>0</v>
          </cell>
          <cell r="AA5910">
            <v>0</v>
          </cell>
          <cell r="AB5910">
            <v>0.1091579</v>
          </cell>
        </row>
        <row r="5911">
          <cell r="A5911">
            <v>92191100</v>
          </cell>
          <cell r="B5911" t="str">
            <v>Coffee, instant, not reconstituted</v>
          </cell>
          <cell r="I5911">
            <v>1.5</v>
          </cell>
          <cell r="J5911">
            <v>5.2949999999999999</v>
          </cell>
          <cell r="K5911">
            <v>3.53</v>
          </cell>
          <cell r="L5911">
            <v>0</v>
          </cell>
          <cell r="M5911">
            <v>2.9550000000000002E-3</v>
          </cell>
          <cell r="N5911">
            <v>0</v>
          </cell>
          <cell r="O5911">
            <v>2.1150000000000001E-3</v>
          </cell>
          <cell r="P5911">
            <v>0</v>
          </cell>
          <cell r="Q5911">
            <v>2.9399999999999999E-3</v>
          </cell>
          <cell r="R5911">
            <v>0</v>
          </cell>
          <cell r="S5911">
            <v>0</v>
          </cell>
          <cell r="T5911">
            <v>0</v>
          </cell>
          <cell r="U5911">
            <v>0</v>
          </cell>
          <cell r="V5911">
            <v>0</v>
          </cell>
          <cell r="W5911">
            <v>0</v>
          </cell>
          <cell r="X5911">
            <v>5.5500000000000005E-4</v>
          </cell>
          <cell r="Y5911">
            <v>0</v>
          </cell>
          <cell r="Z5911">
            <v>0</v>
          </cell>
          <cell r="AA5911">
            <v>0</v>
          </cell>
          <cell r="AB5911">
            <v>0</v>
          </cell>
        </row>
        <row r="5912">
          <cell r="A5912">
            <v>92191200</v>
          </cell>
          <cell r="B5912" t="str">
            <v>Coffee, instant, decaffeinated, not reconstituted</v>
          </cell>
          <cell r="I5912">
            <v>1.5</v>
          </cell>
          <cell r="J5912">
            <v>5.2649999999999997</v>
          </cell>
          <cell r="K5912">
            <v>3.51</v>
          </cell>
          <cell r="L5912">
            <v>0</v>
          </cell>
          <cell r="M5912">
            <v>1.5150000000000001E-3</v>
          </cell>
          <cell r="N5912">
            <v>0</v>
          </cell>
          <cell r="O5912">
            <v>2.0999999999999999E-3</v>
          </cell>
          <cell r="P5912">
            <v>0</v>
          </cell>
          <cell r="Q5912">
            <v>1.5150000000000001E-3</v>
          </cell>
          <cell r="R5912">
            <v>0</v>
          </cell>
          <cell r="S5912">
            <v>0</v>
          </cell>
          <cell r="T5912">
            <v>0</v>
          </cell>
          <cell r="U5912">
            <v>0</v>
          </cell>
          <cell r="V5912">
            <v>0</v>
          </cell>
          <cell r="W5912">
            <v>0</v>
          </cell>
          <cell r="X5912">
            <v>3.4499999999999998E-4</v>
          </cell>
          <cell r="Y5912">
            <v>0</v>
          </cell>
          <cell r="Z5912">
            <v>0</v>
          </cell>
          <cell r="AA5912">
            <v>0</v>
          </cell>
          <cell r="AB5912">
            <v>0</v>
          </cell>
        </row>
        <row r="5913">
          <cell r="A5913">
            <v>92192000</v>
          </cell>
          <cell r="B5913" t="str">
            <v>Coffee and cocoa (mocha) mix, dry instant powder with whitener, presweetened</v>
          </cell>
          <cell r="I5913">
            <v>12.8</v>
          </cell>
          <cell r="J5913">
            <v>58.88</v>
          </cell>
          <cell r="K5913">
            <v>4.5999999999999996</v>
          </cell>
          <cell r="L5913">
            <v>0</v>
          </cell>
          <cell r="M5913">
            <v>0.631552</v>
          </cell>
          <cell r="N5913">
            <v>0</v>
          </cell>
          <cell r="O5913">
            <v>3.4687999999999997E-2</v>
          </cell>
          <cell r="P5913">
            <v>0.2432</v>
          </cell>
          <cell r="Q5913">
            <v>0.13478399999999999</v>
          </cell>
          <cell r="R5913">
            <v>0</v>
          </cell>
          <cell r="S5913">
            <v>0</v>
          </cell>
          <cell r="T5913">
            <v>0</v>
          </cell>
          <cell r="U5913">
            <v>0</v>
          </cell>
          <cell r="V5913">
            <v>0</v>
          </cell>
          <cell r="W5913">
            <v>0</v>
          </cell>
          <cell r="X5913">
            <v>4.0576000000000001E-2</v>
          </cell>
          <cell r="Y5913">
            <v>0</v>
          </cell>
          <cell r="Z5913">
            <v>0</v>
          </cell>
          <cell r="AA5913">
            <v>0</v>
          </cell>
          <cell r="AB5913">
            <v>0</v>
          </cell>
        </row>
        <row r="5914">
          <cell r="A5914">
            <v>92193000</v>
          </cell>
          <cell r="B5914" t="str">
            <v>Coffee, instant, pre-lightened and pre-sweetened with sugar, not reconstituted</v>
          </cell>
          <cell r="I5914">
            <v>12.8</v>
          </cell>
          <cell r="J5914">
            <v>55.078761</v>
          </cell>
          <cell r="K5914">
            <v>4.3030282031249998</v>
          </cell>
          <cell r="L5914">
            <v>0</v>
          </cell>
          <cell r="M5914">
            <v>0.82601939999999996</v>
          </cell>
          <cell r="N5914">
            <v>0</v>
          </cell>
          <cell r="O5914">
            <v>2.4748999999999999E-3</v>
          </cell>
          <cell r="P5914">
            <v>0</v>
          </cell>
          <cell r="Q5914">
            <v>2.0758800000000001E-2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  <cell r="V5914">
            <v>0</v>
          </cell>
          <cell r="W5914">
            <v>0</v>
          </cell>
          <cell r="X5914">
            <v>6.0061999999999997E-3</v>
          </cell>
          <cell r="Y5914">
            <v>0</v>
          </cell>
          <cell r="Z5914">
            <v>0</v>
          </cell>
          <cell r="AA5914">
            <v>0</v>
          </cell>
          <cell r="AB5914">
            <v>0.2381181</v>
          </cell>
        </row>
        <row r="5915">
          <cell r="A5915">
            <v>92193020</v>
          </cell>
          <cell r="B5915" t="str">
            <v>Coffee, dry instant powder, with whitener and low calorie sweetener</v>
          </cell>
          <cell r="I5915">
            <v>6.6</v>
          </cell>
          <cell r="J5915">
            <v>33.594000000000001</v>
          </cell>
          <cell r="K5915">
            <v>5.0900000000000007</v>
          </cell>
          <cell r="L5915">
            <v>0</v>
          </cell>
          <cell r="M5915">
            <v>1.6584479999999999</v>
          </cell>
          <cell r="N5915">
            <v>0</v>
          </cell>
          <cell r="O5915">
            <v>1.188E-3</v>
          </cell>
          <cell r="P5915">
            <v>3.3000000000000002E-2</v>
          </cell>
          <cell r="Q5915">
            <v>3.8016000000000001E-2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  <cell r="V5915">
            <v>0</v>
          </cell>
          <cell r="W5915">
            <v>0</v>
          </cell>
          <cell r="X5915">
            <v>0</v>
          </cell>
          <cell r="Y5915">
            <v>0</v>
          </cell>
          <cell r="Z5915">
            <v>0</v>
          </cell>
          <cell r="AA5915">
            <v>0</v>
          </cell>
          <cell r="AB5915">
            <v>0.20745279999999999</v>
          </cell>
        </row>
        <row r="5916">
          <cell r="A5916">
            <v>92201010</v>
          </cell>
          <cell r="B5916" t="str">
            <v>Postum</v>
          </cell>
          <cell r="I5916">
            <v>360</v>
          </cell>
          <cell r="J5916">
            <v>21.6</v>
          </cell>
          <cell r="K5916">
            <v>6.0000000000000005E-2</v>
          </cell>
          <cell r="L5916">
            <v>0</v>
          </cell>
          <cell r="M5916">
            <v>3.5999999999999997E-2</v>
          </cell>
          <cell r="N5916">
            <v>0</v>
          </cell>
          <cell r="O5916">
            <v>1.44E-2</v>
          </cell>
          <cell r="P5916">
            <v>1.44</v>
          </cell>
          <cell r="Q5916">
            <v>7.1999999999999995E-2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  <cell r="V5916">
            <v>0</v>
          </cell>
          <cell r="W5916">
            <v>0</v>
          </cell>
          <cell r="X5916">
            <v>1.7999999999999999E-2</v>
          </cell>
          <cell r="Y5916">
            <v>0</v>
          </cell>
          <cell r="Z5916">
            <v>0</v>
          </cell>
          <cell r="AA5916">
            <v>0</v>
          </cell>
          <cell r="AB5916">
            <v>0</v>
          </cell>
        </row>
        <row r="5917">
          <cell r="A5917">
            <v>92202010</v>
          </cell>
          <cell r="B5917" t="str">
            <v>Chicory</v>
          </cell>
          <cell r="I5917">
            <v>360</v>
          </cell>
          <cell r="J5917">
            <v>12.108623</v>
          </cell>
          <cell r="K5917">
            <v>3.3635063888888886E-2</v>
          </cell>
          <cell r="L5917">
            <v>0</v>
          </cell>
          <cell r="M5917">
            <v>6.7574999999999996E-3</v>
          </cell>
          <cell r="N5917">
            <v>0</v>
          </cell>
          <cell r="O5917">
            <v>1.5533699999999999E-2</v>
          </cell>
          <cell r="P5917">
            <v>0</v>
          </cell>
          <cell r="Q5917">
            <v>6.7232000000000004E-3</v>
          </cell>
          <cell r="R5917">
            <v>0</v>
          </cell>
          <cell r="S5917">
            <v>0</v>
          </cell>
          <cell r="T5917">
            <v>0</v>
          </cell>
          <cell r="U5917">
            <v>0</v>
          </cell>
          <cell r="V5917">
            <v>0</v>
          </cell>
          <cell r="W5917">
            <v>0</v>
          </cell>
          <cell r="X5917">
            <v>1.5532000000000001E-2</v>
          </cell>
          <cell r="Y5917">
            <v>0</v>
          </cell>
          <cell r="Z5917">
            <v>0</v>
          </cell>
          <cell r="AA5917">
            <v>0</v>
          </cell>
          <cell r="AB5917">
            <v>0</v>
          </cell>
        </row>
        <row r="5918">
          <cell r="A5918">
            <v>92203000</v>
          </cell>
          <cell r="B5918" t="str">
            <v>Cereal beverage</v>
          </cell>
          <cell r="I5918">
            <v>360</v>
          </cell>
          <cell r="J5918">
            <v>16.555401</v>
          </cell>
          <cell r="K5918">
            <v>4.5987225E-2</v>
          </cell>
          <cell r="L5918">
            <v>1.9980000000000001E-16</v>
          </cell>
          <cell r="M5918">
            <v>2.7730299999999999E-2</v>
          </cell>
          <cell r="N5918">
            <v>0</v>
          </cell>
          <cell r="O5918">
            <v>1.3329300000000001E-2</v>
          </cell>
          <cell r="P5918">
            <v>1.0715024</v>
          </cell>
          <cell r="Q5918">
            <v>5.63344E-2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  <cell r="V5918">
            <v>0</v>
          </cell>
          <cell r="W5918">
            <v>0</v>
          </cell>
          <cell r="X5918">
            <v>1.8033E-2</v>
          </cell>
          <cell r="Y5918">
            <v>0</v>
          </cell>
          <cell r="Z5918">
            <v>0</v>
          </cell>
          <cell r="AA5918">
            <v>0</v>
          </cell>
          <cell r="AB5918">
            <v>0</v>
          </cell>
        </row>
        <row r="5919">
          <cell r="A5919">
            <v>92203110</v>
          </cell>
          <cell r="B5919" t="str">
            <v>Cereal beverage with beet roots, from powdered instant</v>
          </cell>
          <cell r="I5919">
            <v>360</v>
          </cell>
          <cell r="J5919">
            <v>16.555401</v>
          </cell>
          <cell r="K5919">
            <v>4.5987225E-2</v>
          </cell>
          <cell r="L5919">
            <v>1.9980000000000001E-16</v>
          </cell>
          <cell r="M5919">
            <v>2.7730299999999999E-2</v>
          </cell>
          <cell r="N5919">
            <v>0</v>
          </cell>
          <cell r="O5919">
            <v>1.3329300000000001E-2</v>
          </cell>
          <cell r="P5919">
            <v>1.0715024</v>
          </cell>
          <cell r="Q5919">
            <v>5.63344E-2</v>
          </cell>
          <cell r="R5919">
            <v>0</v>
          </cell>
          <cell r="S5919">
            <v>0</v>
          </cell>
          <cell r="T5919">
            <v>0</v>
          </cell>
          <cell r="U5919">
            <v>0</v>
          </cell>
          <cell r="V5919">
            <v>0</v>
          </cell>
          <cell r="W5919">
            <v>0</v>
          </cell>
          <cell r="X5919">
            <v>1.8033E-2</v>
          </cell>
          <cell r="Y5919">
            <v>0</v>
          </cell>
          <cell r="Z5919">
            <v>0</v>
          </cell>
          <cell r="AA5919">
            <v>0</v>
          </cell>
          <cell r="AB5919">
            <v>0</v>
          </cell>
        </row>
        <row r="5920">
          <cell r="A5920">
            <v>92205000</v>
          </cell>
          <cell r="B5920" t="str">
            <v>Rice beverage</v>
          </cell>
          <cell r="I5920">
            <v>360</v>
          </cell>
          <cell r="J5920">
            <v>169.2</v>
          </cell>
          <cell r="K5920">
            <v>0.47</v>
          </cell>
          <cell r="L5920">
            <v>0</v>
          </cell>
          <cell r="M5920">
            <v>0</v>
          </cell>
          <cell r="N5920">
            <v>0</v>
          </cell>
          <cell r="O5920">
            <v>0.42480000000000001</v>
          </cell>
          <cell r="P5920">
            <v>1.08</v>
          </cell>
          <cell r="Q5920">
            <v>1.1268</v>
          </cell>
          <cell r="R5920">
            <v>0</v>
          </cell>
          <cell r="S5920">
            <v>0</v>
          </cell>
          <cell r="T5920">
            <v>0</v>
          </cell>
          <cell r="U5920">
            <v>0</v>
          </cell>
          <cell r="V5920">
            <v>0</v>
          </cell>
          <cell r="W5920">
            <v>0</v>
          </cell>
          <cell r="X5920">
            <v>0.1404</v>
          </cell>
          <cell r="Y5920">
            <v>0</v>
          </cell>
          <cell r="Z5920">
            <v>0</v>
          </cell>
          <cell r="AA5920">
            <v>0</v>
          </cell>
          <cell r="AB5920">
            <v>0</v>
          </cell>
        </row>
        <row r="5921">
          <cell r="A5921">
            <v>92301000</v>
          </cell>
          <cell r="B5921" t="str">
            <v>Tea, NS as to type, unsweetened</v>
          </cell>
          <cell r="I5921">
            <v>360</v>
          </cell>
          <cell r="J5921">
            <v>3.6</v>
          </cell>
          <cell r="K5921">
            <v>0.01</v>
          </cell>
          <cell r="L5921">
            <v>0</v>
          </cell>
          <cell r="M5921">
            <v>6.4799999999999996E-3</v>
          </cell>
          <cell r="N5921">
            <v>0</v>
          </cell>
          <cell r="O5921">
            <v>1.08E-3</v>
          </cell>
          <cell r="P5921">
            <v>0</v>
          </cell>
          <cell r="Q5921">
            <v>1.2959999999999999E-2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  <cell r="V5921">
            <v>0</v>
          </cell>
          <cell r="W5921">
            <v>0</v>
          </cell>
          <cell r="X5921">
            <v>1.116E-2</v>
          </cell>
          <cell r="Y5921">
            <v>0</v>
          </cell>
          <cell r="Z5921">
            <v>0</v>
          </cell>
          <cell r="AA5921">
            <v>0</v>
          </cell>
          <cell r="AB5921">
            <v>0</v>
          </cell>
        </row>
        <row r="5922">
          <cell r="A5922">
            <v>92301060</v>
          </cell>
          <cell r="B5922" t="str">
            <v>Tea, NS as to type, presweetened with sugar</v>
          </cell>
          <cell r="I5922">
            <v>360</v>
          </cell>
          <cell r="J5922">
            <v>115.96735</v>
          </cell>
          <cell r="K5922">
            <v>0.32213152777777776</v>
          </cell>
          <cell r="L5922">
            <v>0</v>
          </cell>
          <cell r="M5922">
            <v>5.9560000000000004E-3</v>
          </cell>
          <cell r="N5922">
            <v>0</v>
          </cell>
          <cell r="O5922">
            <v>1.2838000000000001E-3</v>
          </cell>
          <cell r="P5922">
            <v>0</v>
          </cell>
          <cell r="Q5922">
            <v>1.1912000000000001E-2</v>
          </cell>
          <cell r="R5922">
            <v>0</v>
          </cell>
          <cell r="S5922">
            <v>0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1.0548699999999999E-2</v>
          </cell>
          <cell r="Y5922">
            <v>0</v>
          </cell>
          <cell r="Z5922">
            <v>0</v>
          </cell>
          <cell r="AA5922">
            <v>0</v>
          </cell>
          <cell r="AB5922">
            <v>0</v>
          </cell>
        </row>
        <row r="5923">
          <cell r="A5923">
            <v>92301080</v>
          </cell>
          <cell r="B5923" t="str">
            <v>Tea, NS as to type, presweetened with low calorie sweetener</v>
          </cell>
          <cell r="I5923">
            <v>360</v>
          </cell>
          <cell r="J5923">
            <v>9.1105129999999992</v>
          </cell>
          <cell r="K5923">
            <v>2.5306980555555553E-2</v>
          </cell>
          <cell r="L5923">
            <v>0</v>
          </cell>
          <cell r="M5923">
            <v>6.4527999999999999E-3</v>
          </cell>
          <cell r="N5923">
            <v>0</v>
          </cell>
          <cell r="O5923">
            <v>1.0755000000000001E-3</v>
          </cell>
          <cell r="P5923">
            <v>0</v>
          </cell>
          <cell r="Q5923">
            <v>1.29055E-2</v>
          </cell>
          <cell r="R5923">
            <v>0</v>
          </cell>
          <cell r="S5923">
            <v>0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1.1113100000000001E-2</v>
          </cell>
          <cell r="Y5923">
            <v>0</v>
          </cell>
          <cell r="Z5923">
            <v>0</v>
          </cell>
          <cell r="AA5923">
            <v>0</v>
          </cell>
          <cell r="AB5923">
            <v>0</v>
          </cell>
        </row>
        <row r="5924">
          <cell r="A5924">
            <v>92301100</v>
          </cell>
          <cell r="B5924" t="str">
            <v>Tea, NS as to type, decaffeinated, unsweetened</v>
          </cell>
          <cell r="I5924">
            <v>360</v>
          </cell>
          <cell r="J5924">
            <v>3.6</v>
          </cell>
          <cell r="K5924">
            <v>0.01</v>
          </cell>
          <cell r="L5924">
            <v>0</v>
          </cell>
          <cell r="M5924">
            <v>7.1999999999999998E-3</v>
          </cell>
          <cell r="N5924">
            <v>0</v>
          </cell>
          <cell r="O5924">
            <v>0</v>
          </cell>
          <cell r="P5924">
            <v>0</v>
          </cell>
          <cell r="Q5924">
            <v>1.44E-2</v>
          </cell>
          <cell r="R5924">
            <v>0</v>
          </cell>
          <cell r="S5924">
            <v>0</v>
          </cell>
          <cell r="T5924">
            <v>0</v>
          </cell>
          <cell r="U5924">
            <v>0</v>
          </cell>
          <cell r="V5924">
            <v>0</v>
          </cell>
          <cell r="W5924">
            <v>0</v>
          </cell>
          <cell r="X5924">
            <v>1.0800000000000001E-2</v>
          </cell>
          <cell r="Y5924">
            <v>0</v>
          </cell>
          <cell r="Z5924">
            <v>0</v>
          </cell>
          <cell r="AA5924">
            <v>0</v>
          </cell>
          <cell r="AB5924">
            <v>0</v>
          </cell>
        </row>
        <row r="5925">
          <cell r="A5925">
            <v>92301130</v>
          </cell>
          <cell r="B5925" t="str">
            <v>Tea, NS as to type, presweetened, NS as to sweetener</v>
          </cell>
          <cell r="I5925">
            <v>360</v>
          </cell>
          <cell r="J5925">
            <v>99.938822000000002</v>
          </cell>
          <cell r="K5925">
            <v>0.2776078388888889</v>
          </cell>
          <cell r="L5925">
            <v>0</v>
          </cell>
          <cell r="M5925">
            <v>6.0305000000000003E-3</v>
          </cell>
          <cell r="N5925">
            <v>0</v>
          </cell>
          <cell r="O5925">
            <v>1.2524999999999999E-3</v>
          </cell>
          <cell r="P5925">
            <v>0</v>
          </cell>
          <cell r="Q5925">
            <v>1.2061000000000001E-2</v>
          </cell>
          <cell r="R5925">
            <v>0</v>
          </cell>
          <cell r="S5925">
            <v>0</v>
          </cell>
          <cell r="T5925">
            <v>0</v>
          </cell>
          <cell r="U5925">
            <v>0</v>
          </cell>
          <cell r="V5925">
            <v>0</v>
          </cell>
          <cell r="W5925">
            <v>0</v>
          </cell>
          <cell r="X5925">
            <v>1.06333E-2</v>
          </cell>
          <cell r="Y5925">
            <v>0</v>
          </cell>
          <cell r="Z5925">
            <v>0</v>
          </cell>
          <cell r="AA5925">
            <v>0</v>
          </cell>
          <cell r="AB5925">
            <v>0</v>
          </cell>
        </row>
        <row r="5926">
          <cell r="A5926">
            <v>92301160</v>
          </cell>
          <cell r="B5926" t="str">
            <v>Tea, NS as to type, decaffeinated, presweetened with sugar</v>
          </cell>
          <cell r="I5926">
            <v>360</v>
          </cell>
          <cell r="J5926">
            <v>115.96735</v>
          </cell>
          <cell r="K5926">
            <v>0.32213152777777776</v>
          </cell>
          <cell r="L5926">
            <v>0</v>
          </cell>
          <cell r="M5926">
            <v>6.6178000000000001E-3</v>
          </cell>
          <cell r="N5926">
            <v>0</v>
          </cell>
          <cell r="O5926">
            <v>2.9109999999999997E-4</v>
          </cell>
          <cell r="P5926">
            <v>0</v>
          </cell>
          <cell r="Q5926">
            <v>1.32356E-2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  <cell r="V5926">
            <v>0</v>
          </cell>
          <cell r="W5926">
            <v>0</v>
          </cell>
          <cell r="X5926">
            <v>1.0217800000000001E-2</v>
          </cell>
          <cell r="Y5926">
            <v>0</v>
          </cell>
          <cell r="Z5926">
            <v>0</v>
          </cell>
          <cell r="AA5926">
            <v>0</v>
          </cell>
          <cell r="AB5926">
            <v>0</v>
          </cell>
        </row>
        <row r="5927">
          <cell r="A5927">
            <v>92301180</v>
          </cell>
          <cell r="B5927" t="str">
            <v>Tea, NS as to type, decaffeinated, presweetened with low calorie sweetener</v>
          </cell>
          <cell r="I5927">
            <v>360</v>
          </cell>
          <cell r="J5927">
            <v>9.1105129999999992</v>
          </cell>
          <cell r="K5927">
            <v>2.5306980555555553E-2</v>
          </cell>
          <cell r="L5927">
            <v>0</v>
          </cell>
          <cell r="M5927">
            <v>7.1697000000000002E-3</v>
          </cell>
          <cell r="N5927">
            <v>0</v>
          </cell>
          <cell r="O5927">
            <v>0</v>
          </cell>
          <cell r="P5927">
            <v>0</v>
          </cell>
          <cell r="Q5927">
            <v>1.43394E-2</v>
          </cell>
          <cell r="R5927">
            <v>0</v>
          </cell>
          <cell r="S5927">
            <v>0</v>
          </cell>
          <cell r="T5927">
            <v>0</v>
          </cell>
          <cell r="U5927">
            <v>0</v>
          </cell>
          <cell r="V5927">
            <v>0</v>
          </cell>
          <cell r="W5927">
            <v>0</v>
          </cell>
          <cell r="X5927">
            <v>1.07546E-2</v>
          </cell>
          <cell r="Y5927">
            <v>0</v>
          </cell>
          <cell r="Z5927">
            <v>0</v>
          </cell>
          <cell r="AA5927">
            <v>0</v>
          </cell>
          <cell r="AB5927">
            <v>0</v>
          </cell>
        </row>
        <row r="5928">
          <cell r="A5928">
            <v>92301190</v>
          </cell>
          <cell r="B5928" t="str">
            <v>Tea, NS as to type, decaffeinated, presweetened, NS as to sweetener</v>
          </cell>
          <cell r="I5928">
            <v>360</v>
          </cell>
          <cell r="J5928">
            <v>62.538930000000001</v>
          </cell>
          <cell r="K5928">
            <v>0.17371924999999999</v>
          </cell>
          <cell r="L5928">
            <v>0</v>
          </cell>
          <cell r="M5928">
            <v>6.8938000000000003E-3</v>
          </cell>
          <cell r="N5928">
            <v>0</v>
          </cell>
          <cell r="O5928">
            <v>1.4559999999999999E-4</v>
          </cell>
          <cell r="P5928">
            <v>0</v>
          </cell>
          <cell r="Q5928">
            <v>1.3787499999999999E-2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  <cell r="V5928">
            <v>0</v>
          </cell>
          <cell r="W5928">
            <v>0</v>
          </cell>
          <cell r="X5928">
            <v>1.0486199999999999E-2</v>
          </cell>
          <cell r="Y5928">
            <v>0</v>
          </cell>
          <cell r="Z5928">
            <v>0</v>
          </cell>
          <cell r="AA5928">
            <v>0</v>
          </cell>
          <cell r="AB5928">
            <v>0</v>
          </cell>
        </row>
        <row r="5929">
          <cell r="A5929">
            <v>92302000</v>
          </cell>
          <cell r="B5929" t="str">
            <v>Tea, hot, leaf, black</v>
          </cell>
          <cell r="I5929">
            <v>360</v>
          </cell>
          <cell r="J5929">
            <v>3.6</v>
          </cell>
          <cell r="K5929">
            <v>0.01</v>
          </cell>
          <cell r="L5929">
            <v>0</v>
          </cell>
          <cell r="M5929">
            <v>7.1999999999999998E-3</v>
          </cell>
          <cell r="N5929">
            <v>0</v>
          </cell>
          <cell r="O5929">
            <v>0</v>
          </cell>
          <cell r="P5929">
            <v>0</v>
          </cell>
          <cell r="Q5929">
            <v>1.44E-2</v>
          </cell>
          <cell r="R5929">
            <v>0</v>
          </cell>
          <cell r="S5929">
            <v>0</v>
          </cell>
          <cell r="T5929">
            <v>0</v>
          </cell>
          <cell r="U5929">
            <v>0</v>
          </cell>
          <cell r="V5929">
            <v>0</v>
          </cell>
          <cell r="W5929">
            <v>0</v>
          </cell>
          <cell r="X5929">
            <v>1.0800000000000001E-2</v>
          </cell>
          <cell r="Y5929">
            <v>0</v>
          </cell>
          <cell r="Z5929">
            <v>0</v>
          </cell>
          <cell r="AA5929">
            <v>0</v>
          </cell>
          <cell r="AB5929">
            <v>0</v>
          </cell>
        </row>
        <row r="5930">
          <cell r="A5930">
            <v>92302200</v>
          </cell>
          <cell r="B5930" t="str">
            <v>Tea, leaf, presweetened with sugar</v>
          </cell>
          <cell r="I5930">
            <v>360</v>
          </cell>
          <cell r="J5930">
            <v>115.96735</v>
          </cell>
          <cell r="K5930">
            <v>0.32213152777777776</v>
          </cell>
          <cell r="L5930">
            <v>0</v>
          </cell>
          <cell r="M5930">
            <v>6.6178000000000001E-3</v>
          </cell>
          <cell r="N5930">
            <v>0</v>
          </cell>
          <cell r="O5930">
            <v>2.9109999999999997E-4</v>
          </cell>
          <cell r="P5930">
            <v>0</v>
          </cell>
          <cell r="Q5930">
            <v>1.32356E-2</v>
          </cell>
          <cell r="R5930">
            <v>0</v>
          </cell>
          <cell r="S5930">
            <v>0</v>
          </cell>
          <cell r="T5930">
            <v>0</v>
          </cell>
          <cell r="U5930">
            <v>0</v>
          </cell>
          <cell r="V5930">
            <v>0</v>
          </cell>
          <cell r="W5930">
            <v>0</v>
          </cell>
          <cell r="X5930">
            <v>1.0217800000000001E-2</v>
          </cell>
          <cell r="Y5930">
            <v>0</v>
          </cell>
          <cell r="Z5930">
            <v>0</v>
          </cell>
          <cell r="AA5930">
            <v>0</v>
          </cell>
          <cell r="AB5930">
            <v>0</v>
          </cell>
        </row>
        <row r="5931">
          <cell r="A5931">
            <v>92302300</v>
          </cell>
          <cell r="B5931" t="str">
            <v>Tea, leaf, presweetened with low calorie sweetener</v>
          </cell>
          <cell r="I5931">
            <v>360</v>
          </cell>
          <cell r="J5931">
            <v>9.1105129999999992</v>
          </cell>
          <cell r="K5931">
            <v>2.5306980555555553E-2</v>
          </cell>
          <cell r="L5931">
            <v>0</v>
          </cell>
          <cell r="M5931">
            <v>7.1697000000000002E-3</v>
          </cell>
          <cell r="N5931">
            <v>0</v>
          </cell>
          <cell r="O5931">
            <v>0</v>
          </cell>
          <cell r="P5931">
            <v>0</v>
          </cell>
          <cell r="Q5931">
            <v>1.43394E-2</v>
          </cell>
          <cell r="R5931">
            <v>0</v>
          </cell>
          <cell r="S5931">
            <v>0</v>
          </cell>
          <cell r="T5931">
            <v>0</v>
          </cell>
          <cell r="U5931">
            <v>0</v>
          </cell>
          <cell r="V5931">
            <v>0</v>
          </cell>
          <cell r="W5931">
            <v>0</v>
          </cell>
          <cell r="X5931">
            <v>1.07546E-2</v>
          </cell>
          <cell r="Y5931">
            <v>0</v>
          </cell>
          <cell r="Z5931">
            <v>0</v>
          </cell>
          <cell r="AA5931">
            <v>0</v>
          </cell>
          <cell r="AB5931">
            <v>0</v>
          </cell>
        </row>
        <row r="5932">
          <cell r="A5932">
            <v>92302400</v>
          </cell>
          <cell r="B5932" t="str">
            <v>Tea, leaf, presweetened, NS as to sweetener</v>
          </cell>
          <cell r="I5932">
            <v>360</v>
          </cell>
          <cell r="J5932">
            <v>115.96735</v>
          </cell>
          <cell r="K5932">
            <v>0.32213152777777776</v>
          </cell>
          <cell r="L5932">
            <v>0</v>
          </cell>
          <cell r="M5932">
            <v>6.6178000000000001E-3</v>
          </cell>
          <cell r="N5932">
            <v>0</v>
          </cell>
          <cell r="O5932">
            <v>2.9109999999999997E-4</v>
          </cell>
          <cell r="P5932">
            <v>0</v>
          </cell>
          <cell r="Q5932">
            <v>1.32356E-2</v>
          </cell>
          <cell r="R5932">
            <v>0</v>
          </cell>
          <cell r="S5932">
            <v>0</v>
          </cell>
          <cell r="T5932">
            <v>0</v>
          </cell>
          <cell r="U5932">
            <v>0</v>
          </cell>
          <cell r="V5932">
            <v>0</v>
          </cell>
          <cell r="W5932">
            <v>0</v>
          </cell>
          <cell r="X5932">
            <v>1.0217800000000001E-2</v>
          </cell>
          <cell r="Y5932">
            <v>0</v>
          </cell>
          <cell r="Z5932">
            <v>0</v>
          </cell>
          <cell r="AA5932">
            <v>0</v>
          </cell>
          <cell r="AB5932">
            <v>0</v>
          </cell>
        </row>
        <row r="5933">
          <cell r="A5933">
            <v>92302500</v>
          </cell>
          <cell r="B5933" t="str">
            <v>Tea, hot, leaf, black, decaffeinated</v>
          </cell>
          <cell r="I5933">
            <v>360</v>
          </cell>
          <cell r="J5933">
            <v>3.6</v>
          </cell>
          <cell r="K5933">
            <v>0.01</v>
          </cell>
          <cell r="L5933">
            <v>0</v>
          </cell>
          <cell r="M5933">
            <v>7.1999999999999998E-3</v>
          </cell>
          <cell r="N5933">
            <v>0</v>
          </cell>
          <cell r="O5933">
            <v>0</v>
          </cell>
          <cell r="P5933">
            <v>0</v>
          </cell>
          <cell r="Q5933">
            <v>1.44E-2</v>
          </cell>
          <cell r="R5933">
            <v>0</v>
          </cell>
          <cell r="S5933">
            <v>0</v>
          </cell>
          <cell r="T5933">
            <v>0</v>
          </cell>
          <cell r="U5933">
            <v>0</v>
          </cell>
          <cell r="V5933">
            <v>0</v>
          </cell>
          <cell r="W5933">
            <v>0</v>
          </cell>
          <cell r="X5933">
            <v>1.0800000000000001E-2</v>
          </cell>
          <cell r="Y5933">
            <v>0</v>
          </cell>
          <cell r="Z5933">
            <v>0</v>
          </cell>
          <cell r="AA5933">
            <v>0</v>
          </cell>
          <cell r="AB5933">
            <v>0</v>
          </cell>
        </row>
        <row r="5934">
          <cell r="A5934">
            <v>92302600</v>
          </cell>
          <cell r="B5934" t="str">
            <v>Tea, leaf, decaffeinated, presweetened with sugar</v>
          </cell>
          <cell r="I5934">
            <v>360</v>
          </cell>
          <cell r="J5934">
            <v>73.275090000000006</v>
          </cell>
          <cell r="K5934">
            <v>0.20354191666666668</v>
          </cell>
          <cell r="L5934">
            <v>0</v>
          </cell>
          <cell r="M5934">
            <v>6.8389999999999996E-3</v>
          </cell>
          <cell r="N5934">
            <v>0</v>
          </cell>
          <cell r="O5934">
            <v>1.805E-4</v>
          </cell>
          <cell r="P5934">
            <v>0</v>
          </cell>
          <cell r="Q5934">
            <v>1.3677999999999999E-2</v>
          </cell>
          <cell r="R5934">
            <v>0</v>
          </cell>
          <cell r="S5934">
            <v>0</v>
          </cell>
          <cell r="T5934">
            <v>0</v>
          </cell>
          <cell r="U5934">
            <v>0</v>
          </cell>
          <cell r="V5934">
            <v>0</v>
          </cell>
          <cell r="W5934">
            <v>0</v>
          </cell>
          <cell r="X5934">
            <v>1.0439E-2</v>
          </cell>
          <cell r="Y5934">
            <v>0</v>
          </cell>
          <cell r="Z5934">
            <v>0</v>
          </cell>
          <cell r="AA5934">
            <v>0</v>
          </cell>
          <cell r="AB5934">
            <v>0</v>
          </cell>
        </row>
        <row r="5935">
          <cell r="A5935">
            <v>92302700</v>
          </cell>
          <cell r="B5935" t="str">
            <v>Tea, leaf, decaffeinated, presweetened with low calorie sweetener</v>
          </cell>
          <cell r="I5935">
            <v>360</v>
          </cell>
          <cell r="J5935">
            <v>9.1105129999999992</v>
          </cell>
          <cell r="K5935">
            <v>2.5306980555555553E-2</v>
          </cell>
          <cell r="L5935">
            <v>0</v>
          </cell>
          <cell r="M5935">
            <v>7.1697000000000002E-3</v>
          </cell>
          <cell r="N5935">
            <v>0</v>
          </cell>
          <cell r="O5935">
            <v>0</v>
          </cell>
          <cell r="P5935">
            <v>0</v>
          </cell>
          <cell r="Q5935">
            <v>1.43394E-2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  <cell r="V5935">
            <v>0</v>
          </cell>
          <cell r="W5935">
            <v>0</v>
          </cell>
          <cell r="X5935">
            <v>1.07546E-2</v>
          </cell>
          <cell r="Y5935">
            <v>0</v>
          </cell>
          <cell r="Z5935">
            <v>0</v>
          </cell>
          <cell r="AA5935">
            <v>0</v>
          </cell>
          <cell r="AB5935">
            <v>0</v>
          </cell>
        </row>
        <row r="5936">
          <cell r="A5936">
            <v>92303010</v>
          </cell>
          <cell r="B5936" t="str">
            <v>Tea, hot, leaf, green</v>
          </cell>
          <cell r="I5936">
            <v>360</v>
          </cell>
          <cell r="J5936">
            <v>3.6</v>
          </cell>
          <cell r="K5936">
            <v>0.01</v>
          </cell>
          <cell r="L5936">
            <v>0</v>
          </cell>
          <cell r="M5936">
            <v>0</v>
          </cell>
          <cell r="N5936">
            <v>0</v>
          </cell>
          <cell r="O5936">
            <v>0</v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  <cell r="V5936">
            <v>0</v>
          </cell>
          <cell r="W5936">
            <v>0</v>
          </cell>
          <cell r="X5936">
            <v>3.5999999999999999E-3</v>
          </cell>
          <cell r="Y5936">
            <v>0</v>
          </cell>
          <cell r="Z5936">
            <v>0</v>
          </cell>
          <cell r="AA5936">
            <v>0</v>
          </cell>
          <cell r="AB5936">
            <v>0</v>
          </cell>
        </row>
        <row r="5937">
          <cell r="A5937">
            <v>92303100</v>
          </cell>
          <cell r="B5937" t="str">
            <v>Tea, hot, leaf, green, decaffeinated</v>
          </cell>
          <cell r="I5937">
            <v>360</v>
          </cell>
          <cell r="J5937">
            <v>0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>
            <v>0</v>
          </cell>
          <cell r="V5937">
            <v>0</v>
          </cell>
          <cell r="W5937">
            <v>0</v>
          </cell>
          <cell r="X5937">
            <v>0</v>
          </cell>
          <cell r="Y5937">
            <v>0</v>
          </cell>
          <cell r="Z5937">
            <v>0</v>
          </cell>
          <cell r="AA5937">
            <v>0</v>
          </cell>
          <cell r="AB5937">
            <v>0</v>
          </cell>
        </row>
        <row r="5938">
          <cell r="A5938">
            <v>92304100</v>
          </cell>
          <cell r="B5938" t="str">
            <v>Tea, hot, leaf, oolong</v>
          </cell>
          <cell r="I5938">
            <v>360</v>
          </cell>
          <cell r="J5938">
            <v>3.6</v>
          </cell>
          <cell r="K5938">
            <v>0.01</v>
          </cell>
          <cell r="L5938">
            <v>0</v>
          </cell>
          <cell r="M5938">
            <v>0</v>
          </cell>
          <cell r="N5938">
            <v>0</v>
          </cell>
          <cell r="O5938">
            <v>3.5999999999999999E-3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>
            <v>0</v>
          </cell>
          <cell r="V5938">
            <v>0</v>
          </cell>
          <cell r="W5938">
            <v>0</v>
          </cell>
          <cell r="X5938">
            <v>1.0800000000000001E-2</v>
          </cell>
          <cell r="Y5938">
            <v>0</v>
          </cell>
          <cell r="Z5938">
            <v>0</v>
          </cell>
          <cell r="AA5938">
            <v>0</v>
          </cell>
          <cell r="AB5938">
            <v>0</v>
          </cell>
        </row>
        <row r="5939">
          <cell r="A5939">
            <v>92305000</v>
          </cell>
          <cell r="B5939" t="str">
            <v>Tea, made from powdered instant, presweetened, NS as to sweetener</v>
          </cell>
          <cell r="I5939">
            <v>360</v>
          </cell>
          <cell r="J5939">
            <v>107.14219</v>
          </cell>
          <cell r="K5939">
            <v>0.29761719444444446</v>
          </cell>
          <cell r="L5939">
            <v>0</v>
          </cell>
          <cell r="M5939">
            <v>2.5917200000000001E-2</v>
          </cell>
          <cell r="N5939">
            <v>0</v>
          </cell>
          <cell r="O5939">
            <v>1.05328E-2</v>
          </cell>
          <cell r="P5939">
            <v>0.18703130000000001</v>
          </cell>
          <cell r="Q5939">
            <v>5.8246899999999997E-2</v>
          </cell>
          <cell r="R5939">
            <v>0</v>
          </cell>
          <cell r="S5939">
            <v>0</v>
          </cell>
          <cell r="T5939">
            <v>0</v>
          </cell>
          <cell r="U5939">
            <v>0</v>
          </cell>
          <cell r="V5939">
            <v>0</v>
          </cell>
          <cell r="W5939">
            <v>0</v>
          </cell>
          <cell r="X5939">
            <v>1.46672E-2</v>
          </cell>
          <cell r="Y5939">
            <v>0</v>
          </cell>
          <cell r="Z5939">
            <v>0</v>
          </cell>
          <cell r="AA5939">
            <v>0</v>
          </cell>
          <cell r="AB5939">
            <v>0</v>
          </cell>
        </row>
        <row r="5940">
          <cell r="A5940">
            <v>92305010</v>
          </cell>
          <cell r="B5940" t="str">
            <v>Tea, iced, instant, black, unsweetened</v>
          </cell>
          <cell r="I5940">
            <v>360</v>
          </cell>
          <cell r="J5940">
            <v>3.6575514999999998</v>
          </cell>
          <cell r="K5940">
            <v>1.0159865277777777E-2</v>
          </cell>
          <cell r="L5940">
            <v>0</v>
          </cell>
          <cell r="M5940">
            <v>4.9830000000000002E-4</v>
          </cell>
          <cell r="N5940">
            <v>0</v>
          </cell>
          <cell r="O5940">
            <v>1.1065E-2</v>
          </cell>
          <cell r="P5940">
            <v>5.3008E-2</v>
          </cell>
          <cell r="Q5940">
            <v>1.2404E-3</v>
          </cell>
          <cell r="R5940">
            <v>0</v>
          </cell>
          <cell r="S5940">
            <v>0</v>
          </cell>
          <cell r="T5940">
            <v>0</v>
          </cell>
          <cell r="U5940">
            <v>0</v>
          </cell>
          <cell r="V5940">
            <v>0</v>
          </cell>
          <cell r="W5940">
            <v>0</v>
          </cell>
          <cell r="X5940">
            <v>1.4940699999999999E-2</v>
          </cell>
          <cell r="Y5940">
            <v>0</v>
          </cell>
          <cell r="Z5940">
            <v>0</v>
          </cell>
          <cell r="AA5940">
            <v>0</v>
          </cell>
          <cell r="AB5940">
            <v>0</v>
          </cell>
        </row>
        <row r="5941">
          <cell r="A5941">
            <v>92305040</v>
          </cell>
          <cell r="B5941" t="str">
            <v>Tea, iced, instant, black, pre-sweetened with sugar</v>
          </cell>
          <cell r="I5941">
            <v>360</v>
          </cell>
          <cell r="J5941">
            <v>107.14219</v>
          </cell>
          <cell r="K5941">
            <v>0.29761719444444446</v>
          </cell>
          <cell r="L5941">
            <v>0</v>
          </cell>
          <cell r="M5941">
            <v>2.5917200000000001E-2</v>
          </cell>
          <cell r="N5941">
            <v>0</v>
          </cell>
          <cell r="O5941">
            <v>1.05328E-2</v>
          </cell>
          <cell r="P5941">
            <v>0.18703130000000001</v>
          </cell>
          <cell r="Q5941">
            <v>5.8246899999999997E-2</v>
          </cell>
          <cell r="R5941">
            <v>0</v>
          </cell>
          <cell r="S5941">
            <v>0</v>
          </cell>
          <cell r="T5941">
            <v>0</v>
          </cell>
          <cell r="U5941">
            <v>0</v>
          </cell>
          <cell r="V5941">
            <v>0</v>
          </cell>
          <cell r="W5941">
            <v>0</v>
          </cell>
          <cell r="X5941">
            <v>1.46672E-2</v>
          </cell>
          <cell r="Y5941">
            <v>0</v>
          </cell>
          <cell r="Z5941">
            <v>0</v>
          </cell>
          <cell r="AA5941">
            <v>0</v>
          </cell>
          <cell r="AB5941">
            <v>0</v>
          </cell>
        </row>
        <row r="5942">
          <cell r="A5942">
            <v>92305050</v>
          </cell>
          <cell r="B5942" t="str">
            <v>Tea, iced, instant, black, decaffeinated, pre-sweetened with sugar</v>
          </cell>
          <cell r="I5942">
            <v>360</v>
          </cell>
          <cell r="J5942">
            <v>111.20605</v>
          </cell>
          <cell r="K5942">
            <v>0.30890569444444443</v>
          </cell>
          <cell r="L5942">
            <v>0</v>
          </cell>
          <cell r="M5942">
            <v>0</v>
          </cell>
          <cell r="N5942">
            <v>0</v>
          </cell>
          <cell r="O5942">
            <v>1.1365800000000001E-2</v>
          </cell>
          <cell r="P5942">
            <v>8.3119899999999997E-2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  <cell r="V5942">
            <v>0</v>
          </cell>
          <cell r="W5942">
            <v>0</v>
          </cell>
          <cell r="X5942">
            <v>1.42268E-2</v>
          </cell>
          <cell r="Y5942">
            <v>0</v>
          </cell>
          <cell r="Z5942">
            <v>0</v>
          </cell>
          <cell r="AA5942">
            <v>0</v>
          </cell>
          <cell r="AB5942">
            <v>0</v>
          </cell>
        </row>
        <row r="5943">
          <cell r="A5943">
            <v>92305090</v>
          </cell>
          <cell r="B5943" t="str">
            <v>Tea, iced, instant, black, pre-sweetened with low calorie sweetner</v>
          </cell>
          <cell r="I5943">
            <v>360</v>
          </cell>
          <cell r="J5943">
            <v>7.2</v>
          </cell>
          <cell r="K5943">
            <v>0.02</v>
          </cell>
          <cell r="L5943">
            <v>0</v>
          </cell>
          <cell r="M5943">
            <v>0</v>
          </cell>
          <cell r="N5943">
            <v>0</v>
          </cell>
          <cell r="O5943">
            <v>1.0800000000000001E-2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>
            <v>0</v>
          </cell>
          <cell r="V5943">
            <v>0</v>
          </cell>
          <cell r="W5943">
            <v>0</v>
          </cell>
          <cell r="X5943">
            <v>2.1600000000000001E-2</v>
          </cell>
          <cell r="Y5943">
            <v>0</v>
          </cell>
          <cell r="Z5943">
            <v>0</v>
          </cell>
          <cell r="AA5943">
            <v>0</v>
          </cell>
          <cell r="AB5943">
            <v>0</v>
          </cell>
        </row>
        <row r="5944">
          <cell r="A5944">
            <v>92305110</v>
          </cell>
          <cell r="B5944" t="str">
            <v>Tea, iced, instant, black, decaffeinated, pre-sweetened with low calorie sweetener</v>
          </cell>
          <cell r="I5944">
            <v>360</v>
          </cell>
          <cell r="J5944">
            <v>10.182427000000001</v>
          </cell>
          <cell r="K5944">
            <v>2.8284519444444448E-2</v>
          </cell>
          <cell r="L5944">
            <v>0</v>
          </cell>
          <cell r="M5944">
            <v>0</v>
          </cell>
          <cell r="N5944">
            <v>0</v>
          </cell>
          <cell r="O5944">
            <v>1.13423E-2</v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>
            <v>0</v>
          </cell>
          <cell r="V5944">
            <v>0</v>
          </cell>
          <cell r="W5944">
            <v>0</v>
          </cell>
          <cell r="X5944">
            <v>2.6691200000000002E-2</v>
          </cell>
          <cell r="Y5944">
            <v>0</v>
          </cell>
          <cell r="Z5944">
            <v>0</v>
          </cell>
          <cell r="AA5944">
            <v>0</v>
          </cell>
          <cell r="AB5944">
            <v>0</v>
          </cell>
        </row>
        <row r="5945">
          <cell r="A5945">
            <v>92305180</v>
          </cell>
          <cell r="B5945" t="str">
            <v>Tea, iced, instant, black, decaffeinated, unsweetened</v>
          </cell>
          <cell r="I5945">
            <v>360</v>
          </cell>
          <cell r="J5945">
            <v>3.3395036</v>
          </cell>
          <cell r="K5945">
            <v>9.2763988888888895E-3</v>
          </cell>
          <cell r="L5945">
            <v>0</v>
          </cell>
          <cell r="M5945">
            <v>0</v>
          </cell>
          <cell r="N5945">
            <v>0</v>
          </cell>
          <cell r="O5945">
            <v>1.2019200000000001E-2</v>
          </cell>
          <cell r="P5945">
            <v>9.0113600000000002E-2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>
            <v>0</v>
          </cell>
          <cell r="V5945">
            <v>0</v>
          </cell>
          <cell r="W5945">
            <v>0</v>
          </cell>
          <cell r="X5945">
            <v>1.51209E-2</v>
          </cell>
          <cell r="Y5945">
            <v>0</v>
          </cell>
          <cell r="Z5945">
            <v>0</v>
          </cell>
          <cell r="AA5945">
            <v>0</v>
          </cell>
          <cell r="AB5945">
            <v>0</v>
          </cell>
        </row>
        <row r="5946">
          <cell r="A5946">
            <v>92305900</v>
          </cell>
          <cell r="B5946" t="str">
            <v>Tea, iced, instant, green, unsweetened</v>
          </cell>
          <cell r="I5946">
            <v>360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3.5999999999999999E-3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>
            <v>0</v>
          </cell>
          <cell r="V5946">
            <v>0</v>
          </cell>
          <cell r="W5946">
            <v>0</v>
          </cell>
          <cell r="X5946">
            <v>2.52E-2</v>
          </cell>
          <cell r="Y5946">
            <v>0</v>
          </cell>
          <cell r="Z5946">
            <v>0</v>
          </cell>
          <cell r="AA5946">
            <v>0</v>
          </cell>
          <cell r="AB5946">
            <v>0</v>
          </cell>
        </row>
        <row r="5947">
          <cell r="A5947">
            <v>92305910</v>
          </cell>
          <cell r="B5947" t="str">
            <v>Tea, iced, instant, green, pre-sweetened with sugar</v>
          </cell>
          <cell r="I5947">
            <v>360</v>
          </cell>
          <cell r="J5947">
            <v>97.2</v>
          </cell>
          <cell r="K5947">
            <v>0.27</v>
          </cell>
          <cell r="L5947">
            <v>0</v>
          </cell>
          <cell r="M5947">
            <v>0</v>
          </cell>
          <cell r="N5947">
            <v>0</v>
          </cell>
          <cell r="O5947">
            <v>3.5999999999999999E-3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>
            <v>0</v>
          </cell>
          <cell r="V5947">
            <v>0</v>
          </cell>
          <cell r="W5947">
            <v>0</v>
          </cell>
          <cell r="X5947">
            <v>7.5600000000000001E-2</v>
          </cell>
          <cell r="Y5947">
            <v>0</v>
          </cell>
          <cell r="Z5947">
            <v>0</v>
          </cell>
          <cell r="AA5947">
            <v>0</v>
          </cell>
          <cell r="AB5947">
            <v>0.1181767</v>
          </cell>
        </row>
        <row r="5948">
          <cell r="A5948">
            <v>92305920</v>
          </cell>
          <cell r="B5948" t="str">
            <v>Tea, iced, instant, green, pre-sweetened with low calorie sweetener</v>
          </cell>
          <cell r="I5948">
            <v>360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3.5999999999999999E-3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>
            <v>0</v>
          </cell>
          <cell r="V5948">
            <v>0</v>
          </cell>
          <cell r="W5948">
            <v>0</v>
          </cell>
          <cell r="X5948">
            <v>2.1600000000000001E-2</v>
          </cell>
          <cell r="Y5948">
            <v>0</v>
          </cell>
          <cell r="Z5948">
            <v>0</v>
          </cell>
          <cell r="AA5948">
            <v>0</v>
          </cell>
          <cell r="AB5948">
            <v>0</v>
          </cell>
        </row>
        <row r="5949">
          <cell r="A5949">
            <v>92306000</v>
          </cell>
          <cell r="B5949" t="str">
            <v>Tea, hot, herbal</v>
          </cell>
          <cell r="I5949">
            <v>360</v>
          </cell>
          <cell r="J5949">
            <v>3.6</v>
          </cell>
          <cell r="K5949">
            <v>0.01</v>
          </cell>
          <cell r="L5949">
            <v>0</v>
          </cell>
          <cell r="M5949">
            <v>7.1999999999999998E-3</v>
          </cell>
          <cell r="N5949">
            <v>0</v>
          </cell>
          <cell r="O5949">
            <v>7.1999999999999998E-3</v>
          </cell>
          <cell r="P5949">
            <v>0</v>
          </cell>
          <cell r="Q5949">
            <v>1.7999999999999999E-2</v>
          </cell>
          <cell r="R5949">
            <v>0</v>
          </cell>
          <cell r="S5949">
            <v>0</v>
          </cell>
          <cell r="T5949">
            <v>0</v>
          </cell>
          <cell r="U5949">
            <v>0</v>
          </cell>
          <cell r="V5949">
            <v>0</v>
          </cell>
          <cell r="W5949">
            <v>0</v>
          </cell>
          <cell r="X5949">
            <v>3.5999999999999999E-3</v>
          </cell>
          <cell r="Y5949">
            <v>0</v>
          </cell>
          <cell r="Z5949">
            <v>0</v>
          </cell>
          <cell r="AA5949">
            <v>0</v>
          </cell>
          <cell r="AB5949">
            <v>0</v>
          </cell>
        </row>
        <row r="5950">
          <cell r="A5950">
            <v>92306020</v>
          </cell>
          <cell r="B5950" t="str">
            <v>Tea, herbal, presweetened with sugar</v>
          </cell>
          <cell r="I5950">
            <v>360</v>
          </cell>
          <cell r="J5950">
            <v>73.275090000000006</v>
          </cell>
          <cell r="K5950">
            <v>0.20354191666666668</v>
          </cell>
          <cell r="L5950">
            <v>0</v>
          </cell>
          <cell r="M5950">
            <v>6.8389999999999996E-3</v>
          </cell>
          <cell r="N5950">
            <v>0</v>
          </cell>
          <cell r="O5950">
            <v>7.0194999999999997E-3</v>
          </cell>
          <cell r="P5950">
            <v>0</v>
          </cell>
          <cell r="Q5950">
            <v>1.7097500000000002E-2</v>
          </cell>
          <cell r="R5950">
            <v>0</v>
          </cell>
          <cell r="S5950">
            <v>0</v>
          </cell>
          <cell r="T5950">
            <v>0</v>
          </cell>
          <cell r="U5950">
            <v>0</v>
          </cell>
          <cell r="V5950">
            <v>0</v>
          </cell>
          <cell r="W5950">
            <v>0</v>
          </cell>
          <cell r="X5950">
            <v>3.5999999999999999E-3</v>
          </cell>
          <cell r="Y5950">
            <v>0</v>
          </cell>
          <cell r="Z5950">
            <v>0</v>
          </cell>
          <cell r="AA5950">
            <v>0</v>
          </cell>
          <cell r="AB5950">
            <v>0</v>
          </cell>
        </row>
        <row r="5951">
          <cell r="A5951">
            <v>92306030</v>
          </cell>
          <cell r="B5951" t="str">
            <v>Tea, herbal, presweetened with low calorie sweetener</v>
          </cell>
          <cell r="I5951">
            <v>360</v>
          </cell>
          <cell r="J5951">
            <v>9.1105129999999992</v>
          </cell>
          <cell r="K5951">
            <v>2.5306980555555553E-2</v>
          </cell>
          <cell r="L5951">
            <v>0</v>
          </cell>
          <cell r="M5951">
            <v>7.1697000000000002E-3</v>
          </cell>
          <cell r="N5951">
            <v>0</v>
          </cell>
          <cell r="O5951">
            <v>7.1697000000000002E-3</v>
          </cell>
          <cell r="P5951">
            <v>0</v>
          </cell>
          <cell r="Q5951">
            <v>1.7924300000000001E-2</v>
          </cell>
          <cell r="R5951">
            <v>0</v>
          </cell>
          <cell r="S5951">
            <v>0</v>
          </cell>
          <cell r="T5951">
            <v>0</v>
          </cell>
          <cell r="U5951">
            <v>0</v>
          </cell>
          <cell r="V5951">
            <v>0</v>
          </cell>
          <cell r="W5951">
            <v>0</v>
          </cell>
          <cell r="X5951">
            <v>3.5848999999999998E-3</v>
          </cell>
          <cell r="Y5951">
            <v>0</v>
          </cell>
          <cell r="Z5951">
            <v>0</v>
          </cell>
          <cell r="AA5951">
            <v>0</v>
          </cell>
          <cell r="AB5951">
            <v>0</v>
          </cell>
        </row>
        <row r="5952">
          <cell r="A5952">
            <v>92306040</v>
          </cell>
          <cell r="B5952" t="str">
            <v>Tea, herbal, presweetened, NS as to sweetener</v>
          </cell>
          <cell r="I5952">
            <v>360</v>
          </cell>
          <cell r="J5952">
            <v>73.275090000000006</v>
          </cell>
          <cell r="K5952">
            <v>0.20354191666666668</v>
          </cell>
          <cell r="L5952">
            <v>0</v>
          </cell>
          <cell r="M5952">
            <v>6.8389999999999996E-3</v>
          </cell>
          <cell r="N5952">
            <v>0</v>
          </cell>
          <cell r="O5952">
            <v>7.0194999999999997E-3</v>
          </cell>
          <cell r="P5952">
            <v>0</v>
          </cell>
          <cell r="Q5952">
            <v>1.7097500000000002E-2</v>
          </cell>
          <cell r="R5952">
            <v>0</v>
          </cell>
          <cell r="S5952">
            <v>0</v>
          </cell>
          <cell r="T5952">
            <v>0</v>
          </cell>
          <cell r="U5952">
            <v>0</v>
          </cell>
          <cell r="V5952">
            <v>0</v>
          </cell>
          <cell r="W5952">
            <v>0</v>
          </cell>
          <cell r="X5952">
            <v>3.5999999999999999E-3</v>
          </cell>
          <cell r="Y5952">
            <v>0</v>
          </cell>
          <cell r="Z5952">
            <v>0</v>
          </cell>
          <cell r="AA5952">
            <v>0</v>
          </cell>
          <cell r="AB5952">
            <v>0</v>
          </cell>
        </row>
        <row r="5953">
          <cell r="A5953">
            <v>92306090</v>
          </cell>
          <cell r="B5953" t="str">
            <v>Tea, hot, hibiscus</v>
          </cell>
          <cell r="I5953">
            <v>360</v>
          </cell>
          <cell r="J5953">
            <v>0</v>
          </cell>
          <cell r="K5953">
            <v>0</v>
          </cell>
          <cell r="L5953">
            <v>0</v>
          </cell>
          <cell r="M5953">
            <v>0</v>
          </cell>
          <cell r="N5953">
            <v>0</v>
          </cell>
          <cell r="O5953">
            <v>2.8799999999999999E-2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>
            <v>0</v>
          </cell>
          <cell r="V5953">
            <v>0</v>
          </cell>
          <cell r="W5953">
            <v>0</v>
          </cell>
          <cell r="X5953">
            <v>1.44E-2</v>
          </cell>
          <cell r="Y5953">
            <v>0</v>
          </cell>
          <cell r="Z5953">
            <v>0</v>
          </cell>
          <cell r="AA5953">
            <v>0</v>
          </cell>
          <cell r="AB5953">
            <v>0</v>
          </cell>
        </row>
        <row r="5954">
          <cell r="A5954">
            <v>92306100</v>
          </cell>
          <cell r="B5954" t="str">
            <v>Corn beverage</v>
          </cell>
          <cell r="I5954">
            <v>360</v>
          </cell>
          <cell r="J5954">
            <v>153.69259</v>
          </cell>
          <cell r="K5954">
            <v>0.42692386111111108</v>
          </cell>
          <cell r="L5954">
            <v>3.1079110999999999</v>
          </cell>
          <cell r="M5954">
            <v>0.23117750000000001</v>
          </cell>
          <cell r="N5954">
            <v>0</v>
          </cell>
          <cell r="O5954">
            <v>1.27577E-2</v>
          </cell>
          <cell r="P5954">
            <v>0</v>
          </cell>
          <cell r="Q5954">
            <v>0.74887879999999996</v>
          </cell>
          <cell r="R5954">
            <v>42.574123999999998</v>
          </cell>
          <cell r="S5954">
            <v>0</v>
          </cell>
          <cell r="T5954">
            <v>0</v>
          </cell>
          <cell r="U5954">
            <v>0</v>
          </cell>
          <cell r="V5954">
            <v>0</v>
          </cell>
          <cell r="W5954">
            <v>0</v>
          </cell>
          <cell r="X5954">
            <v>0.48488769999999998</v>
          </cell>
          <cell r="Y5954">
            <v>0</v>
          </cell>
          <cell r="Z5954">
            <v>0</v>
          </cell>
          <cell r="AA5954">
            <v>0</v>
          </cell>
          <cell r="AB5954">
            <v>0</v>
          </cell>
        </row>
        <row r="5955">
          <cell r="A5955">
            <v>92306700</v>
          </cell>
          <cell r="B5955" t="str">
            <v>Tea, hot, chamomile</v>
          </cell>
          <cell r="I5955">
            <v>360</v>
          </cell>
          <cell r="J5955">
            <v>3.6</v>
          </cell>
          <cell r="K5955">
            <v>0.01</v>
          </cell>
          <cell r="L5955">
            <v>0</v>
          </cell>
          <cell r="M5955">
            <v>7.1999999999999998E-3</v>
          </cell>
          <cell r="N5955">
            <v>0</v>
          </cell>
          <cell r="O5955">
            <v>7.1999999999999998E-3</v>
          </cell>
          <cell r="P5955">
            <v>0</v>
          </cell>
          <cell r="Q5955">
            <v>1.7999999999999999E-2</v>
          </cell>
          <cell r="R5955">
            <v>0</v>
          </cell>
          <cell r="S5955">
            <v>0</v>
          </cell>
          <cell r="T5955">
            <v>0</v>
          </cell>
          <cell r="U5955">
            <v>0</v>
          </cell>
          <cell r="V5955">
            <v>0</v>
          </cell>
          <cell r="W5955">
            <v>0</v>
          </cell>
          <cell r="X5955">
            <v>3.5999999999999999E-3</v>
          </cell>
          <cell r="Y5955">
            <v>0</v>
          </cell>
          <cell r="Z5955">
            <v>0</v>
          </cell>
          <cell r="AA5955">
            <v>0</v>
          </cell>
          <cell r="AB5955">
            <v>0</v>
          </cell>
        </row>
        <row r="5956">
          <cell r="A5956">
            <v>92306800</v>
          </cell>
          <cell r="B5956" t="str">
            <v>Tea, hot, chai, with milk</v>
          </cell>
          <cell r="I5956">
            <v>360</v>
          </cell>
          <cell r="J5956">
            <v>179.42237</v>
          </cell>
          <cell r="K5956">
            <v>0.49839547222222225</v>
          </cell>
          <cell r="L5956">
            <v>0</v>
          </cell>
          <cell r="M5956">
            <v>2.1448274999999999</v>
          </cell>
          <cell r="N5956">
            <v>0</v>
          </cell>
          <cell r="O5956">
            <v>0.206173</v>
          </cell>
          <cell r="P5956">
            <v>0.28186290000000003</v>
          </cell>
          <cell r="Q5956">
            <v>0.17978060000000001</v>
          </cell>
          <cell r="R5956">
            <v>0</v>
          </cell>
          <cell r="S5956">
            <v>0</v>
          </cell>
          <cell r="T5956">
            <v>0</v>
          </cell>
          <cell r="U5956">
            <v>0</v>
          </cell>
          <cell r="V5956">
            <v>0</v>
          </cell>
          <cell r="W5956">
            <v>0</v>
          </cell>
          <cell r="X5956">
            <v>8.0799599999999999E-2</v>
          </cell>
          <cell r="Y5956">
            <v>0</v>
          </cell>
          <cell r="Z5956">
            <v>0</v>
          </cell>
          <cell r="AA5956">
            <v>0</v>
          </cell>
          <cell r="AB5956">
            <v>0.12750410000000001</v>
          </cell>
        </row>
        <row r="5957">
          <cell r="A5957">
            <v>92307000</v>
          </cell>
          <cell r="B5957" t="str">
            <v>Tea, iced, instant, black, unsweetened, dry</v>
          </cell>
          <cell r="I5957">
            <v>1.4</v>
          </cell>
          <cell r="J5957">
            <v>4.41</v>
          </cell>
          <cell r="K5957">
            <v>3.1500000000000004</v>
          </cell>
          <cell r="L5957">
            <v>0</v>
          </cell>
          <cell r="M5957">
            <v>0</v>
          </cell>
          <cell r="N5957">
            <v>0</v>
          </cell>
          <cell r="O5957">
            <v>1.652E-3</v>
          </cell>
          <cell r="P5957">
            <v>0.11899999999999999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>
            <v>0</v>
          </cell>
          <cell r="V5957">
            <v>0</v>
          </cell>
          <cell r="W5957">
            <v>0</v>
          </cell>
          <cell r="X5957">
            <v>1.008E-3</v>
          </cell>
          <cell r="Y5957">
            <v>0</v>
          </cell>
          <cell r="Z5957">
            <v>0</v>
          </cell>
          <cell r="AA5957">
            <v>0</v>
          </cell>
          <cell r="AB5957">
            <v>0</v>
          </cell>
        </row>
        <row r="5958">
          <cell r="A5958">
            <v>92307500</v>
          </cell>
          <cell r="B5958" t="str">
            <v>Iced Tea / Lemonade juice drink</v>
          </cell>
          <cell r="I5958">
            <v>360</v>
          </cell>
          <cell r="J5958">
            <v>119.95577</v>
          </cell>
          <cell r="K5958">
            <v>0.33321047222222222</v>
          </cell>
          <cell r="L5958">
            <v>1.114673</v>
          </cell>
          <cell r="M5958">
            <v>4.6538900000000001E-2</v>
          </cell>
          <cell r="N5958">
            <v>0</v>
          </cell>
          <cell r="O5958">
            <v>1.6159300000000001E-2</v>
          </cell>
          <cell r="P5958">
            <v>0</v>
          </cell>
          <cell r="Q5958">
            <v>3.4159299999999997E-2</v>
          </cell>
          <cell r="R5958">
            <v>0</v>
          </cell>
          <cell r="S5958">
            <v>0</v>
          </cell>
          <cell r="T5958">
            <v>159.239</v>
          </cell>
          <cell r="U5958">
            <v>0</v>
          </cell>
          <cell r="V5958">
            <v>0</v>
          </cell>
          <cell r="W5958">
            <v>0</v>
          </cell>
          <cell r="X5958">
            <v>4.3769299999999997E-2</v>
          </cell>
          <cell r="Y5958">
            <v>0</v>
          </cell>
          <cell r="Z5958">
            <v>0</v>
          </cell>
          <cell r="AA5958">
            <v>0</v>
          </cell>
          <cell r="AB5958">
            <v>0</v>
          </cell>
        </row>
        <row r="5959">
          <cell r="A5959">
            <v>92307510</v>
          </cell>
          <cell r="B5959" t="str">
            <v>Iced Tea / Lemonade juice drink, light</v>
          </cell>
          <cell r="I5959">
            <v>360</v>
          </cell>
          <cell r="J5959">
            <v>76.130634999999998</v>
          </cell>
          <cell r="K5959">
            <v>0.2114739861111111</v>
          </cell>
          <cell r="L5959">
            <v>1.2473056</v>
          </cell>
          <cell r="M5959">
            <v>5.1509899999999997E-2</v>
          </cell>
          <cell r="N5959">
            <v>0</v>
          </cell>
          <cell r="O5959">
            <v>1.7904199999999999E-2</v>
          </cell>
          <cell r="P5959">
            <v>0</v>
          </cell>
          <cell r="Q5959">
            <v>3.7090699999999997E-2</v>
          </cell>
          <cell r="R5959">
            <v>0</v>
          </cell>
          <cell r="S5959">
            <v>0</v>
          </cell>
          <cell r="T5959">
            <v>178.18652</v>
          </cell>
          <cell r="U5959">
            <v>0</v>
          </cell>
          <cell r="V5959">
            <v>0</v>
          </cell>
          <cell r="W5959">
            <v>0</v>
          </cell>
          <cell r="X5959">
            <v>4.7949600000000002E-2</v>
          </cell>
          <cell r="Y5959">
            <v>0</v>
          </cell>
          <cell r="Z5959">
            <v>0</v>
          </cell>
          <cell r="AA5959">
            <v>0</v>
          </cell>
          <cell r="AB5959">
            <v>0</v>
          </cell>
        </row>
        <row r="5960">
          <cell r="A5960">
            <v>92307520</v>
          </cell>
          <cell r="B5960" t="str">
            <v>Iced Tea / Lemonade juice drink, diet</v>
          </cell>
          <cell r="I5960">
            <v>360</v>
          </cell>
          <cell r="J5960">
            <v>6.8843424000000004</v>
          </cell>
          <cell r="K5960">
            <v>1.9123173333333333E-2</v>
          </cell>
          <cell r="L5960">
            <v>1.952E-19</v>
          </cell>
          <cell r="M5960">
            <v>0</v>
          </cell>
          <cell r="N5960">
            <v>0</v>
          </cell>
          <cell r="O5960">
            <v>2.10814E-2</v>
          </cell>
          <cell r="P5960">
            <v>1.5031000000000001E-3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>
            <v>0</v>
          </cell>
          <cell r="V5960">
            <v>0</v>
          </cell>
          <cell r="W5960">
            <v>0</v>
          </cell>
          <cell r="X5960">
            <v>1.50013E-2</v>
          </cell>
          <cell r="Y5960">
            <v>0</v>
          </cell>
          <cell r="Z5960">
            <v>0</v>
          </cell>
          <cell r="AA5960">
            <v>0</v>
          </cell>
          <cell r="AB5960">
            <v>0</v>
          </cell>
        </row>
        <row r="5961">
          <cell r="A5961">
            <v>92308000</v>
          </cell>
          <cell r="B5961" t="str">
            <v>Tea, iced, brewed, black, pre-sweetened with sugar</v>
          </cell>
          <cell r="I5961">
            <v>360</v>
          </cell>
          <cell r="J5961">
            <v>110.49231</v>
          </cell>
          <cell r="K5961">
            <v>0.30692308333333335</v>
          </cell>
          <cell r="L5961">
            <v>0</v>
          </cell>
          <cell r="M5961">
            <v>6.6461999999999997E-3</v>
          </cell>
          <cell r="N5961">
            <v>0</v>
          </cell>
          <cell r="O5961">
            <v>2.7690000000000001E-4</v>
          </cell>
          <cell r="P5961">
            <v>0</v>
          </cell>
          <cell r="Q5961">
            <v>1.32923E-2</v>
          </cell>
          <cell r="R5961">
            <v>0</v>
          </cell>
          <cell r="S5961">
            <v>0</v>
          </cell>
          <cell r="T5961">
            <v>0</v>
          </cell>
          <cell r="U5961">
            <v>0</v>
          </cell>
          <cell r="V5961">
            <v>0</v>
          </cell>
          <cell r="W5961">
            <v>0</v>
          </cell>
          <cell r="X5961">
            <v>1.02462E-2</v>
          </cell>
          <cell r="Y5961">
            <v>0</v>
          </cell>
          <cell r="Z5961">
            <v>0</v>
          </cell>
          <cell r="AA5961">
            <v>0</v>
          </cell>
          <cell r="AB5961">
            <v>0</v>
          </cell>
        </row>
        <row r="5962">
          <cell r="A5962">
            <v>92308010</v>
          </cell>
          <cell r="B5962" t="str">
            <v>Tea, iced, brewed, black, pre-sweetened with low calorie sweetener</v>
          </cell>
          <cell r="I5962">
            <v>360</v>
          </cell>
          <cell r="J5962">
            <v>8.6041494000000007</v>
          </cell>
          <cell r="K5962">
            <v>2.3900415000000001E-2</v>
          </cell>
          <cell r="L5962">
            <v>0</v>
          </cell>
          <cell r="M5962">
            <v>7.1701000000000004E-3</v>
          </cell>
          <cell r="N5962">
            <v>0</v>
          </cell>
          <cell r="O5962">
            <v>0</v>
          </cell>
          <cell r="P5962">
            <v>0</v>
          </cell>
          <cell r="Q5962">
            <v>1.4340200000000001E-2</v>
          </cell>
          <cell r="R5962">
            <v>0</v>
          </cell>
          <cell r="S5962">
            <v>0</v>
          </cell>
          <cell r="T5962">
            <v>0</v>
          </cell>
          <cell r="U5962">
            <v>0</v>
          </cell>
          <cell r="V5962">
            <v>0</v>
          </cell>
          <cell r="W5962">
            <v>0</v>
          </cell>
          <cell r="X5962">
            <v>1.0755199999999999E-2</v>
          </cell>
          <cell r="Y5962">
            <v>0</v>
          </cell>
          <cell r="Z5962">
            <v>0</v>
          </cell>
          <cell r="AA5962">
            <v>0</v>
          </cell>
          <cell r="AB5962">
            <v>0</v>
          </cell>
        </row>
        <row r="5963">
          <cell r="A5963">
            <v>92308020</v>
          </cell>
          <cell r="B5963" t="str">
            <v>Tea, iced, brewed, black, unsweetened</v>
          </cell>
          <cell r="I5963">
            <v>360</v>
          </cell>
          <cell r="J5963">
            <v>3.6</v>
          </cell>
          <cell r="K5963">
            <v>0.01</v>
          </cell>
          <cell r="L5963">
            <v>0</v>
          </cell>
          <cell r="M5963">
            <v>7.1999999999999998E-3</v>
          </cell>
          <cell r="N5963">
            <v>0</v>
          </cell>
          <cell r="O5963">
            <v>0</v>
          </cell>
          <cell r="P5963">
            <v>0</v>
          </cell>
          <cell r="Q5963">
            <v>1.44E-2</v>
          </cell>
          <cell r="R5963">
            <v>0</v>
          </cell>
          <cell r="S5963">
            <v>0</v>
          </cell>
          <cell r="T5963">
            <v>0</v>
          </cell>
          <cell r="U5963">
            <v>0</v>
          </cell>
          <cell r="V5963">
            <v>0</v>
          </cell>
          <cell r="W5963">
            <v>0</v>
          </cell>
          <cell r="X5963">
            <v>1.0800000000000001E-2</v>
          </cell>
          <cell r="Y5963">
            <v>0</v>
          </cell>
          <cell r="Z5963">
            <v>0</v>
          </cell>
          <cell r="AA5963">
            <v>0</v>
          </cell>
          <cell r="AB5963">
            <v>0</v>
          </cell>
        </row>
        <row r="5964">
          <cell r="A5964">
            <v>92308030</v>
          </cell>
          <cell r="B5964" t="str">
            <v>Tea, iced, brewed, black, decaffeinated, pre-sweetened with sugar</v>
          </cell>
          <cell r="I5964">
            <v>360</v>
          </cell>
          <cell r="J5964">
            <v>110.49231</v>
          </cell>
          <cell r="K5964">
            <v>0.30692308333333335</v>
          </cell>
          <cell r="L5964">
            <v>0</v>
          </cell>
          <cell r="M5964">
            <v>6.6461999999999997E-3</v>
          </cell>
          <cell r="N5964">
            <v>0</v>
          </cell>
          <cell r="O5964">
            <v>2.7690000000000001E-4</v>
          </cell>
          <cell r="P5964">
            <v>0</v>
          </cell>
          <cell r="Q5964">
            <v>1.32923E-2</v>
          </cell>
          <cell r="R5964">
            <v>0</v>
          </cell>
          <cell r="S5964">
            <v>0</v>
          </cell>
          <cell r="T5964">
            <v>0</v>
          </cell>
          <cell r="U5964">
            <v>0</v>
          </cell>
          <cell r="V5964">
            <v>0</v>
          </cell>
          <cell r="W5964">
            <v>0</v>
          </cell>
          <cell r="X5964">
            <v>1.02462E-2</v>
          </cell>
          <cell r="Y5964">
            <v>0</v>
          </cell>
          <cell r="Z5964">
            <v>0</v>
          </cell>
          <cell r="AA5964">
            <v>0</v>
          </cell>
          <cell r="AB5964">
            <v>0</v>
          </cell>
        </row>
        <row r="5965">
          <cell r="A5965">
            <v>92308040</v>
          </cell>
          <cell r="B5965" t="str">
            <v>Tea, iced, brewed, black, decaffeinated, pre-sweetened with low calorie sweetener</v>
          </cell>
          <cell r="I5965">
            <v>360</v>
          </cell>
          <cell r="J5965">
            <v>8.6041494000000007</v>
          </cell>
          <cell r="K5965">
            <v>2.3900415000000001E-2</v>
          </cell>
          <cell r="L5965">
            <v>0</v>
          </cell>
          <cell r="M5965">
            <v>7.1701000000000004E-3</v>
          </cell>
          <cell r="N5965">
            <v>0</v>
          </cell>
          <cell r="O5965">
            <v>0</v>
          </cell>
          <cell r="P5965">
            <v>0</v>
          </cell>
          <cell r="Q5965">
            <v>1.4340200000000001E-2</v>
          </cell>
          <cell r="R5965">
            <v>0</v>
          </cell>
          <cell r="S5965">
            <v>0</v>
          </cell>
          <cell r="T5965">
            <v>0</v>
          </cell>
          <cell r="U5965">
            <v>0</v>
          </cell>
          <cell r="V5965">
            <v>0</v>
          </cell>
          <cell r="W5965">
            <v>0</v>
          </cell>
          <cell r="X5965">
            <v>1.0755199999999999E-2</v>
          </cell>
          <cell r="Y5965">
            <v>0</v>
          </cell>
          <cell r="Z5965">
            <v>0</v>
          </cell>
          <cell r="AA5965">
            <v>0</v>
          </cell>
          <cell r="AB5965">
            <v>0</v>
          </cell>
        </row>
        <row r="5966">
          <cell r="A5966">
            <v>92308050</v>
          </cell>
          <cell r="B5966" t="str">
            <v>Tea, iced, brewed, black, decaffeinated, unsweetened</v>
          </cell>
          <cell r="I5966">
            <v>360</v>
          </cell>
          <cell r="J5966">
            <v>3.6</v>
          </cell>
          <cell r="K5966">
            <v>0.01</v>
          </cell>
          <cell r="L5966">
            <v>0</v>
          </cell>
          <cell r="M5966">
            <v>7.1999999999999998E-3</v>
          </cell>
          <cell r="N5966">
            <v>0</v>
          </cell>
          <cell r="O5966">
            <v>0</v>
          </cell>
          <cell r="P5966">
            <v>0</v>
          </cell>
          <cell r="Q5966">
            <v>1.44E-2</v>
          </cell>
          <cell r="R5966">
            <v>0</v>
          </cell>
          <cell r="S5966">
            <v>0</v>
          </cell>
          <cell r="T5966">
            <v>0</v>
          </cell>
          <cell r="U5966">
            <v>0</v>
          </cell>
          <cell r="V5966">
            <v>0</v>
          </cell>
          <cell r="W5966">
            <v>0</v>
          </cell>
          <cell r="X5966">
            <v>1.0800000000000001E-2</v>
          </cell>
          <cell r="Y5966">
            <v>0</v>
          </cell>
          <cell r="Z5966">
            <v>0</v>
          </cell>
          <cell r="AA5966">
            <v>0</v>
          </cell>
          <cell r="AB5966">
            <v>0</v>
          </cell>
        </row>
        <row r="5967">
          <cell r="A5967">
            <v>92308500</v>
          </cell>
          <cell r="B5967" t="str">
            <v>Tea, iced, brewed, green, pre-sweetened with sugar</v>
          </cell>
          <cell r="I5967">
            <v>360</v>
          </cell>
          <cell r="J5967">
            <v>110.49231</v>
          </cell>
          <cell r="K5967">
            <v>0.30692308333333335</v>
          </cell>
          <cell r="L5967">
            <v>0</v>
          </cell>
          <cell r="M5967">
            <v>0</v>
          </cell>
          <cell r="N5967">
            <v>0</v>
          </cell>
          <cell r="O5967">
            <v>2.7690000000000001E-4</v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>
            <v>0</v>
          </cell>
          <cell r="V5967">
            <v>0</v>
          </cell>
          <cell r="W5967">
            <v>0</v>
          </cell>
          <cell r="X5967">
            <v>3.5999999999999999E-3</v>
          </cell>
          <cell r="Y5967">
            <v>0</v>
          </cell>
          <cell r="Z5967">
            <v>0</v>
          </cell>
          <cell r="AA5967">
            <v>0</v>
          </cell>
          <cell r="AB5967">
            <v>0</v>
          </cell>
        </row>
        <row r="5968">
          <cell r="A5968">
            <v>92308510</v>
          </cell>
          <cell r="B5968" t="str">
            <v>Tea, iced, brewed, green, pre-sweetened with low calorie sweetener</v>
          </cell>
          <cell r="I5968">
            <v>360</v>
          </cell>
          <cell r="J5968">
            <v>8.6041494000000007</v>
          </cell>
          <cell r="K5968">
            <v>2.3900415000000001E-2</v>
          </cell>
          <cell r="L5968">
            <v>0</v>
          </cell>
          <cell r="M5968">
            <v>0</v>
          </cell>
          <cell r="N5968">
            <v>0</v>
          </cell>
          <cell r="O5968">
            <v>0</v>
          </cell>
          <cell r="P5968">
            <v>0</v>
          </cell>
          <cell r="Q5968">
            <v>0</v>
          </cell>
          <cell r="R5968">
            <v>0</v>
          </cell>
          <cell r="S5968">
            <v>0</v>
          </cell>
          <cell r="T5968">
            <v>0</v>
          </cell>
          <cell r="U5968">
            <v>0</v>
          </cell>
          <cell r="V5968">
            <v>0</v>
          </cell>
          <cell r="W5968">
            <v>0</v>
          </cell>
          <cell r="X5968">
            <v>3.5850999999999999E-3</v>
          </cell>
          <cell r="Y5968">
            <v>0</v>
          </cell>
          <cell r="Z5968">
            <v>0</v>
          </cell>
          <cell r="AA5968">
            <v>0</v>
          </cell>
          <cell r="AB5968">
            <v>0</v>
          </cell>
        </row>
        <row r="5969">
          <cell r="A5969">
            <v>92308520</v>
          </cell>
          <cell r="B5969" t="str">
            <v>Tea, iced, brewed, green, unsweetened</v>
          </cell>
          <cell r="I5969">
            <v>360</v>
          </cell>
          <cell r="J5969">
            <v>3.6</v>
          </cell>
          <cell r="K5969">
            <v>0.01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>
            <v>0</v>
          </cell>
          <cell r="V5969">
            <v>0</v>
          </cell>
          <cell r="W5969">
            <v>0</v>
          </cell>
          <cell r="X5969">
            <v>3.5999999999999999E-3</v>
          </cell>
          <cell r="Y5969">
            <v>0</v>
          </cell>
          <cell r="Z5969">
            <v>0</v>
          </cell>
          <cell r="AA5969">
            <v>0</v>
          </cell>
          <cell r="AB5969">
            <v>0</v>
          </cell>
        </row>
        <row r="5970">
          <cell r="A5970">
            <v>92308530</v>
          </cell>
          <cell r="B5970" t="str">
            <v>Tea, iced, brewed, green, decaffeinated, pre-sweetened with sugar</v>
          </cell>
          <cell r="I5970">
            <v>360</v>
          </cell>
          <cell r="J5970">
            <v>107.16923</v>
          </cell>
          <cell r="K5970">
            <v>0.29769230555555554</v>
          </cell>
          <cell r="L5970">
            <v>0</v>
          </cell>
          <cell r="M5970">
            <v>0</v>
          </cell>
          <cell r="N5970">
            <v>0</v>
          </cell>
          <cell r="O5970">
            <v>2.7690000000000001E-4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>
            <v>0</v>
          </cell>
          <cell r="V5970">
            <v>0</v>
          </cell>
          <cell r="W5970">
            <v>0</v>
          </cell>
          <cell r="X5970">
            <v>2.7690000000000001E-4</v>
          </cell>
          <cell r="Y5970">
            <v>0</v>
          </cell>
          <cell r="Z5970">
            <v>0</v>
          </cell>
          <cell r="AA5970">
            <v>0</v>
          </cell>
          <cell r="AB5970">
            <v>0</v>
          </cell>
        </row>
        <row r="5971">
          <cell r="A5971">
            <v>92308540</v>
          </cell>
          <cell r="B5971" t="str">
            <v>Tea, iced, brewed, green, decaffeinated, pre-sweetened with low calorie sweetener</v>
          </cell>
          <cell r="I5971">
            <v>360</v>
          </cell>
          <cell r="J5971">
            <v>5.0190871000000001</v>
          </cell>
          <cell r="K5971">
            <v>1.3941908611111111E-2</v>
          </cell>
          <cell r="L5971">
            <v>0</v>
          </cell>
          <cell r="M5971">
            <v>0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>
            <v>0</v>
          </cell>
          <cell r="V5971">
            <v>0</v>
          </cell>
          <cell r="W5971">
            <v>0</v>
          </cell>
          <cell r="X5971">
            <v>0</v>
          </cell>
          <cell r="Y5971">
            <v>0</v>
          </cell>
          <cell r="Z5971">
            <v>0</v>
          </cell>
          <cell r="AA5971">
            <v>0</v>
          </cell>
          <cell r="AB5971">
            <v>0</v>
          </cell>
        </row>
        <row r="5972">
          <cell r="A5972">
            <v>92308550</v>
          </cell>
          <cell r="B5972" t="str">
            <v>Tea, iced, brewed, green, decaffeinated, unsweetened</v>
          </cell>
          <cell r="I5972">
            <v>360</v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  <cell r="N5972">
            <v>0</v>
          </cell>
          <cell r="O5972">
            <v>0</v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>
            <v>0</v>
          </cell>
          <cell r="V5972">
            <v>0</v>
          </cell>
          <cell r="W5972">
            <v>0</v>
          </cell>
          <cell r="X5972">
            <v>0</v>
          </cell>
          <cell r="Y5972">
            <v>0</v>
          </cell>
          <cell r="Z5972">
            <v>0</v>
          </cell>
          <cell r="AA5972">
            <v>0</v>
          </cell>
          <cell r="AB5972">
            <v>0</v>
          </cell>
        </row>
        <row r="5973">
          <cell r="A5973">
            <v>92309000</v>
          </cell>
          <cell r="B5973" t="str">
            <v>Tea, iced, bottled, black</v>
          </cell>
          <cell r="I5973">
            <v>360</v>
          </cell>
          <cell r="J5973">
            <v>162</v>
          </cell>
          <cell r="K5973">
            <v>0.45</v>
          </cell>
          <cell r="L5973">
            <v>0</v>
          </cell>
          <cell r="M5973">
            <v>0</v>
          </cell>
          <cell r="N5973">
            <v>0</v>
          </cell>
          <cell r="O5973">
            <v>1.44E-2</v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0</v>
          </cell>
          <cell r="V5973">
            <v>0</v>
          </cell>
          <cell r="W5973">
            <v>0</v>
          </cell>
          <cell r="X5973">
            <v>1.0800000000000001E-2</v>
          </cell>
          <cell r="Y5973">
            <v>0</v>
          </cell>
          <cell r="Z5973">
            <v>0</v>
          </cell>
          <cell r="AA5973">
            <v>0</v>
          </cell>
          <cell r="AB5973">
            <v>0.1165022</v>
          </cell>
        </row>
        <row r="5974">
          <cell r="A5974">
            <v>92309010</v>
          </cell>
          <cell r="B5974" t="str">
            <v>Tea, iced, bottled, black, decaffeinated</v>
          </cell>
          <cell r="I5974">
            <v>360</v>
          </cell>
          <cell r="J5974">
            <v>136.80000000000001</v>
          </cell>
          <cell r="K5974">
            <v>0.38</v>
          </cell>
          <cell r="L5974">
            <v>0</v>
          </cell>
          <cell r="M5974">
            <v>0</v>
          </cell>
          <cell r="N5974">
            <v>0</v>
          </cell>
          <cell r="O5974">
            <v>3.9600000000000003E-2</v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>
            <v>0</v>
          </cell>
          <cell r="V5974">
            <v>0</v>
          </cell>
          <cell r="W5974">
            <v>0</v>
          </cell>
          <cell r="X5974">
            <v>2.8799999999999999E-2</v>
          </cell>
          <cell r="Y5974">
            <v>0</v>
          </cell>
          <cell r="Z5974">
            <v>0</v>
          </cell>
          <cell r="AA5974">
            <v>0</v>
          </cell>
          <cell r="AB5974">
            <v>0</v>
          </cell>
        </row>
        <row r="5975">
          <cell r="A5975">
            <v>92309020</v>
          </cell>
          <cell r="B5975" t="str">
            <v>Tea, iced, bottled, black, diet</v>
          </cell>
          <cell r="I5975">
            <v>360</v>
          </cell>
          <cell r="J5975">
            <v>3.6</v>
          </cell>
          <cell r="K5975">
            <v>0.01</v>
          </cell>
          <cell r="L5975">
            <v>0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>
            <v>0</v>
          </cell>
          <cell r="V5975">
            <v>0</v>
          </cell>
          <cell r="W5975">
            <v>0</v>
          </cell>
          <cell r="X5975">
            <v>6.1199999999999997E-2</v>
          </cell>
          <cell r="Y5975">
            <v>0</v>
          </cell>
          <cell r="Z5975">
            <v>0</v>
          </cell>
          <cell r="AA5975">
            <v>0</v>
          </cell>
          <cell r="AB5975">
            <v>0</v>
          </cell>
        </row>
        <row r="5976">
          <cell r="A5976">
            <v>92309030</v>
          </cell>
          <cell r="B5976" t="str">
            <v>Tea, iced, bottled, black, decaffeinated, diet</v>
          </cell>
          <cell r="I5976">
            <v>360</v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>
            <v>3.9600000000000003E-2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>
            <v>0</v>
          </cell>
          <cell r="V5976">
            <v>0</v>
          </cell>
          <cell r="W5976">
            <v>0</v>
          </cell>
          <cell r="X5976">
            <v>1.44E-2</v>
          </cell>
          <cell r="Y5976">
            <v>0</v>
          </cell>
          <cell r="Z5976">
            <v>0</v>
          </cell>
          <cell r="AA5976">
            <v>0</v>
          </cell>
          <cell r="AB5976">
            <v>0</v>
          </cell>
        </row>
        <row r="5977">
          <cell r="A5977">
            <v>92309040</v>
          </cell>
          <cell r="B5977" t="str">
            <v>Tea, iced, bottled, black, unsweetened</v>
          </cell>
          <cell r="I5977">
            <v>360</v>
          </cell>
          <cell r="J5977">
            <v>0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>
            <v>0</v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>
            <v>0</v>
          </cell>
          <cell r="V5977">
            <v>0</v>
          </cell>
          <cell r="W5977">
            <v>0</v>
          </cell>
          <cell r="X5977">
            <v>7.1999999999999998E-3</v>
          </cell>
          <cell r="Y5977">
            <v>0</v>
          </cell>
          <cell r="Z5977">
            <v>0</v>
          </cell>
          <cell r="AA5977">
            <v>0</v>
          </cell>
          <cell r="AB5977">
            <v>0</v>
          </cell>
        </row>
        <row r="5978">
          <cell r="A5978">
            <v>92309050</v>
          </cell>
          <cell r="B5978" t="str">
            <v>Tea, iced, bottled, black, decaffeinated, unsweetened</v>
          </cell>
          <cell r="I5978">
            <v>360</v>
          </cell>
          <cell r="J5978">
            <v>3.6</v>
          </cell>
          <cell r="K5978">
            <v>0.01</v>
          </cell>
          <cell r="L5978">
            <v>0</v>
          </cell>
          <cell r="M5978">
            <v>7.1999999999999998E-3</v>
          </cell>
          <cell r="N5978">
            <v>0</v>
          </cell>
          <cell r="O5978">
            <v>0</v>
          </cell>
          <cell r="P5978">
            <v>0</v>
          </cell>
          <cell r="Q5978">
            <v>1.44E-2</v>
          </cell>
          <cell r="R5978">
            <v>0</v>
          </cell>
          <cell r="S5978">
            <v>0</v>
          </cell>
          <cell r="T5978">
            <v>0</v>
          </cell>
          <cell r="U5978">
            <v>0</v>
          </cell>
          <cell r="V5978">
            <v>0</v>
          </cell>
          <cell r="W5978">
            <v>0</v>
          </cell>
          <cell r="X5978">
            <v>1.0800000000000001E-2</v>
          </cell>
          <cell r="Y5978">
            <v>0</v>
          </cell>
          <cell r="Z5978">
            <v>0</v>
          </cell>
          <cell r="AA5978">
            <v>0</v>
          </cell>
          <cell r="AB5978">
            <v>0</v>
          </cell>
        </row>
        <row r="5979">
          <cell r="A5979">
            <v>92309500</v>
          </cell>
          <cell r="B5979" t="str">
            <v>Tea, iced, bottled, green</v>
          </cell>
          <cell r="I5979">
            <v>360</v>
          </cell>
          <cell r="J5979">
            <v>97.2</v>
          </cell>
          <cell r="K5979">
            <v>0.27</v>
          </cell>
          <cell r="L5979">
            <v>0</v>
          </cell>
          <cell r="M5979">
            <v>0</v>
          </cell>
          <cell r="N5979">
            <v>0</v>
          </cell>
          <cell r="O5979">
            <v>3.5999999999999999E-3</v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>
            <v>0</v>
          </cell>
          <cell r="V5979">
            <v>0</v>
          </cell>
          <cell r="W5979">
            <v>0</v>
          </cell>
          <cell r="X5979">
            <v>7.5600000000000001E-2</v>
          </cell>
          <cell r="Y5979">
            <v>0</v>
          </cell>
          <cell r="Z5979">
            <v>0</v>
          </cell>
          <cell r="AA5979">
            <v>0</v>
          </cell>
          <cell r="AB5979">
            <v>0.1181755</v>
          </cell>
        </row>
        <row r="5980">
          <cell r="A5980">
            <v>92309510</v>
          </cell>
          <cell r="B5980" t="str">
            <v>Tea, iced, bottled, green, diet</v>
          </cell>
          <cell r="I5980">
            <v>360</v>
          </cell>
          <cell r="J5980">
            <v>0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>
            <v>3.5999999999999999E-3</v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>
            <v>0</v>
          </cell>
          <cell r="V5980">
            <v>0</v>
          </cell>
          <cell r="W5980">
            <v>0</v>
          </cell>
          <cell r="X5980">
            <v>2.1600000000000001E-2</v>
          </cell>
          <cell r="Y5980">
            <v>0</v>
          </cell>
          <cell r="Z5980">
            <v>0</v>
          </cell>
          <cell r="AA5980">
            <v>0</v>
          </cell>
          <cell r="AB5980">
            <v>0</v>
          </cell>
        </row>
        <row r="5981">
          <cell r="A5981">
            <v>92400000</v>
          </cell>
          <cell r="B5981" t="str">
            <v>Soft drink, NFS</v>
          </cell>
          <cell r="I5981">
            <v>360</v>
          </cell>
          <cell r="J5981">
            <v>151.19999999999999</v>
          </cell>
          <cell r="K5981">
            <v>0.42</v>
          </cell>
          <cell r="L5981">
            <v>0</v>
          </cell>
          <cell r="M5981">
            <v>0</v>
          </cell>
          <cell r="N5981">
            <v>0</v>
          </cell>
          <cell r="O5981">
            <v>3.5999999999999999E-3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0</v>
          </cell>
          <cell r="V5981">
            <v>0</v>
          </cell>
          <cell r="W5981">
            <v>360</v>
          </cell>
          <cell r="X5981">
            <v>1.0800000000000001E-2</v>
          </cell>
          <cell r="Y5981">
            <v>0</v>
          </cell>
          <cell r="Z5981">
            <v>0</v>
          </cell>
          <cell r="AA5981">
            <v>0</v>
          </cell>
          <cell r="AB5981">
            <v>0</v>
          </cell>
        </row>
        <row r="5982">
          <cell r="A5982">
            <v>92400100</v>
          </cell>
          <cell r="B5982" t="str">
            <v>Soft drink, NFS, diet</v>
          </cell>
          <cell r="I5982">
            <v>360</v>
          </cell>
          <cell r="J5982">
            <v>7.2</v>
          </cell>
          <cell r="K5982">
            <v>0.02</v>
          </cell>
          <cell r="L5982">
            <v>0</v>
          </cell>
          <cell r="M5982">
            <v>0</v>
          </cell>
          <cell r="N5982">
            <v>0</v>
          </cell>
          <cell r="O5982">
            <v>1.0800000000000001E-2</v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>
            <v>0</v>
          </cell>
          <cell r="V5982">
            <v>0</v>
          </cell>
          <cell r="W5982">
            <v>0</v>
          </cell>
          <cell r="X5982">
            <v>2.8799999999999999E-2</v>
          </cell>
          <cell r="Y5982">
            <v>0</v>
          </cell>
          <cell r="Z5982">
            <v>0</v>
          </cell>
          <cell r="AA5982">
            <v>0</v>
          </cell>
          <cell r="AB5982">
            <v>0</v>
          </cell>
        </row>
        <row r="5983">
          <cell r="A5983">
            <v>92410110</v>
          </cell>
          <cell r="B5983" t="str">
            <v>Carbonated water, sweetened</v>
          </cell>
          <cell r="I5983">
            <v>360</v>
          </cell>
          <cell r="J5983">
            <v>122.4</v>
          </cell>
          <cell r="K5983">
            <v>0.34</v>
          </cell>
          <cell r="L5983">
            <v>0</v>
          </cell>
          <cell r="M5983">
            <v>0</v>
          </cell>
          <cell r="N5983">
            <v>0</v>
          </cell>
          <cell r="O5983">
            <v>3.5999999999999999E-3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>
            <v>0</v>
          </cell>
          <cell r="V5983">
            <v>0</v>
          </cell>
          <cell r="W5983">
            <v>0</v>
          </cell>
          <cell r="X5983">
            <v>4.3200000000000002E-2</v>
          </cell>
          <cell r="Y5983">
            <v>0</v>
          </cell>
          <cell r="Z5983">
            <v>0</v>
          </cell>
          <cell r="AA5983">
            <v>0</v>
          </cell>
          <cell r="AB5983">
            <v>0</v>
          </cell>
        </row>
        <row r="5984">
          <cell r="A5984">
            <v>92410210</v>
          </cell>
          <cell r="B5984" t="str">
            <v>Carbonated water, unsweetened</v>
          </cell>
          <cell r="I5984">
            <v>360</v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  <cell r="N5984">
            <v>0</v>
          </cell>
          <cell r="O5984">
            <v>1.7999999999999999E-2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0</v>
          </cell>
          <cell r="V5984">
            <v>0</v>
          </cell>
          <cell r="W5984">
            <v>0</v>
          </cell>
          <cell r="X5984">
            <v>7.5600000000000001E-2</v>
          </cell>
          <cell r="Y5984">
            <v>0</v>
          </cell>
          <cell r="Z5984">
            <v>0</v>
          </cell>
          <cell r="AA5984">
            <v>0</v>
          </cell>
          <cell r="AB5984">
            <v>0</v>
          </cell>
        </row>
        <row r="5985">
          <cell r="A5985">
            <v>92410250</v>
          </cell>
          <cell r="B5985" t="str">
            <v>Carbonated water, sweetened, with low-calorie or no-calorie sweetener</v>
          </cell>
          <cell r="I5985">
            <v>360</v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>
            <v>1.44E-2</v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0</v>
          </cell>
          <cell r="V5985">
            <v>0</v>
          </cell>
          <cell r="W5985">
            <v>0</v>
          </cell>
          <cell r="X5985">
            <v>2.1600000000000001E-2</v>
          </cell>
          <cell r="Y5985">
            <v>0</v>
          </cell>
          <cell r="Z5985">
            <v>0</v>
          </cell>
          <cell r="AA5985">
            <v>0</v>
          </cell>
          <cell r="AB5985">
            <v>0</v>
          </cell>
        </row>
        <row r="5986">
          <cell r="A5986">
            <v>92410310</v>
          </cell>
          <cell r="B5986" t="str">
            <v>Soft drink, cola</v>
          </cell>
          <cell r="I5986">
            <v>360</v>
          </cell>
          <cell r="J5986">
            <v>151.19999999999999</v>
          </cell>
          <cell r="K5986">
            <v>0.42</v>
          </cell>
          <cell r="L5986">
            <v>0</v>
          </cell>
          <cell r="M5986">
            <v>0</v>
          </cell>
          <cell r="N5986">
            <v>0</v>
          </cell>
          <cell r="O5986">
            <v>3.5999999999999999E-3</v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>
            <v>0</v>
          </cell>
          <cell r="V5986">
            <v>0</v>
          </cell>
          <cell r="W5986">
            <v>360</v>
          </cell>
          <cell r="X5986">
            <v>1.0800000000000001E-2</v>
          </cell>
          <cell r="Y5986">
            <v>0</v>
          </cell>
          <cell r="Z5986">
            <v>0</v>
          </cell>
          <cell r="AA5986">
            <v>0</v>
          </cell>
          <cell r="AB5986">
            <v>0</v>
          </cell>
        </row>
        <row r="5987">
          <cell r="A5987">
            <v>92410315</v>
          </cell>
          <cell r="B5987" t="str">
            <v>Soft drink, cola, reduced sugar</v>
          </cell>
          <cell r="I5987">
            <v>360</v>
          </cell>
          <cell r="J5987">
            <v>72</v>
          </cell>
          <cell r="K5987">
            <v>0.2</v>
          </cell>
          <cell r="L5987">
            <v>0</v>
          </cell>
          <cell r="M5987">
            <v>0</v>
          </cell>
          <cell r="N5987">
            <v>0</v>
          </cell>
          <cell r="O5987">
            <v>7.1999999999999998E-3</v>
          </cell>
          <cell r="P5987">
            <v>0</v>
          </cell>
          <cell r="Q5987">
            <v>0</v>
          </cell>
          <cell r="R5987">
            <v>0</v>
          </cell>
          <cell r="S5987">
            <v>0</v>
          </cell>
          <cell r="T5987">
            <v>0</v>
          </cell>
          <cell r="U5987">
            <v>0</v>
          </cell>
          <cell r="V5987">
            <v>0</v>
          </cell>
          <cell r="W5987">
            <v>360</v>
          </cell>
          <cell r="X5987">
            <v>1.44E-2</v>
          </cell>
          <cell r="Y5987">
            <v>0</v>
          </cell>
          <cell r="Z5987">
            <v>0</v>
          </cell>
          <cell r="AA5987">
            <v>0</v>
          </cell>
          <cell r="AB5987">
            <v>0</v>
          </cell>
        </row>
        <row r="5988">
          <cell r="A5988">
            <v>92410320</v>
          </cell>
          <cell r="B5988" t="str">
            <v>Soft drink, cola, diet</v>
          </cell>
          <cell r="I5988">
            <v>360</v>
          </cell>
          <cell r="J5988">
            <v>7.2</v>
          </cell>
          <cell r="K5988">
            <v>0.02</v>
          </cell>
          <cell r="L5988">
            <v>0</v>
          </cell>
          <cell r="M5988">
            <v>0</v>
          </cell>
          <cell r="N5988">
            <v>0</v>
          </cell>
          <cell r="O5988">
            <v>1.0800000000000001E-2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>
            <v>0</v>
          </cell>
          <cell r="V5988">
            <v>0</v>
          </cell>
          <cell r="W5988">
            <v>0</v>
          </cell>
          <cell r="X5988">
            <v>2.8799999999999999E-2</v>
          </cell>
          <cell r="Y5988">
            <v>0</v>
          </cell>
          <cell r="Z5988">
            <v>0</v>
          </cell>
          <cell r="AA5988">
            <v>0</v>
          </cell>
          <cell r="AB5988">
            <v>0</v>
          </cell>
        </row>
        <row r="5989">
          <cell r="A5989">
            <v>92410330</v>
          </cell>
          <cell r="B5989" t="str">
            <v>Soft drink, cola-type, with higher caffeine</v>
          </cell>
          <cell r="I5989">
            <v>360</v>
          </cell>
          <cell r="J5989">
            <v>147.6</v>
          </cell>
          <cell r="K5989">
            <v>0.41</v>
          </cell>
          <cell r="L5989">
            <v>0</v>
          </cell>
          <cell r="M5989">
            <v>0</v>
          </cell>
          <cell r="N5989">
            <v>0</v>
          </cell>
          <cell r="O5989">
            <v>7.1999999999999998E-3</v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>
            <v>0</v>
          </cell>
          <cell r="V5989">
            <v>0</v>
          </cell>
          <cell r="W5989">
            <v>360</v>
          </cell>
          <cell r="X5989">
            <v>1.44E-2</v>
          </cell>
          <cell r="Y5989">
            <v>0</v>
          </cell>
          <cell r="Z5989">
            <v>0</v>
          </cell>
          <cell r="AA5989">
            <v>0</v>
          </cell>
          <cell r="AB5989">
            <v>0</v>
          </cell>
        </row>
        <row r="5990">
          <cell r="A5990">
            <v>92410340</v>
          </cell>
          <cell r="B5990" t="str">
            <v>Soft drink, cola, decaffeinated</v>
          </cell>
          <cell r="I5990">
            <v>360</v>
          </cell>
          <cell r="J5990">
            <v>147.6</v>
          </cell>
          <cell r="K5990">
            <v>0.41</v>
          </cell>
          <cell r="L5990">
            <v>0</v>
          </cell>
          <cell r="M5990">
            <v>0</v>
          </cell>
          <cell r="N5990">
            <v>0</v>
          </cell>
          <cell r="O5990">
            <v>7.1999999999999998E-3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>
            <v>0</v>
          </cell>
          <cell r="V5990">
            <v>0</v>
          </cell>
          <cell r="W5990">
            <v>360</v>
          </cell>
          <cell r="X5990">
            <v>1.44E-2</v>
          </cell>
          <cell r="Y5990">
            <v>0</v>
          </cell>
          <cell r="Z5990">
            <v>0</v>
          </cell>
          <cell r="AA5990">
            <v>0</v>
          </cell>
          <cell r="AB5990">
            <v>0</v>
          </cell>
        </row>
        <row r="5991">
          <cell r="A5991">
            <v>92410350</v>
          </cell>
          <cell r="B5991" t="str">
            <v>Soft drink, cola, decaffeinated, diet</v>
          </cell>
          <cell r="I5991">
            <v>360</v>
          </cell>
          <cell r="J5991">
            <v>3.6</v>
          </cell>
          <cell r="K5991">
            <v>0.01</v>
          </cell>
          <cell r="L5991">
            <v>0</v>
          </cell>
          <cell r="M5991">
            <v>0</v>
          </cell>
          <cell r="N5991">
            <v>0</v>
          </cell>
          <cell r="O5991">
            <v>1.0800000000000001E-2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>
            <v>0</v>
          </cell>
          <cell r="V5991">
            <v>0</v>
          </cell>
          <cell r="W5991">
            <v>0</v>
          </cell>
          <cell r="X5991">
            <v>1.44E-2</v>
          </cell>
          <cell r="Y5991">
            <v>0</v>
          </cell>
          <cell r="Z5991">
            <v>0</v>
          </cell>
          <cell r="AA5991">
            <v>0</v>
          </cell>
          <cell r="AB5991">
            <v>0</v>
          </cell>
        </row>
        <row r="5992">
          <cell r="A5992">
            <v>92410360</v>
          </cell>
          <cell r="B5992" t="str">
            <v>Soft drink, pepper type</v>
          </cell>
          <cell r="I5992">
            <v>360</v>
          </cell>
          <cell r="J5992">
            <v>151.19999999999999</v>
          </cell>
          <cell r="K5992">
            <v>0.42</v>
          </cell>
          <cell r="L5992">
            <v>0</v>
          </cell>
          <cell r="M5992">
            <v>0</v>
          </cell>
          <cell r="N5992">
            <v>0</v>
          </cell>
          <cell r="O5992">
            <v>3.5999999999999999E-3</v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>
            <v>0</v>
          </cell>
          <cell r="V5992">
            <v>0</v>
          </cell>
          <cell r="W5992">
            <v>360</v>
          </cell>
          <cell r="X5992">
            <v>1.0800000000000001E-2</v>
          </cell>
          <cell r="Y5992">
            <v>0</v>
          </cell>
          <cell r="Z5992">
            <v>0</v>
          </cell>
          <cell r="AA5992">
            <v>0</v>
          </cell>
          <cell r="AB5992">
            <v>0</v>
          </cell>
        </row>
        <row r="5993">
          <cell r="A5993">
            <v>92410370</v>
          </cell>
          <cell r="B5993" t="str">
            <v>Soft drink, pepper type, diet</v>
          </cell>
          <cell r="I5993">
            <v>360</v>
          </cell>
          <cell r="J5993">
            <v>7.2</v>
          </cell>
          <cell r="K5993">
            <v>0.02</v>
          </cell>
          <cell r="L5993">
            <v>0</v>
          </cell>
          <cell r="M5993">
            <v>0</v>
          </cell>
          <cell r="N5993">
            <v>0</v>
          </cell>
          <cell r="O5993">
            <v>1.0800000000000001E-2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>
            <v>0</v>
          </cell>
          <cell r="V5993">
            <v>0</v>
          </cell>
          <cell r="W5993">
            <v>0</v>
          </cell>
          <cell r="X5993">
            <v>2.8799999999999999E-2</v>
          </cell>
          <cell r="Y5993">
            <v>0</v>
          </cell>
          <cell r="Z5993">
            <v>0</v>
          </cell>
          <cell r="AA5993">
            <v>0</v>
          </cell>
          <cell r="AB5993">
            <v>0</v>
          </cell>
        </row>
        <row r="5994">
          <cell r="A5994">
            <v>92410390</v>
          </cell>
          <cell r="B5994" t="str">
            <v>Soft drink, pepper type, decaffeinated</v>
          </cell>
          <cell r="I5994">
            <v>360</v>
          </cell>
          <cell r="J5994">
            <v>147.6</v>
          </cell>
          <cell r="K5994">
            <v>0.41</v>
          </cell>
          <cell r="L5994">
            <v>0</v>
          </cell>
          <cell r="M5994">
            <v>0</v>
          </cell>
          <cell r="N5994">
            <v>0</v>
          </cell>
          <cell r="O5994">
            <v>7.1999999999999998E-3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>
            <v>0</v>
          </cell>
          <cell r="V5994">
            <v>0</v>
          </cell>
          <cell r="W5994">
            <v>360</v>
          </cell>
          <cell r="X5994">
            <v>1.44E-2</v>
          </cell>
          <cell r="Y5994">
            <v>0</v>
          </cell>
          <cell r="Z5994">
            <v>0</v>
          </cell>
          <cell r="AA5994">
            <v>0</v>
          </cell>
          <cell r="AB5994">
            <v>0</v>
          </cell>
        </row>
        <row r="5995">
          <cell r="A5995">
            <v>92410400</v>
          </cell>
          <cell r="B5995" t="str">
            <v>Soft drink, pepper type, decaffeinated, diet</v>
          </cell>
          <cell r="I5995">
            <v>360</v>
          </cell>
          <cell r="J5995">
            <v>3.6</v>
          </cell>
          <cell r="K5995">
            <v>0.01</v>
          </cell>
          <cell r="L5995">
            <v>0</v>
          </cell>
          <cell r="M5995">
            <v>0</v>
          </cell>
          <cell r="N5995">
            <v>0</v>
          </cell>
          <cell r="O5995">
            <v>1.0800000000000001E-2</v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>
            <v>0</v>
          </cell>
          <cell r="V5995">
            <v>0</v>
          </cell>
          <cell r="W5995">
            <v>0</v>
          </cell>
          <cell r="X5995">
            <v>1.44E-2</v>
          </cell>
          <cell r="Y5995">
            <v>0</v>
          </cell>
          <cell r="Z5995">
            <v>0</v>
          </cell>
          <cell r="AA5995">
            <v>0</v>
          </cell>
          <cell r="AB5995">
            <v>0</v>
          </cell>
        </row>
        <row r="5996">
          <cell r="A5996">
            <v>92410410</v>
          </cell>
          <cell r="B5996" t="str">
            <v>Soft drink, cream soda</v>
          </cell>
          <cell r="I5996">
            <v>360</v>
          </cell>
          <cell r="J5996">
            <v>183.6</v>
          </cell>
          <cell r="K5996">
            <v>0.51</v>
          </cell>
          <cell r="L5996">
            <v>0</v>
          </cell>
          <cell r="M5996">
            <v>0</v>
          </cell>
          <cell r="N5996">
            <v>0</v>
          </cell>
          <cell r="O5996">
            <v>1.7999999999999999E-2</v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>
            <v>0</v>
          </cell>
          <cell r="V5996">
            <v>0</v>
          </cell>
          <cell r="W5996">
            <v>360</v>
          </cell>
          <cell r="X5996">
            <v>4.3200000000000002E-2</v>
          </cell>
          <cell r="Y5996">
            <v>0</v>
          </cell>
          <cell r="Z5996">
            <v>0</v>
          </cell>
          <cell r="AA5996">
            <v>0</v>
          </cell>
          <cell r="AB5996">
            <v>0</v>
          </cell>
        </row>
        <row r="5997">
          <cell r="A5997">
            <v>92410420</v>
          </cell>
          <cell r="B5997" t="str">
            <v>Soft drink, cream soda, diet</v>
          </cell>
          <cell r="I5997">
            <v>360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1.44E-2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>
            <v>0</v>
          </cell>
          <cell r="V5997">
            <v>0</v>
          </cell>
          <cell r="W5997">
            <v>0</v>
          </cell>
          <cell r="X5997">
            <v>2.1600000000000001E-2</v>
          </cell>
          <cell r="Y5997">
            <v>0</v>
          </cell>
          <cell r="Z5997">
            <v>0</v>
          </cell>
          <cell r="AA5997">
            <v>0</v>
          </cell>
          <cell r="AB5997">
            <v>0</v>
          </cell>
        </row>
        <row r="5998">
          <cell r="A5998">
            <v>92410510</v>
          </cell>
          <cell r="B5998" t="str">
            <v>Soft drink, fruit flavored, caffeine free</v>
          </cell>
          <cell r="I5998">
            <v>360</v>
          </cell>
          <cell r="J5998">
            <v>144</v>
          </cell>
          <cell r="K5998">
            <v>0.4</v>
          </cell>
          <cell r="L5998">
            <v>0</v>
          </cell>
          <cell r="M5998">
            <v>0</v>
          </cell>
          <cell r="N5998">
            <v>0</v>
          </cell>
          <cell r="O5998">
            <v>7.1999999999999998E-3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>
            <v>0</v>
          </cell>
          <cell r="V5998">
            <v>0</v>
          </cell>
          <cell r="W5998">
            <v>360</v>
          </cell>
          <cell r="X5998">
            <v>3.2399999999999998E-2</v>
          </cell>
          <cell r="Y5998">
            <v>0</v>
          </cell>
          <cell r="Z5998">
            <v>0</v>
          </cell>
          <cell r="AA5998">
            <v>0</v>
          </cell>
          <cell r="AB5998">
            <v>0</v>
          </cell>
        </row>
        <row r="5999">
          <cell r="A5999">
            <v>92410520</v>
          </cell>
          <cell r="B5999" t="str">
            <v>Soft drink, fruit flavored, diet, caffeine free</v>
          </cell>
          <cell r="I5999">
            <v>360</v>
          </cell>
          <cell r="J5999">
            <v>0</v>
          </cell>
          <cell r="K5999">
            <v>0</v>
          </cell>
          <cell r="L5999">
            <v>0</v>
          </cell>
          <cell r="M5999">
            <v>0</v>
          </cell>
          <cell r="N5999">
            <v>0</v>
          </cell>
          <cell r="O5999">
            <v>1.44E-2</v>
          </cell>
          <cell r="P5999">
            <v>0</v>
          </cell>
          <cell r="Q5999">
            <v>0</v>
          </cell>
          <cell r="R5999">
            <v>0</v>
          </cell>
          <cell r="S5999">
            <v>0</v>
          </cell>
          <cell r="T5999">
            <v>0</v>
          </cell>
          <cell r="U5999">
            <v>0</v>
          </cell>
          <cell r="V5999">
            <v>0</v>
          </cell>
          <cell r="W5999">
            <v>0</v>
          </cell>
          <cell r="X5999">
            <v>2.1600000000000001E-2</v>
          </cell>
          <cell r="Y5999">
            <v>0</v>
          </cell>
          <cell r="Z5999">
            <v>0</v>
          </cell>
          <cell r="AA5999">
            <v>0</v>
          </cell>
          <cell r="AB5999">
            <v>0</v>
          </cell>
        </row>
        <row r="6000">
          <cell r="A6000">
            <v>92410550</v>
          </cell>
          <cell r="B6000" t="str">
            <v>Soft drink, fruit flavored, caffeine containing</v>
          </cell>
          <cell r="I6000">
            <v>360</v>
          </cell>
          <cell r="J6000">
            <v>176.4</v>
          </cell>
          <cell r="K6000">
            <v>0.49</v>
          </cell>
          <cell r="L6000">
            <v>0</v>
          </cell>
          <cell r="M6000">
            <v>0</v>
          </cell>
          <cell r="N6000">
            <v>0</v>
          </cell>
          <cell r="O6000">
            <v>4.6800000000000001E-2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  <cell r="V6000">
            <v>0</v>
          </cell>
          <cell r="W6000">
            <v>360</v>
          </cell>
          <cell r="X6000">
            <v>6.4799999999999996E-2</v>
          </cell>
          <cell r="Y6000">
            <v>0</v>
          </cell>
          <cell r="Z6000">
            <v>0</v>
          </cell>
          <cell r="AA6000">
            <v>0</v>
          </cell>
          <cell r="AB6000">
            <v>0</v>
          </cell>
        </row>
        <row r="6001">
          <cell r="A6001">
            <v>92410560</v>
          </cell>
          <cell r="B6001" t="str">
            <v>Soft drink, fruit flavored, caffeine containing, diet</v>
          </cell>
          <cell r="I6001">
            <v>360</v>
          </cell>
          <cell r="J6001">
            <v>0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>
            <v>1.44E-2</v>
          </cell>
          <cell r="P6001">
            <v>0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>
            <v>0</v>
          </cell>
          <cell r="V6001">
            <v>0</v>
          </cell>
          <cell r="W6001">
            <v>0</v>
          </cell>
          <cell r="X6001">
            <v>2.1600000000000001E-2</v>
          </cell>
          <cell r="Y6001">
            <v>0</v>
          </cell>
          <cell r="Z6001">
            <v>0</v>
          </cell>
          <cell r="AA6001">
            <v>0</v>
          </cell>
          <cell r="AB6001">
            <v>0</v>
          </cell>
        </row>
        <row r="6002">
          <cell r="A6002">
            <v>92410610</v>
          </cell>
          <cell r="B6002" t="str">
            <v>Soft drink, ginger ale</v>
          </cell>
          <cell r="I6002">
            <v>360</v>
          </cell>
          <cell r="J6002">
            <v>122.4</v>
          </cell>
          <cell r="K6002">
            <v>0.34</v>
          </cell>
          <cell r="L6002">
            <v>0</v>
          </cell>
          <cell r="M6002">
            <v>0</v>
          </cell>
          <cell r="N6002">
            <v>0</v>
          </cell>
          <cell r="O6002">
            <v>1.0800000000000001E-2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>
            <v>0</v>
          </cell>
          <cell r="V6002">
            <v>0</v>
          </cell>
          <cell r="W6002">
            <v>360</v>
          </cell>
          <cell r="X6002">
            <v>2.52E-2</v>
          </cell>
          <cell r="Y6002">
            <v>0</v>
          </cell>
          <cell r="Z6002">
            <v>0</v>
          </cell>
          <cell r="AA6002">
            <v>0</v>
          </cell>
          <cell r="AB6002">
            <v>0</v>
          </cell>
        </row>
        <row r="6003">
          <cell r="A6003">
            <v>92410620</v>
          </cell>
          <cell r="B6003" t="str">
            <v>Soft drink, ginger ale, diet</v>
          </cell>
          <cell r="I6003">
            <v>360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0</v>
          </cell>
          <cell r="O6003">
            <v>1.44E-2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  <cell r="V6003">
            <v>0</v>
          </cell>
          <cell r="W6003">
            <v>0</v>
          </cell>
          <cell r="X6003">
            <v>2.1600000000000001E-2</v>
          </cell>
          <cell r="Y6003">
            <v>0</v>
          </cell>
          <cell r="Z6003">
            <v>0</v>
          </cell>
          <cell r="AA6003">
            <v>0</v>
          </cell>
          <cell r="AB6003">
            <v>0</v>
          </cell>
        </row>
        <row r="6004">
          <cell r="A6004">
            <v>92410710</v>
          </cell>
          <cell r="B6004" t="str">
            <v>Soft drink, root beer</v>
          </cell>
          <cell r="I6004">
            <v>360</v>
          </cell>
          <cell r="J6004">
            <v>147.6</v>
          </cell>
          <cell r="K6004">
            <v>0.41</v>
          </cell>
          <cell r="L6004">
            <v>0</v>
          </cell>
          <cell r="M6004">
            <v>0</v>
          </cell>
          <cell r="N6004">
            <v>0</v>
          </cell>
          <cell r="O6004">
            <v>1.7999999999999999E-2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>
            <v>0</v>
          </cell>
          <cell r="V6004">
            <v>0</v>
          </cell>
          <cell r="W6004">
            <v>360</v>
          </cell>
          <cell r="X6004">
            <v>4.6800000000000001E-2</v>
          </cell>
          <cell r="Y6004">
            <v>0</v>
          </cell>
          <cell r="Z6004">
            <v>0</v>
          </cell>
          <cell r="AA6004">
            <v>0</v>
          </cell>
          <cell r="AB6004">
            <v>0</v>
          </cell>
        </row>
        <row r="6005">
          <cell r="A6005">
            <v>92410720</v>
          </cell>
          <cell r="B6005" t="str">
            <v>Soft drink, root beer, diet</v>
          </cell>
          <cell r="I6005">
            <v>360</v>
          </cell>
          <cell r="J6005">
            <v>0</v>
          </cell>
          <cell r="K6005">
            <v>0</v>
          </cell>
          <cell r="L6005">
            <v>0</v>
          </cell>
          <cell r="M6005">
            <v>0</v>
          </cell>
          <cell r="N6005">
            <v>0</v>
          </cell>
          <cell r="O6005">
            <v>1.44E-2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>
            <v>0</v>
          </cell>
          <cell r="V6005">
            <v>0</v>
          </cell>
          <cell r="W6005">
            <v>0</v>
          </cell>
          <cell r="X6005">
            <v>2.1600000000000001E-2</v>
          </cell>
          <cell r="Y6005">
            <v>0</v>
          </cell>
          <cell r="Z6005">
            <v>0</v>
          </cell>
          <cell r="AA6005">
            <v>0</v>
          </cell>
          <cell r="AB6005">
            <v>0</v>
          </cell>
        </row>
        <row r="6006">
          <cell r="A6006">
            <v>92411510</v>
          </cell>
          <cell r="B6006" t="str">
            <v>Soft drink, cola, fruit or vanilla flavored</v>
          </cell>
          <cell r="I6006">
            <v>360</v>
          </cell>
          <cell r="J6006">
            <v>151.19999999999999</v>
          </cell>
          <cell r="K6006">
            <v>0.42</v>
          </cell>
          <cell r="L6006">
            <v>0</v>
          </cell>
          <cell r="M6006">
            <v>0</v>
          </cell>
          <cell r="N6006">
            <v>0</v>
          </cell>
          <cell r="O6006">
            <v>3.5999999999999999E-3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>
            <v>0</v>
          </cell>
          <cell r="V6006">
            <v>0</v>
          </cell>
          <cell r="W6006">
            <v>360</v>
          </cell>
          <cell r="X6006">
            <v>1.0800000000000001E-2</v>
          </cell>
          <cell r="Y6006">
            <v>0</v>
          </cell>
          <cell r="Z6006">
            <v>0</v>
          </cell>
          <cell r="AA6006">
            <v>0</v>
          </cell>
          <cell r="AB6006">
            <v>0</v>
          </cell>
        </row>
        <row r="6007">
          <cell r="A6007">
            <v>92411610</v>
          </cell>
          <cell r="B6007" t="str">
            <v>Soft drink, cola, fruit or vanilla flavored, diet</v>
          </cell>
          <cell r="I6007">
            <v>360</v>
          </cell>
          <cell r="J6007">
            <v>7.2</v>
          </cell>
          <cell r="K6007">
            <v>0.02</v>
          </cell>
          <cell r="L6007">
            <v>0</v>
          </cell>
          <cell r="M6007">
            <v>0</v>
          </cell>
          <cell r="N6007">
            <v>0</v>
          </cell>
          <cell r="O6007">
            <v>1.0800000000000001E-2</v>
          </cell>
          <cell r="P6007">
            <v>0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>
            <v>0</v>
          </cell>
          <cell r="V6007">
            <v>0</v>
          </cell>
          <cell r="W6007">
            <v>0</v>
          </cell>
          <cell r="X6007">
            <v>2.8799999999999999E-2</v>
          </cell>
          <cell r="Y6007">
            <v>0</v>
          </cell>
          <cell r="Z6007">
            <v>0</v>
          </cell>
          <cell r="AA6007">
            <v>0</v>
          </cell>
          <cell r="AB6007">
            <v>0</v>
          </cell>
        </row>
        <row r="6008">
          <cell r="A6008">
            <v>92433000</v>
          </cell>
          <cell r="B6008" t="str">
            <v>Fruit juice drink, noncitrus, carbonated</v>
          </cell>
          <cell r="I6008">
            <v>240</v>
          </cell>
          <cell r="J6008">
            <v>79.680000000000007</v>
          </cell>
          <cell r="K6008">
            <v>0.33200000000000002</v>
          </cell>
          <cell r="L6008">
            <v>0.24</v>
          </cell>
          <cell r="M6008">
            <v>2.8799999999999999E-2</v>
          </cell>
          <cell r="N6008">
            <v>0</v>
          </cell>
          <cell r="O6008">
            <v>1.9199999999999998E-2</v>
          </cell>
          <cell r="P6008">
            <v>0</v>
          </cell>
          <cell r="Q6008">
            <v>5.4719999999999998E-2</v>
          </cell>
          <cell r="R6008">
            <v>0</v>
          </cell>
          <cell r="S6008">
            <v>0</v>
          </cell>
          <cell r="T6008">
            <v>144</v>
          </cell>
          <cell r="U6008">
            <v>0</v>
          </cell>
          <cell r="V6008">
            <v>0</v>
          </cell>
          <cell r="W6008">
            <v>240</v>
          </cell>
          <cell r="X6008">
            <v>2.5919999999999999E-2</v>
          </cell>
          <cell r="Y6008">
            <v>0</v>
          </cell>
          <cell r="Z6008">
            <v>0</v>
          </cell>
          <cell r="AA6008">
            <v>0</v>
          </cell>
          <cell r="AB6008">
            <v>0</v>
          </cell>
        </row>
        <row r="6009">
          <cell r="A6009">
            <v>92510610</v>
          </cell>
          <cell r="B6009" t="str">
            <v>Fruit juice drink</v>
          </cell>
          <cell r="I6009">
            <v>240</v>
          </cell>
          <cell r="J6009">
            <v>24</v>
          </cell>
          <cell r="K6009">
            <v>0.1</v>
          </cell>
          <cell r="L6009">
            <v>0</v>
          </cell>
          <cell r="M6009">
            <v>0</v>
          </cell>
          <cell r="N6009">
            <v>0</v>
          </cell>
          <cell r="O6009">
            <v>0</v>
          </cell>
          <cell r="P6009">
            <v>0</v>
          </cell>
          <cell r="Q6009">
            <v>0</v>
          </cell>
          <cell r="R6009">
            <v>0</v>
          </cell>
          <cell r="S6009">
            <v>0</v>
          </cell>
          <cell r="T6009">
            <v>0</v>
          </cell>
          <cell r="U6009">
            <v>0</v>
          </cell>
          <cell r="V6009">
            <v>0</v>
          </cell>
          <cell r="W6009">
            <v>240</v>
          </cell>
          <cell r="X6009">
            <v>3.1199999999999999E-2</v>
          </cell>
          <cell r="Y6009">
            <v>0</v>
          </cell>
          <cell r="Z6009">
            <v>0</v>
          </cell>
          <cell r="AA6009">
            <v>0</v>
          </cell>
          <cell r="AB6009">
            <v>0</v>
          </cell>
        </row>
        <row r="6010">
          <cell r="A6010">
            <v>92510650</v>
          </cell>
          <cell r="B6010" t="str">
            <v>Tamarind drink</v>
          </cell>
          <cell r="I6010">
            <v>240</v>
          </cell>
          <cell r="J6010">
            <v>255.94592</v>
          </cell>
          <cell r="K6010">
            <v>1.0664413333333334</v>
          </cell>
          <cell r="L6010">
            <v>2.7980432999999998</v>
          </cell>
          <cell r="M6010">
            <v>0.149229</v>
          </cell>
          <cell r="N6010">
            <v>0</v>
          </cell>
          <cell r="O6010">
            <v>4.5508100000000003E-2</v>
          </cell>
          <cell r="P6010">
            <v>0</v>
          </cell>
          <cell r="Q6010">
            <v>3.2369500000000002E-2</v>
          </cell>
          <cell r="R6010">
            <v>0</v>
          </cell>
          <cell r="S6010">
            <v>0</v>
          </cell>
          <cell r="T6010">
            <v>54.863593999999999</v>
          </cell>
          <cell r="U6010">
            <v>0</v>
          </cell>
          <cell r="V6010">
            <v>0</v>
          </cell>
          <cell r="W6010">
            <v>240</v>
          </cell>
          <cell r="X6010">
            <v>2.1799700000000002E-2</v>
          </cell>
          <cell r="Y6010">
            <v>0</v>
          </cell>
          <cell r="Z6010">
            <v>0</v>
          </cell>
          <cell r="AA6010">
            <v>0</v>
          </cell>
          <cell r="AB6010">
            <v>0</v>
          </cell>
        </row>
        <row r="6011">
          <cell r="A6011">
            <v>92510720</v>
          </cell>
          <cell r="B6011" t="str">
            <v>Fruit punch, made with fruit juice and soda</v>
          </cell>
          <cell r="I6011">
            <v>240</v>
          </cell>
          <cell r="J6011">
            <v>104.4</v>
          </cell>
          <cell r="K6011">
            <v>0.435</v>
          </cell>
          <cell r="L6011">
            <v>0.24</v>
          </cell>
          <cell r="M6011">
            <v>9.5999999999999992E-3</v>
          </cell>
          <cell r="N6011">
            <v>0</v>
          </cell>
          <cell r="O6011">
            <v>1.9199999999999998E-2</v>
          </cell>
          <cell r="P6011">
            <v>0</v>
          </cell>
          <cell r="Q6011">
            <v>5.04E-2</v>
          </cell>
          <cell r="R6011">
            <v>0</v>
          </cell>
          <cell r="S6011">
            <v>0</v>
          </cell>
          <cell r="T6011">
            <v>120</v>
          </cell>
          <cell r="U6011">
            <v>0</v>
          </cell>
          <cell r="V6011">
            <v>0</v>
          </cell>
          <cell r="W6011">
            <v>240</v>
          </cell>
          <cell r="X6011">
            <v>1.0800000000000001E-2</v>
          </cell>
          <cell r="Y6011">
            <v>0</v>
          </cell>
          <cell r="Z6011">
            <v>0</v>
          </cell>
          <cell r="AA6011">
            <v>0</v>
          </cell>
          <cell r="AB6011">
            <v>0</v>
          </cell>
        </row>
        <row r="6012">
          <cell r="A6012">
            <v>92510730</v>
          </cell>
          <cell r="B6012" t="str">
            <v>Fruit punch, made with soda, fruit juice, and sherbet or ice cream</v>
          </cell>
          <cell r="I6012">
            <v>240</v>
          </cell>
          <cell r="J6012">
            <v>156.3048</v>
          </cell>
          <cell r="K6012">
            <v>0.65127000000000002</v>
          </cell>
          <cell r="L6012">
            <v>0.89673429999999998</v>
          </cell>
          <cell r="M6012">
            <v>0.57852040000000005</v>
          </cell>
          <cell r="N6012">
            <v>0</v>
          </cell>
          <cell r="O6012">
            <v>4.1939799999999999E-2</v>
          </cell>
          <cell r="P6012">
            <v>0</v>
          </cell>
          <cell r="Q6012">
            <v>6.8132300000000007E-2</v>
          </cell>
          <cell r="R6012">
            <v>0</v>
          </cell>
          <cell r="S6012">
            <v>0</v>
          </cell>
          <cell r="T6012">
            <v>75.521878000000001</v>
          </cell>
          <cell r="U6012">
            <v>0</v>
          </cell>
          <cell r="V6012">
            <v>0</v>
          </cell>
          <cell r="W6012">
            <v>240</v>
          </cell>
          <cell r="X6012">
            <v>5.2595099999999999E-2</v>
          </cell>
          <cell r="Y6012">
            <v>0</v>
          </cell>
          <cell r="Z6012">
            <v>0</v>
          </cell>
          <cell r="AA6012">
            <v>0</v>
          </cell>
          <cell r="AB6012">
            <v>0</v>
          </cell>
        </row>
        <row r="6013">
          <cell r="A6013">
            <v>92510955</v>
          </cell>
          <cell r="B6013" t="str">
            <v>Lemonade, fruit juice drink</v>
          </cell>
          <cell r="I6013">
            <v>240</v>
          </cell>
          <cell r="J6013">
            <v>110.4</v>
          </cell>
          <cell r="K6013">
            <v>0.46</v>
          </cell>
          <cell r="L6013">
            <v>0</v>
          </cell>
          <cell r="M6013">
            <v>0</v>
          </cell>
          <cell r="N6013">
            <v>0</v>
          </cell>
          <cell r="O6013">
            <v>4.7999999999999996E-3</v>
          </cell>
          <cell r="P6013">
            <v>0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>
            <v>0</v>
          </cell>
          <cell r="V6013">
            <v>0</v>
          </cell>
          <cell r="W6013">
            <v>240</v>
          </cell>
          <cell r="X6013">
            <v>1.44E-2</v>
          </cell>
          <cell r="Y6013">
            <v>0</v>
          </cell>
          <cell r="Z6013">
            <v>0</v>
          </cell>
          <cell r="AA6013">
            <v>0</v>
          </cell>
          <cell r="AB6013">
            <v>0</v>
          </cell>
        </row>
        <row r="6014">
          <cell r="A6014">
            <v>92510960</v>
          </cell>
          <cell r="B6014" t="str">
            <v>Lemonade, fruit flavored drink</v>
          </cell>
          <cell r="I6014">
            <v>240</v>
          </cell>
          <cell r="J6014">
            <v>61.039369999999998</v>
          </cell>
          <cell r="K6014">
            <v>0.25433070833333332</v>
          </cell>
          <cell r="L6014">
            <v>0</v>
          </cell>
          <cell r="M6014">
            <v>2.9395299999999999E-2</v>
          </cell>
          <cell r="N6014">
            <v>0</v>
          </cell>
          <cell r="O6014">
            <v>8.4849999999999995E-3</v>
          </cell>
          <cell r="P6014">
            <v>0</v>
          </cell>
          <cell r="Q6014">
            <v>8.5294499999999995E-2</v>
          </cell>
          <cell r="R6014">
            <v>0</v>
          </cell>
          <cell r="S6014">
            <v>0</v>
          </cell>
          <cell r="T6014">
            <v>0</v>
          </cell>
          <cell r="U6014">
            <v>0</v>
          </cell>
          <cell r="V6014">
            <v>0</v>
          </cell>
          <cell r="W6014">
            <v>240</v>
          </cell>
          <cell r="X6014">
            <v>2.9839399999999999E-2</v>
          </cell>
          <cell r="Y6014">
            <v>0</v>
          </cell>
          <cell r="Z6014">
            <v>0</v>
          </cell>
          <cell r="AA6014">
            <v>0</v>
          </cell>
          <cell r="AB6014">
            <v>0</v>
          </cell>
        </row>
        <row r="6015">
          <cell r="A6015">
            <v>92511010</v>
          </cell>
          <cell r="B6015" t="str">
            <v>Fruit flavored drink (formerly lemonade)</v>
          </cell>
          <cell r="I6015">
            <v>240</v>
          </cell>
          <cell r="J6015">
            <v>153.6</v>
          </cell>
          <cell r="K6015">
            <v>0.64</v>
          </cell>
          <cell r="L6015">
            <v>0</v>
          </cell>
          <cell r="M6015">
            <v>0</v>
          </cell>
          <cell r="N6015">
            <v>0</v>
          </cell>
          <cell r="O6015">
            <v>7.1999999999999998E-3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6</v>
          </cell>
          <cell r="U6015">
            <v>0</v>
          </cell>
          <cell r="V6015">
            <v>0</v>
          </cell>
          <cell r="W6015">
            <v>240</v>
          </cell>
          <cell r="X6015">
            <v>8.6400000000000005E-2</v>
          </cell>
          <cell r="Y6015">
            <v>0</v>
          </cell>
          <cell r="Z6015">
            <v>0</v>
          </cell>
          <cell r="AA6015">
            <v>0</v>
          </cell>
          <cell r="AB6015">
            <v>0</v>
          </cell>
        </row>
        <row r="6016">
          <cell r="A6016">
            <v>92511015</v>
          </cell>
          <cell r="B6016" t="str">
            <v>Fruit flavored drink</v>
          </cell>
          <cell r="I6016">
            <v>240</v>
          </cell>
          <cell r="J6016">
            <v>153.6</v>
          </cell>
          <cell r="K6016">
            <v>0.64</v>
          </cell>
          <cell r="L6016">
            <v>0</v>
          </cell>
          <cell r="M6016">
            <v>0</v>
          </cell>
          <cell r="N6016">
            <v>0</v>
          </cell>
          <cell r="O6016">
            <v>7.1999999999999998E-3</v>
          </cell>
          <cell r="P6016">
            <v>0</v>
          </cell>
          <cell r="Q6016">
            <v>0</v>
          </cell>
          <cell r="R6016">
            <v>0</v>
          </cell>
          <cell r="S6016">
            <v>0</v>
          </cell>
          <cell r="T6016">
            <v>6</v>
          </cell>
          <cell r="U6016">
            <v>0</v>
          </cell>
          <cell r="V6016">
            <v>0</v>
          </cell>
          <cell r="W6016">
            <v>240</v>
          </cell>
          <cell r="X6016">
            <v>8.6400000000000005E-2</v>
          </cell>
          <cell r="Y6016">
            <v>0</v>
          </cell>
          <cell r="Z6016">
            <v>0</v>
          </cell>
          <cell r="AA6016">
            <v>0</v>
          </cell>
          <cell r="AB6016">
            <v>0</v>
          </cell>
        </row>
        <row r="6017">
          <cell r="A6017">
            <v>92511250</v>
          </cell>
          <cell r="B6017" t="str">
            <v>Citrus fruit juice drink, containing 40-50% juice</v>
          </cell>
          <cell r="I6017">
            <v>240</v>
          </cell>
          <cell r="J6017">
            <v>110.30231999999999</v>
          </cell>
          <cell r="K6017">
            <v>0.45959299999999997</v>
          </cell>
          <cell r="L6017">
            <v>0.13617570000000001</v>
          </cell>
          <cell r="M6017">
            <v>4.7660999999999997E-3</v>
          </cell>
          <cell r="N6017">
            <v>0</v>
          </cell>
          <cell r="O6017">
            <v>2.2179299999999999E-2</v>
          </cell>
          <cell r="P6017">
            <v>0</v>
          </cell>
          <cell r="Q6017">
            <v>1.02132E-2</v>
          </cell>
          <cell r="R6017">
            <v>0</v>
          </cell>
          <cell r="S6017">
            <v>0</v>
          </cell>
          <cell r="T6017">
            <v>35.746121000000002</v>
          </cell>
          <cell r="U6017">
            <v>0</v>
          </cell>
          <cell r="V6017">
            <v>0</v>
          </cell>
          <cell r="W6017">
            <v>240</v>
          </cell>
          <cell r="X6017">
            <v>8.9190999999999993E-3</v>
          </cell>
          <cell r="Y6017">
            <v>0</v>
          </cell>
          <cell r="Z6017">
            <v>0</v>
          </cell>
          <cell r="AA6017">
            <v>0</v>
          </cell>
          <cell r="AB6017">
            <v>0</v>
          </cell>
        </row>
        <row r="6018">
          <cell r="A6018">
            <v>92512090</v>
          </cell>
          <cell r="B6018" t="str">
            <v>Pina Colada, nonalcoholic</v>
          </cell>
          <cell r="I6018">
            <v>240</v>
          </cell>
          <cell r="J6018">
            <v>220.52571</v>
          </cell>
          <cell r="K6018">
            <v>0.91885712500000005</v>
          </cell>
          <cell r="L6018">
            <v>1.5956570999999999</v>
          </cell>
          <cell r="M6018">
            <v>6.3754422999999996</v>
          </cell>
          <cell r="N6018">
            <v>0</v>
          </cell>
          <cell r="O6018">
            <v>2.3567999999999999E-2</v>
          </cell>
          <cell r="P6018">
            <v>8.2285700000000003E-2</v>
          </cell>
          <cell r="Q6018">
            <v>0.1145143</v>
          </cell>
          <cell r="R6018">
            <v>0</v>
          </cell>
          <cell r="S6018">
            <v>0</v>
          </cell>
          <cell r="T6018">
            <v>122.74285999999999</v>
          </cell>
          <cell r="U6018">
            <v>0</v>
          </cell>
          <cell r="V6018">
            <v>0</v>
          </cell>
          <cell r="W6018">
            <v>240</v>
          </cell>
          <cell r="X6018">
            <v>1.83223E-2</v>
          </cell>
          <cell r="Y6018">
            <v>0</v>
          </cell>
          <cell r="Z6018">
            <v>0</v>
          </cell>
          <cell r="AA6018">
            <v>0</v>
          </cell>
          <cell r="AB6018">
            <v>0</v>
          </cell>
        </row>
        <row r="6019">
          <cell r="A6019">
            <v>92512110</v>
          </cell>
          <cell r="B6019" t="str">
            <v>Margarita mix, nonalcoholic</v>
          </cell>
          <cell r="I6019">
            <v>240</v>
          </cell>
          <cell r="J6019">
            <v>208.8</v>
          </cell>
          <cell r="K6019">
            <v>0.87</v>
          </cell>
          <cell r="L6019">
            <v>0</v>
          </cell>
          <cell r="M6019">
            <v>1.9199999999999998E-2</v>
          </cell>
          <cell r="N6019">
            <v>0</v>
          </cell>
          <cell r="O6019">
            <v>4.7999999999999996E-3</v>
          </cell>
          <cell r="P6019">
            <v>0</v>
          </cell>
          <cell r="Q6019">
            <v>4.8000000000000001E-2</v>
          </cell>
          <cell r="R6019">
            <v>0</v>
          </cell>
          <cell r="S6019">
            <v>0</v>
          </cell>
          <cell r="T6019">
            <v>0</v>
          </cell>
          <cell r="U6019">
            <v>0</v>
          </cell>
          <cell r="V6019">
            <v>0</v>
          </cell>
          <cell r="W6019">
            <v>240</v>
          </cell>
          <cell r="X6019">
            <v>0.24479999999999999</v>
          </cell>
          <cell r="Y6019">
            <v>0</v>
          </cell>
          <cell r="Z6019">
            <v>0</v>
          </cell>
          <cell r="AA6019">
            <v>0</v>
          </cell>
          <cell r="AB6019">
            <v>0</v>
          </cell>
        </row>
        <row r="6020">
          <cell r="A6020">
            <v>92513000</v>
          </cell>
          <cell r="B6020" t="str">
            <v>Fruit flavored smoothie drink, frozen, no dairy</v>
          </cell>
          <cell r="I6020">
            <v>240</v>
          </cell>
          <cell r="J6020">
            <v>67.44</v>
          </cell>
          <cell r="K6020">
            <v>0.28099999999999997</v>
          </cell>
          <cell r="L6020">
            <v>0</v>
          </cell>
          <cell r="M6020">
            <v>0</v>
          </cell>
          <cell r="N6020">
            <v>0</v>
          </cell>
          <cell r="O6020">
            <v>6.4799999999999996E-3</v>
          </cell>
          <cell r="P6020">
            <v>0</v>
          </cell>
          <cell r="Q6020">
            <v>0</v>
          </cell>
          <cell r="R6020">
            <v>0</v>
          </cell>
          <cell r="S6020">
            <v>0</v>
          </cell>
          <cell r="T6020">
            <v>0</v>
          </cell>
          <cell r="U6020">
            <v>0</v>
          </cell>
          <cell r="V6020">
            <v>0</v>
          </cell>
          <cell r="W6020">
            <v>240</v>
          </cell>
          <cell r="X6020">
            <v>9.1199999999999996E-3</v>
          </cell>
          <cell r="Y6020">
            <v>0</v>
          </cell>
          <cell r="Z6020">
            <v>0</v>
          </cell>
          <cell r="AA6020">
            <v>0</v>
          </cell>
          <cell r="AB6020">
            <v>0</v>
          </cell>
        </row>
        <row r="6021">
          <cell r="A6021">
            <v>92530410</v>
          </cell>
          <cell r="B6021" t="str">
            <v>Fruit flavored drink, with high vitamin C</v>
          </cell>
          <cell r="I6021">
            <v>240</v>
          </cell>
          <cell r="J6021">
            <v>64.8</v>
          </cell>
          <cell r="K6021">
            <v>0.26999999999999996</v>
          </cell>
          <cell r="L6021">
            <v>0</v>
          </cell>
          <cell r="M6021">
            <v>0</v>
          </cell>
          <cell r="N6021">
            <v>0</v>
          </cell>
          <cell r="O6021">
            <v>7.1999999999999998E-3</v>
          </cell>
          <cell r="P6021">
            <v>0</v>
          </cell>
          <cell r="Q6021">
            <v>0</v>
          </cell>
          <cell r="R6021">
            <v>0</v>
          </cell>
          <cell r="S6021">
            <v>0</v>
          </cell>
          <cell r="T6021">
            <v>6</v>
          </cell>
          <cell r="U6021">
            <v>0</v>
          </cell>
          <cell r="V6021">
            <v>0</v>
          </cell>
          <cell r="W6021">
            <v>240</v>
          </cell>
          <cell r="X6021">
            <v>8.6400000000000005E-2</v>
          </cell>
          <cell r="Y6021">
            <v>0</v>
          </cell>
          <cell r="Z6021">
            <v>0</v>
          </cell>
          <cell r="AA6021">
            <v>0</v>
          </cell>
          <cell r="AB6021">
            <v>0</v>
          </cell>
        </row>
        <row r="6022">
          <cell r="A6022">
            <v>92530510</v>
          </cell>
          <cell r="B6022" t="str">
            <v>Cranberry juice drink, with high vitamin C</v>
          </cell>
          <cell r="I6022">
            <v>240</v>
          </cell>
          <cell r="J6022">
            <v>129.6</v>
          </cell>
          <cell r="K6022">
            <v>0.53999999999999992</v>
          </cell>
          <cell r="L6022">
            <v>0</v>
          </cell>
          <cell r="M6022">
            <v>2.1600000000000001E-2</v>
          </cell>
          <cell r="N6022">
            <v>0</v>
          </cell>
          <cell r="O6022">
            <v>7.1999999999999998E-3</v>
          </cell>
          <cell r="P6022">
            <v>0</v>
          </cell>
          <cell r="Q6022">
            <v>0.1416</v>
          </cell>
          <cell r="R6022">
            <v>0</v>
          </cell>
          <cell r="S6022">
            <v>0</v>
          </cell>
          <cell r="T6022">
            <v>36</v>
          </cell>
          <cell r="U6022">
            <v>0</v>
          </cell>
          <cell r="V6022">
            <v>0</v>
          </cell>
          <cell r="W6022">
            <v>240</v>
          </cell>
          <cell r="X6022">
            <v>4.7999999999999996E-3</v>
          </cell>
          <cell r="Y6022">
            <v>0</v>
          </cell>
          <cell r="Z6022">
            <v>0</v>
          </cell>
          <cell r="AA6022">
            <v>0</v>
          </cell>
          <cell r="AB6022">
            <v>0</v>
          </cell>
        </row>
        <row r="6023">
          <cell r="A6023">
            <v>92530610</v>
          </cell>
          <cell r="B6023" t="str">
            <v>Fruit juice drink, with high vitamin C</v>
          </cell>
          <cell r="I6023">
            <v>240</v>
          </cell>
          <cell r="J6023">
            <v>110.4</v>
          </cell>
          <cell r="K6023">
            <v>0.46</v>
          </cell>
          <cell r="L6023">
            <v>0.24</v>
          </cell>
          <cell r="M6023">
            <v>4.0800000000000003E-2</v>
          </cell>
          <cell r="N6023">
            <v>0</v>
          </cell>
          <cell r="O6023">
            <v>7.1999999999999998E-3</v>
          </cell>
          <cell r="P6023">
            <v>0</v>
          </cell>
          <cell r="Q6023">
            <v>7.1999999999999995E-2</v>
          </cell>
          <cell r="R6023">
            <v>0</v>
          </cell>
          <cell r="S6023">
            <v>0</v>
          </cell>
          <cell r="T6023">
            <v>6</v>
          </cell>
          <cell r="U6023">
            <v>0</v>
          </cell>
          <cell r="V6023">
            <v>0</v>
          </cell>
          <cell r="W6023">
            <v>240</v>
          </cell>
          <cell r="X6023">
            <v>1.9199999999999998E-2</v>
          </cell>
          <cell r="Y6023">
            <v>0</v>
          </cell>
          <cell r="Z6023">
            <v>0</v>
          </cell>
          <cell r="AA6023">
            <v>0</v>
          </cell>
          <cell r="AB6023">
            <v>0</v>
          </cell>
        </row>
        <row r="6024">
          <cell r="A6024">
            <v>92530950</v>
          </cell>
          <cell r="B6024" t="str">
            <v>Vegetable and fruit juice drink, with high vitamin C</v>
          </cell>
          <cell r="I6024">
            <v>240</v>
          </cell>
          <cell r="J6024">
            <v>69.599999999999994</v>
          </cell>
          <cell r="K6024">
            <v>0.28999999999999998</v>
          </cell>
          <cell r="L6024">
            <v>0</v>
          </cell>
          <cell r="M6024">
            <v>0</v>
          </cell>
          <cell r="N6024">
            <v>0</v>
          </cell>
          <cell r="O6024">
            <v>7.1999999999999998E-3</v>
          </cell>
          <cell r="P6024">
            <v>0</v>
          </cell>
          <cell r="Q6024">
            <v>0</v>
          </cell>
          <cell r="R6024">
            <v>0</v>
          </cell>
          <cell r="S6024">
            <v>0</v>
          </cell>
          <cell r="T6024">
            <v>6</v>
          </cell>
          <cell r="U6024">
            <v>0</v>
          </cell>
          <cell r="V6024">
            <v>0</v>
          </cell>
          <cell r="W6024">
            <v>240</v>
          </cell>
          <cell r="X6024">
            <v>5.04E-2</v>
          </cell>
          <cell r="Y6024">
            <v>0</v>
          </cell>
          <cell r="Z6024">
            <v>0</v>
          </cell>
          <cell r="AA6024">
            <v>0</v>
          </cell>
          <cell r="AB6024">
            <v>0</v>
          </cell>
        </row>
        <row r="6025">
          <cell r="A6025">
            <v>92531030</v>
          </cell>
          <cell r="B6025" t="str">
            <v>Fruit juice drink (Sunny D)</v>
          </cell>
          <cell r="I6025">
            <v>240</v>
          </cell>
          <cell r="J6025">
            <v>129.6</v>
          </cell>
          <cell r="K6025">
            <v>0.53999999999999992</v>
          </cell>
          <cell r="L6025">
            <v>0.24</v>
          </cell>
          <cell r="M6025">
            <v>0</v>
          </cell>
          <cell r="N6025">
            <v>0</v>
          </cell>
          <cell r="O6025">
            <v>7.1999999999999998E-3</v>
          </cell>
          <cell r="P6025">
            <v>0</v>
          </cell>
          <cell r="Q6025">
            <v>0</v>
          </cell>
          <cell r="R6025">
            <v>0</v>
          </cell>
          <cell r="S6025">
            <v>0</v>
          </cell>
          <cell r="T6025">
            <v>6</v>
          </cell>
          <cell r="U6025">
            <v>0</v>
          </cell>
          <cell r="V6025">
            <v>0</v>
          </cell>
          <cell r="W6025">
            <v>240</v>
          </cell>
          <cell r="X6025">
            <v>0.1464</v>
          </cell>
          <cell r="Y6025">
            <v>0</v>
          </cell>
          <cell r="Z6025">
            <v>0</v>
          </cell>
          <cell r="AA6025">
            <v>0</v>
          </cell>
          <cell r="AB6025">
            <v>0</v>
          </cell>
        </row>
        <row r="6026">
          <cell r="A6026">
            <v>92541010</v>
          </cell>
          <cell r="B6026" t="str">
            <v>Fruit flavored drink, powdered, reconstituted</v>
          </cell>
          <cell r="I6026">
            <v>240</v>
          </cell>
          <cell r="J6026">
            <v>61.039369999999998</v>
          </cell>
          <cell r="K6026">
            <v>0.25433070833333332</v>
          </cell>
          <cell r="L6026">
            <v>0</v>
          </cell>
          <cell r="M6026">
            <v>2.9395299999999999E-2</v>
          </cell>
          <cell r="N6026">
            <v>0</v>
          </cell>
          <cell r="O6026">
            <v>8.4849999999999995E-3</v>
          </cell>
          <cell r="P6026">
            <v>0</v>
          </cell>
          <cell r="Q6026">
            <v>8.5294499999999995E-2</v>
          </cell>
          <cell r="R6026">
            <v>0</v>
          </cell>
          <cell r="S6026">
            <v>0</v>
          </cell>
          <cell r="T6026">
            <v>0</v>
          </cell>
          <cell r="U6026">
            <v>0</v>
          </cell>
          <cell r="V6026">
            <v>0</v>
          </cell>
          <cell r="W6026">
            <v>240</v>
          </cell>
          <cell r="X6026">
            <v>2.9839399999999999E-2</v>
          </cell>
          <cell r="Y6026">
            <v>0</v>
          </cell>
          <cell r="Z6026">
            <v>0</v>
          </cell>
          <cell r="AA6026">
            <v>0</v>
          </cell>
          <cell r="AB6026">
            <v>0</v>
          </cell>
        </row>
        <row r="6027">
          <cell r="A6027">
            <v>92542000</v>
          </cell>
          <cell r="B6027" t="str">
            <v>Fruit flavored drink, with high vitamin C, powdered, reconstituted</v>
          </cell>
          <cell r="I6027">
            <v>240</v>
          </cell>
          <cell r="J6027">
            <v>97.883774000000003</v>
          </cell>
          <cell r="K6027">
            <v>0.40784905833333335</v>
          </cell>
          <cell r="L6027">
            <v>1.665E-17</v>
          </cell>
          <cell r="M6027">
            <v>0</v>
          </cell>
          <cell r="N6027">
            <v>0</v>
          </cell>
          <cell r="O6027">
            <v>0.10406940000000001</v>
          </cell>
          <cell r="P6027">
            <v>0.101434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>
            <v>0</v>
          </cell>
          <cell r="V6027">
            <v>0</v>
          </cell>
          <cell r="W6027">
            <v>240</v>
          </cell>
          <cell r="X6027">
            <v>1.2896599999999999E-2</v>
          </cell>
          <cell r="Y6027">
            <v>0</v>
          </cell>
          <cell r="Z6027">
            <v>0</v>
          </cell>
          <cell r="AA6027">
            <v>0</v>
          </cell>
          <cell r="AB6027">
            <v>0</v>
          </cell>
        </row>
        <row r="6028">
          <cell r="A6028">
            <v>92550030</v>
          </cell>
          <cell r="B6028" t="str">
            <v>Fruit juice drink, with high vitamin C, light</v>
          </cell>
          <cell r="I6028">
            <v>240</v>
          </cell>
          <cell r="J6028">
            <v>45.6</v>
          </cell>
          <cell r="K6028">
            <v>0.19</v>
          </cell>
          <cell r="L6028">
            <v>0.24</v>
          </cell>
          <cell r="M6028">
            <v>0</v>
          </cell>
          <cell r="N6028">
            <v>0</v>
          </cell>
          <cell r="O6028">
            <v>2.4E-2</v>
          </cell>
          <cell r="P6028">
            <v>0</v>
          </cell>
          <cell r="Q6028">
            <v>0</v>
          </cell>
          <cell r="R6028">
            <v>0</v>
          </cell>
          <cell r="S6028">
            <v>0</v>
          </cell>
          <cell r="T6028">
            <v>36</v>
          </cell>
          <cell r="U6028">
            <v>0</v>
          </cell>
          <cell r="V6028">
            <v>0</v>
          </cell>
          <cell r="W6028">
            <v>240</v>
          </cell>
          <cell r="X6028">
            <v>1.2E-2</v>
          </cell>
          <cell r="Y6028">
            <v>0</v>
          </cell>
          <cell r="Z6028">
            <v>0</v>
          </cell>
          <cell r="AA6028">
            <v>0</v>
          </cell>
          <cell r="AB6028">
            <v>0</v>
          </cell>
        </row>
        <row r="6029">
          <cell r="A6029">
            <v>92550035</v>
          </cell>
          <cell r="B6029" t="str">
            <v>Fruit juice drink, light</v>
          </cell>
          <cell r="I6029">
            <v>240</v>
          </cell>
          <cell r="J6029">
            <v>93.6</v>
          </cell>
          <cell r="K6029">
            <v>0.38999999999999996</v>
          </cell>
          <cell r="L6029">
            <v>0</v>
          </cell>
          <cell r="M6029">
            <v>1.9199999999999998E-2</v>
          </cell>
          <cell r="N6029">
            <v>0</v>
          </cell>
          <cell r="O6029">
            <v>1.2E-2</v>
          </cell>
          <cell r="P6029">
            <v>0</v>
          </cell>
          <cell r="Q6029">
            <v>3.3599999999999998E-2</v>
          </cell>
          <cell r="R6029">
            <v>0</v>
          </cell>
          <cell r="S6029">
            <v>0</v>
          </cell>
          <cell r="T6029">
            <v>36</v>
          </cell>
          <cell r="U6029">
            <v>0</v>
          </cell>
          <cell r="V6029">
            <v>0</v>
          </cell>
          <cell r="W6029">
            <v>240</v>
          </cell>
          <cell r="X6029">
            <v>4.7999999999999996E-3</v>
          </cell>
          <cell r="Y6029">
            <v>0</v>
          </cell>
          <cell r="Z6029">
            <v>0</v>
          </cell>
          <cell r="AA6029">
            <v>0</v>
          </cell>
          <cell r="AB6029">
            <v>0</v>
          </cell>
        </row>
        <row r="6030">
          <cell r="A6030">
            <v>92550040</v>
          </cell>
          <cell r="B6030" t="str">
            <v>Fruit juice drink, diet</v>
          </cell>
          <cell r="I6030">
            <v>240</v>
          </cell>
          <cell r="J6030">
            <v>2.8105422</v>
          </cell>
          <cell r="K6030">
            <v>1.17105925E-2</v>
          </cell>
          <cell r="L6030">
            <v>0</v>
          </cell>
          <cell r="M6030">
            <v>0</v>
          </cell>
          <cell r="N6030">
            <v>0</v>
          </cell>
          <cell r="O6030">
            <v>2.06597E-2</v>
          </cell>
          <cell r="P6030">
            <v>1.2891999999999999E-3</v>
          </cell>
          <cell r="Q6030">
            <v>0</v>
          </cell>
          <cell r="R6030">
            <v>0</v>
          </cell>
          <cell r="S6030">
            <v>0</v>
          </cell>
          <cell r="T6030">
            <v>0</v>
          </cell>
          <cell r="U6030">
            <v>0</v>
          </cell>
          <cell r="V6030">
            <v>0</v>
          </cell>
          <cell r="W6030">
            <v>240</v>
          </cell>
          <cell r="X6030">
            <v>1.23699E-2</v>
          </cell>
          <cell r="Y6030">
            <v>0</v>
          </cell>
          <cell r="Z6030">
            <v>0</v>
          </cell>
          <cell r="AA6030">
            <v>0</v>
          </cell>
          <cell r="AB6030">
            <v>0</v>
          </cell>
        </row>
        <row r="6031">
          <cell r="A6031">
            <v>92550110</v>
          </cell>
          <cell r="B6031" t="str">
            <v>Cranberry juice drink, with high vitamin C, light</v>
          </cell>
          <cell r="I6031">
            <v>240</v>
          </cell>
          <cell r="J6031">
            <v>45.6</v>
          </cell>
          <cell r="K6031">
            <v>0.19</v>
          </cell>
          <cell r="L6031">
            <v>0.24</v>
          </cell>
          <cell r="M6031">
            <v>0</v>
          </cell>
          <cell r="N6031">
            <v>0</v>
          </cell>
          <cell r="O6031">
            <v>2.4E-2</v>
          </cell>
          <cell r="P6031">
            <v>0</v>
          </cell>
          <cell r="Q6031">
            <v>0</v>
          </cell>
          <cell r="R6031">
            <v>0</v>
          </cell>
          <cell r="S6031">
            <v>0</v>
          </cell>
          <cell r="T6031">
            <v>36</v>
          </cell>
          <cell r="U6031">
            <v>0</v>
          </cell>
          <cell r="V6031">
            <v>0</v>
          </cell>
          <cell r="W6031">
            <v>240</v>
          </cell>
          <cell r="X6031">
            <v>1.2E-2</v>
          </cell>
          <cell r="Y6031">
            <v>0</v>
          </cell>
          <cell r="Z6031">
            <v>0</v>
          </cell>
          <cell r="AA6031">
            <v>0</v>
          </cell>
          <cell r="AB6031">
            <v>0</v>
          </cell>
        </row>
        <row r="6032">
          <cell r="A6032">
            <v>92550350</v>
          </cell>
          <cell r="B6032" t="str">
            <v>Orange juice beverage, 40-50% juice, light</v>
          </cell>
          <cell r="I6032">
            <v>240</v>
          </cell>
          <cell r="J6032">
            <v>50.4</v>
          </cell>
          <cell r="K6032">
            <v>0.21</v>
          </cell>
          <cell r="L6032">
            <v>0</v>
          </cell>
          <cell r="M6032">
            <v>0</v>
          </cell>
          <cell r="N6032">
            <v>0</v>
          </cell>
          <cell r="O6032">
            <v>0</v>
          </cell>
          <cell r="P6032">
            <v>0</v>
          </cell>
          <cell r="Q6032">
            <v>0</v>
          </cell>
          <cell r="R6032">
            <v>0</v>
          </cell>
          <cell r="S6032">
            <v>0</v>
          </cell>
          <cell r="T6032">
            <v>102</v>
          </cell>
          <cell r="U6032">
            <v>0</v>
          </cell>
          <cell r="V6032">
            <v>0</v>
          </cell>
          <cell r="W6032">
            <v>240</v>
          </cell>
          <cell r="X6032">
            <v>9.5999999999999992E-3</v>
          </cell>
          <cell r="Y6032">
            <v>0</v>
          </cell>
          <cell r="Z6032">
            <v>0</v>
          </cell>
          <cell r="AA6032">
            <v>0</v>
          </cell>
          <cell r="AB6032">
            <v>0</v>
          </cell>
        </row>
        <row r="6033">
          <cell r="A6033">
            <v>92550360</v>
          </cell>
          <cell r="B6033" t="str">
            <v>Apple juice beverage, 40-50% juice, light</v>
          </cell>
          <cell r="I6033">
            <v>240</v>
          </cell>
          <cell r="J6033">
            <v>52.8</v>
          </cell>
          <cell r="K6033">
            <v>0.22</v>
          </cell>
          <cell r="L6033">
            <v>0</v>
          </cell>
          <cell r="M6033">
            <v>0</v>
          </cell>
          <cell r="N6033">
            <v>0</v>
          </cell>
          <cell r="O6033">
            <v>7.1999999999999998E-3</v>
          </cell>
          <cell r="P6033">
            <v>0</v>
          </cell>
          <cell r="Q6033">
            <v>0</v>
          </cell>
          <cell r="R6033">
            <v>0</v>
          </cell>
          <cell r="S6033">
            <v>0</v>
          </cell>
          <cell r="T6033">
            <v>6</v>
          </cell>
          <cell r="U6033">
            <v>0</v>
          </cell>
          <cell r="V6033">
            <v>0</v>
          </cell>
          <cell r="W6033">
            <v>240</v>
          </cell>
          <cell r="X6033">
            <v>3.1199999999999999E-2</v>
          </cell>
          <cell r="Y6033">
            <v>0</v>
          </cell>
          <cell r="Z6033">
            <v>0</v>
          </cell>
          <cell r="AA6033">
            <v>0</v>
          </cell>
          <cell r="AB6033">
            <v>3.0077900000000001E-2</v>
          </cell>
        </row>
        <row r="6034">
          <cell r="A6034">
            <v>92550370</v>
          </cell>
          <cell r="B6034" t="str">
            <v>Lemonade, fruit juice drink, light</v>
          </cell>
          <cell r="I6034">
            <v>240</v>
          </cell>
          <cell r="J6034">
            <v>50.4</v>
          </cell>
          <cell r="K6034">
            <v>0.21</v>
          </cell>
          <cell r="L6034">
            <v>0</v>
          </cell>
          <cell r="M6034">
            <v>0</v>
          </cell>
          <cell r="N6034">
            <v>0</v>
          </cell>
          <cell r="O6034">
            <v>4.7999999999999996E-3</v>
          </cell>
          <cell r="P6034">
            <v>0</v>
          </cell>
          <cell r="Q6034">
            <v>0</v>
          </cell>
          <cell r="R6034">
            <v>0</v>
          </cell>
          <cell r="S6034">
            <v>0</v>
          </cell>
          <cell r="T6034">
            <v>6</v>
          </cell>
          <cell r="U6034">
            <v>0</v>
          </cell>
          <cell r="V6034">
            <v>0</v>
          </cell>
          <cell r="W6034">
            <v>240</v>
          </cell>
          <cell r="X6034">
            <v>1.2E-2</v>
          </cell>
          <cell r="Y6034">
            <v>0</v>
          </cell>
          <cell r="Z6034">
            <v>0</v>
          </cell>
          <cell r="AA6034">
            <v>0</v>
          </cell>
          <cell r="AB6034">
            <v>0</v>
          </cell>
        </row>
        <row r="6035">
          <cell r="A6035">
            <v>92550380</v>
          </cell>
          <cell r="B6035" t="str">
            <v>Pomegranate juice beverage, 40-50% juice, light</v>
          </cell>
          <cell r="I6035">
            <v>240</v>
          </cell>
          <cell r="J6035">
            <v>129.6</v>
          </cell>
          <cell r="K6035">
            <v>0.53999999999999992</v>
          </cell>
          <cell r="L6035">
            <v>0.24</v>
          </cell>
          <cell r="M6035">
            <v>0.18479999999999999</v>
          </cell>
          <cell r="N6035">
            <v>0</v>
          </cell>
          <cell r="O6035">
            <v>2.64E-2</v>
          </cell>
          <cell r="P6035">
            <v>0</v>
          </cell>
          <cell r="Q6035">
            <v>0.12</v>
          </cell>
          <cell r="R6035">
            <v>0</v>
          </cell>
          <cell r="S6035">
            <v>0</v>
          </cell>
          <cell r="T6035">
            <v>240</v>
          </cell>
          <cell r="U6035">
            <v>0</v>
          </cell>
          <cell r="V6035">
            <v>0</v>
          </cell>
          <cell r="W6035">
            <v>240</v>
          </cell>
          <cell r="X6035">
            <v>2.1600000000000001E-2</v>
          </cell>
          <cell r="Y6035">
            <v>0</v>
          </cell>
          <cell r="Z6035">
            <v>0</v>
          </cell>
          <cell r="AA6035">
            <v>0</v>
          </cell>
          <cell r="AB6035">
            <v>0</v>
          </cell>
        </row>
        <row r="6036">
          <cell r="A6036">
            <v>92550400</v>
          </cell>
          <cell r="B6036" t="str">
            <v>Vegetable and fruit juice drink, with high vitamin C, diet</v>
          </cell>
          <cell r="I6036">
            <v>240</v>
          </cell>
          <cell r="J6036">
            <v>9.6</v>
          </cell>
          <cell r="K6036">
            <v>0.04</v>
          </cell>
          <cell r="L6036">
            <v>0</v>
          </cell>
          <cell r="M6036">
            <v>0</v>
          </cell>
          <cell r="N6036">
            <v>0</v>
          </cell>
          <cell r="O6036">
            <v>1.9199999999999998E-2</v>
          </cell>
          <cell r="P6036">
            <v>0</v>
          </cell>
          <cell r="Q6036">
            <v>0</v>
          </cell>
          <cell r="R6036">
            <v>0</v>
          </cell>
          <cell r="S6036">
            <v>0</v>
          </cell>
          <cell r="T6036">
            <v>24</v>
          </cell>
          <cell r="U6036">
            <v>0</v>
          </cell>
          <cell r="V6036">
            <v>0</v>
          </cell>
          <cell r="W6036">
            <v>0</v>
          </cell>
          <cell r="X6036">
            <v>3.3599999999999998E-2</v>
          </cell>
          <cell r="Y6036">
            <v>0</v>
          </cell>
          <cell r="Z6036">
            <v>0</v>
          </cell>
          <cell r="AA6036">
            <v>0</v>
          </cell>
          <cell r="AB6036">
            <v>0</v>
          </cell>
        </row>
        <row r="6037">
          <cell r="A6037">
            <v>92550405</v>
          </cell>
          <cell r="B6037" t="str">
            <v>Vegetable and fruit juice drink, with high vitamin C, light</v>
          </cell>
          <cell r="I6037">
            <v>240</v>
          </cell>
          <cell r="J6037">
            <v>9.6</v>
          </cell>
          <cell r="K6037">
            <v>0.04</v>
          </cell>
          <cell r="L6037">
            <v>0</v>
          </cell>
          <cell r="M6037">
            <v>0</v>
          </cell>
          <cell r="N6037">
            <v>0</v>
          </cell>
          <cell r="O6037">
            <v>1.9199999999999998E-2</v>
          </cell>
          <cell r="P6037">
            <v>0</v>
          </cell>
          <cell r="Q6037">
            <v>0</v>
          </cell>
          <cell r="R6037">
            <v>0</v>
          </cell>
          <cell r="S6037">
            <v>0</v>
          </cell>
          <cell r="T6037">
            <v>24</v>
          </cell>
          <cell r="U6037">
            <v>0</v>
          </cell>
          <cell r="V6037">
            <v>0</v>
          </cell>
          <cell r="W6037">
            <v>240</v>
          </cell>
          <cell r="X6037">
            <v>3.3599999999999998E-2</v>
          </cell>
          <cell r="Y6037">
            <v>0</v>
          </cell>
          <cell r="Z6037">
            <v>0</v>
          </cell>
          <cell r="AA6037">
            <v>0</v>
          </cell>
          <cell r="AB6037">
            <v>0</v>
          </cell>
        </row>
        <row r="6038">
          <cell r="A6038">
            <v>92550610</v>
          </cell>
          <cell r="B6038" t="str">
            <v>Fruit flavored drink, with high vitamin C, diet</v>
          </cell>
          <cell r="I6038">
            <v>240</v>
          </cell>
          <cell r="J6038">
            <v>5.2320000000000002</v>
          </cell>
          <cell r="K6038">
            <v>2.18E-2</v>
          </cell>
          <cell r="L6038">
            <v>0</v>
          </cell>
          <cell r="M6038">
            <v>0</v>
          </cell>
          <cell r="N6038">
            <v>0</v>
          </cell>
          <cell r="O6038">
            <v>3.2256E-2</v>
          </cell>
          <cell r="P6038">
            <v>2.3999999999999998E-3</v>
          </cell>
          <cell r="Q6038">
            <v>0</v>
          </cell>
          <cell r="R6038">
            <v>0</v>
          </cell>
          <cell r="S6038">
            <v>0</v>
          </cell>
          <cell r="T6038">
            <v>0</v>
          </cell>
          <cell r="U6038">
            <v>0</v>
          </cell>
          <cell r="V6038">
            <v>0</v>
          </cell>
          <cell r="W6038">
            <v>0</v>
          </cell>
          <cell r="X6038">
            <v>1.9199999999999998E-2</v>
          </cell>
          <cell r="Y6038">
            <v>0</v>
          </cell>
          <cell r="Z6038">
            <v>0</v>
          </cell>
          <cell r="AA6038">
            <v>0</v>
          </cell>
          <cell r="AB6038">
            <v>0</v>
          </cell>
        </row>
        <row r="6039">
          <cell r="A6039">
            <v>92550620</v>
          </cell>
          <cell r="B6039" t="str">
            <v>Fruit flavored drink, diet</v>
          </cell>
          <cell r="I6039">
            <v>240</v>
          </cell>
          <cell r="J6039">
            <v>8.6910299000000002</v>
          </cell>
          <cell r="K6039">
            <v>3.6212624583333332E-2</v>
          </cell>
          <cell r="L6039">
            <v>-5.2000000000000003E-19</v>
          </cell>
          <cell r="M6039">
            <v>0</v>
          </cell>
          <cell r="N6039">
            <v>0</v>
          </cell>
          <cell r="O6039">
            <v>4.8821299999999998E-2</v>
          </cell>
          <cell r="P6039">
            <v>3.9867000000000001E-3</v>
          </cell>
          <cell r="Q6039">
            <v>0</v>
          </cell>
          <cell r="R6039">
            <v>0</v>
          </cell>
          <cell r="S6039">
            <v>0</v>
          </cell>
          <cell r="T6039">
            <v>0</v>
          </cell>
          <cell r="U6039">
            <v>0</v>
          </cell>
          <cell r="V6039">
            <v>0</v>
          </cell>
          <cell r="W6039">
            <v>0</v>
          </cell>
          <cell r="X6039">
            <v>2.5546800000000001E-2</v>
          </cell>
          <cell r="Y6039">
            <v>0</v>
          </cell>
          <cell r="Z6039">
            <v>0</v>
          </cell>
          <cell r="AA6039">
            <v>0</v>
          </cell>
          <cell r="AB6039">
            <v>0</v>
          </cell>
        </row>
        <row r="6040">
          <cell r="A6040">
            <v>92552000</v>
          </cell>
          <cell r="B6040" t="str">
            <v>Fruit flavored drink, with high vitamin C, powdered, reconstituted, diet</v>
          </cell>
          <cell r="I6040">
            <v>240</v>
          </cell>
          <cell r="J6040">
            <v>5.2320000000000002</v>
          </cell>
          <cell r="K6040">
            <v>2.18E-2</v>
          </cell>
          <cell r="L6040">
            <v>0</v>
          </cell>
          <cell r="M6040">
            <v>0</v>
          </cell>
          <cell r="N6040">
            <v>0</v>
          </cell>
          <cell r="O6040">
            <v>3.2256E-2</v>
          </cell>
          <cell r="P6040">
            <v>2.3999999999999998E-3</v>
          </cell>
          <cell r="Q6040">
            <v>0</v>
          </cell>
          <cell r="R6040">
            <v>0</v>
          </cell>
          <cell r="S6040">
            <v>0</v>
          </cell>
          <cell r="T6040">
            <v>0</v>
          </cell>
          <cell r="U6040">
            <v>0</v>
          </cell>
          <cell r="V6040">
            <v>0</v>
          </cell>
          <cell r="W6040">
            <v>0</v>
          </cell>
          <cell r="X6040">
            <v>1.9199999999999998E-2</v>
          </cell>
          <cell r="Y6040">
            <v>0</v>
          </cell>
          <cell r="Z6040">
            <v>0</v>
          </cell>
          <cell r="AA6040">
            <v>0</v>
          </cell>
          <cell r="AB6040">
            <v>0</v>
          </cell>
        </row>
        <row r="6041">
          <cell r="A6041">
            <v>92552010</v>
          </cell>
          <cell r="B6041" t="str">
            <v>Fruit flavored drink, powdered, reconstituted, diet</v>
          </cell>
          <cell r="I6041">
            <v>240</v>
          </cell>
          <cell r="J6041">
            <v>4.3782427000000004</v>
          </cell>
          <cell r="K6041">
            <v>1.8242677916666668E-2</v>
          </cell>
          <cell r="L6041">
            <v>2.6020000000000002E-19</v>
          </cell>
          <cell r="M6041">
            <v>0</v>
          </cell>
          <cell r="N6041">
            <v>0</v>
          </cell>
          <cell r="O6041">
            <v>2.8167399999999999E-2</v>
          </cell>
          <cell r="P6041">
            <v>2.0084E-3</v>
          </cell>
          <cell r="Q6041">
            <v>0</v>
          </cell>
          <cell r="R6041">
            <v>0</v>
          </cell>
          <cell r="S6041">
            <v>0</v>
          </cell>
          <cell r="T6041">
            <v>0</v>
          </cell>
          <cell r="U6041">
            <v>0</v>
          </cell>
          <cell r="V6041">
            <v>0</v>
          </cell>
          <cell r="W6041">
            <v>0</v>
          </cell>
          <cell r="X6041">
            <v>1.76335E-2</v>
          </cell>
          <cell r="Y6041">
            <v>0</v>
          </cell>
          <cell r="Z6041">
            <v>0</v>
          </cell>
          <cell r="AA6041">
            <v>0</v>
          </cell>
          <cell r="AB6041">
            <v>0</v>
          </cell>
        </row>
        <row r="6042">
          <cell r="A6042">
            <v>92552020</v>
          </cell>
          <cell r="B6042" t="str">
            <v>Fruit juice drink, reduced sugar (Sunny D)</v>
          </cell>
          <cell r="I6042">
            <v>240</v>
          </cell>
          <cell r="J6042">
            <v>5.6916004999999998</v>
          </cell>
          <cell r="K6042">
            <v>2.3715002083333332E-2</v>
          </cell>
          <cell r="L6042">
            <v>0</v>
          </cell>
          <cell r="M6042">
            <v>2.5070000000000002E-4</v>
          </cell>
          <cell r="N6042">
            <v>0</v>
          </cell>
          <cell r="O6042">
            <v>2.7183300000000001E-2</v>
          </cell>
          <cell r="P6042">
            <v>5.5160899999999999E-2</v>
          </cell>
          <cell r="Q6042">
            <v>8.5249999999999996E-4</v>
          </cell>
          <cell r="R6042">
            <v>0</v>
          </cell>
          <cell r="S6042">
            <v>0</v>
          </cell>
          <cell r="T6042">
            <v>0</v>
          </cell>
          <cell r="U6042">
            <v>0</v>
          </cell>
          <cell r="V6042">
            <v>0</v>
          </cell>
          <cell r="W6042">
            <v>240</v>
          </cell>
          <cell r="X6042">
            <v>9.8507000000000004E-3</v>
          </cell>
          <cell r="Y6042">
            <v>0</v>
          </cell>
          <cell r="Z6042">
            <v>0</v>
          </cell>
          <cell r="AA6042">
            <v>0</v>
          </cell>
          <cell r="AB6042">
            <v>0</v>
          </cell>
        </row>
        <row r="6043">
          <cell r="A6043">
            <v>92552030</v>
          </cell>
          <cell r="B6043" t="str">
            <v>Fruit juice drink (Capri Sun)</v>
          </cell>
          <cell r="I6043">
            <v>240</v>
          </cell>
          <cell r="J6043">
            <v>93.6</v>
          </cell>
          <cell r="K6043">
            <v>0.38999999999999996</v>
          </cell>
          <cell r="L6043">
            <v>0</v>
          </cell>
          <cell r="M6043">
            <v>1.9199999999999998E-2</v>
          </cell>
          <cell r="N6043">
            <v>0</v>
          </cell>
          <cell r="O6043">
            <v>1.2E-2</v>
          </cell>
          <cell r="P6043">
            <v>0</v>
          </cell>
          <cell r="Q6043">
            <v>3.3599999999999998E-2</v>
          </cell>
          <cell r="R6043">
            <v>0</v>
          </cell>
          <cell r="S6043">
            <v>0</v>
          </cell>
          <cell r="T6043">
            <v>36</v>
          </cell>
          <cell r="U6043">
            <v>0</v>
          </cell>
          <cell r="V6043">
            <v>0</v>
          </cell>
          <cell r="W6043">
            <v>240</v>
          </cell>
          <cell r="X6043">
            <v>4.7999999999999996E-3</v>
          </cell>
          <cell r="Y6043">
            <v>0</v>
          </cell>
          <cell r="Z6043">
            <v>0</v>
          </cell>
          <cell r="AA6043">
            <v>0</v>
          </cell>
          <cell r="AB6043">
            <v>0</v>
          </cell>
        </row>
        <row r="6044">
          <cell r="A6044">
            <v>92582100</v>
          </cell>
          <cell r="B6044" t="str">
            <v>Fruit juice drink, with high vitamin C, plus added calcium</v>
          </cell>
          <cell r="I6044">
            <v>240</v>
          </cell>
          <cell r="J6044">
            <v>108</v>
          </cell>
          <cell r="K6044">
            <v>0.45</v>
          </cell>
          <cell r="L6044">
            <v>0</v>
          </cell>
          <cell r="M6044">
            <v>0</v>
          </cell>
          <cell r="N6044">
            <v>0</v>
          </cell>
          <cell r="O6044">
            <v>0</v>
          </cell>
          <cell r="P6044">
            <v>0</v>
          </cell>
          <cell r="Q6044">
            <v>0</v>
          </cell>
          <cell r="R6044">
            <v>0</v>
          </cell>
          <cell r="S6044">
            <v>0</v>
          </cell>
          <cell r="T6044">
            <v>24</v>
          </cell>
          <cell r="U6044">
            <v>0</v>
          </cell>
          <cell r="V6044">
            <v>0</v>
          </cell>
          <cell r="W6044">
            <v>240</v>
          </cell>
          <cell r="X6044">
            <v>1.9199999999999998E-2</v>
          </cell>
          <cell r="Y6044">
            <v>0</v>
          </cell>
          <cell r="Z6044">
            <v>0</v>
          </cell>
          <cell r="AA6044">
            <v>0</v>
          </cell>
          <cell r="AB6044">
            <v>0</v>
          </cell>
        </row>
        <row r="6045">
          <cell r="A6045">
            <v>92582110</v>
          </cell>
          <cell r="B6045" t="str">
            <v>Fruit juice drink, added calcium (Sunny D)</v>
          </cell>
          <cell r="I6045">
            <v>240</v>
          </cell>
          <cell r="J6045">
            <v>127.2</v>
          </cell>
          <cell r="K6045">
            <v>0.53</v>
          </cell>
          <cell r="L6045">
            <v>0.24</v>
          </cell>
          <cell r="M6045">
            <v>0</v>
          </cell>
          <cell r="N6045">
            <v>0</v>
          </cell>
          <cell r="O6045">
            <v>0.24</v>
          </cell>
          <cell r="P6045">
            <v>0</v>
          </cell>
          <cell r="Q6045">
            <v>0</v>
          </cell>
          <cell r="R6045">
            <v>0</v>
          </cell>
          <cell r="S6045">
            <v>0</v>
          </cell>
          <cell r="T6045">
            <v>36</v>
          </cell>
          <cell r="U6045">
            <v>0</v>
          </cell>
          <cell r="V6045">
            <v>0</v>
          </cell>
          <cell r="W6045">
            <v>240</v>
          </cell>
          <cell r="X6045">
            <v>0.12959999999999999</v>
          </cell>
          <cell r="Y6045">
            <v>0</v>
          </cell>
          <cell r="Z6045">
            <v>0</v>
          </cell>
          <cell r="AA6045">
            <v>0</v>
          </cell>
          <cell r="AB6045">
            <v>0</v>
          </cell>
        </row>
        <row r="6046">
          <cell r="A6046">
            <v>92610020</v>
          </cell>
          <cell r="B6046" t="str">
            <v>Horchata beverage, made with water</v>
          </cell>
          <cell r="I6046">
            <v>240</v>
          </cell>
          <cell r="J6046">
            <v>209.19072</v>
          </cell>
          <cell r="K6046">
            <v>0.87162799999999996</v>
          </cell>
          <cell r="L6046">
            <v>0</v>
          </cell>
          <cell r="M6046">
            <v>6.9615099999999999E-2</v>
          </cell>
          <cell r="N6046">
            <v>0</v>
          </cell>
          <cell r="O6046">
            <v>3.0830900000000001E-2</v>
          </cell>
          <cell r="P6046">
            <v>1.2663055999999999</v>
          </cell>
          <cell r="Q6046">
            <v>6.4362500000000003E-2</v>
          </cell>
          <cell r="R6046">
            <v>0</v>
          </cell>
          <cell r="S6046">
            <v>0</v>
          </cell>
          <cell r="T6046">
            <v>0</v>
          </cell>
          <cell r="U6046">
            <v>0</v>
          </cell>
          <cell r="V6046">
            <v>0</v>
          </cell>
          <cell r="W6046">
            <v>240</v>
          </cell>
          <cell r="X6046">
            <v>9.4681000000000001E-3</v>
          </cell>
          <cell r="Y6046">
            <v>0</v>
          </cell>
          <cell r="Z6046">
            <v>0</v>
          </cell>
          <cell r="AA6046">
            <v>0</v>
          </cell>
          <cell r="AB6046">
            <v>8.0869999999999998E-4</v>
          </cell>
        </row>
        <row r="6047">
          <cell r="A6047">
            <v>92610030</v>
          </cell>
          <cell r="B6047" t="str">
            <v>Horchata beverage, made with milk</v>
          </cell>
          <cell r="I6047">
            <v>240</v>
          </cell>
          <cell r="J6047">
            <v>214.90219999999999</v>
          </cell>
          <cell r="K6047">
            <v>0.89542583333333325</v>
          </cell>
          <cell r="L6047">
            <v>0</v>
          </cell>
          <cell r="M6047">
            <v>0.77629360000000003</v>
          </cell>
          <cell r="N6047">
            <v>0</v>
          </cell>
          <cell r="O6047">
            <v>6.8839399999999995E-2</v>
          </cell>
          <cell r="P6047">
            <v>1.0349717</v>
          </cell>
          <cell r="Q6047">
            <v>0.12782279999999999</v>
          </cell>
          <cell r="R6047">
            <v>0</v>
          </cell>
          <cell r="S6047">
            <v>0</v>
          </cell>
          <cell r="T6047">
            <v>0</v>
          </cell>
          <cell r="U6047">
            <v>0</v>
          </cell>
          <cell r="V6047">
            <v>0</v>
          </cell>
          <cell r="W6047">
            <v>240</v>
          </cell>
          <cell r="X6047">
            <v>2.4377699999999999E-2</v>
          </cell>
          <cell r="Y6047">
            <v>0</v>
          </cell>
          <cell r="Z6047">
            <v>0</v>
          </cell>
          <cell r="AA6047">
            <v>0</v>
          </cell>
          <cell r="AB6047">
            <v>6.7250299999999999E-2</v>
          </cell>
        </row>
        <row r="6048">
          <cell r="A6048">
            <v>92611010</v>
          </cell>
          <cell r="B6048" t="str">
            <v>Oatmeal beverage with water</v>
          </cell>
          <cell r="I6048">
            <v>240</v>
          </cell>
          <cell r="J6048">
            <v>104.18853</v>
          </cell>
          <cell r="K6048">
            <v>0.43411887500000002</v>
          </cell>
          <cell r="L6048">
            <v>0.4594992</v>
          </cell>
          <cell r="M6048">
            <v>5.04994E-2</v>
          </cell>
          <cell r="N6048">
            <v>0</v>
          </cell>
          <cell r="O6048">
            <v>8.9799000000000007E-3</v>
          </cell>
          <cell r="P6048">
            <v>0</v>
          </cell>
          <cell r="Q6048">
            <v>0.10463840000000001</v>
          </cell>
          <cell r="R6048">
            <v>4.5494968</v>
          </cell>
          <cell r="S6048">
            <v>0</v>
          </cell>
          <cell r="T6048">
            <v>0</v>
          </cell>
          <cell r="U6048">
            <v>0</v>
          </cell>
          <cell r="V6048">
            <v>0</v>
          </cell>
          <cell r="W6048">
            <v>240</v>
          </cell>
          <cell r="X6048">
            <v>9.0170000000000007E-3</v>
          </cell>
          <cell r="Y6048">
            <v>0</v>
          </cell>
          <cell r="Z6048">
            <v>0</v>
          </cell>
          <cell r="AA6048">
            <v>0</v>
          </cell>
          <cell r="AB6048">
            <v>8.2871999999999998E-3</v>
          </cell>
        </row>
        <row r="6049">
          <cell r="A6049">
            <v>92611100</v>
          </cell>
          <cell r="B6049" t="str">
            <v>Oatmeal beverage with milk</v>
          </cell>
          <cell r="I6049">
            <v>240</v>
          </cell>
          <cell r="J6049">
            <v>195.87977000000001</v>
          </cell>
          <cell r="K6049">
            <v>0.81616570833333335</v>
          </cell>
          <cell r="L6049">
            <v>0.5831423</v>
          </cell>
          <cell r="M6049">
            <v>2.0102905</v>
          </cell>
          <cell r="N6049">
            <v>0</v>
          </cell>
          <cell r="O6049">
            <v>0.12424830000000001</v>
          </cell>
          <cell r="P6049">
            <v>0</v>
          </cell>
          <cell r="Q6049">
            <v>0.3362851</v>
          </cell>
          <cell r="R6049">
            <v>5.7736858</v>
          </cell>
          <cell r="S6049">
            <v>0</v>
          </cell>
          <cell r="T6049">
            <v>0</v>
          </cell>
          <cell r="U6049">
            <v>0</v>
          </cell>
          <cell r="V6049">
            <v>0</v>
          </cell>
          <cell r="W6049">
            <v>240</v>
          </cell>
          <cell r="X6049">
            <v>4.9558199999999997E-2</v>
          </cell>
          <cell r="Y6049">
            <v>0</v>
          </cell>
          <cell r="Z6049">
            <v>0</v>
          </cell>
          <cell r="AA6049">
            <v>0</v>
          </cell>
          <cell r="AB6049">
            <v>0.18866250000000001</v>
          </cell>
        </row>
        <row r="6050">
          <cell r="A6050">
            <v>92611600</v>
          </cell>
          <cell r="B6050" t="str">
            <v>Horchata beverage, NFS</v>
          </cell>
          <cell r="I6050">
            <v>240</v>
          </cell>
          <cell r="J6050">
            <v>198.10531</v>
          </cell>
          <cell r="K6050">
            <v>0.82543879166666667</v>
          </cell>
          <cell r="L6050">
            <v>0</v>
          </cell>
          <cell r="M6050">
            <v>0.60726040000000003</v>
          </cell>
          <cell r="N6050">
            <v>0</v>
          </cell>
          <cell r="O6050">
            <v>2.3390899999999999E-2</v>
          </cell>
          <cell r="P6050">
            <v>1.1644494000000001</v>
          </cell>
          <cell r="Q6050">
            <v>0.6023115</v>
          </cell>
          <cell r="R6050">
            <v>0</v>
          </cell>
          <cell r="S6050">
            <v>0</v>
          </cell>
          <cell r="T6050">
            <v>0</v>
          </cell>
          <cell r="U6050">
            <v>0</v>
          </cell>
          <cell r="V6050">
            <v>0</v>
          </cell>
          <cell r="W6050">
            <v>240</v>
          </cell>
          <cell r="X6050">
            <v>8.7051999999999997E-3</v>
          </cell>
          <cell r="Y6050">
            <v>4.5391693999999996</v>
          </cell>
          <cell r="Z6050">
            <v>0</v>
          </cell>
          <cell r="AA6050">
            <v>0</v>
          </cell>
          <cell r="AB6050">
            <v>4.0594699999999997E-2</v>
          </cell>
        </row>
        <row r="6051">
          <cell r="A6051">
            <v>92613010</v>
          </cell>
          <cell r="B6051" t="str">
            <v>Cornmeal beverage</v>
          </cell>
          <cell r="I6051">
            <v>240</v>
          </cell>
          <cell r="J6051">
            <v>201.51953</v>
          </cell>
          <cell r="K6051">
            <v>0.8396647083333334</v>
          </cell>
          <cell r="L6051">
            <v>0</v>
          </cell>
          <cell r="M6051">
            <v>1.9701233</v>
          </cell>
          <cell r="N6051">
            <v>0</v>
          </cell>
          <cell r="O6051">
            <v>0.13117409999999999</v>
          </cell>
          <cell r="P6051">
            <v>0.51501180000000002</v>
          </cell>
          <cell r="Q6051">
            <v>0.34024660000000001</v>
          </cell>
          <cell r="R6051">
            <v>0</v>
          </cell>
          <cell r="S6051">
            <v>0</v>
          </cell>
          <cell r="T6051">
            <v>0</v>
          </cell>
          <cell r="U6051">
            <v>0</v>
          </cell>
          <cell r="V6051">
            <v>0</v>
          </cell>
          <cell r="W6051">
            <v>240</v>
          </cell>
          <cell r="X6051">
            <v>4.91365E-2</v>
          </cell>
          <cell r="Y6051">
            <v>0</v>
          </cell>
          <cell r="Z6051">
            <v>0</v>
          </cell>
          <cell r="AA6051">
            <v>0</v>
          </cell>
          <cell r="AB6051">
            <v>0.18483450000000001</v>
          </cell>
        </row>
        <row r="6052">
          <cell r="A6052">
            <v>92613510</v>
          </cell>
          <cell r="B6052" t="str">
            <v>Cornmeal beverage with chocolate milk</v>
          </cell>
          <cell r="I6052">
            <v>240</v>
          </cell>
          <cell r="J6052">
            <v>240.60908000000001</v>
          </cell>
          <cell r="K6052">
            <v>1.0025378333333335</v>
          </cell>
          <cell r="L6052">
            <v>0</v>
          </cell>
          <cell r="M6052">
            <v>2.8598507999999998</v>
          </cell>
          <cell r="N6052">
            <v>0</v>
          </cell>
          <cell r="O6052">
            <v>0.12881339999999999</v>
          </cell>
          <cell r="P6052">
            <v>0.94763030000000004</v>
          </cell>
          <cell r="Q6052">
            <v>0.45684439999999998</v>
          </cell>
          <cell r="R6052">
            <v>0</v>
          </cell>
          <cell r="S6052">
            <v>0</v>
          </cell>
          <cell r="T6052">
            <v>0</v>
          </cell>
          <cell r="U6052">
            <v>0</v>
          </cell>
          <cell r="V6052">
            <v>0</v>
          </cell>
          <cell r="W6052">
            <v>240</v>
          </cell>
          <cell r="X6052">
            <v>4.7139500000000001E-2</v>
          </cell>
          <cell r="Y6052">
            <v>0.71279999999999999</v>
          </cell>
          <cell r="Z6052">
            <v>0</v>
          </cell>
          <cell r="AA6052">
            <v>0</v>
          </cell>
          <cell r="AB6052">
            <v>0.31437110000000001</v>
          </cell>
        </row>
        <row r="6053">
          <cell r="A6053">
            <v>92801000</v>
          </cell>
          <cell r="B6053" t="str">
            <v>Wine, nonalcoholic</v>
          </cell>
          <cell r="I6053">
            <v>360</v>
          </cell>
          <cell r="J6053">
            <v>21.6</v>
          </cell>
          <cell r="K6053">
            <v>6.0000000000000005E-2</v>
          </cell>
          <cell r="L6053">
            <v>0</v>
          </cell>
          <cell r="M6053">
            <v>0</v>
          </cell>
          <cell r="N6053">
            <v>0</v>
          </cell>
          <cell r="O6053">
            <v>3.2399999999999998E-2</v>
          </cell>
          <cell r="P6053">
            <v>0</v>
          </cell>
          <cell r="Q6053">
            <v>0</v>
          </cell>
          <cell r="R6053">
            <v>0</v>
          </cell>
          <cell r="S6053">
            <v>0</v>
          </cell>
          <cell r="T6053">
            <v>0</v>
          </cell>
          <cell r="U6053">
            <v>0</v>
          </cell>
          <cell r="V6053">
            <v>0</v>
          </cell>
          <cell r="W6053">
            <v>360</v>
          </cell>
          <cell r="X6053">
            <v>2.52E-2</v>
          </cell>
          <cell r="Y6053">
            <v>0</v>
          </cell>
          <cell r="Z6053">
            <v>0</v>
          </cell>
          <cell r="AA6053">
            <v>0</v>
          </cell>
          <cell r="AB6053">
            <v>0</v>
          </cell>
        </row>
        <row r="6054">
          <cell r="A6054">
            <v>92803000</v>
          </cell>
          <cell r="B6054" t="str">
            <v>Nonalcoholic malt beverage</v>
          </cell>
          <cell r="I6054">
            <v>360</v>
          </cell>
          <cell r="J6054">
            <v>133.19999999999999</v>
          </cell>
          <cell r="K6054">
            <v>0.37</v>
          </cell>
          <cell r="L6054">
            <v>0</v>
          </cell>
          <cell r="M6054">
            <v>8.6400000000000005E-2</v>
          </cell>
          <cell r="N6054">
            <v>0</v>
          </cell>
          <cell r="O6054">
            <v>2.52E-2</v>
          </cell>
          <cell r="P6054">
            <v>0</v>
          </cell>
          <cell r="Q6054">
            <v>0.2016</v>
          </cell>
          <cell r="R6054">
            <v>0</v>
          </cell>
          <cell r="S6054">
            <v>0</v>
          </cell>
          <cell r="T6054">
            <v>0</v>
          </cell>
          <cell r="U6054">
            <v>0</v>
          </cell>
          <cell r="V6054">
            <v>0</v>
          </cell>
          <cell r="W6054">
            <v>360</v>
          </cell>
          <cell r="X6054">
            <v>4.6800000000000001E-2</v>
          </cell>
          <cell r="Y6054">
            <v>0</v>
          </cell>
          <cell r="Z6054">
            <v>0</v>
          </cell>
          <cell r="AA6054">
            <v>0</v>
          </cell>
          <cell r="AB6054">
            <v>0</v>
          </cell>
        </row>
        <row r="6055">
          <cell r="A6055">
            <v>92900110</v>
          </cell>
          <cell r="B6055" t="str">
            <v>Fruit flavored drink, powdered, not reconstituted</v>
          </cell>
          <cell r="I6055">
            <v>25</v>
          </cell>
          <cell r="J6055">
            <v>95</v>
          </cell>
          <cell r="K6055">
            <v>3.8</v>
          </cell>
          <cell r="L6055">
            <v>0</v>
          </cell>
          <cell r="M6055">
            <v>4.5749999999999999E-2</v>
          </cell>
          <cell r="N6055">
            <v>0</v>
          </cell>
          <cell r="O6055">
            <v>2.7499999999999998E-3</v>
          </cell>
          <cell r="P6055">
            <v>0</v>
          </cell>
          <cell r="Q6055">
            <v>0.13275000000000001</v>
          </cell>
          <cell r="R6055">
            <v>0</v>
          </cell>
          <cell r="S6055">
            <v>0</v>
          </cell>
          <cell r="T6055">
            <v>0</v>
          </cell>
          <cell r="U6055">
            <v>0</v>
          </cell>
          <cell r="V6055">
            <v>0</v>
          </cell>
          <cell r="W6055">
            <v>0</v>
          </cell>
          <cell r="X6055">
            <v>3.2500000000000001E-2</v>
          </cell>
          <cell r="Y6055">
            <v>0</v>
          </cell>
          <cell r="Z6055">
            <v>0</v>
          </cell>
          <cell r="AA6055">
            <v>0</v>
          </cell>
          <cell r="AB6055">
            <v>0</v>
          </cell>
        </row>
        <row r="6056">
          <cell r="A6056">
            <v>92900200</v>
          </cell>
          <cell r="B6056" t="str">
            <v>Fruit flavored drink, powdered, not reconstituted, diet</v>
          </cell>
          <cell r="I6056">
            <v>16</v>
          </cell>
          <cell r="J6056">
            <v>34.880000000000003</v>
          </cell>
          <cell r="K6056">
            <v>2.1800000000000002</v>
          </cell>
          <cell r="L6056">
            <v>0</v>
          </cell>
          <cell r="M6056">
            <v>0</v>
          </cell>
          <cell r="N6056">
            <v>0</v>
          </cell>
          <cell r="O6056">
            <v>0.16752</v>
          </cell>
          <cell r="P6056">
            <v>1.6E-2</v>
          </cell>
          <cell r="Q6056">
            <v>0</v>
          </cell>
          <cell r="R6056">
            <v>0</v>
          </cell>
          <cell r="S6056">
            <v>0</v>
          </cell>
          <cell r="T6056">
            <v>0</v>
          </cell>
          <cell r="U6056">
            <v>0</v>
          </cell>
          <cell r="V6056">
            <v>0</v>
          </cell>
          <cell r="W6056">
            <v>0</v>
          </cell>
          <cell r="X6056">
            <v>6.4640000000000003E-2</v>
          </cell>
          <cell r="Y6056">
            <v>0</v>
          </cell>
          <cell r="Z6056">
            <v>0</v>
          </cell>
          <cell r="AA6056">
            <v>0</v>
          </cell>
          <cell r="AB6056">
            <v>0</v>
          </cell>
        </row>
        <row r="6057">
          <cell r="A6057">
            <v>93101000</v>
          </cell>
          <cell r="B6057" t="str">
            <v>Beer</v>
          </cell>
          <cell r="I6057">
            <v>360</v>
          </cell>
          <cell r="J6057">
            <v>154.80000000000001</v>
          </cell>
          <cell r="K6057">
            <v>0.43000000000000005</v>
          </cell>
          <cell r="L6057">
            <v>0</v>
          </cell>
          <cell r="M6057">
            <v>0</v>
          </cell>
          <cell r="N6057">
            <v>0</v>
          </cell>
          <cell r="O6057">
            <v>1.44E-2</v>
          </cell>
          <cell r="P6057">
            <v>0</v>
          </cell>
          <cell r="Q6057">
            <v>0</v>
          </cell>
          <cell r="R6057">
            <v>0</v>
          </cell>
          <cell r="S6057">
            <v>0</v>
          </cell>
          <cell r="T6057">
            <v>0</v>
          </cell>
          <cell r="U6057">
            <v>0</v>
          </cell>
          <cell r="V6057">
            <v>0</v>
          </cell>
          <cell r="W6057">
            <v>0</v>
          </cell>
          <cell r="X6057">
            <v>1.44E-2</v>
          </cell>
          <cell r="Y6057">
            <v>0</v>
          </cell>
          <cell r="Z6057">
            <v>0</v>
          </cell>
          <cell r="AA6057">
            <v>0</v>
          </cell>
          <cell r="AB6057">
            <v>0</v>
          </cell>
        </row>
        <row r="6058">
          <cell r="A6058">
            <v>93102000</v>
          </cell>
          <cell r="B6058" t="str">
            <v>Beer, light</v>
          </cell>
          <cell r="I6058">
            <v>360</v>
          </cell>
          <cell r="J6058">
            <v>104.4</v>
          </cell>
          <cell r="K6058">
            <v>0.29000000000000004</v>
          </cell>
          <cell r="L6058">
            <v>0</v>
          </cell>
          <cell r="M6058">
            <v>0</v>
          </cell>
          <cell r="N6058">
            <v>0</v>
          </cell>
          <cell r="O6058">
            <v>1.44E-2</v>
          </cell>
          <cell r="P6058">
            <v>0</v>
          </cell>
          <cell r="Q6058">
            <v>0</v>
          </cell>
          <cell r="R6058">
            <v>0</v>
          </cell>
          <cell r="S6058">
            <v>0</v>
          </cell>
          <cell r="T6058">
            <v>0</v>
          </cell>
          <cell r="U6058">
            <v>0</v>
          </cell>
          <cell r="V6058">
            <v>0</v>
          </cell>
          <cell r="W6058">
            <v>0</v>
          </cell>
          <cell r="X6058">
            <v>1.44E-2</v>
          </cell>
          <cell r="Y6058">
            <v>0</v>
          </cell>
          <cell r="Z6058">
            <v>0</v>
          </cell>
          <cell r="AA6058">
            <v>0</v>
          </cell>
          <cell r="AB6058">
            <v>0</v>
          </cell>
        </row>
        <row r="6059">
          <cell r="A6059">
            <v>93102100</v>
          </cell>
          <cell r="B6059" t="str">
            <v>Beer, low carb</v>
          </cell>
          <cell r="I6059">
            <v>360</v>
          </cell>
          <cell r="J6059">
            <v>97.2</v>
          </cell>
          <cell r="K6059">
            <v>0.27</v>
          </cell>
          <cell r="L6059">
            <v>0</v>
          </cell>
          <cell r="M6059">
            <v>0</v>
          </cell>
          <cell r="N6059">
            <v>0</v>
          </cell>
          <cell r="O6059">
            <v>1.44E-2</v>
          </cell>
          <cell r="P6059">
            <v>0</v>
          </cell>
          <cell r="Q6059">
            <v>0</v>
          </cell>
          <cell r="R6059">
            <v>0</v>
          </cell>
          <cell r="S6059">
            <v>0</v>
          </cell>
          <cell r="T6059">
            <v>0</v>
          </cell>
          <cell r="U6059">
            <v>0</v>
          </cell>
          <cell r="V6059">
            <v>0</v>
          </cell>
          <cell r="W6059">
            <v>0</v>
          </cell>
          <cell r="X6059">
            <v>1.0800000000000001E-2</v>
          </cell>
          <cell r="Y6059">
            <v>0</v>
          </cell>
          <cell r="Z6059">
            <v>0</v>
          </cell>
          <cell r="AA6059">
            <v>0</v>
          </cell>
          <cell r="AB6059">
            <v>0</v>
          </cell>
        </row>
        <row r="6060">
          <cell r="A6060">
            <v>93102200</v>
          </cell>
          <cell r="B6060" t="str">
            <v>Beer, light, higher alcohol</v>
          </cell>
          <cell r="I6060">
            <v>360</v>
          </cell>
          <cell r="J6060">
            <v>165.6</v>
          </cell>
          <cell r="K6060">
            <v>0.45999999999999996</v>
          </cell>
          <cell r="L6060">
            <v>0</v>
          </cell>
          <cell r="M6060">
            <v>0</v>
          </cell>
          <cell r="N6060">
            <v>0</v>
          </cell>
          <cell r="O6060">
            <v>1.44E-2</v>
          </cell>
          <cell r="P6060">
            <v>0</v>
          </cell>
          <cell r="Q6060">
            <v>0</v>
          </cell>
          <cell r="R6060">
            <v>0</v>
          </cell>
          <cell r="S6060">
            <v>0</v>
          </cell>
          <cell r="T6060">
            <v>0</v>
          </cell>
          <cell r="U6060">
            <v>0</v>
          </cell>
          <cell r="V6060">
            <v>0</v>
          </cell>
          <cell r="W6060">
            <v>0</v>
          </cell>
          <cell r="X6060">
            <v>1.44E-2</v>
          </cell>
          <cell r="Y6060">
            <v>0</v>
          </cell>
          <cell r="Z6060">
            <v>0</v>
          </cell>
          <cell r="AA6060">
            <v>0</v>
          </cell>
          <cell r="AB6060">
            <v>0</v>
          </cell>
        </row>
        <row r="6061">
          <cell r="A6061">
            <v>93102300</v>
          </cell>
          <cell r="B6061" t="str">
            <v>Beer, higher alcohol</v>
          </cell>
          <cell r="I6061">
            <v>360</v>
          </cell>
          <cell r="J6061">
            <v>208.8</v>
          </cell>
          <cell r="K6061">
            <v>0.58000000000000007</v>
          </cell>
          <cell r="L6061">
            <v>0</v>
          </cell>
          <cell r="M6061">
            <v>0</v>
          </cell>
          <cell r="N6061">
            <v>0</v>
          </cell>
          <cell r="O6061">
            <v>2.8799999999999999E-2</v>
          </cell>
          <cell r="P6061">
            <v>0</v>
          </cell>
          <cell r="Q6061">
            <v>0</v>
          </cell>
          <cell r="R6061">
            <v>0</v>
          </cell>
          <cell r="S6061">
            <v>0</v>
          </cell>
          <cell r="T6061">
            <v>0</v>
          </cell>
          <cell r="U6061">
            <v>0</v>
          </cell>
          <cell r="V6061">
            <v>0</v>
          </cell>
          <cell r="W6061">
            <v>0</v>
          </cell>
          <cell r="X6061">
            <v>1.44E-2</v>
          </cell>
          <cell r="Y6061">
            <v>0</v>
          </cell>
          <cell r="Z6061">
            <v>0</v>
          </cell>
          <cell r="AA6061">
            <v>0</v>
          </cell>
          <cell r="AB6061">
            <v>0</v>
          </cell>
        </row>
        <row r="6062">
          <cell r="A6062">
            <v>93106000</v>
          </cell>
          <cell r="B6062" t="str">
            <v>Alcoholic malt beverage, sweetened</v>
          </cell>
          <cell r="I6062">
            <v>360</v>
          </cell>
          <cell r="J6062">
            <v>244.8</v>
          </cell>
          <cell r="K6062">
            <v>0.68</v>
          </cell>
          <cell r="L6062">
            <v>0</v>
          </cell>
          <cell r="M6062">
            <v>0</v>
          </cell>
          <cell r="N6062">
            <v>0</v>
          </cell>
          <cell r="O6062">
            <v>1.44E-2</v>
          </cell>
          <cell r="P6062">
            <v>0</v>
          </cell>
          <cell r="Q6062">
            <v>0</v>
          </cell>
          <cell r="R6062">
            <v>0</v>
          </cell>
          <cell r="S6062">
            <v>0</v>
          </cell>
          <cell r="T6062">
            <v>0</v>
          </cell>
          <cell r="U6062">
            <v>0</v>
          </cell>
          <cell r="V6062">
            <v>0</v>
          </cell>
          <cell r="W6062">
            <v>0</v>
          </cell>
          <cell r="X6062">
            <v>1.7999999999999999E-2</v>
          </cell>
          <cell r="Y6062">
            <v>0</v>
          </cell>
          <cell r="Z6062">
            <v>0</v>
          </cell>
          <cell r="AA6062">
            <v>0</v>
          </cell>
          <cell r="AB6062">
            <v>0</v>
          </cell>
        </row>
        <row r="6063">
          <cell r="A6063">
            <v>93106100</v>
          </cell>
          <cell r="B6063" t="str">
            <v>Alcoholic malt beverage</v>
          </cell>
          <cell r="I6063">
            <v>360</v>
          </cell>
          <cell r="J6063">
            <v>208.8</v>
          </cell>
          <cell r="K6063">
            <v>0.58000000000000007</v>
          </cell>
          <cell r="L6063">
            <v>0</v>
          </cell>
          <cell r="M6063">
            <v>0</v>
          </cell>
          <cell r="N6063">
            <v>0</v>
          </cell>
          <cell r="O6063">
            <v>2.8799999999999999E-2</v>
          </cell>
          <cell r="P6063">
            <v>0</v>
          </cell>
          <cell r="Q6063">
            <v>0</v>
          </cell>
          <cell r="R6063">
            <v>0</v>
          </cell>
          <cell r="S6063">
            <v>0</v>
          </cell>
          <cell r="T6063">
            <v>0</v>
          </cell>
          <cell r="U6063">
            <v>0</v>
          </cell>
          <cell r="V6063">
            <v>0</v>
          </cell>
          <cell r="W6063">
            <v>0</v>
          </cell>
          <cell r="X6063">
            <v>1.44E-2</v>
          </cell>
          <cell r="Y6063">
            <v>0</v>
          </cell>
          <cell r="Z6063">
            <v>0</v>
          </cell>
          <cell r="AA6063">
            <v>0</v>
          </cell>
          <cell r="AB6063">
            <v>0</v>
          </cell>
        </row>
        <row r="6064">
          <cell r="A6064">
            <v>93106500</v>
          </cell>
          <cell r="B6064" t="str">
            <v>Hard cider</v>
          </cell>
          <cell r="I6064">
            <v>240</v>
          </cell>
          <cell r="J6064">
            <v>134.4</v>
          </cell>
          <cell r="K6064">
            <v>0.56000000000000005</v>
          </cell>
          <cell r="L6064">
            <v>0</v>
          </cell>
          <cell r="M6064">
            <v>0</v>
          </cell>
          <cell r="N6064">
            <v>0</v>
          </cell>
          <cell r="O6064">
            <v>9.5999999999999992E-3</v>
          </cell>
          <cell r="P6064">
            <v>0</v>
          </cell>
          <cell r="Q6064">
            <v>0</v>
          </cell>
          <cell r="R6064">
            <v>0</v>
          </cell>
          <cell r="S6064">
            <v>0</v>
          </cell>
          <cell r="T6064">
            <v>0</v>
          </cell>
          <cell r="U6064">
            <v>0</v>
          </cell>
          <cell r="V6064">
            <v>0</v>
          </cell>
          <cell r="W6064">
            <v>0</v>
          </cell>
          <cell r="X6064">
            <v>9.5999999999999992E-3</v>
          </cell>
          <cell r="Y6064">
            <v>0</v>
          </cell>
          <cell r="Z6064">
            <v>0</v>
          </cell>
          <cell r="AA6064">
            <v>0</v>
          </cell>
          <cell r="AB6064">
            <v>0</v>
          </cell>
        </row>
        <row r="6065">
          <cell r="A6065">
            <v>93201000</v>
          </cell>
          <cell r="B6065" t="str">
            <v>Cordial or liqueur</v>
          </cell>
          <cell r="I6065">
            <v>30</v>
          </cell>
          <cell r="J6065">
            <v>111.3</v>
          </cell>
          <cell r="K6065">
            <v>3.71</v>
          </cell>
          <cell r="L6065">
            <v>0</v>
          </cell>
          <cell r="M6065">
            <v>4.1999999999999997E-3</v>
          </cell>
          <cell r="N6065">
            <v>0</v>
          </cell>
          <cell r="O6065">
            <v>0</v>
          </cell>
          <cell r="P6065">
            <v>0</v>
          </cell>
          <cell r="Q6065">
            <v>5.0099999999999999E-2</v>
          </cell>
          <cell r="R6065">
            <v>0</v>
          </cell>
          <cell r="S6065">
            <v>0</v>
          </cell>
          <cell r="T6065">
            <v>0</v>
          </cell>
          <cell r="U6065">
            <v>0</v>
          </cell>
          <cell r="V6065">
            <v>0</v>
          </cell>
          <cell r="W6065">
            <v>0</v>
          </cell>
          <cell r="X6065">
            <v>1.5E-3</v>
          </cell>
          <cell r="Y6065">
            <v>0</v>
          </cell>
          <cell r="Z6065">
            <v>0</v>
          </cell>
          <cell r="AA6065">
            <v>0</v>
          </cell>
          <cell r="AB6065">
            <v>0</v>
          </cell>
        </row>
        <row r="6066">
          <cell r="A6066">
            <v>93301000</v>
          </cell>
          <cell r="B6066" t="str">
            <v>Cocktail, NFS</v>
          </cell>
          <cell r="I6066">
            <v>240</v>
          </cell>
          <cell r="J6066">
            <v>212.94834</v>
          </cell>
          <cell r="K6066">
            <v>0.88728474999999996</v>
          </cell>
          <cell r="L6066">
            <v>0</v>
          </cell>
          <cell r="M6066">
            <v>0</v>
          </cell>
          <cell r="N6066">
            <v>0</v>
          </cell>
          <cell r="O6066">
            <v>1.8066E-3</v>
          </cell>
          <cell r="P6066">
            <v>0</v>
          </cell>
          <cell r="Q6066">
            <v>0</v>
          </cell>
          <cell r="R6066">
            <v>0</v>
          </cell>
          <cell r="S6066">
            <v>0</v>
          </cell>
          <cell r="T6066">
            <v>0</v>
          </cell>
          <cell r="U6066">
            <v>0</v>
          </cell>
          <cell r="V6066">
            <v>0</v>
          </cell>
          <cell r="W6066">
            <v>0</v>
          </cell>
          <cell r="X6066">
            <v>6.0131999999999998E-3</v>
          </cell>
          <cell r="Y6066">
            <v>0</v>
          </cell>
          <cell r="Z6066">
            <v>0</v>
          </cell>
          <cell r="AA6066">
            <v>0</v>
          </cell>
          <cell r="AB6066">
            <v>0</v>
          </cell>
        </row>
        <row r="6067">
          <cell r="A6067">
            <v>93301020</v>
          </cell>
          <cell r="B6067" t="str">
            <v>Bacardi cocktail</v>
          </cell>
          <cell r="I6067">
            <v>240</v>
          </cell>
          <cell r="J6067">
            <v>294.24635999999998</v>
          </cell>
          <cell r="K6067">
            <v>1.2260264999999999</v>
          </cell>
          <cell r="L6067">
            <v>0</v>
          </cell>
          <cell r="M6067">
            <v>1.4453000000000001E-2</v>
          </cell>
          <cell r="N6067">
            <v>0</v>
          </cell>
          <cell r="O6067">
            <v>3.6132E-3</v>
          </cell>
          <cell r="P6067">
            <v>0</v>
          </cell>
          <cell r="Q6067">
            <v>3.6132499999999998E-2</v>
          </cell>
          <cell r="R6067">
            <v>0</v>
          </cell>
          <cell r="S6067">
            <v>0</v>
          </cell>
          <cell r="T6067">
            <v>0</v>
          </cell>
          <cell r="U6067">
            <v>0</v>
          </cell>
          <cell r="V6067">
            <v>0</v>
          </cell>
          <cell r="W6067">
            <v>0</v>
          </cell>
          <cell r="X6067">
            <v>0.1848689</v>
          </cell>
          <cell r="Y6067">
            <v>0</v>
          </cell>
          <cell r="Z6067">
            <v>0</v>
          </cell>
          <cell r="AA6067">
            <v>0</v>
          </cell>
          <cell r="AB6067">
            <v>0</v>
          </cell>
        </row>
        <row r="6068">
          <cell r="A6068">
            <v>93301030</v>
          </cell>
          <cell r="B6068" t="str">
            <v>Bloody Mary</v>
          </cell>
          <cell r="I6068">
            <v>240</v>
          </cell>
          <cell r="J6068">
            <v>165.15860000000001</v>
          </cell>
          <cell r="K6068">
            <v>0.68816083333333333</v>
          </cell>
          <cell r="L6068">
            <v>0.19209619999999999</v>
          </cell>
          <cell r="M6068">
            <v>4.0019899999999997E-2</v>
          </cell>
          <cell r="N6068">
            <v>0</v>
          </cell>
          <cell r="O6068">
            <v>2.4831099999999998E-2</v>
          </cell>
          <cell r="P6068">
            <v>0.68306730000000004</v>
          </cell>
          <cell r="Q6068">
            <v>6.5920699999999999E-2</v>
          </cell>
          <cell r="R6068">
            <v>0</v>
          </cell>
          <cell r="S6068">
            <v>0</v>
          </cell>
          <cell r="T6068">
            <v>0</v>
          </cell>
          <cell r="U6068">
            <v>8.7913364999999999</v>
          </cell>
          <cell r="V6068">
            <v>0</v>
          </cell>
          <cell r="W6068">
            <v>0</v>
          </cell>
          <cell r="X6068">
            <v>0.49676880000000001</v>
          </cell>
          <cell r="Y6068">
            <v>0</v>
          </cell>
          <cell r="Z6068">
            <v>0</v>
          </cell>
          <cell r="AA6068">
            <v>0</v>
          </cell>
          <cell r="AB6068">
            <v>5.4774999999999997E-3</v>
          </cell>
        </row>
        <row r="6069">
          <cell r="A6069">
            <v>93301031</v>
          </cell>
          <cell r="B6069" t="str">
            <v>Canadian Club and soda</v>
          </cell>
          <cell r="I6069">
            <v>240</v>
          </cell>
          <cell r="J6069">
            <v>143.83562000000001</v>
          </cell>
          <cell r="K6069">
            <v>0.59931508333333339</v>
          </cell>
          <cell r="L6069">
            <v>0</v>
          </cell>
          <cell r="M6069">
            <v>0</v>
          </cell>
          <cell r="N6069">
            <v>0</v>
          </cell>
          <cell r="O6069">
            <v>9.1233000000000009E-3</v>
          </cell>
          <cell r="P6069">
            <v>0</v>
          </cell>
          <cell r="Q6069">
            <v>0</v>
          </cell>
          <cell r="R6069">
            <v>0</v>
          </cell>
          <cell r="S6069">
            <v>0</v>
          </cell>
          <cell r="T6069">
            <v>0</v>
          </cell>
          <cell r="U6069">
            <v>0</v>
          </cell>
          <cell r="V6069">
            <v>0</v>
          </cell>
          <cell r="W6069">
            <v>0</v>
          </cell>
          <cell r="X6069">
            <v>3.8893200000000003E-2</v>
          </cell>
          <cell r="Y6069">
            <v>0</v>
          </cell>
          <cell r="Z6069">
            <v>0</v>
          </cell>
          <cell r="AA6069">
            <v>0</v>
          </cell>
          <cell r="AB6069">
            <v>0</v>
          </cell>
        </row>
        <row r="6070">
          <cell r="A6070">
            <v>93301032</v>
          </cell>
          <cell r="B6070" t="str">
            <v>Cape Cod</v>
          </cell>
          <cell r="I6070">
            <v>240</v>
          </cell>
          <cell r="J6070">
            <v>234.62781000000001</v>
          </cell>
          <cell r="K6070">
            <v>0.97761587500000002</v>
          </cell>
          <cell r="L6070">
            <v>0</v>
          </cell>
          <cell r="M6070">
            <v>1.6259599999999999E-2</v>
          </cell>
          <cell r="N6070">
            <v>0</v>
          </cell>
          <cell r="O6070">
            <v>5.4199000000000001E-3</v>
          </cell>
          <cell r="P6070">
            <v>0</v>
          </cell>
          <cell r="Q6070">
            <v>0.1065907</v>
          </cell>
          <cell r="R6070">
            <v>0</v>
          </cell>
          <cell r="S6070">
            <v>0</v>
          </cell>
          <cell r="T6070">
            <v>27.099337999999999</v>
          </cell>
          <cell r="U6070">
            <v>0</v>
          </cell>
          <cell r="V6070">
            <v>0</v>
          </cell>
          <cell r="W6070">
            <v>0</v>
          </cell>
          <cell r="X6070">
            <v>4.2065999999999996E-3</v>
          </cell>
          <cell r="Y6070">
            <v>0</v>
          </cell>
          <cell r="Z6070">
            <v>0</v>
          </cell>
          <cell r="AA6070">
            <v>0</v>
          </cell>
          <cell r="AB6070">
            <v>0</v>
          </cell>
        </row>
        <row r="6071">
          <cell r="A6071">
            <v>93301040</v>
          </cell>
          <cell r="B6071" t="str">
            <v>Daiquiri</v>
          </cell>
          <cell r="I6071">
            <v>240</v>
          </cell>
          <cell r="J6071">
            <v>284.42174</v>
          </cell>
          <cell r="K6071">
            <v>1.1850905833333334</v>
          </cell>
          <cell r="L6071">
            <v>0.1290172</v>
          </cell>
          <cell r="M6071">
            <v>1.99977E-2</v>
          </cell>
          <cell r="N6071">
            <v>0</v>
          </cell>
          <cell r="O6071">
            <v>6.8167999999999996E-3</v>
          </cell>
          <cell r="P6071">
            <v>0</v>
          </cell>
          <cell r="Q6071">
            <v>4.9671600000000003E-2</v>
          </cell>
          <cell r="R6071">
            <v>0</v>
          </cell>
          <cell r="S6071">
            <v>0</v>
          </cell>
          <cell r="T6071">
            <v>32.254289</v>
          </cell>
          <cell r="U6071">
            <v>0</v>
          </cell>
          <cell r="V6071">
            <v>0</v>
          </cell>
          <cell r="W6071">
            <v>0</v>
          </cell>
          <cell r="X6071">
            <v>0.1538339</v>
          </cell>
          <cell r="Y6071">
            <v>0</v>
          </cell>
          <cell r="Z6071">
            <v>0</v>
          </cell>
          <cell r="AA6071">
            <v>0</v>
          </cell>
          <cell r="AB6071">
            <v>7.7868E-3</v>
          </cell>
        </row>
        <row r="6072">
          <cell r="A6072">
            <v>93301050</v>
          </cell>
          <cell r="B6072" t="str">
            <v>Gimlet</v>
          </cell>
          <cell r="I6072">
            <v>240</v>
          </cell>
          <cell r="J6072">
            <v>451.02397000000002</v>
          </cell>
          <cell r="K6072">
            <v>1.8792665416666667</v>
          </cell>
          <cell r="L6072">
            <v>0.22347880000000001</v>
          </cell>
          <cell r="M6072">
            <v>4.4695999999999998E-3</v>
          </cell>
          <cell r="N6072">
            <v>0</v>
          </cell>
          <cell r="O6072">
            <v>7.8969000000000001E-3</v>
          </cell>
          <cell r="P6072">
            <v>0</v>
          </cell>
          <cell r="Q6072">
            <v>1.285E-2</v>
          </cell>
          <cell r="R6072">
            <v>0</v>
          </cell>
          <cell r="S6072">
            <v>0</v>
          </cell>
          <cell r="T6072">
            <v>55.869697000000002</v>
          </cell>
          <cell r="U6072">
            <v>0</v>
          </cell>
          <cell r="V6072">
            <v>0</v>
          </cell>
          <cell r="W6072">
            <v>0</v>
          </cell>
          <cell r="X6072">
            <v>2.9586999999999999E-3</v>
          </cell>
          <cell r="Y6072">
            <v>0</v>
          </cell>
          <cell r="Z6072">
            <v>0</v>
          </cell>
          <cell r="AA6072">
            <v>0</v>
          </cell>
          <cell r="AB6072">
            <v>3.1470999999999999E-3</v>
          </cell>
        </row>
        <row r="6073">
          <cell r="A6073">
            <v>93301060</v>
          </cell>
          <cell r="B6073" t="str">
            <v>Gin and Tonic</v>
          </cell>
          <cell r="I6073">
            <v>240</v>
          </cell>
          <cell r="J6073">
            <v>201.40451999999999</v>
          </cell>
          <cell r="K6073">
            <v>0.83918549999999992</v>
          </cell>
          <cell r="L6073">
            <v>0</v>
          </cell>
          <cell r="M6073">
            <v>0</v>
          </cell>
          <cell r="N6073">
            <v>0</v>
          </cell>
          <cell r="O6073">
            <v>1.7918999999999999E-3</v>
          </cell>
          <cell r="P6073">
            <v>0</v>
          </cell>
          <cell r="Q6073">
            <v>0</v>
          </cell>
          <cell r="R6073">
            <v>0</v>
          </cell>
          <cell r="S6073">
            <v>0</v>
          </cell>
          <cell r="T6073">
            <v>0</v>
          </cell>
          <cell r="U6073">
            <v>0</v>
          </cell>
          <cell r="V6073">
            <v>0</v>
          </cell>
          <cell r="W6073">
            <v>0</v>
          </cell>
          <cell r="X6073">
            <v>2.2110399999999999E-2</v>
          </cell>
          <cell r="Y6073">
            <v>0</v>
          </cell>
          <cell r="Z6073">
            <v>0</v>
          </cell>
          <cell r="AA6073">
            <v>0</v>
          </cell>
          <cell r="AB6073">
            <v>0</v>
          </cell>
        </row>
        <row r="6074">
          <cell r="A6074">
            <v>93301075</v>
          </cell>
          <cell r="B6074" t="str">
            <v>Greyhound</v>
          </cell>
          <cell r="I6074">
            <v>240</v>
          </cell>
          <cell r="J6074">
            <v>198.49536000000001</v>
          </cell>
          <cell r="K6074">
            <v>0.82706400000000002</v>
          </cell>
          <cell r="L6074">
            <v>1.445298</v>
          </cell>
          <cell r="M6074">
            <v>1.6259599999999999E-2</v>
          </cell>
          <cell r="N6074">
            <v>0</v>
          </cell>
          <cell r="O6074">
            <v>2.5292700000000001E-2</v>
          </cell>
          <cell r="P6074">
            <v>0</v>
          </cell>
          <cell r="Q6074">
            <v>3.2519199999999998E-2</v>
          </cell>
          <cell r="R6074">
            <v>0</v>
          </cell>
          <cell r="S6074">
            <v>0</v>
          </cell>
          <cell r="T6074">
            <v>180.66225</v>
          </cell>
          <cell r="U6074">
            <v>0</v>
          </cell>
          <cell r="V6074">
            <v>0</v>
          </cell>
          <cell r="W6074">
            <v>0</v>
          </cell>
          <cell r="X6074">
            <v>6.0131999999999998E-3</v>
          </cell>
          <cell r="Y6074">
            <v>0</v>
          </cell>
          <cell r="Z6074">
            <v>0</v>
          </cell>
          <cell r="AA6074">
            <v>0</v>
          </cell>
          <cell r="AB6074">
            <v>3.6132E-3</v>
          </cell>
        </row>
        <row r="6075">
          <cell r="A6075">
            <v>93301083</v>
          </cell>
          <cell r="B6075" t="str">
            <v>Jagerbomb</v>
          </cell>
          <cell r="I6075">
            <v>240</v>
          </cell>
          <cell r="J6075">
            <v>300</v>
          </cell>
          <cell r="K6075">
            <v>1.25</v>
          </cell>
          <cell r="L6075">
            <v>0</v>
          </cell>
          <cell r="M6075">
            <v>8.3999999999999995E-3</v>
          </cell>
          <cell r="N6075">
            <v>0</v>
          </cell>
          <cell r="O6075">
            <v>1.0800000000000001E-2</v>
          </cell>
          <cell r="P6075">
            <v>0</v>
          </cell>
          <cell r="Q6075">
            <v>0.1002</v>
          </cell>
          <cell r="R6075">
            <v>0</v>
          </cell>
          <cell r="S6075">
            <v>0</v>
          </cell>
          <cell r="T6075">
            <v>0</v>
          </cell>
          <cell r="U6075">
            <v>0</v>
          </cell>
          <cell r="V6075">
            <v>0</v>
          </cell>
          <cell r="W6075">
            <v>0</v>
          </cell>
          <cell r="X6075">
            <v>7.3200000000000001E-2</v>
          </cell>
          <cell r="Y6075">
            <v>0</v>
          </cell>
          <cell r="Z6075">
            <v>0</v>
          </cell>
          <cell r="AA6075">
            <v>0</v>
          </cell>
          <cell r="AB6075">
            <v>0</v>
          </cell>
        </row>
        <row r="6076">
          <cell r="A6076">
            <v>93301085</v>
          </cell>
          <cell r="B6076" t="str">
            <v>Kamikaze</v>
          </cell>
          <cell r="I6076">
            <v>240</v>
          </cell>
          <cell r="J6076">
            <v>483.54588999999999</v>
          </cell>
          <cell r="K6076">
            <v>2.0147745416666667</v>
          </cell>
          <cell r="L6076">
            <v>0.236817</v>
          </cell>
          <cell r="M6076">
            <v>2.0740600000000001E-2</v>
          </cell>
          <cell r="N6076">
            <v>0</v>
          </cell>
          <cell r="O6076">
            <v>7.1044999999999997E-3</v>
          </cell>
          <cell r="P6076">
            <v>0</v>
          </cell>
          <cell r="Q6076">
            <v>0.1016785</v>
          </cell>
          <cell r="R6076">
            <v>0</v>
          </cell>
          <cell r="S6076">
            <v>0</v>
          </cell>
          <cell r="T6076">
            <v>59.204244000000003</v>
          </cell>
          <cell r="U6076">
            <v>0</v>
          </cell>
          <cell r="V6076">
            <v>0</v>
          </cell>
          <cell r="W6076">
            <v>0</v>
          </cell>
          <cell r="X6076">
            <v>1.28085E-2</v>
          </cell>
          <cell r="Y6076">
            <v>0</v>
          </cell>
          <cell r="Z6076">
            <v>0</v>
          </cell>
          <cell r="AA6076">
            <v>0</v>
          </cell>
          <cell r="AB6076">
            <v>0</v>
          </cell>
        </row>
        <row r="6077">
          <cell r="A6077">
            <v>93301090</v>
          </cell>
          <cell r="B6077" t="str">
            <v>Manhattan</v>
          </cell>
          <cell r="I6077">
            <v>240</v>
          </cell>
          <cell r="J6077">
            <v>531.78053</v>
          </cell>
          <cell r="K6077">
            <v>2.2157522083333334</v>
          </cell>
          <cell r="L6077">
            <v>0</v>
          </cell>
          <cell r="M6077">
            <v>0</v>
          </cell>
          <cell r="N6077">
            <v>0</v>
          </cell>
          <cell r="O6077">
            <v>2.5487000000000001E-3</v>
          </cell>
          <cell r="P6077">
            <v>0</v>
          </cell>
          <cell r="Q6077">
            <v>0</v>
          </cell>
          <cell r="R6077">
            <v>0</v>
          </cell>
          <cell r="S6077">
            <v>0</v>
          </cell>
          <cell r="T6077">
            <v>0</v>
          </cell>
          <cell r="U6077">
            <v>0</v>
          </cell>
          <cell r="V6077">
            <v>0</v>
          </cell>
          <cell r="W6077">
            <v>0</v>
          </cell>
          <cell r="X6077">
            <v>4.9487000000000003E-3</v>
          </cell>
          <cell r="Y6077">
            <v>0</v>
          </cell>
          <cell r="Z6077">
            <v>0</v>
          </cell>
          <cell r="AA6077">
            <v>0</v>
          </cell>
          <cell r="AB6077">
            <v>0</v>
          </cell>
        </row>
        <row r="6078">
          <cell r="A6078">
            <v>93301100</v>
          </cell>
          <cell r="B6078" t="str">
            <v>Margarita</v>
          </cell>
          <cell r="I6078">
            <v>240</v>
          </cell>
          <cell r="J6078">
            <v>293.27525000000003</v>
          </cell>
          <cell r="K6078">
            <v>1.2219802083333335</v>
          </cell>
          <cell r="L6078">
            <v>0</v>
          </cell>
          <cell r="M6078">
            <v>1.4405299999999999E-2</v>
          </cell>
          <cell r="N6078">
            <v>0</v>
          </cell>
          <cell r="O6078">
            <v>3.7913999999999999E-3</v>
          </cell>
          <cell r="P6078">
            <v>0</v>
          </cell>
          <cell r="Q6078">
            <v>3.6013200000000002E-2</v>
          </cell>
          <cell r="R6078">
            <v>0</v>
          </cell>
          <cell r="S6078">
            <v>0</v>
          </cell>
          <cell r="T6078">
            <v>0</v>
          </cell>
          <cell r="U6078">
            <v>0</v>
          </cell>
          <cell r="V6078">
            <v>0</v>
          </cell>
          <cell r="W6078">
            <v>0</v>
          </cell>
          <cell r="X6078">
            <v>0.49125279999999999</v>
          </cell>
          <cell r="Y6078">
            <v>0</v>
          </cell>
          <cell r="Z6078">
            <v>0</v>
          </cell>
          <cell r="AA6078">
            <v>0</v>
          </cell>
          <cell r="AB6078">
            <v>0</v>
          </cell>
        </row>
        <row r="6079">
          <cell r="A6079">
            <v>93301110</v>
          </cell>
          <cell r="B6079" t="str">
            <v>Martini</v>
          </cell>
          <cell r="I6079">
            <v>240</v>
          </cell>
          <cell r="J6079">
            <v>482.71857999999997</v>
          </cell>
          <cell r="K6079">
            <v>2.0113274166666666</v>
          </cell>
          <cell r="L6079">
            <v>0</v>
          </cell>
          <cell r="M6079">
            <v>0</v>
          </cell>
          <cell r="N6079">
            <v>0</v>
          </cell>
          <cell r="O6079">
            <v>2.8673000000000001E-3</v>
          </cell>
          <cell r="P6079">
            <v>0</v>
          </cell>
          <cell r="Q6079">
            <v>0</v>
          </cell>
          <cell r="R6079">
            <v>0</v>
          </cell>
          <cell r="S6079">
            <v>0</v>
          </cell>
          <cell r="T6079">
            <v>0</v>
          </cell>
          <cell r="U6079">
            <v>0</v>
          </cell>
          <cell r="V6079">
            <v>0</v>
          </cell>
          <cell r="W6079">
            <v>0</v>
          </cell>
          <cell r="X6079">
            <v>4.3115000000000002E-3</v>
          </cell>
          <cell r="Y6079">
            <v>0</v>
          </cell>
          <cell r="Z6079">
            <v>0</v>
          </cell>
          <cell r="AA6079">
            <v>0</v>
          </cell>
          <cell r="AB6079">
            <v>0</v>
          </cell>
        </row>
        <row r="6080">
          <cell r="A6080">
            <v>93301111</v>
          </cell>
          <cell r="B6080" t="str">
            <v>Martini, flavored</v>
          </cell>
          <cell r="I6080">
            <v>240</v>
          </cell>
          <cell r="J6080">
            <v>454.76407</v>
          </cell>
          <cell r="K6080">
            <v>1.8948502916666667</v>
          </cell>
          <cell r="L6080">
            <v>0.2076269</v>
          </cell>
          <cell r="M6080">
            <v>6.1032999999999999E-3</v>
          </cell>
          <cell r="N6080">
            <v>0</v>
          </cell>
          <cell r="O6080">
            <v>7.5963000000000003E-3</v>
          </cell>
          <cell r="P6080">
            <v>0</v>
          </cell>
          <cell r="Q6080">
            <v>3.1024400000000001E-2</v>
          </cell>
          <cell r="R6080">
            <v>0</v>
          </cell>
          <cell r="S6080">
            <v>0</v>
          </cell>
          <cell r="T6080">
            <v>53.204487</v>
          </cell>
          <cell r="U6080">
            <v>0</v>
          </cell>
          <cell r="V6080">
            <v>0</v>
          </cell>
          <cell r="W6080">
            <v>0</v>
          </cell>
          <cell r="X6080">
            <v>3.3405000000000002E-3</v>
          </cell>
          <cell r="Y6080">
            <v>0</v>
          </cell>
          <cell r="Z6080">
            <v>0</v>
          </cell>
          <cell r="AA6080">
            <v>0</v>
          </cell>
          <cell r="AB6080">
            <v>1.0888E-3</v>
          </cell>
        </row>
        <row r="6081">
          <cell r="A6081">
            <v>93301115</v>
          </cell>
          <cell r="B6081" t="str">
            <v>Mimosa</v>
          </cell>
          <cell r="I6081">
            <v>240</v>
          </cell>
          <cell r="J6081">
            <v>155.24287000000001</v>
          </cell>
          <cell r="K6081">
            <v>0.64684529166666671</v>
          </cell>
          <cell r="L6081">
            <v>0.36994480000000002</v>
          </cell>
          <cell r="M6081">
            <v>1.7264100000000001E-2</v>
          </cell>
          <cell r="N6081">
            <v>0</v>
          </cell>
          <cell r="O6081">
            <v>7.9742999999999994E-2</v>
          </cell>
          <cell r="P6081">
            <v>0</v>
          </cell>
          <cell r="Q6081">
            <v>3.69945E-2</v>
          </cell>
          <cell r="R6081">
            <v>0</v>
          </cell>
          <cell r="S6081">
            <v>0</v>
          </cell>
          <cell r="T6081">
            <v>123.31492</v>
          </cell>
          <cell r="U6081">
            <v>0</v>
          </cell>
          <cell r="V6081">
            <v>0</v>
          </cell>
          <cell r="W6081">
            <v>0</v>
          </cell>
          <cell r="X6081">
            <v>8.3006E-3</v>
          </cell>
          <cell r="Y6081">
            <v>0</v>
          </cell>
          <cell r="Z6081">
            <v>0</v>
          </cell>
          <cell r="AA6081">
            <v>0</v>
          </cell>
          <cell r="AB6081">
            <v>0</v>
          </cell>
        </row>
        <row r="6082">
          <cell r="A6082">
            <v>93301120</v>
          </cell>
          <cell r="B6082" t="str">
            <v>Mint julep</v>
          </cell>
          <cell r="I6082">
            <v>240</v>
          </cell>
          <cell r="J6082">
            <v>447.56920000000002</v>
          </cell>
          <cell r="K6082">
            <v>1.8648716666666667</v>
          </cell>
          <cell r="L6082">
            <v>0</v>
          </cell>
          <cell r="M6082">
            <v>0</v>
          </cell>
          <cell r="N6082">
            <v>0</v>
          </cell>
          <cell r="O6082">
            <v>6.9390000000000001E-4</v>
          </cell>
          <cell r="P6082">
            <v>0</v>
          </cell>
          <cell r="Q6082">
            <v>0</v>
          </cell>
          <cell r="R6082">
            <v>0</v>
          </cell>
          <cell r="S6082">
            <v>0</v>
          </cell>
          <cell r="T6082">
            <v>0</v>
          </cell>
          <cell r="U6082">
            <v>0</v>
          </cell>
          <cell r="V6082">
            <v>0</v>
          </cell>
          <cell r="W6082">
            <v>0</v>
          </cell>
          <cell r="X6082">
            <v>9.1024000000000001E-3</v>
          </cell>
          <cell r="Y6082">
            <v>0</v>
          </cell>
          <cell r="Z6082">
            <v>0</v>
          </cell>
          <cell r="AA6082">
            <v>0</v>
          </cell>
          <cell r="AB6082">
            <v>0</v>
          </cell>
        </row>
        <row r="6083">
          <cell r="A6083">
            <v>93301125</v>
          </cell>
          <cell r="B6083" t="str">
            <v>Mojito</v>
          </cell>
          <cell r="I6083">
            <v>240</v>
          </cell>
          <cell r="J6083">
            <v>146.79413</v>
          </cell>
          <cell r="K6083">
            <v>0.61164220833333327</v>
          </cell>
          <cell r="L6083">
            <v>0.58668030000000004</v>
          </cell>
          <cell r="M6083">
            <v>4.1808000000000001E-3</v>
          </cell>
          <cell r="N6083">
            <v>0</v>
          </cell>
          <cell r="O6083">
            <v>1.6817499999999999E-2</v>
          </cell>
          <cell r="P6083">
            <v>0</v>
          </cell>
          <cell r="Q6083">
            <v>1.07201E-2</v>
          </cell>
          <cell r="R6083">
            <v>0</v>
          </cell>
          <cell r="S6083">
            <v>0</v>
          </cell>
          <cell r="T6083">
            <v>15.592832</v>
          </cell>
          <cell r="U6083">
            <v>5.3600361000000003</v>
          </cell>
          <cell r="V6083">
            <v>0</v>
          </cell>
          <cell r="W6083">
            <v>0</v>
          </cell>
          <cell r="X6083">
            <v>3.71282E-2</v>
          </cell>
          <cell r="Y6083">
            <v>0</v>
          </cell>
          <cell r="Z6083">
            <v>0</v>
          </cell>
          <cell r="AA6083">
            <v>0</v>
          </cell>
          <cell r="AB6083">
            <v>2.4047000000000001E-3</v>
          </cell>
        </row>
        <row r="6084">
          <cell r="A6084">
            <v>93301130</v>
          </cell>
          <cell r="B6084" t="str">
            <v>Old fashioned</v>
          </cell>
          <cell r="I6084">
            <v>240</v>
          </cell>
          <cell r="J6084">
            <v>387.79748999999998</v>
          </cell>
          <cell r="K6084">
            <v>1.6158228749999999</v>
          </cell>
          <cell r="L6084">
            <v>1.3873685</v>
          </cell>
          <cell r="M6084">
            <v>1.0748499999999999E-2</v>
          </cell>
          <cell r="N6084">
            <v>0</v>
          </cell>
          <cell r="O6084">
            <v>2.5155799999999999E-2</v>
          </cell>
          <cell r="P6084">
            <v>0</v>
          </cell>
          <cell r="Q6084">
            <v>1.68208E-2</v>
          </cell>
          <cell r="R6084">
            <v>0</v>
          </cell>
          <cell r="S6084">
            <v>0</v>
          </cell>
          <cell r="T6084">
            <v>50.851210000000002</v>
          </cell>
          <cell r="U6084">
            <v>0</v>
          </cell>
          <cell r="V6084">
            <v>0</v>
          </cell>
          <cell r="W6084">
            <v>0</v>
          </cell>
          <cell r="X6084">
            <v>9.9241999999999993E-3</v>
          </cell>
          <cell r="Y6084">
            <v>0</v>
          </cell>
          <cell r="Z6084">
            <v>0</v>
          </cell>
          <cell r="AA6084">
            <v>0</v>
          </cell>
          <cell r="AB6084">
            <v>0</v>
          </cell>
        </row>
        <row r="6085">
          <cell r="A6085">
            <v>93301132</v>
          </cell>
          <cell r="B6085" t="str">
            <v>Orange Blossom</v>
          </cell>
          <cell r="I6085">
            <v>240</v>
          </cell>
          <cell r="J6085">
            <v>237.05632</v>
          </cell>
          <cell r="K6085">
            <v>0.98773466666666665</v>
          </cell>
          <cell r="L6085">
            <v>0.5321958</v>
          </cell>
          <cell r="M6085">
            <v>2.4835800000000002E-2</v>
          </cell>
          <cell r="N6085">
            <v>0</v>
          </cell>
          <cell r="O6085">
            <v>9.9652699999999997E-2</v>
          </cell>
          <cell r="P6085">
            <v>0</v>
          </cell>
          <cell r="Q6085">
            <v>5.3219599999999999E-2</v>
          </cell>
          <cell r="R6085">
            <v>0</v>
          </cell>
          <cell r="S6085">
            <v>0</v>
          </cell>
          <cell r="T6085">
            <v>177.39859000000001</v>
          </cell>
          <cell r="U6085">
            <v>0</v>
          </cell>
          <cell r="V6085">
            <v>0</v>
          </cell>
          <cell r="W6085">
            <v>0</v>
          </cell>
          <cell r="X6085">
            <v>4.1739999999999998E-3</v>
          </cell>
          <cell r="Y6085">
            <v>0</v>
          </cell>
          <cell r="Z6085">
            <v>0</v>
          </cell>
          <cell r="AA6085">
            <v>0</v>
          </cell>
          <cell r="AB6085">
            <v>0</v>
          </cell>
        </row>
        <row r="6086">
          <cell r="A6086">
            <v>93301140</v>
          </cell>
          <cell r="B6086" t="str">
            <v>Screwdriver</v>
          </cell>
          <cell r="I6086">
            <v>240</v>
          </cell>
          <cell r="J6086">
            <v>224.33007000000001</v>
          </cell>
          <cell r="K6086">
            <v>0.93470862500000007</v>
          </cell>
          <cell r="L6086">
            <v>0.54198679999999999</v>
          </cell>
          <cell r="M6086">
            <v>2.5292700000000001E-2</v>
          </cell>
          <cell r="N6086">
            <v>0</v>
          </cell>
          <cell r="O6086">
            <v>0.1014419</v>
          </cell>
          <cell r="P6086">
            <v>0</v>
          </cell>
          <cell r="Q6086">
            <v>5.4198700000000002E-2</v>
          </cell>
          <cell r="R6086">
            <v>0</v>
          </cell>
          <cell r="S6086">
            <v>0</v>
          </cell>
          <cell r="T6086">
            <v>180.66225</v>
          </cell>
          <cell r="U6086">
            <v>0</v>
          </cell>
          <cell r="V6086">
            <v>0</v>
          </cell>
          <cell r="W6086">
            <v>0</v>
          </cell>
          <cell r="X6086">
            <v>4.2065999999999996E-3</v>
          </cell>
          <cell r="Y6086">
            <v>0</v>
          </cell>
          <cell r="Z6086">
            <v>0</v>
          </cell>
          <cell r="AA6086">
            <v>0</v>
          </cell>
          <cell r="AB6086">
            <v>0</v>
          </cell>
        </row>
        <row r="6087">
          <cell r="A6087">
            <v>93301141</v>
          </cell>
          <cell r="B6087" t="str">
            <v>Seabreeze</v>
          </cell>
          <cell r="I6087">
            <v>240</v>
          </cell>
          <cell r="J6087">
            <v>216.56159</v>
          </cell>
          <cell r="K6087">
            <v>0.90233995833333336</v>
          </cell>
          <cell r="L6087">
            <v>0.72264899999999999</v>
          </cell>
          <cell r="M6087">
            <v>1.6259599999999999E-2</v>
          </cell>
          <cell r="N6087">
            <v>0</v>
          </cell>
          <cell r="O6087">
            <v>1.53563E-2</v>
          </cell>
          <cell r="P6087">
            <v>0</v>
          </cell>
          <cell r="Q6087">
            <v>6.9555000000000006E-2</v>
          </cell>
          <cell r="R6087">
            <v>0</v>
          </cell>
          <cell r="S6087">
            <v>0</v>
          </cell>
          <cell r="T6087">
            <v>103.88079</v>
          </cell>
          <cell r="U6087">
            <v>0</v>
          </cell>
          <cell r="V6087">
            <v>0</v>
          </cell>
          <cell r="W6087">
            <v>0</v>
          </cell>
          <cell r="X6087">
            <v>5.1098999999999997E-3</v>
          </cell>
          <cell r="Y6087">
            <v>0</v>
          </cell>
          <cell r="Z6087">
            <v>0</v>
          </cell>
          <cell r="AA6087">
            <v>0</v>
          </cell>
          <cell r="AB6087">
            <v>1.8066E-3</v>
          </cell>
        </row>
        <row r="6088">
          <cell r="A6088">
            <v>93301142</v>
          </cell>
          <cell r="B6088" t="str">
            <v>Seven and Seven</v>
          </cell>
          <cell r="I6088">
            <v>240</v>
          </cell>
          <cell r="J6088">
            <v>209.33510000000001</v>
          </cell>
          <cell r="K6088">
            <v>0.87222958333333334</v>
          </cell>
          <cell r="L6088">
            <v>0</v>
          </cell>
          <cell r="M6088">
            <v>0</v>
          </cell>
          <cell r="N6088">
            <v>0</v>
          </cell>
          <cell r="O6088">
            <v>3.6132E-3</v>
          </cell>
          <cell r="P6088">
            <v>0</v>
          </cell>
          <cell r="Q6088">
            <v>0</v>
          </cell>
          <cell r="R6088">
            <v>0</v>
          </cell>
          <cell r="S6088">
            <v>0</v>
          </cell>
          <cell r="T6088">
            <v>0</v>
          </cell>
          <cell r="U6088">
            <v>0</v>
          </cell>
          <cell r="V6088">
            <v>0</v>
          </cell>
          <cell r="W6088">
            <v>0</v>
          </cell>
          <cell r="X6088">
            <v>1.6853E-2</v>
          </cell>
          <cell r="Y6088">
            <v>0</v>
          </cell>
          <cell r="Z6088">
            <v>0</v>
          </cell>
          <cell r="AA6088">
            <v>0</v>
          </cell>
          <cell r="AB6088">
            <v>0</v>
          </cell>
        </row>
        <row r="6089">
          <cell r="A6089">
            <v>93301160</v>
          </cell>
          <cell r="B6089" t="str">
            <v>Whiskey sour</v>
          </cell>
          <cell r="I6089">
            <v>240</v>
          </cell>
          <cell r="J6089">
            <v>294.24635999999998</v>
          </cell>
          <cell r="K6089">
            <v>1.2260264999999999</v>
          </cell>
          <cell r="L6089">
            <v>0</v>
          </cell>
          <cell r="M6089">
            <v>1.4453000000000001E-2</v>
          </cell>
          <cell r="N6089">
            <v>0</v>
          </cell>
          <cell r="O6089">
            <v>3.6132E-3</v>
          </cell>
          <cell r="P6089">
            <v>0</v>
          </cell>
          <cell r="Q6089">
            <v>3.6132499999999998E-2</v>
          </cell>
          <cell r="R6089">
            <v>0</v>
          </cell>
          <cell r="S6089">
            <v>0</v>
          </cell>
          <cell r="T6089">
            <v>0</v>
          </cell>
          <cell r="U6089">
            <v>0</v>
          </cell>
          <cell r="V6089">
            <v>0</v>
          </cell>
          <cell r="W6089">
            <v>0</v>
          </cell>
          <cell r="X6089">
            <v>0.1848689</v>
          </cell>
          <cell r="Y6089">
            <v>0</v>
          </cell>
          <cell r="Z6089">
            <v>0</v>
          </cell>
          <cell r="AA6089">
            <v>0</v>
          </cell>
          <cell r="AB6089">
            <v>0</v>
          </cell>
        </row>
        <row r="6090">
          <cell r="A6090">
            <v>93301170</v>
          </cell>
          <cell r="B6090" t="str">
            <v>Whiskey and soda</v>
          </cell>
          <cell r="I6090">
            <v>240</v>
          </cell>
          <cell r="J6090">
            <v>140.48145</v>
          </cell>
          <cell r="K6090">
            <v>0.585339375</v>
          </cell>
          <cell r="L6090">
            <v>0</v>
          </cell>
          <cell r="M6090">
            <v>0</v>
          </cell>
          <cell r="N6090">
            <v>0</v>
          </cell>
          <cell r="O6090">
            <v>8.9592999999999999E-3</v>
          </cell>
          <cell r="P6090">
            <v>0</v>
          </cell>
          <cell r="Q6090">
            <v>0</v>
          </cell>
          <cell r="R6090">
            <v>0</v>
          </cell>
          <cell r="S6090">
            <v>0</v>
          </cell>
          <cell r="T6090">
            <v>0</v>
          </cell>
          <cell r="U6090">
            <v>0</v>
          </cell>
          <cell r="V6090">
            <v>0</v>
          </cell>
          <cell r="W6090">
            <v>0</v>
          </cell>
          <cell r="X6090">
            <v>3.8237100000000003E-2</v>
          </cell>
          <cell r="Y6090">
            <v>0</v>
          </cell>
          <cell r="Z6090">
            <v>0</v>
          </cell>
          <cell r="AA6090">
            <v>0</v>
          </cell>
          <cell r="AB6090">
            <v>0</v>
          </cell>
        </row>
        <row r="6091">
          <cell r="A6091">
            <v>93301181</v>
          </cell>
          <cell r="B6091" t="str">
            <v>Whiskey and water</v>
          </cell>
          <cell r="I6091">
            <v>240</v>
          </cell>
          <cell r="J6091">
            <v>141.80453</v>
          </cell>
          <cell r="K6091">
            <v>0.5908522083333333</v>
          </cell>
          <cell r="L6091">
            <v>0</v>
          </cell>
          <cell r="M6091">
            <v>0</v>
          </cell>
          <cell r="N6091">
            <v>0</v>
          </cell>
          <cell r="O6091">
            <v>5.3584000000000001E-3</v>
          </cell>
          <cell r="P6091">
            <v>0</v>
          </cell>
          <cell r="Q6091">
            <v>0</v>
          </cell>
          <cell r="R6091">
            <v>0</v>
          </cell>
          <cell r="S6091">
            <v>0</v>
          </cell>
          <cell r="T6091">
            <v>0</v>
          </cell>
          <cell r="U6091">
            <v>0</v>
          </cell>
          <cell r="V6091">
            <v>0</v>
          </cell>
          <cell r="W6091">
            <v>0</v>
          </cell>
          <cell r="X6091">
            <v>7.7584000000000004E-3</v>
          </cell>
          <cell r="Y6091">
            <v>0</v>
          </cell>
          <cell r="Z6091">
            <v>0</v>
          </cell>
          <cell r="AA6091">
            <v>0</v>
          </cell>
          <cell r="AB6091">
            <v>0</v>
          </cell>
        </row>
        <row r="6092">
          <cell r="A6092">
            <v>93301182</v>
          </cell>
          <cell r="B6092" t="str">
            <v>Whiskey and cola</v>
          </cell>
          <cell r="I6092">
            <v>240</v>
          </cell>
          <cell r="J6092">
            <v>212.94834</v>
          </cell>
          <cell r="K6092">
            <v>0.88728474999999996</v>
          </cell>
          <cell r="L6092">
            <v>0</v>
          </cell>
          <cell r="M6092">
            <v>0</v>
          </cell>
          <cell r="N6092">
            <v>0</v>
          </cell>
          <cell r="O6092">
            <v>1.8066E-3</v>
          </cell>
          <cell r="P6092">
            <v>0</v>
          </cell>
          <cell r="Q6092">
            <v>0</v>
          </cell>
          <cell r="R6092">
            <v>0</v>
          </cell>
          <cell r="S6092">
            <v>0</v>
          </cell>
          <cell r="T6092">
            <v>0</v>
          </cell>
          <cell r="U6092">
            <v>0</v>
          </cell>
          <cell r="V6092">
            <v>0</v>
          </cell>
          <cell r="W6092">
            <v>0</v>
          </cell>
          <cell r="X6092">
            <v>6.0131999999999998E-3</v>
          </cell>
          <cell r="Y6092">
            <v>0</v>
          </cell>
          <cell r="Z6092">
            <v>0</v>
          </cell>
          <cell r="AA6092">
            <v>0</v>
          </cell>
          <cell r="AB6092">
            <v>0</v>
          </cell>
        </row>
        <row r="6093">
          <cell r="A6093">
            <v>93301183</v>
          </cell>
          <cell r="B6093" t="str">
            <v>Whiskey and diet cola</v>
          </cell>
          <cell r="I6093">
            <v>240</v>
          </cell>
          <cell r="J6093">
            <v>144.06515999999999</v>
          </cell>
          <cell r="K6093">
            <v>0.60027149999999996</v>
          </cell>
          <cell r="L6093">
            <v>0</v>
          </cell>
          <cell r="M6093">
            <v>0</v>
          </cell>
          <cell r="N6093">
            <v>0</v>
          </cell>
          <cell r="O6093">
            <v>5.3756000000000003E-3</v>
          </cell>
          <cell r="P6093">
            <v>0</v>
          </cell>
          <cell r="Q6093">
            <v>0</v>
          </cell>
          <cell r="R6093">
            <v>0</v>
          </cell>
          <cell r="S6093">
            <v>0</v>
          </cell>
          <cell r="T6093">
            <v>0</v>
          </cell>
          <cell r="U6093">
            <v>0</v>
          </cell>
          <cell r="V6093">
            <v>0</v>
          </cell>
          <cell r="W6093">
            <v>0</v>
          </cell>
          <cell r="X6093">
            <v>1.4943E-2</v>
          </cell>
          <cell r="Y6093">
            <v>0</v>
          </cell>
          <cell r="Z6093">
            <v>0</v>
          </cell>
          <cell r="AA6093">
            <v>0</v>
          </cell>
          <cell r="AB6093">
            <v>0</v>
          </cell>
        </row>
        <row r="6094">
          <cell r="A6094">
            <v>93301184</v>
          </cell>
          <cell r="B6094" t="str">
            <v>Whiskey and ginger ale</v>
          </cell>
          <cell r="I6094">
            <v>240</v>
          </cell>
          <cell r="J6094">
            <v>198.49536000000001</v>
          </cell>
          <cell r="K6094">
            <v>0.82706400000000002</v>
          </cell>
          <cell r="L6094">
            <v>0</v>
          </cell>
          <cell r="M6094">
            <v>0</v>
          </cell>
          <cell r="N6094">
            <v>0</v>
          </cell>
          <cell r="O6094">
            <v>5.4199000000000001E-3</v>
          </cell>
          <cell r="P6094">
            <v>0</v>
          </cell>
          <cell r="Q6094">
            <v>0</v>
          </cell>
          <cell r="R6094">
            <v>0</v>
          </cell>
          <cell r="S6094">
            <v>0</v>
          </cell>
          <cell r="T6094">
            <v>0</v>
          </cell>
          <cell r="U6094">
            <v>0</v>
          </cell>
          <cell r="V6094">
            <v>0</v>
          </cell>
          <cell r="W6094">
            <v>0</v>
          </cell>
          <cell r="X6094">
            <v>1.32397E-2</v>
          </cell>
          <cell r="Y6094">
            <v>0</v>
          </cell>
          <cell r="Z6094">
            <v>0</v>
          </cell>
          <cell r="AA6094">
            <v>0</v>
          </cell>
          <cell r="AB6094">
            <v>0</v>
          </cell>
        </row>
        <row r="6095">
          <cell r="A6095">
            <v>93301190</v>
          </cell>
          <cell r="B6095" t="str">
            <v>Rum and cola</v>
          </cell>
          <cell r="I6095">
            <v>240</v>
          </cell>
          <cell r="J6095">
            <v>212.94834</v>
          </cell>
          <cell r="K6095">
            <v>0.88728474999999996</v>
          </cell>
          <cell r="L6095">
            <v>0</v>
          </cell>
          <cell r="M6095">
            <v>0</v>
          </cell>
          <cell r="N6095">
            <v>0</v>
          </cell>
          <cell r="O6095">
            <v>1.8066E-3</v>
          </cell>
          <cell r="P6095">
            <v>0</v>
          </cell>
          <cell r="Q6095">
            <v>0</v>
          </cell>
          <cell r="R6095">
            <v>0</v>
          </cell>
          <cell r="S6095">
            <v>0</v>
          </cell>
          <cell r="T6095">
            <v>0</v>
          </cell>
          <cell r="U6095">
            <v>0</v>
          </cell>
          <cell r="V6095">
            <v>0</v>
          </cell>
          <cell r="W6095">
            <v>0</v>
          </cell>
          <cell r="X6095">
            <v>6.0131999999999998E-3</v>
          </cell>
          <cell r="Y6095">
            <v>0</v>
          </cell>
          <cell r="Z6095">
            <v>0</v>
          </cell>
          <cell r="AA6095">
            <v>0</v>
          </cell>
          <cell r="AB6095">
            <v>0</v>
          </cell>
        </row>
        <row r="6096">
          <cell r="A6096">
            <v>93301191</v>
          </cell>
          <cell r="B6096" t="str">
            <v>Rum and diet cola</v>
          </cell>
          <cell r="I6096">
            <v>240</v>
          </cell>
          <cell r="J6096">
            <v>144.06515999999999</v>
          </cell>
          <cell r="K6096">
            <v>0.60027149999999996</v>
          </cell>
          <cell r="L6096">
            <v>0</v>
          </cell>
          <cell r="M6096">
            <v>0</v>
          </cell>
          <cell r="N6096">
            <v>0</v>
          </cell>
          <cell r="O6096">
            <v>5.3756000000000003E-3</v>
          </cell>
          <cell r="P6096">
            <v>0</v>
          </cell>
          <cell r="Q6096">
            <v>0</v>
          </cell>
          <cell r="R6096">
            <v>0</v>
          </cell>
          <cell r="S6096">
            <v>0</v>
          </cell>
          <cell r="T6096">
            <v>0</v>
          </cell>
          <cell r="U6096">
            <v>0</v>
          </cell>
          <cell r="V6096">
            <v>0</v>
          </cell>
          <cell r="W6096">
            <v>0</v>
          </cell>
          <cell r="X6096">
            <v>1.4943E-2</v>
          </cell>
          <cell r="Y6096">
            <v>0</v>
          </cell>
          <cell r="Z6096">
            <v>0</v>
          </cell>
          <cell r="AA6096">
            <v>0</v>
          </cell>
          <cell r="AB6096">
            <v>0</v>
          </cell>
        </row>
        <row r="6097">
          <cell r="A6097">
            <v>93301200</v>
          </cell>
          <cell r="B6097" t="str">
            <v>Pina Colada</v>
          </cell>
          <cell r="I6097">
            <v>240</v>
          </cell>
          <cell r="J6097">
            <v>361.78487000000001</v>
          </cell>
          <cell r="K6097">
            <v>1.5074369583333334</v>
          </cell>
          <cell r="L6097">
            <v>0.2813445</v>
          </cell>
          <cell r="M6097">
            <v>4.6918588000000003</v>
          </cell>
          <cell r="N6097">
            <v>0</v>
          </cell>
          <cell r="O6097">
            <v>1.9623499999999999E-2</v>
          </cell>
          <cell r="P6097">
            <v>6.0504200000000001E-2</v>
          </cell>
          <cell r="Q6097">
            <v>0.10718320000000001</v>
          </cell>
          <cell r="R6097">
            <v>0</v>
          </cell>
          <cell r="S6097">
            <v>0</v>
          </cell>
          <cell r="T6097">
            <v>140.67227</v>
          </cell>
          <cell r="U6097">
            <v>0</v>
          </cell>
          <cell r="V6097">
            <v>0</v>
          </cell>
          <cell r="W6097">
            <v>0</v>
          </cell>
          <cell r="X6097">
            <v>1.4395E-2</v>
          </cell>
          <cell r="Y6097">
            <v>0</v>
          </cell>
          <cell r="Z6097">
            <v>0</v>
          </cell>
          <cell r="AA6097">
            <v>0</v>
          </cell>
          <cell r="AB6097">
            <v>1.0939600000000001E-2</v>
          </cell>
        </row>
        <row r="6098">
          <cell r="A6098">
            <v>93301205</v>
          </cell>
          <cell r="B6098" t="str">
            <v>Brandy and cola</v>
          </cell>
          <cell r="I6098">
            <v>240</v>
          </cell>
          <cell r="J6098">
            <v>212.94834</v>
          </cell>
          <cell r="K6098">
            <v>0.88728474999999996</v>
          </cell>
          <cell r="L6098">
            <v>0</v>
          </cell>
          <cell r="M6098">
            <v>0</v>
          </cell>
          <cell r="N6098">
            <v>0</v>
          </cell>
          <cell r="O6098">
            <v>1.8066E-3</v>
          </cell>
          <cell r="P6098">
            <v>0</v>
          </cell>
          <cell r="Q6098">
            <v>0</v>
          </cell>
          <cell r="R6098">
            <v>0</v>
          </cell>
          <cell r="S6098">
            <v>0</v>
          </cell>
          <cell r="T6098">
            <v>0</v>
          </cell>
          <cell r="U6098">
            <v>0</v>
          </cell>
          <cell r="V6098">
            <v>0</v>
          </cell>
          <cell r="W6098">
            <v>0</v>
          </cell>
          <cell r="X6098">
            <v>6.0131999999999998E-3</v>
          </cell>
          <cell r="Y6098">
            <v>0</v>
          </cell>
          <cell r="Z6098">
            <v>0</v>
          </cell>
          <cell r="AA6098">
            <v>0</v>
          </cell>
          <cell r="AB6098">
            <v>0</v>
          </cell>
        </row>
        <row r="6099">
          <cell r="A6099">
            <v>93301211</v>
          </cell>
          <cell r="B6099" t="str">
            <v>Vodka and soda</v>
          </cell>
          <cell r="I6099">
            <v>240</v>
          </cell>
          <cell r="J6099">
            <v>140.48145</v>
          </cell>
          <cell r="K6099">
            <v>0.585339375</v>
          </cell>
          <cell r="L6099">
            <v>0</v>
          </cell>
          <cell r="M6099">
            <v>0</v>
          </cell>
          <cell r="N6099">
            <v>0</v>
          </cell>
          <cell r="O6099">
            <v>8.9592999999999999E-3</v>
          </cell>
          <cell r="P6099">
            <v>0</v>
          </cell>
          <cell r="Q6099">
            <v>0</v>
          </cell>
          <cell r="R6099">
            <v>0</v>
          </cell>
          <cell r="S6099">
            <v>0</v>
          </cell>
          <cell r="T6099">
            <v>0</v>
          </cell>
          <cell r="U6099">
            <v>0</v>
          </cell>
          <cell r="V6099">
            <v>0</v>
          </cell>
          <cell r="W6099">
            <v>0</v>
          </cell>
          <cell r="X6099">
            <v>3.8237100000000003E-2</v>
          </cell>
          <cell r="Y6099">
            <v>0</v>
          </cell>
          <cell r="Z6099">
            <v>0</v>
          </cell>
          <cell r="AA6099">
            <v>0</v>
          </cell>
          <cell r="AB6099">
            <v>0</v>
          </cell>
        </row>
        <row r="6100">
          <cell r="A6100">
            <v>93301213</v>
          </cell>
          <cell r="B6100" t="str">
            <v>Vodka and lemonade</v>
          </cell>
          <cell r="I6100">
            <v>240</v>
          </cell>
          <cell r="J6100">
            <v>222.90679</v>
          </cell>
          <cell r="K6100">
            <v>0.9287782916666667</v>
          </cell>
          <cell r="L6100">
            <v>0</v>
          </cell>
          <cell r="M6100">
            <v>0</v>
          </cell>
          <cell r="N6100">
            <v>0</v>
          </cell>
          <cell r="O6100">
            <v>3.5837E-3</v>
          </cell>
          <cell r="P6100">
            <v>0</v>
          </cell>
          <cell r="Q6100">
            <v>0</v>
          </cell>
          <cell r="R6100">
            <v>0</v>
          </cell>
          <cell r="S6100">
            <v>0</v>
          </cell>
          <cell r="T6100">
            <v>0</v>
          </cell>
          <cell r="U6100">
            <v>0</v>
          </cell>
          <cell r="V6100">
            <v>0</v>
          </cell>
          <cell r="W6100">
            <v>0</v>
          </cell>
          <cell r="X6100">
            <v>1.1359299999999999E-2</v>
          </cell>
          <cell r="Y6100">
            <v>0</v>
          </cell>
          <cell r="Z6100">
            <v>0</v>
          </cell>
          <cell r="AA6100">
            <v>0</v>
          </cell>
          <cell r="AB6100">
            <v>0</v>
          </cell>
        </row>
        <row r="6101">
          <cell r="A6101">
            <v>93301214</v>
          </cell>
          <cell r="B6101" t="str">
            <v>Vodka and cola</v>
          </cell>
          <cell r="I6101">
            <v>240</v>
          </cell>
          <cell r="J6101">
            <v>212.94834</v>
          </cell>
          <cell r="K6101">
            <v>0.88728474999999996</v>
          </cell>
          <cell r="L6101">
            <v>0</v>
          </cell>
          <cell r="M6101">
            <v>0</v>
          </cell>
          <cell r="N6101">
            <v>0</v>
          </cell>
          <cell r="O6101">
            <v>1.8066E-3</v>
          </cell>
          <cell r="P6101">
            <v>0</v>
          </cell>
          <cell r="Q6101">
            <v>0</v>
          </cell>
          <cell r="R6101">
            <v>0</v>
          </cell>
          <cell r="S6101">
            <v>0</v>
          </cell>
          <cell r="T6101">
            <v>0</v>
          </cell>
          <cell r="U6101">
            <v>0</v>
          </cell>
          <cell r="V6101">
            <v>0</v>
          </cell>
          <cell r="W6101">
            <v>0</v>
          </cell>
          <cell r="X6101">
            <v>6.0131999999999998E-3</v>
          </cell>
          <cell r="Y6101">
            <v>0</v>
          </cell>
          <cell r="Z6101">
            <v>0</v>
          </cell>
          <cell r="AA6101">
            <v>0</v>
          </cell>
          <cell r="AB6101">
            <v>0</v>
          </cell>
        </row>
        <row r="6102">
          <cell r="A6102">
            <v>93301215</v>
          </cell>
          <cell r="B6102" t="str">
            <v>Vodka and diet cola</v>
          </cell>
          <cell r="I6102">
            <v>240</v>
          </cell>
          <cell r="J6102">
            <v>144.06515999999999</v>
          </cell>
          <cell r="K6102">
            <v>0.60027149999999996</v>
          </cell>
          <cell r="L6102">
            <v>0</v>
          </cell>
          <cell r="M6102">
            <v>0</v>
          </cell>
          <cell r="N6102">
            <v>0</v>
          </cell>
          <cell r="O6102">
            <v>5.3756000000000003E-3</v>
          </cell>
          <cell r="P6102">
            <v>0</v>
          </cell>
          <cell r="Q6102">
            <v>0</v>
          </cell>
          <cell r="R6102">
            <v>0</v>
          </cell>
          <cell r="S6102">
            <v>0</v>
          </cell>
          <cell r="T6102">
            <v>0</v>
          </cell>
          <cell r="U6102">
            <v>0</v>
          </cell>
          <cell r="V6102">
            <v>0</v>
          </cell>
          <cell r="W6102">
            <v>0</v>
          </cell>
          <cell r="X6102">
            <v>1.4943E-2</v>
          </cell>
          <cell r="Y6102">
            <v>0</v>
          </cell>
          <cell r="Z6102">
            <v>0</v>
          </cell>
          <cell r="AA6102">
            <v>0</v>
          </cell>
          <cell r="AB6102">
            <v>0</v>
          </cell>
        </row>
        <row r="6103">
          <cell r="A6103">
            <v>93301216</v>
          </cell>
          <cell r="B6103" t="str">
            <v>Vodka and energy drink</v>
          </cell>
          <cell r="I6103">
            <v>240</v>
          </cell>
          <cell r="J6103">
            <v>215.00176999999999</v>
          </cell>
          <cell r="K6103">
            <v>0.89584070833333329</v>
          </cell>
          <cell r="L6103">
            <v>0</v>
          </cell>
          <cell r="M6103">
            <v>0</v>
          </cell>
          <cell r="N6103">
            <v>0</v>
          </cell>
          <cell r="O6103">
            <v>1.08319E-2</v>
          </cell>
          <cell r="P6103">
            <v>0</v>
          </cell>
          <cell r="Q6103">
            <v>0</v>
          </cell>
          <cell r="R6103">
            <v>0</v>
          </cell>
          <cell r="S6103">
            <v>0</v>
          </cell>
          <cell r="T6103">
            <v>0</v>
          </cell>
          <cell r="U6103">
            <v>0</v>
          </cell>
          <cell r="V6103">
            <v>0</v>
          </cell>
          <cell r="W6103">
            <v>0</v>
          </cell>
          <cell r="X6103">
            <v>7.1001800000000004E-2</v>
          </cell>
          <cell r="Y6103">
            <v>0</v>
          </cell>
          <cell r="Z6103">
            <v>0</v>
          </cell>
          <cell r="AA6103">
            <v>0</v>
          </cell>
          <cell r="AB6103">
            <v>0</v>
          </cell>
        </row>
        <row r="6104">
          <cell r="A6104">
            <v>93301217</v>
          </cell>
          <cell r="B6104" t="str">
            <v>Vodka and water</v>
          </cell>
          <cell r="I6104">
            <v>240</v>
          </cell>
          <cell r="J6104">
            <v>141.80453</v>
          </cell>
          <cell r="K6104">
            <v>0.5908522083333333</v>
          </cell>
          <cell r="L6104">
            <v>0</v>
          </cell>
          <cell r="M6104">
            <v>0</v>
          </cell>
          <cell r="N6104">
            <v>0</v>
          </cell>
          <cell r="O6104">
            <v>5.3584000000000001E-3</v>
          </cell>
          <cell r="P6104">
            <v>0</v>
          </cell>
          <cell r="Q6104">
            <v>0</v>
          </cell>
          <cell r="R6104">
            <v>0</v>
          </cell>
          <cell r="S6104">
            <v>0</v>
          </cell>
          <cell r="T6104">
            <v>0</v>
          </cell>
          <cell r="U6104">
            <v>0</v>
          </cell>
          <cell r="V6104">
            <v>0</v>
          </cell>
          <cell r="W6104">
            <v>0</v>
          </cell>
          <cell r="X6104">
            <v>7.7584000000000004E-3</v>
          </cell>
          <cell r="Y6104">
            <v>0</v>
          </cell>
          <cell r="Z6104">
            <v>0</v>
          </cell>
          <cell r="AA6104">
            <v>0</v>
          </cell>
          <cell r="AB6104">
            <v>0</v>
          </cell>
        </row>
        <row r="6105">
          <cell r="A6105">
            <v>93301218</v>
          </cell>
          <cell r="B6105" t="str">
            <v>Vodka and tonic</v>
          </cell>
          <cell r="I6105">
            <v>240</v>
          </cell>
          <cell r="J6105">
            <v>201.40451999999999</v>
          </cell>
          <cell r="K6105">
            <v>0.83918549999999992</v>
          </cell>
          <cell r="L6105">
            <v>0</v>
          </cell>
          <cell r="M6105">
            <v>0</v>
          </cell>
          <cell r="N6105">
            <v>0</v>
          </cell>
          <cell r="O6105">
            <v>1.7918999999999999E-3</v>
          </cell>
          <cell r="P6105">
            <v>0</v>
          </cell>
          <cell r="Q6105">
            <v>0</v>
          </cell>
          <cell r="R6105">
            <v>0</v>
          </cell>
          <cell r="S6105">
            <v>0</v>
          </cell>
          <cell r="T6105">
            <v>0</v>
          </cell>
          <cell r="U6105">
            <v>0</v>
          </cell>
          <cell r="V6105">
            <v>0</v>
          </cell>
          <cell r="W6105">
            <v>0</v>
          </cell>
          <cell r="X6105">
            <v>2.2110399999999999E-2</v>
          </cell>
          <cell r="Y6105">
            <v>0</v>
          </cell>
          <cell r="Z6105">
            <v>0</v>
          </cell>
          <cell r="AA6105">
            <v>0</v>
          </cell>
          <cell r="AB6105">
            <v>0</v>
          </cell>
        </row>
        <row r="6106">
          <cell r="A6106">
            <v>93301220</v>
          </cell>
          <cell r="B6106" t="str">
            <v>Coquito, Puerto Rican (coconut, rum)</v>
          </cell>
          <cell r="I6106">
            <v>240</v>
          </cell>
          <cell r="J6106">
            <v>573.92597000000001</v>
          </cell>
          <cell r="K6106">
            <v>2.3913582083333336</v>
          </cell>
          <cell r="L6106">
            <v>0</v>
          </cell>
          <cell r="M6106">
            <v>11.785447</v>
          </cell>
          <cell r="N6106">
            <v>0</v>
          </cell>
          <cell r="O6106">
            <v>0.29696709999999998</v>
          </cell>
          <cell r="P6106">
            <v>0.60116700000000001</v>
          </cell>
          <cell r="Q6106">
            <v>0.70494190000000001</v>
          </cell>
          <cell r="R6106">
            <v>0</v>
          </cell>
          <cell r="S6106">
            <v>0</v>
          </cell>
          <cell r="T6106">
            <v>0</v>
          </cell>
          <cell r="U6106">
            <v>0</v>
          </cell>
          <cell r="V6106">
            <v>0</v>
          </cell>
          <cell r="W6106">
            <v>0</v>
          </cell>
          <cell r="X6106">
            <v>0.1307159</v>
          </cell>
          <cell r="Y6106">
            <v>0</v>
          </cell>
          <cell r="Z6106">
            <v>0</v>
          </cell>
          <cell r="AA6106">
            <v>0</v>
          </cell>
          <cell r="AB6106">
            <v>0.54768879999999998</v>
          </cell>
        </row>
        <row r="6107">
          <cell r="A6107">
            <v>93301240</v>
          </cell>
          <cell r="B6107" t="str">
            <v>Black Russian</v>
          </cell>
          <cell r="I6107">
            <v>240</v>
          </cell>
          <cell r="J6107">
            <v>668.58749999999998</v>
          </cell>
          <cell r="K6107">
            <v>2.7857812499999999</v>
          </cell>
          <cell r="L6107">
            <v>0</v>
          </cell>
          <cell r="M6107">
            <v>0.115275</v>
          </cell>
          <cell r="N6107">
            <v>0</v>
          </cell>
          <cell r="O6107">
            <v>1.0874999999999999E-3</v>
          </cell>
          <cell r="P6107">
            <v>0</v>
          </cell>
          <cell r="Q6107">
            <v>0.1141875</v>
          </cell>
          <cell r="R6107">
            <v>0</v>
          </cell>
          <cell r="S6107">
            <v>0</v>
          </cell>
          <cell r="T6107">
            <v>0</v>
          </cell>
          <cell r="U6107">
            <v>0</v>
          </cell>
          <cell r="V6107">
            <v>0</v>
          </cell>
          <cell r="W6107">
            <v>0</v>
          </cell>
          <cell r="X6107">
            <v>1.0012500000000001E-2</v>
          </cell>
          <cell r="Y6107">
            <v>0</v>
          </cell>
          <cell r="Z6107">
            <v>0</v>
          </cell>
          <cell r="AA6107">
            <v>0</v>
          </cell>
          <cell r="AB6107">
            <v>0</v>
          </cell>
        </row>
        <row r="6108">
          <cell r="A6108">
            <v>93301250</v>
          </cell>
          <cell r="B6108" t="str">
            <v>White Russian</v>
          </cell>
          <cell r="I6108">
            <v>240</v>
          </cell>
          <cell r="J6108">
            <v>421.82972999999998</v>
          </cell>
          <cell r="K6108">
            <v>1.7576238749999999</v>
          </cell>
          <cell r="L6108">
            <v>0</v>
          </cell>
          <cell r="M6108">
            <v>11.563302</v>
          </cell>
          <cell r="N6108">
            <v>0</v>
          </cell>
          <cell r="O6108">
            <v>0.17569019999999999</v>
          </cell>
          <cell r="P6108">
            <v>0</v>
          </cell>
          <cell r="Q6108">
            <v>0.95179780000000003</v>
          </cell>
          <cell r="R6108">
            <v>0</v>
          </cell>
          <cell r="S6108">
            <v>0</v>
          </cell>
          <cell r="T6108">
            <v>0</v>
          </cell>
          <cell r="U6108">
            <v>0</v>
          </cell>
          <cell r="V6108">
            <v>0</v>
          </cell>
          <cell r="W6108">
            <v>0</v>
          </cell>
          <cell r="X6108">
            <v>0.1036368</v>
          </cell>
          <cell r="Y6108">
            <v>0</v>
          </cell>
          <cell r="Z6108">
            <v>0</v>
          </cell>
          <cell r="AA6108">
            <v>0</v>
          </cell>
          <cell r="AB6108">
            <v>0.76004039999999995</v>
          </cell>
        </row>
        <row r="6109">
          <cell r="A6109">
            <v>93301270</v>
          </cell>
          <cell r="B6109" t="str">
            <v>Fruit punch, alcoholic</v>
          </cell>
          <cell r="I6109">
            <v>240</v>
          </cell>
          <cell r="J6109">
            <v>215.65827999999999</v>
          </cell>
          <cell r="K6109">
            <v>0.89857616666666662</v>
          </cell>
          <cell r="L6109">
            <v>0.1806623</v>
          </cell>
          <cell r="M6109">
            <v>7.2265000000000003E-3</v>
          </cell>
          <cell r="N6109">
            <v>0</v>
          </cell>
          <cell r="O6109">
            <v>1.4453000000000001E-2</v>
          </cell>
          <cell r="P6109">
            <v>0</v>
          </cell>
          <cell r="Q6109">
            <v>3.7939100000000003E-2</v>
          </cell>
          <cell r="R6109">
            <v>0</v>
          </cell>
          <cell r="S6109">
            <v>0</v>
          </cell>
          <cell r="T6109">
            <v>90.331125999999998</v>
          </cell>
          <cell r="U6109">
            <v>0</v>
          </cell>
          <cell r="V6109">
            <v>0</v>
          </cell>
          <cell r="W6109">
            <v>0</v>
          </cell>
          <cell r="X6109">
            <v>8.7232000000000004E-3</v>
          </cell>
          <cell r="Y6109">
            <v>0</v>
          </cell>
          <cell r="Z6109">
            <v>0</v>
          </cell>
          <cell r="AA6109">
            <v>0</v>
          </cell>
          <cell r="AB6109">
            <v>0</v>
          </cell>
        </row>
        <row r="6110">
          <cell r="A6110">
            <v>93301310</v>
          </cell>
          <cell r="B6110" t="str">
            <v>Mai Tai</v>
          </cell>
          <cell r="I6110">
            <v>240</v>
          </cell>
          <cell r="J6110">
            <v>375.52174000000002</v>
          </cell>
          <cell r="K6110">
            <v>1.5646739166666668</v>
          </cell>
          <cell r="L6110">
            <v>0.24260870000000001</v>
          </cell>
          <cell r="M6110">
            <v>1.24435E-2</v>
          </cell>
          <cell r="N6110">
            <v>0</v>
          </cell>
          <cell r="O6110">
            <v>1.7334800000000001E-2</v>
          </cell>
          <cell r="P6110">
            <v>0</v>
          </cell>
          <cell r="Q6110">
            <v>8.3621699999999993E-2</v>
          </cell>
          <cell r="R6110">
            <v>0</v>
          </cell>
          <cell r="S6110">
            <v>0</v>
          </cell>
          <cell r="T6110">
            <v>121.30435</v>
          </cell>
          <cell r="U6110">
            <v>0</v>
          </cell>
          <cell r="V6110">
            <v>0</v>
          </cell>
          <cell r="W6110">
            <v>0</v>
          </cell>
          <cell r="X6110">
            <v>1.11783E-2</v>
          </cell>
          <cell r="Y6110">
            <v>0</v>
          </cell>
          <cell r="Z6110">
            <v>0</v>
          </cell>
          <cell r="AA6110">
            <v>0</v>
          </cell>
          <cell r="AB6110">
            <v>9.9932000000000007E-3</v>
          </cell>
        </row>
        <row r="6111">
          <cell r="A6111">
            <v>93301320</v>
          </cell>
          <cell r="B6111" t="str">
            <v>Tequila Sunrise</v>
          </cell>
          <cell r="I6111">
            <v>240</v>
          </cell>
          <cell r="J6111">
            <v>267.87013000000002</v>
          </cell>
          <cell r="K6111">
            <v>1.1161255416666667</v>
          </cell>
          <cell r="L6111">
            <v>0.48311690000000002</v>
          </cell>
          <cell r="M6111">
            <v>2.25455E-2</v>
          </cell>
          <cell r="N6111">
            <v>0</v>
          </cell>
          <cell r="O6111">
            <v>9.1670100000000004E-2</v>
          </cell>
          <cell r="P6111">
            <v>0</v>
          </cell>
          <cell r="Q6111">
            <v>4.8311699999999999E-2</v>
          </cell>
          <cell r="R6111">
            <v>0</v>
          </cell>
          <cell r="S6111">
            <v>0</v>
          </cell>
          <cell r="T6111">
            <v>161.03896</v>
          </cell>
          <cell r="U6111">
            <v>0</v>
          </cell>
          <cell r="V6111">
            <v>0</v>
          </cell>
          <cell r="W6111">
            <v>0</v>
          </cell>
          <cell r="X6111">
            <v>9.4129999999999995E-3</v>
          </cell>
          <cell r="Y6111">
            <v>0</v>
          </cell>
          <cell r="Z6111">
            <v>0</v>
          </cell>
          <cell r="AA6111">
            <v>0</v>
          </cell>
          <cell r="AB6111">
            <v>1.9423999999999999E-3</v>
          </cell>
        </row>
        <row r="6112">
          <cell r="A6112">
            <v>93301360</v>
          </cell>
          <cell r="B6112" t="str">
            <v>Long Island iced tea</v>
          </cell>
          <cell r="I6112">
            <v>240</v>
          </cell>
          <cell r="J6112">
            <v>256.8</v>
          </cell>
          <cell r="K6112">
            <v>1.07</v>
          </cell>
          <cell r="L6112">
            <v>0</v>
          </cell>
          <cell r="M6112">
            <v>2.6453000000000002E-3</v>
          </cell>
          <cell r="N6112">
            <v>0</v>
          </cell>
          <cell r="O6112">
            <v>1.9840000000000001E-3</v>
          </cell>
          <cell r="P6112">
            <v>0</v>
          </cell>
          <cell r="Q6112">
            <v>6.6132999999999999E-3</v>
          </cell>
          <cell r="R6112">
            <v>0</v>
          </cell>
          <cell r="S6112">
            <v>0</v>
          </cell>
          <cell r="T6112">
            <v>0</v>
          </cell>
          <cell r="U6112">
            <v>0</v>
          </cell>
          <cell r="V6112">
            <v>0</v>
          </cell>
          <cell r="W6112">
            <v>0</v>
          </cell>
          <cell r="X6112">
            <v>3.8442700000000003E-2</v>
          </cell>
          <cell r="Y6112">
            <v>0</v>
          </cell>
          <cell r="Z6112">
            <v>0</v>
          </cell>
          <cell r="AA6112">
            <v>0</v>
          </cell>
          <cell r="AB6112">
            <v>0</v>
          </cell>
        </row>
        <row r="6113">
          <cell r="A6113">
            <v>93301400</v>
          </cell>
          <cell r="B6113" t="str">
            <v>Irish Coffee</v>
          </cell>
          <cell r="I6113">
            <v>240</v>
          </cell>
          <cell r="J6113">
            <v>210.86212</v>
          </cell>
          <cell r="K6113">
            <v>0.87859216666666673</v>
          </cell>
          <cell r="L6113">
            <v>0</v>
          </cell>
          <cell r="M6113">
            <v>3.6713749</v>
          </cell>
          <cell r="N6113">
            <v>0</v>
          </cell>
          <cell r="O6113">
            <v>1.37544E-2</v>
          </cell>
          <cell r="P6113">
            <v>0</v>
          </cell>
          <cell r="Q6113">
            <v>0.25164429999999999</v>
          </cell>
          <cell r="R6113">
            <v>0</v>
          </cell>
          <cell r="S6113">
            <v>0</v>
          </cell>
          <cell r="T6113">
            <v>0</v>
          </cell>
          <cell r="U6113">
            <v>0</v>
          </cell>
          <cell r="V6113">
            <v>0</v>
          </cell>
          <cell r="W6113">
            <v>0</v>
          </cell>
          <cell r="X6113">
            <v>8.1401000000000008E-3</v>
          </cell>
          <cell r="Y6113">
            <v>0</v>
          </cell>
          <cell r="Z6113">
            <v>0</v>
          </cell>
          <cell r="AA6113">
            <v>0</v>
          </cell>
          <cell r="AB6113">
            <v>0.37151070000000003</v>
          </cell>
        </row>
        <row r="6114">
          <cell r="A6114">
            <v>93301450</v>
          </cell>
          <cell r="B6114" t="str">
            <v>Liqueur with cream</v>
          </cell>
          <cell r="I6114">
            <v>31.1</v>
          </cell>
          <cell r="J6114">
            <v>101.697</v>
          </cell>
          <cell r="K6114">
            <v>3.27</v>
          </cell>
          <cell r="L6114">
            <v>0</v>
          </cell>
          <cell r="M6114">
            <v>3.0055040000000002</v>
          </cell>
          <cell r="N6114">
            <v>0</v>
          </cell>
          <cell r="O6114">
            <v>4.9760000000000004E-3</v>
          </cell>
          <cell r="P6114">
            <v>0</v>
          </cell>
          <cell r="Q6114">
            <v>0.20805899999999999</v>
          </cell>
          <cell r="R6114">
            <v>0</v>
          </cell>
          <cell r="S6114">
            <v>0</v>
          </cell>
          <cell r="T6114">
            <v>0</v>
          </cell>
          <cell r="U6114">
            <v>0</v>
          </cell>
          <cell r="V6114">
            <v>0</v>
          </cell>
          <cell r="W6114">
            <v>0</v>
          </cell>
          <cell r="X6114">
            <v>2.8611999999999999E-2</v>
          </cell>
          <cell r="Y6114">
            <v>0</v>
          </cell>
          <cell r="Z6114">
            <v>0</v>
          </cell>
          <cell r="AA6114">
            <v>0</v>
          </cell>
          <cell r="AB6114">
            <v>0.1850588</v>
          </cell>
        </row>
        <row r="6115">
          <cell r="A6115">
            <v>93301500</v>
          </cell>
          <cell r="B6115" t="str">
            <v>Frozen daiquiri</v>
          </cell>
          <cell r="I6115">
            <v>240</v>
          </cell>
          <cell r="J6115">
            <v>305.27757000000003</v>
          </cell>
          <cell r="K6115">
            <v>1.271989875</v>
          </cell>
          <cell r="L6115">
            <v>0</v>
          </cell>
          <cell r="M6115">
            <v>1.42165E-2</v>
          </cell>
          <cell r="N6115">
            <v>0</v>
          </cell>
          <cell r="O6115">
            <v>3.5975999999999998E-3</v>
          </cell>
          <cell r="P6115">
            <v>0</v>
          </cell>
          <cell r="Q6115">
            <v>3.5541299999999998E-2</v>
          </cell>
          <cell r="R6115">
            <v>0</v>
          </cell>
          <cell r="S6115">
            <v>0</v>
          </cell>
          <cell r="T6115">
            <v>0</v>
          </cell>
          <cell r="U6115">
            <v>0</v>
          </cell>
          <cell r="V6115">
            <v>0</v>
          </cell>
          <cell r="W6115">
            <v>0</v>
          </cell>
          <cell r="X6115">
            <v>0.18188380000000001</v>
          </cell>
          <cell r="Y6115">
            <v>0</v>
          </cell>
          <cell r="Z6115">
            <v>0</v>
          </cell>
          <cell r="AA6115">
            <v>0</v>
          </cell>
          <cell r="AB6115">
            <v>8.9844E-3</v>
          </cell>
        </row>
        <row r="6116">
          <cell r="A6116">
            <v>93301510</v>
          </cell>
          <cell r="B6116" t="str">
            <v>Frozen margarita</v>
          </cell>
          <cell r="I6116">
            <v>240</v>
          </cell>
          <cell r="J6116">
            <v>293.27525000000003</v>
          </cell>
          <cell r="K6116">
            <v>1.2219802083333335</v>
          </cell>
          <cell r="L6116">
            <v>0</v>
          </cell>
          <cell r="M6116">
            <v>1.4405299999999999E-2</v>
          </cell>
          <cell r="N6116">
            <v>0</v>
          </cell>
          <cell r="O6116">
            <v>3.7913999999999999E-3</v>
          </cell>
          <cell r="P6116">
            <v>0</v>
          </cell>
          <cell r="Q6116">
            <v>3.6013200000000002E-2</v>
          </cell>
          <cell r="R6116">
            <v>0</v>
          </cell>
          <cell r="S6116">
            <v>0</v>
          </cell>
          <cell r="T6116">
            <v>0</v>
          </cell>
          <cell r="U6116">
            <v>0</v>
          </cell>
          <cell r="V6116">
            <v>0</v>
          </cell>
          <cell r="W6116">
            <v>0</v>
          </cell>
          <cell r="X6116">
            <v>0.49125279999999999</v>
          </cell>
          <cell r="Y6116">
            <v>0</v>
          </cell>
          <cell r="Z6116">
            <v>0</v>
          </cell>
          <cell r="AA6116">
            <v>0</v>
          </cell>
          <cell r="AB6116">
            <v>0</v>
          </cell>
        </row>
        <row r="6117">
          <cell r="A6117">
            <v>93401010</v>
          </cell>
          <cell r="B6117" t="str">
            <v>Wine, table, red</v>
          </cell>
          <cell r="I6117">
            <v>240</v>
          </cell>
          <cell r="J6117">
            <v>204</v>
          </cell>
          <cell r="K6117">
            <v>0.85</v>
          </cell>
          <cell r="L6117">
            <v>0</v>
          </cell>
          <cell r="M6117">
            <v>0</v>
          </cell>
          <cell r="N6117">
            <v>0</v>
          </cell>
          <cell r="O6117">
            <v>1.9199999999999998E-2</v>
          </cell>
          <cell r="P6117">
            <v>0</v>
          </cell>
          <cell r="Q6117">
            <v>0</v>
          </cell>
          <cell r="R6117">
            <v>0</v>
          </cell>
          <cell r="S6117">
            <v>0</v>
          </cell>
          <cell r="T6117">
            <v>0</v>
          </cell>
          <cell r="U6117">
            <v>0</v>
          </cell>
          <cell r="V6117">
            <v>0</v>
          </cell>
          <cell r="W6117">
            <v>0</v>
          </cell>
          <cell r="X6117">
            <v>9.5999999999999992E-3</v>
          </cell>
          <cell r="Y6117">
            <v>0</v>
          </cell>
          <cell r="Z6117">
            <v>0</v>
          </cell>
          <cell r="AA6117">
            <v>0</v>
          </cell>
          <cell r="AB6117">
            <v>0</v>
          </cell>
        </row>
        <row r="6118">
          <cell r="A6118">
            <v>93401020</v>
          </cell>
          <cell r="B6118" t="str">
            <v>Wine, table, white</v>
          </cell>
          <cell r="I6118">
            <v>240</v>
          </cell>
          <cell r="J6118">
            <v>196.8</v>
          </cell>
          <cell r="K6118">
            <v>0.82000000000000006</v>
          </cell>
          <cell r="L6118">
            <v>0</v>
          </cell>
          <cell r="M6118">
            <v>0</v>
          </cell>
          <cell r="N6118">
            <v>0</v>
          </cell>
          <cell r="O6118">
            <v>2.1600000000000001E-2</v>
          </cell>
          <cell r="P6118">
            <v>0</v>
          </cell>
          <cell r="Q6118">
            <v>0</v>
          </cell>
          <cell r="R6118">
            <v>0</v>
          </cell>
          <cell r="S6118">
            <v>0</v>
          </cell>
          <cell r="T6118">
            <v>0</v>
          </cell>
          <cell r="U6118">
            <v>0</v>
          </cell>
          <cell r="V6118">
            <v>0</v>
          </cell>
          <cell r="W6118">
            <v>0</v>
          </cell>
          <cell r="X6118">
            <v>1.2E-2</v>
          </cell>
          <cell r="Y6118">
            <v>0</v>
          </cell>
          <cell r="Z6118">
            <v>0</v>
          </cell>
          <cell r="AA6118">
            <v>0</v>
          </cell>
          <cell r="AB6118">
            <v>0</v>
          </cell>
        </row>
        <row r="6119">
          <cell r="A6119">
            <v>93401030</v>
          </cell>
          <cell r="B6119" t="str">
            <v>Wine, table, rose</v>
          </cell>
          <cell r="I6119">
            <v>240</v>
          </cell>
          <cell r="J6119">
            <v>199.2</v>
          </cell>
          <cell r="K6119">
            <v>0.83</v>
          </cell>
          <cell r="L6119">
            <v>0</v>
          </cell>
          <cell r="M6119">
            <v>0</v>
          </cell>
          <cell r="N6119">
            <v>0</v>
          </cell>
          <cell r="O6119">
            <v>2.4E-2</v>
          </cell>
          <cell r="P6119">
            <v>0</v>
          </cell>
          <cell r="Q6119">
            <v>0</v>
          </cell>
          <cell r="R6119">
            <v>0</v>
          </cell>
          <cell r="S6119">
            <v>0</v>
          </cell>
          <cell r="T6119">
            <v>0</v>
          </cell>
          <cell r="U6119">
            <v>0</v>
          </cell>
          <cell r="V6119">
            <v>0</v>
          </cell>
          <cell r="W6119">
            <v>0</v>
          </cell>
          <cell r="X6119">
            <v>1.2E-2</v>
          </cell>
          <cell r="Y6119">
            <v>0</v>
          </cell>
          <cell r="Z6119">
            <v>0</v>
          </cell>
          <cell r="AA6119">
            <v>0</v>
          </cell>
          <cell r="AB6119">
            <v>0</v>
          </cell>
        </row>
        <row r="6120">
          <cell r="A6120">
            <v>93401100</v>
          </cell>
          <cell r="B6120" t="str">
            <v>Wine, rice</v>
          </cell>
          <cell r="I6120">
            <v>240</v>
          </cell>
          <cell r="J6120">
            <v>321.60000000000002</v>
          </cell>
          <cell r="K6120">
            <v>1.34</v>
          </cell>
          <cell r="L6120">
            <v>0</v>
          </cell>
          <cell r="M6120">
            <v>0</v>
          </cell>
          <cell r="N6120">
            <v>0</v>
          </cell>
          <cell r="O6120">
            <v>1.2E-2</v>
          </cell>
          <cell r="P6120">
            <v>0</v>
          </cell>
          <cell r="Q6120">
            <v>0</v>
          </cell>
          <cell r="R6120">
            <v>0</v>
          </cell>
          <cell r="S6120">
            <v>0</v>
          </cell>
          <cell r="T6120">
            <v>0</v>
          </cell>
          <cell r="U6120">
            <v>0</v>
          </cell>
          <cell r="V6120">
            <v>0</v>
          </cell>
          <cell r="W6120">
            <v>0</v>
          </cell>
          <cell r="X6120">
            <v>4.7999999999999996E-3</v>
          </cell>
          <cell r="Y6120">
            <v>0</v>
          </cell>
          <cell r="Z6120">
            <v>0</v>
          </cell>
          <cell r="AA6120">
            <v>0</v>
          </cell>
          <cell r="AB6120">
            <v>0</v>
          </cell>
        </row>
        <row r="6121">
          <cell r="A6121">
            <v>93402000</v>
          </cell>
          <cell r="B6121" t="str">
            <v>Wine, dessert, sweet</v>
          </cell>
          <cell r="I6121">
            <v>240</v>
          </cell>
          <cell r="J6121">
            <v>384</v>
          </cell>
          <cell r="K6121">
            <v>1.6</v>
          </cell>
          <cell r="L6121">
            <v>0</v>
          </cell>
          <cell r="M6121">
            <v>0</v>
          </cell>
          <cell r="N6121">
            <v>0</v>
          </cell>
          <cell r="O6121">
            <v>1.9199999999999998E-2</v>
          </cell>
          <cell r="P6121">
            <v>0</v>
          </cell>
          <cell r="Q6121">
            <v>0</v>
          </cell>
          <cell r="R6121">
            <v>0</v>
          </cell>
          <cell r="S6121">
            <v>0</v>
          </cell>
          <cell r="T6121">
            <v>0</v>
          </cell>
          <cell r="U6121">
            <v>0</v>
          </cell>
          <cell r="V6121">
            <v>0</v>
          </cell>
          <cell r="W6121">
            <v>0</v>
          </cell>
          <cell r="X6121">
            <v>2.1600000000000001E-2</v>
          </cell>
          <cell r="Y6121">
            <v>0</v>
          </cell>
          <cell r="Z6121">
            <v>0</v>
          </cell>
          <cell r="AA6121">
            <v>0</v>
          </cell>
          <cell r="AB6121">
            <v>0</v>
          </cell>
        </row>
        <row r="6122">
          <cell r="A6122">
            <v>93404000</v>
          </cell>
          <cell r="B6122" t="str">
            <v>Wine cooler</v>
          </cell>
          <cell r="I6122">
            <v>360</v>
          </cell>
          <cell r="J6122">
            <v>244.8</v>
          </cell>
          <cell r="K6122">
            <v>0.68</v>
          </cell>
          <cell r="L6122">
            <v>0</v>
          </cell>
          <cell r="M6122">
            <v>0</v>
          </cell>
          <cell r="N6122">
            <v>0</v>
          </cell>
          <cell r="O6122">
            <v>1.44E-2</v>
          </cell>
          <cell r="P6122">
            <v>0</v>
          </cell>
          <cell r="Q6122">
            <v>0</v>
          </cell>
          <cell r="R6122">
            <v>0</v>
          </cell>
          <cell r="S6122">
            <v>0</v>
          </cell>
          <cell r="T6122">
            <v>0</v>
          </cell>
          <cell r="U6122">
            <v>0</v>
          </cell>
          <cell r="V6122">
            <v>0</v>
          </cell>
          <cell r="W6122">
            <v>0</v>
          </cell>
          <cell r="X6122">
            <v>1.7999999999999999E-2</v>
          </cell>
          <cell r="Y6122">
            <v>0</v>
          </cell>
          <cell r="Z6122">
            <v>0</v>
          </cell>
          <cell r="AA6122">
            <v>0</v>
          </cell>
          <cell r="AB6122">
            <v>0</v>
          </cell>
        </row>
        <row r="6123">
          <cell r="A6123">
            <v>93404500</v>
          </cell>
          <cell r="B6123" t="str">
            <v>Sangria</v>
          </cell>
          <cell r="I6123">
            <v>240</v>
          </cell>
          <cell r="J6123">
            <v>179.81138999999999</v>
          </cell>
          <cell r="K6123">
            <v>0.74921412499999995</v>
          </cell>
          <cell r="L6123">
            <v>0.1280309</v>
          </cell>
          <cell r="M6123">
            <v>1.02366E-2</v>
          </cell>
          <cell r="N6123">
            <v>0</v>
          </cell>
          <cell r="O6123">
            <v>1.7044699999999999E-2</v>
          </cell>
          <cell r="P6123">
            <v>0</v>
          </cell>
          <cell r="Q6123">
            <v>2.23105E-2</v>
          </cell>
          <cell r="R6123">
            <v>0</v>
          </cell>
          <cell r="S6123">
            <v>0</v>
          </cell>
          <cell r="T6123">
            <v>40.034038000000002</v>
          </cell>
          <cell r="U6123">
            <v>0</v>
          </cell>
          <cell r="V6123">
            <v>0</v>
          </cell>
          <cell r="W6123">
            <v>0</v>
          </cell>
          <cell r="X6123">
            <v>2.4277300000000002E-2</v>
          </cell>
          <cell r="Y6123">
            <v>0</v>
          </cell>
          <cell r="Z6123">
            <v>0</v>
          </cell>
          <cell r="AA6123">
            <v>0</v>
          </cell>
          <cell r="AB6123">
            <v>0</v>
          </cell>
        </row>
        <row r="6124">
          <cell r="A6124">
            <v>93404550</v>
          </cell>
          <cell r="B6124" t="str">
            <v>Sangria, red</v>
          </cell>
          <cell r="I6124">
            <v>240</v>
          </cell>
          <cell r="J6124">
            <v>230.39345</v>
          </cell>
          <cell r="K6124">
            <v>0.95997270833333337</v>
          </cell>
          <cell r="L6124">
            <v>3.55252E-2</v>
          </cell>
          <cell r="M6124">
            <v>5.4958000000000003E-3</v>
          </cell>
          <cell r="N6124">
            <v>0</v>
          </cell>
          <cell r="O6124">
            <v>1.43001E-2</v>
          </cell>
          <cell r="P6124">
            <v>0</v>
          </cell>
          <cell r="Q6124">
            <v>5.0074199999999999E-2</v>
          </cell>
          <cell r="R6124">
            <v>0</v>
          </cell>
          <cell r="S6124">
            <v>0</v>
          </cell>
          <cell r="T6124">
            <v>5.0750340999999999</v>
          </cell>
          <cell r="U6124">
            <v>0</v>
          </cell>
          <cell r="V6124">
            <v>0</v>
          </cell>
          <cell r="W6124">
            <v>0</v>
          </cell>
          <cell r="X6124">
            <v>2.4145699999999999E-2</v>
          </cell>
          <cell r="Y6124">
            <v>0</v>
          </cell>
          <cell r="Z6124">
            <v>0</v>
          </cell>
          <cell r="AA6124">
            <v>0</v>
          </cell>
          <cell r="AB6124">
            <v>0</v>
          </cell>
        </row>
        <row r="6125">
          <cell r="A6125">
            <v>93404560</v>
          </cell>
          <cell r="B6125" t="str">
            <v>Sangria, white</v>
          </cell>
          <cell r="I6125">
            <v>240</v>
          </cell>
          <cell r="J6125">
            <v>226.70996</v>
          </cell>
          <cell r="K6125">
            <v>0.94462483333333336</v>
          </cell>
          <cell r="L6125">
            <v>3.55252E-2</v>
          </cell>
          <cell r="M6125">
            <v>5.4958000000000003E-3</v>
          </cell>
          <cell r="N6125">
            <v>0</v>
          </cell>
          <cell r="O6125">
            <v>1.5528E-2</v>
          </cell>
          <cell r="P6125">
            <v>0</v>
          </cell>
          <cell r="Q6125">
            <v>5.0074199999999999E-2</v>
          </cell>
          <cell r="R6125">
            <v>0</v>
          </cell>
          <cell r="S6125">
            <v>0</v>
          </cell>
          <cell r="T6125">
            <v>5.0750340999999999</v>
          </cell>
          <cell r="U6125">
            <v>0</v>
          </cell>
          <cell r="V6125">
            <v>0</v>
          </cell>
          <cell r="W6125">
            <v>0</v>
          </cell>
          <cell r="X6125">
            <v>2.53735E-2</v>
          </cell>
          <cell r="Y6125">
            <v>0</v>
          </cell>
          <cell r="Z6125">
            <v>0</v>
          </cell>
          <cell r="AA6125">
            <v>0</v>
          </cell>
          <cell r="AB6125">
            <v>0</v>
          </cell>
        </row>
        <row r="6126">
          <cell r="A6126">
            <v>93405000</v>
          </cell>
          <cell r="B6126" t="str">
            <v>Wine spritzer</v>
          </cell>
          <cell r="I6126">
            <v>240</v>
          </cell>
          <cell r="J6126">
            <v>119.35816</v>
          </cell>
          <cell r="K6126">
            <v>0.49732566666666667</v>
          </cell>
          <cell r="L6126">
            <v>0</v>
          </cell>
          <cell r="M6126">
            <v>0</v>
          </cell>
          <cell r="N6126">
            <v>0</v>
          </cell>
          <cell r="O6126">
            <v>1.6314200000000001E-2</v>
          </cell>
          <cell r="P6126">
            <v>0</v>
          </cell>
          <cell r="Q6126">
            <v>0</v>
          </cell>
          <cell r="R6126">
            <v>0</v>
          </cell>
          <cell r="S6126">
            <v>0</v>
          </cell>
          <cell r="T6126">
            <v>0</v>
          </cell>
          <cell r="U6126">
            <v>0</v>
          </cell>
          <cell r="V6126">
            <v>0</v>
          </cell>
          <cell r="W6126">
            <v>0</v>
          </cell>
          <cell r="X6126">
            <v>2.7391200000000001E-2</v>
          </cell>
          <cell r="Y6126">
            <v>0</v>
          </cell>
          <cell r="Z6126">
            <v>0</v>
          </cell>
          <cell r="AA6126">
            <v>0</v>
          </cell>
          <cell r="AB6126">
            <v>0</v>
          </cell>
        </row>
        <row r="6127">
          <cell r="A6127">
            <v>93501000</v>
          </cell>
          <cell r="B6127" t="str">
            <v>Brandy</v>
          </cell>
          <cell r="I6127">
            <v>240</v>
          </cell>
          <cell r="J6127">
            <v>554.4</v>
          </cell>
          <cell r="K6127">
            <v>2.31</v>
          </cell>
          <cell r="L6127">
            <v>0</v>
          </cell>
          <cell r="M6127">
            <v>0</v>
          </cell>
          <cell r="N6127">
            <v>0</v>
          </cell>
          <cell r="O6127">
            <v>0</v>
          </cell>
          <cell r="P6127">
            <v>0</v>
          </cell>
          <cell r="Q6127">
            <v>0</v>
          </cell>
          <cell r="R6127">
            <v>0</v>
          </cell>
          <cell r="S6127">
            <v>0</v>
          </cell>
          <cell r="T6127">
            <v>0</v>
          </cell>
          <cell r="U6127">
            <v>0</v>
          </cell>
          <cell r="V6127">
            <v>0</v>
          </cell>
          <cell r="W6127">
            <v>0</v>
          </cell>
          <cell r="X6127">
            <v>2.3999999999999998E-3</v>
          </cell>
          <cell r="Y6127">
            <v>0</v>
          </cell>
          <cell r="Z6127">
            <v>0</v>
          </cell>
          <cell r="AA6127">
            <v>0</v>
          </cell>
          <cell r="AB6127">
            <v>0</v>
          </cell>
        </row>
        <row r="6128">
          <cell r="A6128">
            <v>93502000</v>
          </cell>
          <cell r="B6128" t="str">
            <v>Whiskey</v>
          </cell>
          <cell r="I6128">
            <v>28</v>
          </cell>
          <cell r="J6128">
            <v>64.680000000000007</v>
          </cell>
          <cell r="K6128">
            <v>2.31</v>
          </cell>
          <cell r="L6128">
            <v>0</v>
          </cell>
          <cell r="M6128">
            <v>0</v>
          </cell>
          <cell r="N6128">
            <v>0</v>
          </cell>
          <cell r="O6128">
            <v>0</v>
          </cell>
          <cell r="P6128">
            <v>0</v>
          </cell>
          <cell r="Q6128">
            <v>0</v>
          </cell>
          <cell r="R6128">
            <v>0</v>
          </cell>
          <cell r="S6128">
            <v>0</v>
          </cell>
          <cell r="T6128">
            <v>0</v>
          </cell>
          <cell r="U6128">
            <v>0</v>
          </cell>
          <cell r="V6128">
            <v>0</v>
          </cell>
          <cell r="W6128">
            <v>0</v>
          </cell>
          <cell r="X6128">
            <v>2.7999999999999998E-4</v>
          </cell>
          <cell r="Y6128">
            <v>0</v>
          </cell>
          <cell r="Z6128">
            <v>0</v>
          </cell>
          <cell r="AA6128">
            <v>0</v>
          </cell>
          <cell r="AB6128">
            <v>0</v>
          </cell>
        </row>
        <row r="6129">
          <cell r="A6129">
            <v>93502100</v>
          </cell>
          <cell r="B6129" t="str">
            <v>Scotch</v>
          </cell>
          <cell r="I6129">
            <v>28</v>
          </cell>
          <cell r="J6129">
            <v>64.680000000000007</v>
          </cell>
          <cell r="K6129">
            <v>2.31</v>
          </cell>
          <cell r="L6129">
            <v>0</v>
          </cell>
          <cell r="M6129">
            <v>0</v>
          </cell>
          <cell r="N6129">
            <v>0</v>
          </cell>
          <cell r="O6129">
            <v>0</v>
          </cell>
          <cell r="P6129">
            <v>0</v>
          </cell>
          <cell r="Q6129">
            <v>0</v>
          </cell>
          <cell r="R6129">
            <v>0</v>
          </cell>
          <cell r="S6129">
            <v>0</v>
          </cell>
          <cell r="T6129">
            <v>0</v>
          </cell>
          <cell r="U6129">
            <v>0</v>
          </cell>
          <cell r="V6129">
            <v>0</v>
          </cell>
          <cell r="W6129">
            <v>0</v>
          </cell>
          <cell r="X6129">
            <v>2.7999999999999998E-4</v>
          </cell>
          <cell r="Y6129">
            <v>0</v>
          </cell>
          <cell r="Z6129">
            <v>0</v>
          </cell>
          <cell r="AA6129">
            <v>0</v>
          </cell>
          <cell r="AB6129">
            <v>0</v>
          </cell>
        </row>
        <row r="6130">
          <cell r="A6130">
            <v>93503000</v>
          </cell>
          <cell r="B6130" t="str">
            <v>Gin</v>
          </cell>
          <cell r="I6130">
            <v>28</v>
          </cell>
          <cell r="J6130">
            <v>64.680000000000007</v>
          </cell>
          <cell r="K6130">
            <v>2.31</v>
          </cell>
          <cell r="L6130">
            <v>0</v>
          </cell>
          <cell r="M6130">
            <v>0</v>
          </cell>
          <cell r="N6130">
            <v>0</v>
          </cell>
          <cell r="O6130">
            <v>0</v>
          </cell>
          <cell r="P6130">
            <v>0</v>
          </cell>
          <cell r="Q6130">
            <v>0</v>
          </cell>
          <cell r="R6130">
            <v>0</v>
          </cell>
          <cell r="S6130">
            <v>0</v>
          </cell>
          <cell r="T6130">
            <v>0</v>
          </cell>
          <cell r="U6130">
            <v>0</v>
          </cell>
          <cell r="V6130">
            <v>0</v>
          </cell>
          <cell r="W6130">
            <v>0</v>
          </cell>
          <cell r="X6130">
            <v>2.7999999999999998E-4</v>
          </cell>
          <cell r="Y6130">
            <v>0</v>
          </cell>
          <cell r="Z6130">
            <v>0</v>
          </cell>
          <cell r="AA6130">
            <v>0</v>
          </cell>
          <cell r="AB6130">
            <v>0</v>
          </cell>
        </row>
        <row r="6131">
          <cell r="A6131">
            <v>93504000</v>
          </cell>
          <cell r="B6131" t="str">
            <v>Rum</v>
          </cell>
          <cell r="I6131">
            <v>27.8</v>
          </cell>
          <cell r="J6131">
            <v>64.218000000000004</v>
          </cell>
          <cell r="K6131">
            <v>2.31</v>
          </cell>
          <cell r="L6131">
            <v>0</v>
          </cell>
          <cell r="M6131">
            <v>0</v>
          </cell>
          <cell r="N6131">
            <v>0</v>
          </cell>
          <cell r="O6131">
            <v>0</v>
          </cell>
          <cell r="P6131">
            <v>0</v>
          </cell>
          <cell r="Q6131">
            <v>0</v>
          </cell>
          <cell r="R6131">
            <v>0</v>
          </cell>
          <cell r="S6131">
            <v>0</v>
          </cell>
          <cell r="T6131">
            <v>0</v>
          </cell>
          <cell r="U6131">
            <v>0</v>
          </cell>
          <cell r="V6131">
            <v>0</v>
          </cell>
          <cell r="W6131">
            <v>0</v>
          </cell>
          <cell r="X6131">
            <v>2.7799999999999998E-4</v>
          </cell>
          <cell r="Y6131">
            <v>0</v>
          </cell>
          <cell r="Z6131">
            <v>0</v>
          </cell>
          <cell r="AA6131">
            <v>0</v>
          </cell>
          <cell r="AB6131">
            <v>0</v>
          </cell>
        </row>
        <row r="6132">
          <cell r="A6132">
            <v>93504100</v>
          </cell>
          <cell r="B6132" t="str">
            <v>Rum cooler</v>
          </cell>
          <cell r="I6132">
            <v>240</v>
          </cell>
          <cell r="J6132">
            <v>163.19999999999999</v>
          </cell>
          <cell r="K6132">
            <v>0.67999999999999994</v>
          </cell>
          <cell r="L6132">
            <v>0</v>
          </cell>
          <cell r="M6132">
            <v>0</v>
          </cell>
          <cell r="N6132">
            <v>0</v>
          </cell>
          <cell r="O6132">
            <v>9.5999999999999992E-3</v>
          </cell>
          <cell r="P6132">
            <v>0</v>
          </cell>
          <cell r="Q6132">
            <v>0</v>
          </cell>
          <cell r="R6132">
            <v>0</v>
          </cell>
          <cell r="S6132">
            <v>0</v>
          </cell>
          <cell r="T6132">
            <v>0</v>
          </cell>
          <cell r="U6132">
            <v>0</v>
          </cell>
          <cell r="V6132">
            <v>0</v>
          </cell>
          <cell r="W6132">
            <v>0</v>
          </cell>
          <cell r="X6132">
            <v>1.2E-2</v>
          </cell>
          <cell r="Y6132">
            <v>0</v>
          </cell>
          <cell r="Z6132">
            <v>0</v>
          </cell>
          <cell r="AA6132">
            <v>0</v>
          </cell>
          <cell r="AB6132">
            <v>5.8000999999999999E-3</v>
          </cell>
        </row>
        <row r="6133">
          <cell r="A6133">
            <v>93505000</v>
          </cell>
          <cell r="B6133" t="str">
            <v>Vodka</v>
          </cell>
          <cell r="I6133">
            <v>27.8</v>
          </cell>
          <cell r="J6133">
            <v>64.218000000000004</v>
          </cell>
          <cell r="K6133">
            <v>2.31</v>
          </cell>
          <cell r="L6133">
            <v>0</v>
          </cell>
          <cell r="M6133">
            <v>0</v>
          </cell>
          <cell r="N6133">
            <v>0</v>
          </cell>
          <cell r="O6133">
            <v>0</v>
          </cell>
          <cell r="P6133">
            <v>0</v>
          </cell>
          <cell r="Q6133">
            <v>0</v>
          </cell>
          <cell r="R6133">
            <v>0</v>
          </cell>
          <cell r="S6133">
            <v>0</v>
          </cell>
          <cell r="T6133">
            <v>0</v>
          </cell>
          <cell r="U6133">
            <v>0</v>
          </cell>
          <cell r="V6133">
            <v>0</v>
          </cell>
          <cell r="W6133">
            <v>0</v>
          </cell>
          <cell r="X6133">
            <v>2.7799999999999998E-4</v>
          </cell>
          <cell r="Y6133">
            <v>0</v>
          </cell>
          <cell r="Z6133">
            <v>0</v>
          </cell>
          <cell r="AA6133">
            <v>0</v>
          </cell>
          <cell r="AB6133">
            <v>0</v>
          </cell>
        </row>
        <row r="6134">
          <cell r="A6134">
            <v>93505100</v>
          </cell>
          <cell r="B6134" t="str">
            <v>Tequila</v>
          </cell>
          <cell r="I6134">
            <v>28</v>
          </cell>
          <cell r="J6134">
            <v>64.680000000000007</v>
          </cell>
          <cell r="K6134">
            <v>2.31</v>
          </cell>
          <cell r="L6134">
            <v>0</v>
          </cell>
          <cell r="M6134">
            <v>0</v>
          </cell>
          <cell r="N6134">
            <v>0</v>
          </cell>
          <cell r="O6134">
            <v>0</v>
          </cell>
          <cell r="P6134">
            <v>0</v>
          </cell>
          <cell r="Q6134">
            <v>0</v>
          </cell>
          <cell r="R6134">
            <v>0</v>
          </cell>
          <cell r="S6134">
            <v>0</v>
          </cell>
          <cell r="T6134">
            <v>0</v>
          </cell>
          <cell r="U6134">
            <v>0</v>
          </cell>
          <cell r="V6134">
            <v>0</v>
          </cell>
          <cell r="W6134">
            <v>0</v>
          </cell>
          <cell r="X6134">
            <v>2.7999999999999998E-4</v>
          </cell>
          <cell r="Y6134">
            <v>0</v>
          </cell>
          <cell r="Z6134">
            <v>0</v>
          </cell>
          <cell r="AA6134">
            <v>0</v>
          </cell>
          <cell r="AB6134">
            <v>0</v>
          </cell>
        </row>
        <row r="6135">
          <cell r="A6135">
            <v>94000100</v>
          </cell>
          <cell r="B6135" t="str">
            <v>Water, tap</v>
          </cell>
          <cell r="I6135">
            <v>360</v>
          </cell>
          <cell r="J6135">
            <v>0</v>
          </cell>
          <cell r="K6135">
            <v>0</v>
          </cell>
          <cell r="L6135">
            <v>0</v>
          </cell>
          <cell r="M6135">
            <v>0</v>
          </cell>
          <cell r="N6135">
            <v>0</v>
          </cell>
          <cell r="O6135">
            <v>1.0800000000000001E-2</v>
          </cell>
          <cell r="P6135">
            <v>0</v>
          </cell>
          <cell r="Q6135">
            <v>0</v>
          </cell>
          <cell r="R6135">
            <v>0</v>
          </cell>
          <cell r="S6135">
            <v>0</v>
          </cell>
          <cell r="T6135">
            <v>0</v>
          </cell>
          <cell r="U6135">
            <v>0</v>
          </cell>
          <cell r="V6135">
            <v>0</v>
          </cell>
          <cell r="W6135">
            <v>0</v>
          </cell>
          <cell r="X6135">
            <v>1.44E-2</v>
          </cell>
          <cell r="Y6135">
            <v>0</v>
          </cell>
          <cell r="Z6135">
            <v>0</v>
          </cell>
          <cell r="AA6135">
            <v>0</v>
          </cell>
          <cell r="AB6135">
            <v>0</v>
          </cell>
        </row>
        <row r="6136">
          <cell r="A6136">
            <v>94100100</v>
          </cell>
          <cell r="B6136" t="str">
            <v>Water, bottled, unsweetened</v>
          </cell>
          <cell r="I6136">
            <v>360</v>
          </cell>
          <cell r="J6136">
            <v>0</v>
          </cell>
          <cell r="K6136">
            <v>0</v>
          </cell>
          <cell r="L6136">
            <v>0</v>
          </cell>
          <cell r="M6136">
            <v>0</v>
          </cell>
          <cell r="N6136">
            <v>0</v>
          </cell>
          <cell r="O6136">
            <v>3.5999999999999997E-2</v>
          </cell>
          <cell r="P6136">
            <v>0</v>
          </cell>
          <cell r="Q6136">
            <v>0</v>
          </cell>
          <cell r="R6136">
            <v>0</v>
          </cell>
          <cell r="S6136">
            <v>0</v>
          </cell>
          <cell r="T6136">
            <v>0</v>
          </cell>
          <cell r="U6136">
            <v>0</v>
          </cell>
          <cell r="V6136">
            <v>0</v>
          </cell>
          <cell r="W6136">
            <v>0</v>
          </cell>
          <cell r="X6136">
            <v>7.1999999999999998E-3</v>
          </cell>
          <cell r="Y6136">
            <v>0</v>
          </cell>
          <cell r="Z6136">
            <v>0</v>
          </cell>
          <cell r="AA6136">
            <v>0</v>
          </cell>
          <cell r="AB6136">
            <v>0</v>
          </cell>
        </row>
        <row r="6137">
          <cell r="A6137">
            <v>94100200</v>
          </cell>
          <cell r="B6137" t="str">
            <v>Water, bottled, sweetened, with low calorie sweetener</v>
          </cell>
          <cell r="I6137">
            <v>360</v>
          </cell>
          <cell r="J6137">
            <v>3.6</v>
          </cell>
          <cell r="K6137">
            <v>0.01</v>
          </cell>
          <cell r="L6137">
            <v>0</v>
          </cell>
          <cell r="M6137">
            <v>0</v>
          </cell>
          <cell r="N6137">
            <v>0</v>
          </cell>
          <cell r="O6137">
            <v>3.5999999999999999E-3</v>
          </cell>
          <cell r="P6137">
            <v>0</v>
          </cell>
          <cell r="Q6137">
            <v>0</v>
          </cell>
          <cell r="R6137">
            <v>0</v>
          </cell>
          <cell r="S6137">
            <v>0</v>
          </cell>
          <cell r="T6137">
            <v>0</v>
          </cell>
          <cell r="U6137">
            <v>0</v>
          </cell>
          <cell r="V6137">
            <v>0</v>
          </cell>
          <cell r="W6137">
            <v>0</v>
          </cell>
          <cell r="X6137">
            <v>5.04E-2</v>
          </cell>
          <cell r="Y6137">
            <v>0</v>
          </cell>
          <cell r="Z6137">
            <v>0</v>
          </cell>
          <cell r="AA6137">
            <v>0</v>
          </cell>
          <cell r="AB6137">
            <v>0</v>
          </cell>
        </row>
        <row r="6138">
          <cell r="A6138">
            <v>94100300</v>
          </cell>
          <cell r="B6138" t="str">
            <v>Water, bottled, flavored (Capri Sun Roarin' Waters)</v>
          </cell>
          <cell r="I6138">
            <v>360</v>
          </cell>
          <cell r="J6138">
            <v>64.8</v>
          </cell>
          <cell r="K6138">
            <v>0.18</v>
          </cell>
          <cell r="L6138">
            <v>0</v>
          </cell>
          <cell r="M6138">
            <v>0</v>
          </cell>
          <cell r="N6138">
            <v>0</v>
          </cell>
          <cell r="O6138">
            <v>6.1199999999999997E-2</v>
          </cell>
          <cell r="P6138">
            <v>0</v>
          </cell>
          <cell r="Q6138">
            <v>0</v>
          </cell>
          <cell r="R6138">
            <v>0</v>
          </cell>
          <cell r="S6138">
            <v>0</v>
          </cell>
          <cell r="T6138">
            <v>0</v>
          </cell>
          <cell r="U6138">
            <v>0</v>
          </cell>
          <cell r="V6138">
            <v>0</v>
          </cell>
          <cell r="W6138">
            <v>0</v>
          </cell>
          <cell r="X6138">
            <v>2.8799999999999999E-2</v>
          </cell>
          <cell r="Y6138">
            <v>0</v>
          </cell>
          <cell r="Z6138">
            <v>0</v>
          </cell>
          <cell r="AA6138">
            <v>0</v>
          </cell>
          <cell r="AB6138">
            <v>0</v>
          </cell>
        </row>
        <row r="6139">
          <cell r="A6139">
            <v>94210100</v>
          </cell>
          <cell r="B6139" t="str">
            <v>Water, bottled, flavored (Propel Water)</v>
          </cell>
          <cell r="I6139">
            <v>360</v>
          </cell>
          <cell r="J6139">
            <v>18</v>
          </cell>
          <cell r="K6139">
            <v>0.05</v>
          </cell>
          <cell r="L6139">
            <v>0</v>
          </cell>
          <cell r="M6139">
            <v>0</v>
          </cell>
          <cell r="N6139">
            <v>0</v>
          </cell>
          <cell r="O6139">
            <v>3.5999999999999999E-3</v>
          </cell>
          <cell r="P6139">
            <v>0</v>
          </cell>
          <cell r="Q6139">
            <v>0</v>
          </cell>
          <cell r="R6139">
            <v>0</v>
          </cell>
          <cell r="S6139">
            <v>0</v>
          </cell>
          <cell r="T6139">
            <v>0</v>
          </cell>
          <cell r="U6139">
            <v>0</v>
          </cell>
          <cell r="V6139">
            <v>0</v>
          </cell>
          <cell r="W6139">
            <v>0</v>
          </cell>
          <cell r="X6139">
            <v>0.1188</v>
          </cell>
          <cell r="Y6139">
            <v>0</v>
          </cell>
          <cell r="Z6139">
            <v>0</v>
          </cell>
          <cell r="AA6139">
            <v>0</v>
          </cell>
          <cell r="AB6139">
            <v>0</v>
          </cell>
        </row>
        <row r="6140">
          <cell r="A6140">
            <v>94210200</v>
          </cell>
          <cell r="B6140" t="str">
            <v>Water, bottled, flavored (Glaceau Vitamin Water)</v>
          </cell>
          <cell r="I6140">
            <v>360</v>
          </cell>
          <cell r="J6140">
            <v>79.2</v>
          </cell>
          <cell r="K6140">
            <v>0.22</v>
          </cell>
          <cell r="L6140">
            <v>0</v>
          </cell>
          <cell r="M6140">
            <v>0</v>
          </cell>
          <cell r="N6140">
            <v>0</v>
          </cell>
          <cell r="O6140">
            <v>6.1199999999999997E-2</v>
          </cell>
          <cell r="P6140">
            <v>0</v>
          </cell>
          <cell r="Q6140">
            <v>0</v>
          </cell>
          <cell r="R6140">
            <v>0</v>
          </cell>
          <cell r="S6140">
            <v>0</v>
          </cell>
          <cell r="T6140">
            <v>0</v>
          </cell>
          <cell r="U6140">
            <v>0</v>
          </cell>
          <cell r="V6140">
            <v>0</v>
          </cell>
          <cell r="W6140">
            <v>0</v>
          </cell>
          <cell r="X6140">
            <v>0</v>
          </cell>
          <cell r="Y6140">
            <v>0</v>
          </cell>
          <cell r="Z6140">
            <v>0</v>
          </cell>
          <cell r="AA6140">
            <v>0</v>
          </cell>
          <cell r="AB6140">
            <v>0</v>
          </cell>
        </row>
        <row r="6141">
          <cell r="A6141">
            <v>94210300</v>
          </cell>
          <cell r="B6141" t="str">
            <v>Water, bottled, flavored (SoBe Life Water)</v>
          </cell>
          <cell r="I6141">
            <v>360</v>
          </cell>
          <cell r="J6141">
            <v>18</v>
          </cell>
          <cell r="K6141">
            <v>0.05</v>
          </cell>
          <cell r="L6141">
            <v>0</v>
          </cell>
          <cell r="M6141">
            <v>0</v>
          </cell>
          <cell r="N6141">
            <v>0</v>
          </cell>
          <cell r="O6141">
            <v>0</v>
          </cell>
          <cell r="P6141">
            <v>0</v>
          </cell>
          <cell r="Q6141">
            <v>0</v>
          </cell>
          <cell r="R6141">
            <v>0</v>
          </cell>
          <cell r="S6141">
            <v>0</v>
          </cell>
          <cell r="T6141">
            <v>0</v>
          </cell>
          <cell r="U6141">
            <v>0</v>
          </cell>
          <cell r="V6141">
            <v>0</v>
          </cell>
          <cell r="W6141">
            <v>0</v>
          </cell>
          <cell r="X6141">
            <v>3.5999999999999997E-2</v>
          </cell>
          <cell r="Y6141">
            <v>0</v>
          </cell>
          <cell r="Z6141">
            <v>0</v>
          </cell>
          <cell r="AA6141">
            <v>0</v>
          </cell>
          <cell r="AB6141">
            <v>0</v>
          </cell>
        </row>
        <row r="6142">
          <cell r="A6142">
            <v>94220100</v>
          </cell>
          <cell r="B6142" t="str">
            <v>Propel Zero Water</v>
          </cell>
          <cell r="I6142">
            <v>360</v>
          </cell>
          <cell r="J6142">
            <v>18</v>
          </cell>
          <cell r="K6142">
            <v>0.05</v>
          </cell>
          <cell r="L6142">
            <v>0</v>
          </cell>
          <cell r="M6142">
            <v>0</v>
          </cell>
          <cell r="N6142">
            <v>0</v>
          </cell>
          <cell r="O6142">
            <v>3.5999999999999999E-3</v>
          </cell>
          <cell r="P6142">
            <v>0</v>
          </cell>
          <cell r="Q6142">
            <v>0</v>
          </cell>
          <cell r="R6142">
            <v>0</v>
          </cell>
          <cell r="S6142">
            <v>0</v>
          </cell>
          <cell r="T6142">
            <v>0</v>
          </cell>
          <cell r="U6142">
            <v>0</v>
          </cell>
          <cell r="V6142">
            <v>0</v>
          </cell>
          <cell r="W6142">
            <v>0</v>
          </cell>
          <cell r="X6142">
            <v>0.1188</v>
          </cell>
          <cell r="Y6142">
            <v>0</v>
          </cell>
          <cell r="Z6142">
            <v>0</v>
          </cell>
          <cell r="AA6142">
            <v>0</v>
          </cell>
          <cell r="AB6142">
            <v>0</v>
          </cell>
        </row>
        <row r="6143">
          <cell r="A6143">
            <v>94220200</v>
          </cell>
          <cell r="B6143" t="str">
            <v>Glaceau Water, low calorie</v>
          </cell>
          <cell r="I6143">
            <v>360</v>
          </cell>
          <cell r="J6143">
            <v>3.6</v>
          </cell>
          <cell r="K6143">
            <v>0.01</v>
          </cell>
          <cell r="L6143">
            <v>0</v>
          </cell>
          <cell r="M6143">
            <v>0</v>
          </cell>
          <cell r="N6143">
            <v>0</v>
          </cell>
          <cell r="O6143">
            <v>3.5999999999999999E-3</v>
          </cell>
          <cell r="P6143">
            <v>0</v>
          </cell>
          <cell r="Q6143">
            <v>0</v>
          </cell>
          <cell r="R6143">
            <v>0</v>
          </cell>
          <cell r="S6143">
            <v>0</v>
          </cell>
          <cell r="T6143">
            <v>0</v>
          </cell>
          <cell r="U6143">
            <v>0</v>
          </cell>
          <cell r="V6143">
            <v>0</v>
          </cell>
          <cell r="W6143">
            <v>0</v>
          </cell>
          <cell r="X6143">
            <v>5.04E-2</v>
          </cell>
          <cell r="Y6143">
            <v>0</v>
          </cell>
          <cell r="Z6143">
            <v>0</v>
          </cell>
          <cell r="AA6143">
            <v>0</v>
          </cell>
          <cell r="AB6143">
            <v>0</v>
          </cell>
        </row>
        <row r="6144">
          <cell r="A6144">
            <v>94220215</v>
          </cell>
          <cell r="B6144" t="str">
            <v>Water, bottled, flavored, sugar free (Glaceau Vitamin Water)</v>
          </cell>
          <cell r="I6144">
            <v>360</v>
          </cell>
          <cell r="J6144">
            <v>0</v>
          </cell>
          <cell r="K6144">
            <v>0</v>
          </cell>
          <cell r="L6144">
            <v>0</v>
          </cell>
          <cell r="M6144">
            <v>0</v>
          </cell>
          <cell r="N6144">
            <v>0</v>
          </cell>
          <cell r="O6144">
            <v>0</v>
          </cell>
          <cell r="P6144">
            <v>0</v>
          </cell>
          <cell r="Q6144">
            <v>0</v>
          </cell>
          <cell r="R6144">
            <v>0</v>
          </cell>
          <cell r="S6144">
            <v>0</v>
          </cell>
          <cell r="T6144">
            <v>0</v>
          </cell>
          <cell r="U6144">
            <v>0</v>
          </cell>
          <cell r="V6144">
            <v>0</v>
          </cell>
          <cell r="W6144">
            <v>0</v>
          </cell>
          <cell r="X6144">
            <v>0</v>
          </cell>
          <cell r="Y6144">
            <v>0</v>
          </cell>
          <cell r="Z6144">
            <v>0</v>
          </cell>
          <cell r="AA6144">
            <v>0</v>
          </cell>
          <cell r="AB6144">
            <v>0</v>
          </cell>
        </row>
        <row r="6145">
          <cell r="A6145">
            <v>94220310</v>
          </cell>
          <cell r="B6145" t="str">
            <v>Water, bottled, flavored, sugar free (SoBe)</v>
          </cell>
          <cell r="I6145">
            <v>360</v>
          </cell>
          <cell r="J6145">
            <v>0</v>
          </cell>
          <cell r="K6145">
            <v>0</v>
          </cell>
          <cell r="L6145">
            <v>0</v>
          </cell>
          <cell r="M6145">
            <v>0</v>
          </cell>
          <cell r="N6145">
            <v>0</v>
          </cell>
          <cell r="O6145">
            <v>7.1999999999999998E-3</v>
          </cell>
          <cell r="P6145">
            <v>0</v>
          </cell>
          <cell r="Q6145">
            <v>0</v>
          </cell>
          <cell r="R6145">
            <v>0</v>
          </cell>
          <cell r="S6145">
            <v>0</v>
          </cell>
          <cell r="T6145">
            <v>0</v>
          </cell>
          <cell r="U6145">
            <v>0</v>
          </cell>
          <cell r="V6145">
            <v>0</v>
          </cell>
          <cell r="W6145">
            <v>0</v>
          </cell>
          <cell r="X6145">
            <v>0.1512</v>
          </cell>
          <cell r="Y6145">
            <v>0</v>
          </cell>
          <cell r="Z6145">
            <v>0</v>
          </cell>
          <cell r="AA6145">
            <v>0</v>
          </cell>
          <cell r="AB6145">
            <v>0</v>
          </cell>
        </row>
        <row r="6146">
          <cell r="A6146">
            <v>94300100</v>
          </cell>
          <cell r="B6146" t="str">
            <v>Water, baby, bottled, unsweetened</v>
          </cell>
          <cell r="I6146">
            <v>120</v>
          </cell>
          <cell r="J6146">
            <v>0</v>
          </cell>
          <cell r="K6146">
            <v>0</v>
          </cell>
          <cell r="L6146">
            <v>0</v>
          </cell>
          <cell r="M6146">
            <v>0</v>
          </cell>
          <cell r="N6146">
            <v>0</v>
          </cell>
          <cell r="O6146">
            <v>0</v>
          </cell>
          <cell r="P6146">
            <v>0</v>
          </cell>
          <cell r="Q6146">
            <v>0</v>
          </cell>
          <cell r="R6146">
            <v>0</v>
          </cell>
          <cell r="S6146">
            <v>0</v>
          </cell>
          <cell r="T6146">
            <v>0</v>
          </cell>
          <cell r="U6146">
            <v>0</v>
          </cell>
          <cell r="V6146">
            <v>0</v>
          </cell>
          <cell r="W6146">
            <v>0</v>
          </cell>
          <cell r="X6146">
            <v>0</v>
          </cell>
          <cell r="Y6146">
            <v>0</v>
          </cell>
          <cell r="Z6146">
            <v>0</v>
          </cell>
          <cell r="AA6146">
            <v>0</v>
          </cell>
          <cell r="AB6146">
            <v>0</v>
          </cell>
        </row>
        <row r="6147">
          <cell r="A6147">
            <v>95101000</v>
          </cell>
          <cell r="B6147" t="str">
            <v>Nutritional drink or shake, ready-to-drink (Boost)</v>
          </cell>
          <cell r="I6147">
            <v>240</v>
          </cell>
          <cell r="J6147">
            <v>242.4</v>
          </cell>
          <cell r="K6147">
            <v>1.01</v>
          </cell>
          <cell r="L6147">
            <v>0</v>
          </cell>
          <cell r="M6147">
            <v>1.0127999999999999</v>
          </cell>
          <cell r="N6147">
            <v>0</v>
          </cell>
          <cell r="O6147">
            <v>0.30480000000000002</v>
          </cell>
          <cell r="P6147">
            <v>3.12</v>
          </cell>
          <cell r="Q6147">
            <v>0.1368</v>
          </cell>
          <cell r="R6147">
            <v>0</v>
          </cell>
          <cell r="S6147">
            <v>0</v>
          </cell>
          <cell r="T6147">
            <v>0</v>
          </cell>
          <cell r="U6147">
            <v>0</v>
          </cell>
          <cell r="V6147">
            <v>0</v>
          </cell>
          <cell r="W6147">
            <v>240</v>
          </cell>
          <cell r="X6147">
            <v>0.1512</v>
          </cell>
          <cell r="Y6147">
            <v>0</v>
          </cell>
          <cell r="Z6147">
            <v>0</v>
          </cell>
          <cell r="AA6147">
            <v>0</v>
          </cell>
          <cell r="AB6147">
            <v>0</v>
          </cell>
        </row>
        <row r="6148">
          <cell r="A6148">
            <v>95101010</v>
          </cell>
          <cell r="B6148" t="str">
            <v>Nutritional drink or shake, ready-to-drink (Boost Plus)</v>
          </cell>
          <cell r="I6148">
            <v>240</v>
          </cell>
          <cell r="J6148">
            <v>331.2</v>
          </cell>
          <cell r="K6148">
            <v>1.38</v>
          </cell>
          <cell r="L6148">
            <v>0</v>
          </cell>
          <cell r="M6148">
            <v>1.008</v>
          </cell>
          <cell r="N6148">
            <v>0</v>
          </cell>
          <cell r="O6148">
            <v>0.32400000000000001</v>
          </cell>
          <cell r="P6148">
            <v>2.88</v>
          </cell>
          <cell r="Q6148">
            <v>0.2928</v>
          </cell>
          <cell r="R6148">
            <v>0</v>
          </cell>
          <cell r="S6148">
            <v>0</v>
          </cell>
          <cell r="T6148">
            <v>0</v>
          </cell>
          <cell r="U6148">
            <v>0</v>
          </cell>
          <cell r="V6148">
            <v>0</v>
          </cell>
          <cell r="W6148">
            <v>240</v>
          </cell>
          <cell r="X6148">
            <v>0.18479999999999999</v>
          </cell>
          <cell r="Y6148">
            <v>0</v>
          </cell>
          <cell r="Z6148">
            <v>0</v>
          </cell>
          <cell r="AA6148">
            <v>0</v>
          </cell>
          <cell r="AB6148">
            <v>0</v>
          </cell>
        </row>
        <row r="6149">
          <cell r="A6149">
            <v>95102000</v>
          </cell>
          <cell r="B6149" t="str">
            <v>Nutritional drink or shake, ready-to-drink (Carnation Instant Breakfast)</v>
          </cell>
          <cell r="I6149">
            <v>240</v>
          </cell>
          <cell r="J6149">
            <v>217.27361999999999</v>
          </cell>
          <cell r="K6149">
            <v>0.90530674999999994</v>
          </cell>
          <cell r="L6149">
            <v>0</v>
          </cell>
          <cell r="M6149">
            <v>2.7436256999999999</v>
          </cell>
          <cell r="N6149">
            <v>0</v>
          </cell>
          <cell r="O6149">
            <v>0.33726640000000002</v>
          </cell>
          <cell r="P6149">
            <v>0.12640570000000001</v>
          </cell>
          <cell r="Q6149">
            <v>0.2994599</v>
          </cell>
          <cell r="R6149">
            <v>0</v>
          </cell>
          <cell r="S6149">
            <v>0</v>
          </cell>
          <cell r="T6149">
            <v>0</v>
          </cell>
          <cell r="U6149">
            <v>0</v>
          </cell>
          <cell r="V6149">
            <v>0</v>
          </cell>
          <cell r="W6149">
            <v>240</v>
          </cell>
          <cell r="X6149">
            <v>0.21448619999999999</v>
          </cell>
          <cell r="Y6149">
            <v>0</v>
          </cell>
          <cell r="Z6149">
            <v>0</v>
          </cell>
          <cell r="AA6149">
            <v>0</v>
          </cell>
          <cell r="AB6149">
            <v>0.1112919</v>
          </cell>
        </row>
        <row r="6150">
          <cell r="A6150">
            <v>95103000</v>
          </cell>
          <cell r="B6150" t="str">
            <v>Nutritional drink or shake, ready-to-drink (Ensure)</v>
          </cell>
          <cell r="I6150">
            <v>240</v>
          </cell>
          <cell r="J6150">
            <v>252</v>
          </cell>
          <cell r="K6150">
            <v>1.05</v>
          </cell>
          <cell r="L6150">
            <v>0</v>
          </cell>
          <cell r="M6150">
            <v>1.0127999999999999</v>
          </cell>
          <cell r="N6150">
            <v>0</v>
          </cell>
          <cell r="O6150">
            <v>0.30480000000000002</v>
          </cell>
          <cell r="P6150">
            <v>0</v>
          </cell>
          <cell r="Q6150">
            <v>3.0384000000000002</v>
          </cell>
          <cell r="R6150">
            <v>0</v>
          </cell>
          <cell r="S6150">
            <v>0</v>
          </cell>
          <cell r="T6150">
            <v>0</v>
          </cell>
          <cell r="U6150">
            <v>0</v>
          </cell>
          <cell r="V6150">
            <v>0</v>
          </cell>
          <cell r="W6150">
            <v>240</v>
          </cell>
          <cell r="X6150">
            <v>0.2016</v>
          </cell>
          <cell r="Y6150">
            <v>0</v>
          </cell>
          <cell r="Z6150">
            <v>0</v>
          </cell>
          <cell r="AA6150">
            <v>0</v>
          </cell>
          <cell r="AB6150">
            <v>0</v>
          </cell>
        </row>
        <row r="6151">
          <cell r="A6151">
            <v>95103010</v>
          </cell>
          <cell r="B6151" t="str">
            <v>Nutritional drink or shake, ready-to-drink (Ensure Plus)</v>
          </cell>
          <cell r="I6151">
            <v>240</v>
          </cell>
          <cell r="J6151">
            <v>338.4</v>
          </cell>
          <cell r="K6151">
            <v>1.41</v>
          </cell>
          <cell r="L6151">
            <v>0</v>
          </cell>
          <cell r="M6151">
            <v>1.3775999999999999</v>
          </cell>
          <cell r="N6151">
            <v>0</v>
          </cell>
          <cell r="O6151">
            <v>0.18959999999999999</v>
          </cell>
          <cell r="P6151">
            <v>0</v>
          </cell>
          <cell r="Q6151">
            <v>6.3719999999999999</v>
          </cell>
          <cell r="R6151">
            <v>0</v>
          </cell>
          <cell r="S6151">
            <v>0</v>
          </cell>
          <cell r="T6151">
            <v>0</v>
          </cell>
          <cell r="U6151">
            <v>0</v>
          </cell>
          <cell r="V6151">
            <v>0</v>
          </cell>
          <cell r="W6151">
            <v>240</v>
          </cell>
          <cell r="X6151">
            <v>0.22800000000000001</v>
          </cell>
          <cell r="Y6151">
            <v>0</v>
          </cell>
          <cell r="Z6151">
            <v>0</v>
          </cell>
          <cell r="AA6151">
            <v>0</v>
          </cell>
          <cell r="AB6151">
            <v>0</v>
          </cell>
        </row>
        <row r="6152">
          <cell r="A6152">
            <v>95104000</v>
          </cell>
          <cell r="B6152" t="str">
            <v>Nutritional drink or shake, ready-to-drink, sugar free (Glucerna)</v>
          </cell>
          <cell r="I6152">
            <v>240</v>
          </cell>
          <cell r="J6152">
            <v>211.2</v>
          </cell>
          <cell r="K6152">
            <v>0.88</v>
          </cell>
          <cell r="L6152">
            <v>0</v>
          </cell>
          <cell r="M6152">
            <v>0.55679999999999996</v>
          </cell>
          <cell r="N6152">
            <v>0</v>
          </cell>
          <cell r="O6152">
            <v>0.26400000000000001</v>
          </cell>
          <cell r="P6152">
            <v>5.28</v>
          </cell>
          <cell r="Q6152">
            <v>0.94799999999999995</v>
          </cell>
          <cell r="R6152">
            <v>0</v>
          </cell>
          <cell r="S6152">
            <v>0</v>
          </cell>
          <cell r="T6152">
            <v>0</v>
          </cell>
          <cell r="U6152">
            <v>0</v>
          </cell>
          <cell r="V6152">
            <v>0</v>
          </cell>
          <cell r="W6152">
            <v>240</v>
          </cell>
          <cell r="X6152">
            <v>0.2208</v>
          </cell>
          <cell r="Y6152">
            <v>0</v>
          </cell>
          <cell r="Z6152">
            <v>0</v>
          </cell>
          <cell r="AA6152">
            <v>0</v>
          </cell>
          <cell r="AB6152">
            <v>0.2910141</v>
          </cell>
        </row>
        <row r="6153">
          <cell r="A6153">
            <v>95105000</v>
          </cell>
          <cell r="B6153" t="str">
            <v>Nutritional drink or shake, ready-to-drink (Kellogg's Special K Protein)</v>
          </cell>
          <cell r="I6153">
            <v>240</v>
          </cell>
          <cell r="J6153">
            <v>153.6</v>
          </cell>
          <cell r="K6153">
            <v>0.64</v>
          </cell>
          <cell r="L6153">
            <v>0</v>
          </cell>
          <cell r="M6153">
            <v>0.49919999999999998</v>
          </cell>
          <cell r="N6153">
            <v>0</v>
          </cell>
          <cell r="O6153">
            <v>0.2712</v>
          </cell>
          <cell r="P6153">
            <v>4.08</v>
          </cell>
          <cell r="Q6153">
            <v>1.2504</v>
          </cell>
          <cell r="R6153">
            <v>0</v>
          </cell>
          <cell r="S6153">
            <v>0</v>
          </cell>
          <cell r="T6153">
            <v>0</v>
          </cell>
          <cell r="U6153">
            <v>0</v>
          </cell>
          <cell r="V6153">
            <v>0</v>
          </cell>
          <cell r="W6153">
            <v>240</v>
          </cell>
          <cell r="X6153">
            <v>0.17519999999999999</v>
          </cell>
          <cell r="Y6153">
            <v>0</v>
          </cell>
          <cell r="Z6153">
            <v>0</v>
          </cell>
          <cell r="AA6153">
            <v>0</v>
          </cell>
          <cell r="AB6153">
            <v>0.12479999999999999</v>
          </cell>
        </row>
        <row r="6154">
          <cell r="A6154">
            <v>95106000</v>
          </cell>
          <cell r="B6154" t="str">
            <v>Nutritional drink or shake, ready-to-drink (Muscle Milk)</v>
          </cell>
          <cell r="I6154">
            <v>240</v>
          </cell>
          <cell r="J6154">
            <v>117.6</v>
          </cell>
          <cell r="K6154">
            <v>0.49</v>
          </cell>
          <cell r="L6154">
            <v>0</v>
          </cell>
          <cell r="M6154">
            <v>0.53039999999999998</v>
          </cell>
          <cell r="N6154">
            <v>0</v>
          </cell>
          <cell r="O6154">
            <v>0.1656</v>
          </cell>
          <cell r="P6154">
            <v>0.48</v>
          </cell>
          <cell r="Q6154">
            <v>0.53039999999999998</v>
          </cell>
          <cell r="R6154">
            <v>0</v>
          </cell>
          <cell r="S6154">
            <v>0</v>
          </cell>
          <cell r="T6154">
            <v>0</v>
          </cell>
          <cell r="U6154">
            <v>0</v>
          </cell>
          <cell r="V6154">
            <v>0</v>
          </cell>
          <cell r="W6154">
            <v>240</v>
          </cell>
          <cell r="X6154">
            <v>0.22800000000000001</v>
          </cell>
          <cell r="Y6154">
            <v>0</v>
          </cell>
          <cell r="Z6154">
            <v>0</v>
          </cell>
          <cell r="AA6154">
            <v>0</v>
          </cell>
          <cell r="AB6154">
            <v>0</v>
          </cell>
        </row>
        <row r="6155">
          <cell r="A6155">
            <v>95106010</v>
          </cell>
          <cell r="B6155" t="str">
            <v>Nutritional drink or shake, ready-to-drink, light (Muscle Milk)</v>
          </cell>
          <cell r="I6155">
            <v>240</v>
          </cell>
          <cell r="J6155">
            <v>90.756303000000003</v>
          </cell>
          <cell r="K6155">
            <v>0.37815126250000003</v>
          </cell>
          <cell r="L6155">
            <v>0</v>
          </cell>
          <cell r="M6155">
            <v>0.2491215</v>
          </cell>
          <cell r="N6155">
            <v>0</v>
          </cell>
          <cell r="O6155">
            <v>0.28153159999999999</v>
          </cell>
          <cell r="P6155">
            <v>0.45836519999999997</v>
          </cell>
          <cell r="Q6155">
            <v>0.28395720000000002</v>
          </cell>
          <cell r="R6155">
            <v>0</v>
          </cell>
          <cell r="S6155">
            <v>0</v>
          </cell>
          <cell r="T6155">
            <v>0</v>
          </cell>
          <cell r="U6155">
            <v>0</v>
          </cell>
          <cell r="V6155">
            <v>0</v>
          </cell>
          <cell r="W6155">
            <v>240</v>
          </cell>
          <cell r="X6155">
            <v>6.5978899999999993E-2</v>
          </cell>
          <cell r="Y6155">
            <v>0</v>
          </cell>
          <cell r="Z6155">
            <v>0</v>
          </cell>
          <cell r="AA6155">
            <v>0</v>
          </cell>
          <cell r="AB6155">
            <v>7.5268699999999994E-2</v>
          </cell>
        </row>
        <row r="6156">
          <cell r="A6156">
            <v>95110000</v>
          </cell>
          <cell r="B6156" t="str">
            <v>Nutritional drink or shake, ready-to-drink (Slim Fast)</v>
          </cell>
          <cell r="I6156">
            <v>240</v>
          </cell>
          <cell r="J6156">
            <v>136.80000000000001</v>
          </cell>
          <cell r="K6156">
            <v>0.57000000000000006</v>
          </cell>
          <cell r="L6156">
            <v>0</v>
          </cell>
          <cell r="M6156">
            <v>1.296</v>
          </cell>
          <cell r="N6156">
            <v>0</v>
          </cell>
          <cell r="O6156">
            <v>0.38640000000000002</v>
          </cell>
          <cell r="P6156">
            <v>3.84</v>
          </cell>
          <cell r="Q6156">
            <v>0.76800000000000002</v>
          </cell>
          <cell r="R6156">
            <v>0</v>
          </cell>
          <cell r="S6156">
            <v>0</v>
          </cell>
          <cell r="T6156">
            <v>0</v>
          </cell>
          <cell r="U6156">
            <v>0</v>
          </cell>
          <cell r="V6156">
            <v>0</v>
          </cell>
          <cell r="W6156">
            <v>240</v>
          </cell>
          <cell r="X6156">
            <v>0.16320000000000001</v>
          </cell>
          <cell r="Y6156">
            <v>0</v>
          </cell>
          <cell r="Z6156">
            <v>0</v>
          </cell>
          <cell r="AA6156">
            <v>0</v>
          </cell>
          <cell r="AB6156">
            <v>0</v>
          </cell>
        </row>
        <row r="6157">
          <cell r="A6157">
            <v>95110010</v>
          </cell>
          <cell r="B6157" t="str">
            <v>Nutritional drink or shake, ready-to-drink, sugar free (Slim Fast)</v>
          </cell>
          <cell r="I6157">
            <v>240</v>
          </cell>
          <cell r="J6157">
            <v>136.80000000000001</v>
          </cell>
          <cell r="K6157">
            <v>0.57000000000000006</v>
          </cell>
          <cell r="L6157">
            <v>0</v>
          </cell>
          <cell r="M6157">
            <v>1.296</v>
          </cell>
          <cell r="N6157">
            <v>0</v>
          </cell>
          <cell r="O6157">
            <v>0.38640000000000002</v>
          </cell>
          <cell r="P6157">
            <v>3.84</v>
          </cell>
          <cell r="Q6157">
            <v>0.76800000000000002</v>
          </cell>
          <cell r="R6157">
            <v>0</v>
          </cell>
          <cell r="S6157">
            <v>0</v>
          </cell>
          <cell r="T6157">
            <v>0</v>
          </cell>
          <cell r="U6157">
            <v>0</v>
          </cell>
          <cell r="V6157">
            <v>0</v>
          </cell>
          <cell r="W6157">
            <v>240</v>
          </cell>
          <cell r="X6157">
            <v>0.16320000000000001</v>
          </cell>
          <cell r="Y6157">
            <v>0</v>
          </cell>
          <cell r="Z6157">
            <v>0</v>
          </cell>
          <cell r="AA6157">
            <v>0</v>
          </cell>
          <cell r="AB6157">
            <v>0</v>
          </cell>
        </row>
        <row r="6158">
          <cell r="A6158">
            <v>95110020</v>
          </cell>
          <cell r="B6158" t="str">
            <v>Nutritional drink or shake, high protein, ready-to-drink (Slim Fast)</v>
          </cell>
          <cell r="I6158">
            <v>240</v>
          </cell>
          <cell r="J6158">
            <v>139.19999999999999</v>
          </cell>
          <cell r="K6158">
            <v>0.57999999999999996</v>
          </cell>
          <cell r="L6158">
            <v>0</v>
          </cell>
          <cell r="M6158">
            <v>1.08</v>
          </cell>
          <cell r="N6158">
            <v>0</v>
          </cell>
          <cell r="O6158">
            <v>0.312</v>
          </cell>
          <cell r="P6158">
            <v>0.96</v>
          </cell>
          <cell r="Q6158">
            <v>0.69599999999999995</v>
          </cell>
          <cell r="R6158">
            <v>0</v>
          </cell>
          <cell r="S6158">
            <v>0</v>
          </cell>
          <cell r="T6158">
            <v>0</v>
          </cell>
          <cell r="U6158">
            <v>0</v>
          </cell>
          <cell r="V6158">
            <v>0</v>
          </cell>
          <cell r="W6158">
            <v>240</v>
          </cell>
          <cell r="X6158">
            <v>0.17280000000000001</v>
          </cell>
          <cell r="Y6158">
            <v>0</v>
          </cell>
          <cell r="Z6158">
            <v>0</v>
          </cell>
          <cell r="AA6158">
            <v>0</v>
          </cell>
          <cell r="AB6158">
            <v>0</v>
          </cell>
        </row>
        <row r="6159">
          <cell r="A6159">
            <v>95120000</v>
          </cell>
          <cell r="B6159" t="str">
            <v>Nutritional drink or shake, ready-to-drink, NFS</v>
          </cell>
          <cell r="I6159">
            <v>240</v>
          </cell>
          <cell r="J6159">
            <v>252</v>
          </cell>
          <cell r="K6159">
            <v>1.05</v>
          </cell>
          <cell r="L6159">
            <v>0</v>
          </cell>
          <cell r="M6159">
            <v>1.0127999999999999</v>
          </cell>
          <cell r="N6159">
            <v>0</v>
          </cell>
          <cell r="O6159">
            <v>0.30480000000000002</v>
          </cell>
          <cell r="P6159">
            <v>0</v>
          </cell>
          <cell r="Q6159">
            <v>3.0384000000000002</v>
          </cell>
          <cell r="R6159">
            <v>0</v>
          </cell>
          <cell r="S6159">
            <v>0</v>
          </cell>
          <cell r="T6159">
            <v>0</v>
          </cell>
          <cell r="U6159">
            <v>0</v>
          </cell>
          <cell r="V6159">
            <v>0</v>
          </cell>
          <cell r="W6159">
            <v>240</v>
          </cell>
          <cell r="X6159">
            <v>0.2016</v>
          </cell>
          <cell r="Y6159">
            <v>0</v>
          </cell>
          <cell r="Z6159">
            <v>0</v>
          </cell>
          <cell r="AA6159">
            <v>0</v>
          </cell>
          <cell r="AB6159">
            <v>0</v>
          </cell>
        </row>
        <row r="6160">
          <cell r="A6160">
            <v>95120010</v>
          </cell>
          <cell r="B6160" t="str">
            <v>Nutritional drink or shake, high protein, ready-to-drink, NFS</v>
          </cell>
          <cell r="I6160">
            <v>240</v>
          </cell>
          <cell r="J6160">
            <v>139.19999999999999</v>
          </cell>
          <cell r="K6160">
            <v>0.57999999999999996</v>
          </cell>
          <cell r="L6160">
            <v>0</v>
          </cell>
          <cell r="M6160">
            <v>1.08</v>
          </cell>
          <cell r="N6160">
            <v>0</v>
          </cell>
          <cell r="O6160">
            <v>0.312</v>
          </cell>
          <cell r="P6160">
            <v>0.96</v>
          </cell>
          <cell r="Q6160">
            <v>0.69599999999999995</v>
          </cell>
          <cell r="R6160">
            <v>0</v>
          </cell>
          <cell r="S6160">
            <v>0</v>
          </cell>
          <cell r="T6160">
            <v>0</v>
          </cell>
          <cell r="U6160">
            <v>0</v>
          </cell>
          <cell r="V6160">
            <v>0</v>
          </cell>
          <cell r="W6160">
            <v>240</v>
          </cell>
          <cell r="X6160">
            <v>0.17280000000000001</v>
          </cell>
          <cell r="Y6160">
            <v>0</v>
          </cell>
          <cell r="Z6160">
            <v>0</v>
          </cell>
          <cell r="AA6160">
            <v>0</v>
          </cell>
          <cell r="AB6160">
            <v>0</v>
          </cell>
        </row>
        <row r="6161">
          <cell r="A6161">
            <v>95120020</v>
          </cell>
          <cell r="B6161" t="str">
            <v>Nutritional drink or shake, high protein, light, ready-to-drink, NFS</v>
          </cell>
          <cell r="I6161">
            <v>240</v>
          </cell>
          <cell r="J6161">
            <v>331.2</v>
          </cell>
          <cell r="K6161">
            <v>1.38</v>
          </cell>
          <cell r="L6161">
            <v>0</v>
          </cell>
          <cell r="M6161">
            <v>1.008</v>
          </cell>
          <cell r="N6161">
            <v>0</v>
          </cell>
          <cell r="O6161">
            <v>0.32400000000000001</v>
          </cell>
          <cell r="P6161">
            <v>2.88</v>
          </cell>
          <cell r="Q6161">
            <v>0.2928</v>
          </cell>
          <cell r="R6161">
            <v>0</v>
          </cell>
          <cell r="S6161">
            <v>0</v>
          </cell>
          <cell r="T6161">
            <v>0</v>
          </cell>
          <cell r="U6161">
            <v>0</v>
          </cell>
          <cell r="V6161">
            <v>0</v>
          </cell>
          <cell r="W6161">
            <v>240</v>
          </cell>
          <cell r="X6161">
            <v>0.18479999999999999</v>
          </cell>
          <cell r="Y6161">
            <v>0</v>
          </cell>
          <cell r="Z6161">
            <v>0</v>
          </cell>
          <cell r="AA6161">
            <v>0</v>
          </cell>
          <cell r="AB6161">
            <v>0</v>
          </cell>
        </row>
        <row r="6162">
          <cell r="A6162">
            <v>95120050</v>
          </cell>
          <cell r="B6162" t="str">
            <v>Nutritional drink or shake, liquid, soy-based</v>
          </cell>
          <cell r="I6162">
            <v>240</v>
          </cell>
          <cell r="J6162">
            <v>331.2</v>
          </cell>
          <cell r="K6162">
            <v>1.38</v>
          </cell>
          <cell r="L6162">
            <v>0</v>
          </cell>
          <cell r="M6162">
            <v>1.008</v>
          </cell>
          <cell r="N6162">
            <v>0</v>
          </cell>
          <cell r="O6162">
            <v>0.32400000000000001</v>
          </cell>
          <cell r="P6162">
            <v>2.88</v>
          </cell>
          <cell r="Q6162">
            <v>0.2928</v>
          </cell>
          <cell r="R6162">
            <v>0</v>
          </cell>
          <cell r="S6162">
            <v>0</v>
          </cell>
          <cell r="T6162">
            <v>0</v>
          </cell>
          <cell r="U6162">
            <v>0</v>
          </cell>
          <cell r="V6162">
            <v>0</v>
          </cell>
          <cell r="W6162">
            <v>240</v>
          </cell>
          <cell r="X6162">
            <v>0.18479999999999999</v>
          </cell>
          <cell r="Y6162">
            <v>0</v>
          </cell>
          <cell r="Z6162">
            <v>0</v>
          </cell>
          <cell r="AA6162">
            <v>0</v>
          </cell>
          <cell r="AB6162">
            <v>0</v>
          </cell>
        </row>
        <row r="6163">
          <cell r="A6163">
            <v>95201000</v>
          </cell>
          <cell r="B6163" t="str">
            <v>Nutritional powder mix (Carnation Instant Breakfast)</v>
          </cell>
          <cell r="I6163">
            <v>33</v>
          </cell>
          <cell r="J6163">
            <v>116.49</v>
          </cell>
          <cell r="K6163">
            <v>3.53</v>
          </cell>
          <cell r="L6163">
            <v>0</v>
          </cell>
          <cell r="M6163">
            <v>0.18479999999999999</v>
          </cell>
          <cell r="N6163">
            <v>0</v>
          </cell>
          <cell r="O6163">
            <v>9.4049999999999995E-2</v>
          </cell>
          <cell r="P6163">
            <v>0.13200000000000001</v>
          </cell>
          <cell r="Q6163">
            <v>9.1740000000000002E-2</v>
          </cell>
          <cell r="R6163">
            <v>0</v>
          </cell>
          <cell r="S6163">
            <v>0</v>
          </cell>
          <cell r="T6163">
            <v>0</v>
          </cell>
          <cell r="U6163">
            <v>0</v>
          </cell>
          <cell r="V6163">
            <v>0</v>
          </cell>
          <cell r="W6163">
            <v>0</v>
          </cell>
          <cell r="X6163">
            <v>0.12705</v>
          </cell>
          <cell r="Y6163">
            <v>0</v>
          </cell>
          <cell r="Z6163">
            <v>0</v>
          </cell>
          <cell r="AA6163">
            <v>0</v>
          </cell>
          <cell r="AB6163">
            <v>0</v>
          </cell>
        </row>
        <row r="6164">
          <cell r="A6164">
            <v>95201010</v>
          </cell>
          <cell r="B6164" t="str">
            <v>Nutritional powder mix, sugar free (Carnation Instant Breakfast)</v>
          </cell>
          <cell r="I6164">
            <v>33</v>
          </cell>
          <cell r="J6164">
            <v>118.14</v>
          </cell>
          <cell r="K6164">
            <v>3.58</v>
          </cell>
          <cell r="L6164">
            <v>0</v>
          </cell>
          <cell r="M6164">
            <v>0.71345999999999998</v>
          </cell>
          <cell r="N6164">
            <v>0</v>
          </cell>
          <cell r="O6164">
            <v>0.16500000000000001</v>
          </cell>
          <cell r="P6164">
            <v>0.66</v>
          </cell>
          <cell r="Q6164">
            <v>0.33890999999999999</v>
          </cell>
          <cell r="R6164">
            <v>0</v>
          </cell>
          <cell r="S6164">
            <v>0</v>
          </cell>
          <cell r="T6164">
            <v>0</v>
          </cell>
          <cell r="U6164">
            <v>0</v>
          </cell>
          <cell r="V6164">
            <v>0</v>
          </cell>
          <cell r="W6164">
            <v>0</v>
          </cell>
          <cell r="X6164">
            <v>0.23660999999999999</v>
          </cell>
          <cell r="Y6164">
            <v>0</v>
          </cell>
          <cell r="Z6164">
            <v>0</v>
          </cell>
          <cell r="AA6164">
            <v>0</v>
          </cell>
          <cell r="AB6164">
            <v>0</v>
          </cell>
        </row>
        <row r="6165">
          <cell r="A6165">
            <v>95201200</v>
          </cell>
          <cell r="B6165" t="str">
            <v>Nutritional powder mix (EAS Whey Protein Powder)</v>
          </cell>
          <cell r="I6165">
            <v>33</v>
          </cell>
          <cell r="J6165">
            <v>127.05</v>
          </cell>
          <cell r="K6165">
            <v>3.85</v>
          </cell>
          <cell r="L6165">
            <v>0</v>
          </cell>
          <cell r="M6165">
            <v>0.84611999999999998</v>
          </cell>
          <cell r="N6165">
            <v>0</v>
          </cell>
          <cell r="O6165">
            <v>8.448E-2</v>
          </cell>
          <cell r="P6165">
            <v>0</v>
          </cell>
          <cell r="Q6165">
            <v>0.30558000000000002</v>
          </cell>
          <cell r="R6165">
            <v>0</v>
          </cell>
          <cell r="S6165">
            <v>0</v>
          </cell>
          <cell r="T6165">
            <v>0</v>
          </cell>
          <cell r="U6165">
            <v>0</v>
          </cell>
          <cell r="V6165">
            <v>0</v>
          </cell>
          <cell r="W6165">
            <v>0</v>
          </cell>
          <cell r="X6165">
            <v>0.12705</v>
          </cell>
          <cell r="Y6165">
            <v>0</v>
          </cell>
          <cell r="Z6165">
            <v>0</v>
          </cell>
          <cell r="AA6165">
            <v>0</v>
          </cell>
          <cell r="AB6165">
            <v>0</v>
          </cell>
        </row>
        <row r="6166">
          <cell r="A6166">
            <v>95201500</v>
          </cell>
          <cell r="B6166" t="str">
            <v>Nutritional powder mix, high protein (Herbalife)</v>
          </cell>
          <cell r="I6166">
            <v>33</v>
          </cell>
          <cell r="J6166">
            <v>129.36000000000001</v>
          </cell>
          <cell r="K6166">
            <v>3.9200000000000004</v>
          </cell>
          <cell r="L6166">
            <v>0</v>
          </cell>
          <cell r="M6166">
            <v>0</v>
          </cell>
          <cell r="N6166">
            <v>0</v>
          </cell>
          <cell r="O6166">
            <v>0.23562</v>
          </cell>
          <cell r="P6166">
            <v>0</v>
          </cell>
          <cell r="Q6166">
            <v>2.3984399999999999</v>
          </cell>
          <cell r="R6166">
            <v>0</v>
          </cell>
          <cell r="S6166">
            <v>0</v>
          </cell>
          <cell r="T6166">
            <v>0</v>
          </cell>
          <cell r="U6166">
            <v>0</v>
          </cell>
          <cell r="V6166">
            <v>0</v>
          </cell>
          <cell r="W6166">
            <v>0</v>
          </cell>
          <cell r="X6166">
            <v>0.40061999999999998</v>
          </cell>
          <cell r="Y6166">
            <v>0</v>
          </cell>
          <cell r="Z6166">
            <v>0</v>
          </cell>
          <cell r="AA6166">
            <v>0</v>
          </cell>
          <cell r="AB6166">
            <v>0</v>
          </cell>
        </row>
        <row r="6167">
          <cell r="A6167">
            <v>95202000</v>
          </cell>
          <cell r="B6167" t="str">
            <v>Nutritional powder mix (Muscle Milk)</v>
          </cell>
          <cell r="I6167">
            <v>33</v>
          </cell>
          <cell r="J6167">
            <v>135.63</v>
          </cell>
          <cell r="K6167">
            <v>4.1099999999999994</v>
          </cell>
          <cell r="L6167">
            <v>0</v>
          </cell>
          <cell r="M6167">
            <v>0.51249</v>
          </cell>
          <cell r="N6167">
            <v>0</v>
          </cell>
          <cell r="O6167">
            <v>0.16500000000000001</v>
          </cell>
          <cell r="P6167">
            <v>2.343</v>
          </cell>
          <cell r="Q6167">
            <v>0.58409999999999995</v>
          </cell>
          <cell r="R6167">
            <v>0</v>
          </cell>
          <cell r="S6167">
            <v>0</v>
          </cell>
          <cell r="T6167">
            <v>0</v>
          </cell>
          <cell r="U6167">
            <v>0</v>
          </cell>
          <cell r="V6167">
            <v>0</v>
          </cell>
          <cell r="W6167">
            <v>0</v>
          </cell>
          <cell r="X6167">
            <v>0.10857</v>
          </cell>
          <cell r="Y6167">
            <v>0</v>
          </cell>
          <cell r="Z6167">
            <v>0</v>
          </cell>
          <cell r="AA6167">
            <v>0</v>
          </cell>
          <cell r="AB6167">
            <v>0</v>
          </cell>
        </row>
        <row r="6168">
          <cell r="A6168">
            <v>95202010</v>
          </cell>
          <cell r="B6168" t="str">
            <v>Muscle Milk, light, powder</v>
          </cell>
          <cell r="I6168">
            <v>33</v>
          </cell>
          <cell r="J6168">
            <v>130.68</v>
          </cell>
          <cell r="K6168">
            <v>3.9600000000000004</v>
          </cell>
          <cell r="L6168">
            <v>0</v>
          </cell>
          <cell r="M6168">
            <v>0.35870999999999997</v>
          </cell>
          <cell r="N6168">
            <v>0</v>
          </cell>
          <cell r="O6168">
            <v>0.39600000000000002</v>
          </cell>
          <cell r="P6168">
            <v>0.66</v>
          </cell>
          <cell r="Q6168">
            <v>0.40887000000000001</v>
          </cell>
          <cell r="R6168">
            <v>0</v>
          </cell>
          <cell r="S6168">
            <v>0</v>
          </cell>
          <cell r="T6168">
            <v>0</v>
          </cell>
          <cell r="U6168">
            <v>0</v>
          </cell>
          <cell r="V6168">
            <v>0</v>
          </cell>
          <cell r="W6168">
            <v>0</v>
          </cell>
          <cell r="X6168">
            <v>8.2500000000000004E-2</v>
          </cell>
          <cell r="Y6168">
            <v>0</v>
          </cell>
          <cell r="Z6168">
            <v>0</v>
          </cell>
          <cell r="AA6168">
            <v>0</v>
          </cell>
          <cell r="AB6168">
            <v>0</v>
          </cell>
        </row>
        <row r="6169">
          <cell r="A6169">
            <v>95210000</v>
          </cell>
          <cell r="B6169" t="str">
            <v>Nutritional powder mix (Slim Fast)</v>
          </cell>
          <cell r="I6169">
            <v>33</v>
          </cell>
          <cell r="J6169">
            <v>147.84</v>
          </cell>
          <cell r="K6169">
            <v>4.4800000000000004</v>
          </cell>
          <cell r="L6169">
            <v>0</v>
          </cell>
          <cell r="M6169">
            <v>0.47849999999999998</v>
          </cell>
          <cell r="N6169">
            <v>0</v>
          </cell>
          <cell r="O6169">
            <v>0.12012</v>
          </cell>
          <cell r="P6169">
            <v>5.9729999999999999</v>
          </cell>
          <cell r="Q6169">
            <v>0.39269999999999999</v>
          </cell>
          <cell r="R6169">
            <v>0</v>
          </cell>
          <cell r="S6169">
            <v>0</v>
          </cell>
          <cell r="T6169">
            <v>0</v>
          </cell>
          <cell r="U6169">
            <v>0</v>
          </cell>
          <cell r="V6169">
            <v>0</v>
          </cell>
          <cell r="W6169">
            <v>0</v>
          </cell>
          <cell r="X6169">
            <v>0.15576000000000001</v>
          </cell>
          <cell r="Y6169">
            <v>0</v>
          </cell>
          <cell r="Z6169">
            <v>0</v>
          </cell>
          <cell r="AA6169">
            <v>0</v>
          </cell>
          <cell r="AB6169">
            <v>0</v>
          </cell>
        </row>
        <row r="6170">
          <cell r="A6170">
            <v>95210020</v>
          </cell>
          <cell r="B6170" t="str">
            <v>Nutritional powder mix, high protein (Slim Fast)</v>
          </cell>
          <cell r="I6170">
            <v>33</v>
          </cell>
          <cell r="J6170">
            <v>121.44</v>
          </cell>
          <cell r="K6170">
            <v>3.6799999999999997</v>
          </cell>
          <cell r="L6170">
            <v>0</v>
          </cell>
          <cell r="M6170">
            <v>0.44879999999999998</v>
          </cell>
          <cell r="N6170">
            <v>0</v>
          </cell>
          <cell r="O6170">
            <v>0.34287000000000001</v>
          </cell>
          <cell r="P6170">
            <v>6.0060000000000002</v>
          </cell>
          <cell r="Q6170">
            <v>0.35310000000000002</v>
          </cell>
          <cell r="R6170">
            <v>0</v>
          </cell>
          <cell r="S6170">
            <v>0</v>
          </cell>
          <cell r="T6170">
            <v>0</v>
          </cell>
          <cell r="U6170">
            <v>0</v>
          </cell>
          <cell r="V6170">
            <v>0</v>
          </cell>
          <cell r="W6170">
            <v>0</v>
          </cell>
          <cell r="X6170">
            <v>0.16335</v>
          </cell>
          <cell r="Y6170">
            <v>0</v>
          </cell>
          <cell r="Z6170">
            <v>0</v>
          </cell>
          <cell r="AA6170">
            <v>0</v>
          </cell>
          <cell r="AB6170">
            <v>0</v>
          </cell>
        </row>
        <row r="6171">
          <cell r="A6171">
            <v>95220000</v>
          </cell>
          <cell r="B6171" t="str">
            <v>Nutritional powder mix, NFS</v>
          </cell>
          <cell r="I6171">
            <v>33</v>
          </cell>
          <cell r="J6171">
            <v>116.49</v>
          </cell>
          <cell r="K6171">
            <v>3.53</v>
          </cell>
          <cell r="L6171">
            <v>0</v>
          </cell>
          <cell r="M6171">
            <v>0.18479999999999999</v>
          </cell>
          <cell r="N6171">
            <v>0</v>
          </cell>
          <cell r="O6171">
            <v>9.4049999999999995E-2</v>
          </cell>
          <cell r="P6171">
            <v>0.13200000000000001</v>
          </cell>
          <cell r="Q6171">
            <v>9.1740000000000002E-2</v>
          </cell>
          <cell r="R6171">
            <v>0</v>
          </cell>
          <cell r="S6171">
            <v>0</v>
          </cell>
          <cell r="T6171">
            <v>0</v>
          </cell>
          <cell r="U6171">
            <v>0</v>
          </cell>
          <cell r="V6171">
            <v>0</v>
          </cell>
          <cell r="W6171">
            <v>0</v>
          </cell>
          <cell r="X6171">
            <v>0.12705</v>
          </cell>
          <cell r="Y6171">
            <v>0</v>
          </cell>
          <cell r="Z6171">
            <v>0</v>
          </cell>
          <cell r="AA6171">
            <v>0</v>
          </cell>
          <cell r="AB6171">
            <v>0</v>
          </cell>
        </row>
        <row r="6172">
          <cell r="A6172">
            <v>95220010</v>
          </cell>
          <cell r="B6172" t="str">
            <v>Nutritional powder mix, high protein, NFS</v>
          </cell>
          <cell r="I6172">
            <v>33</v>
          </cell>
          <cell r="J6172">
            <v>129.36000000000001</v>
          </cell>
          <cell r="K6172">
            <v>3.9200000000000004</v>
          </cell>
          <cell r="L6172">
            <v>0</v>
          </cell>
          <cell r="M6172">
            <v>0</v>
          </cell>
          <cell r="N6172">
            <v>0</v>
          </cell>
          <cell r="O6172">
            <v>0.23562</v>
          </cell>
          <cell r="P6172">
            <v>0</v>
          </cell>
          <cell r="Q6172">
            <v>2.3984399999999999</v>
          </cell>
          <cell r="R6172">
            <v>0</v>
          </cell>
          <cell r="S6172">
            <v>0</v>
          </cell>
          <cell r="T6172">
            <v>0</v>
          </cell>
          <cell r="U6172">
            <v>0</v>
          </cell>
          <cell r="V6172">
            <v>0</v>
          </cell>
          <cell r="W6172">
            <v>0</v>
          </cell>
          <cell r="X6172">
            <v>0.40061999999999998</v>
          </cell>
          <cell r="Y6172">
            <v>0</v>
          </cell>
          <cell r="Z6172">
            <v>0</v>
          </cell>
          <cell r="AA6172">
            <v>0</v>
          </cell>
          <cell r="AB6172">
            <v>0</v>
          </cell>
        </row>
        <row r="6173">
          <cell r="A6173">
            <v>95230000</v>
          </cell>
          <cell r="B6173" t="str">
            <v>Nutritional powder mix, whey based, NFS</v>
          </cell>
          <cell r="I6173">
            <v>33</v>
          </cell>
          <cell r="J6173">
            <v>116.16</v>
          </cell>
          <cell r="K6173">
            <v>3.52</v>
          </cell>
          <cell r="L6173">
            <v>0</v>
          </cell>
          <cell r="M6173">
            <v>0.25773000000000001</v>
          </cell>
          <cell r="N6173">
            <v>0</v>
          </cell>
          <cell r="O6173">
            <v>0.15476999999999999</v>
          </cell>
          <cell r="P6173">
            <v>1.0229999999999999</v>
          </cell>
          <cell r="Q6173">
            <v>9.8669999999999994E-2</v>
          </cell>
          <cell r="R6173">
            <v>0</v>
          </cell>
          <cell r="S6173">
            <v>0</v>
          </cell>
          <cell r="T6173">
            <v>0</v>
          </cell>
          <cell r="U6173">
            <v>0</v>
          </cell>
          <cell r="V6173">
            <v>0</v>
          </cell>
          <cell r="W6173">
            <v>0</v>
          </cell>
          <cell r="X6173">
            <v>5.1479999999999998E-2</v>
          </cell>
          <cell r="Y6173">
            <v>0</v>
          </cell>
          <cell r="Z6173">
            <v>0</v>
          </cell>
          <cell r="AA6173">
            <v>0</v>
          </cell>
          <cell r="AB6173">
            <v>0</v>
          </cell>
        </row>
        <row r="6174">
          <cell r="A6174">
            <v>95230010</v>
          </cell>
          <cell r="B6174" t="str">
            <v>Nutritional powder mix, protein, soy based, NFS</v>
          </cell>
          <cell r="I6174">
            <v>33</v>
          </cell>
          <cell r="J6174">
            <v>128.04</v>
          </cell>
          <cell r="K6174">
            <v>3.88</v>
          </cell>
          <cell r="L6174">
            <v>0</v>
          </cell>
          <cell r="M6174">
            <v>0.36663000000000001</v>
          </cell>
          <cell r="N6174">
            <v>0</v>
          </cell>
          <cell r="O6174">
            <v>5.8740000000000001E-2</v>
          </cell>
          <cell r="P6174">
            <v>2.2109999999999999</v>
          </cell>
          <cell r="Q6174">
            <v>0.89132999999999996</v>
          </cell>
          <cell r="R6174">
            <v>0</v>
          </cell>
          <cell r="S6174">
            <v>0</v>
          </cell>
          <cell r="T6174">
            <v>0</v>
          </cell>
          <cell r="U6174">
            <v>0</v>
          </cell>
          <cell r="V6174">
            <v>0</v>
          </cell>
          <cell r="W6174">
            <v>0</v>
          </cell>
          <cell r="X6174">
            <v>0.24188999999999999</v>
          </cell>
          <cell r="Y6174">
            <v>0</v>
          </cell>
          <cell r="Z6174">
            <v>0</v>
          </cell>
          <cell r="AA6174">
            <v>0</v>
          </cell>
          <cell r="AB6174">
            <v>0</v>
          </cell>
        </row>
        <row r="6175">
          <cell r="A6175">
            <v>95230020</v>
          </cell>
          <cell r="B6175" t="str">
            <v>Nutritional powder mix, protein, light, NFS</v>
          </cell>
          <cell r="I6175">
            <v>33</v>
          </cell>
          <cell r="J6175">
            <v>130.68</v>
          </cell>
          <cell r="K6175">
            <v>3.9600000000000004</v>
          </cell>
          <cell r="L6175">
            <v>0</v>
          </cell>
          <cell r="M6175">
            <v>0.35870999999999997</v>
          </cell>
          <cell r="N6175">
            <v>0</v>
          </cell>
          <cell r="O6175">
            <v>0.39600000000000002</v>
          </cell>
          <cell r="P6175">
            <v>0.66</v>
          </cell>
          <cell r="Q6175">
            <v>0.40887000000000001</v>
          </cell>
          <cell r="R6175">
            <v>0</v>
          </cell>
          <cell r="S6175">
            <v>0</v>
          </cell>
          <cell r="T6175">
            <v>0</v>
          </cell>
          <cell r="U6175">
            <v>0</v>
          </cell>
          <cell r="V6175">
            <v>0</v>
          </cell>
          <cell r="W6175">
            <v>0</v>
          </cell>
          <cell r="X6175">
            <v>8.2500000000000004E-2</v>
          </cell>
          <cell r="Y6175">
            <v>0</v>
          </cell>
          <cell r="Z6175">
            <v>0</v>
          </cell>
          <cell r="AA6175">
            <v>0</v>
          </cell>
          <cell r="AB6175">
            <v>0</v>
          </cell>
        </row>
        <row r="6176">
          <cell r="A6176">
            <v>95230030</v>
          </cell>
          <cell r="B6176" t="str">
            <v>Nutritional powder mix, protein, NFS</v>
          </cell>
          <cell r="I6176">
            <v>33</v>
          </cell>
          <cell r="J6176">
            <v>116.16</v>
          </cell>
          <cell r="K6176">
            <v>3.52</v>
          </cell>
          <cell r="L6176">
            <v>0</v>
          </cell>
          <cell r="M6176">
            <v>0.25773000000000001</v>
          </cell>
          <cell r="N6176">
            <v>0</v>
          </cell>
          <cell r="O6176">
            <v>0.15476999999999999</v>
          </cell>
          <cell r="P6176">
            <v>1.0229999999999999</v>
          </cell>
          <cell r="Q6176">
            <v>9.8669999999999994E-2</v>
          </cell>
          <cell r="R6176">
            <v>0</v>
          </cell>
          <cell r="S6176">
            <v>0</v>
          </cell>
          <cell r="T6176">
            <v>0</v>
          </cell>
          <cell r="U6176">
            <v>0</v>
          </cell>
          <cell r="V6176">
            <v>0</v>
          </cell>
          <cell r="W6176">
            <v>0</v>
          </cell>
          <cell r="X6176">
            <v>5.1479999999999998E-2</v>
          </cell>
          <cell r="Y6176">
            <v>0</v>
          </cell>
          <cell r="Z6176">
            <v>0</v>
          </cell>
          <cell r="AA6176">
            <v>0</v>
          </cell>
          <cell r="AB6176">
            <v>0</v>
          </cell>
        </row>
        <row r="6177">
          <cell r="A6177">
            <v>95310200</v>
          </cell>
          <cell r="B6177" t="str">
            <v>Energy drink (Full Throttle)</v>
          </cell>
          <cell r="I6177">
            <v>360</v>
          </cell>
          <cell r="J6177">
            <v>165.6</v>
          </cell>
          <cell r="K6177">
            <v>0.45999999999999996</v>
          </cell>
          <cell r="L6177">
            <v>0</v>
          </cell>
          <cell r="M6177">
            <v>0</v>
          </cell>
          <cell r="N6177">
            <v>0</v>
          </cell>
          <cell r="O6177">
            <v>4.6800000000000001E-2</v>
          </cell>
          <cell r="P6177">
            <v>0</v>
          </cell>
          <cell r="Q6177">
            <v>0</v>
          </cell>
          <cell r="R6177">
            <v>0</v>
          </cell>
          <cell r="S6177">
            <v>0</v>
          </cell>
          <cell r="T6177">
            <v>0</v>
          </cell>
          <cell r="U6177">
            <v>0</v>
          </cell>
          <cell r="V6177">
            <v>0</v>
          </cell>
          <cell r="W6177">
            <v>360</v>
          </cell>
          <cell r="X6177">
            <v>0.126</v>
          </cell>
          <cell r="Y6177">
            <v>0</v>
          </cell>
          <cell r="Z6177">
            <v>0</v>
          </cell>
          <cell r="AA6177">
            <v>0</v>
          </cell>
          <cell r="AB6177">
            <v>0</v>
          </cell>
        </row>
        <row r="6178">
          <cell r="A6178">
            <v>95310400</v>
          </cell>
          <cell r="B6178" t="str">
            <v>Energy drink (Monster)</v>
          </cell>
          <cell r="I6178">
            <v>360</v>
          </cell>
          <cell r="J6178">
            <v>169.2</v>
          </cell>
          <cell r="K6178">
            <v>0.47</v>
          </cell>
          <cell r="L6178">
            <v>0</v>
          </cell>
          <cell r="M6178">
            <v>0</v>
          </cell>
          <cell r="N6178">
            <v>0</v>
          </cell>
          <cell r="O6178">
            <v>0</v>
          </cell>
          <cell r="P6178">
            <v>0</v>
          </cell>
          <cell r="Q6178">
            <v>0</v>
          </cell>
          <cell r="R6178">
            <v>0</v>
          </cell>
          <cell r="S6178">
            <v>0</v>
          </cell>
          <cell r="T6178">
            <v>0</v>
          </cell>
          <cell r="U6178">
            <v>0</v>
          </cell>
          <cell r="V6178">
            <v>0</v>
          </cell>
          <cell r="W6178">
            <v>360</v>
          </cell>
          <cell r="X6178">
            <v>0.2772</v>
          </cell>
          <cell r="Y6178">
            <v>0</v>
          </cell>
          <cell r="Z6178">
            <v>0</v>
          </cell>
          <cell r="AA6178">
            <v>0</v>
          </cell>
          <cell r="AB6178">
            <v>0</v>
          </cell>
        </row>
        <row r="6179">
          <cell r="A6179">
            <v>95310500</v>
          </cell>
          <cell r="B6179" t="str">
            <v>Mountain Dew AMP Energy Drink</v>
          </cell>
          <cell r="I6179">
            <v>360</v>
          </cell>
          <cell r="J6179">
            <v>165.6</v>
          </cell>
          <cell r="K6179">
            <v>0.45999999999999996</v>
          </cell>
          <cell r="L6179">
            <v>0</v>
          </cell>
          <cell r="M6179">
            <v>0</v>
          </cell>
          <cell r="N6179">
            <v>0</v>
          </cell>
          <cell r="O6179">
            <v>4.6800000000000001E-2</v>
          </cell>
          <cell r="P6179">
            <v>0</v>
          </cell>
          <cell r="Q6179">
            <v>0</v>
          </cell>
          <cell r="R6179">
            <v>0</v>
          </cell>
          <cell r="S6179">
            <v>0</v>
          </cell>
          <cell r="T6179">
            <v>0</v>
          </cell>
          <cell r="U6179">
            <v>0</v>
          </cell>
          <cell r="V6179">
            <v>0</v>
          </cell>
          <cell r="W6179">
            <v>360</v>
          </cell>
          <cell r="X6179">
            <v>9.7199999999999995E-2</v>
          </cell>
          <cell r="Y6179">
            <v>0</v>
          </cell>
          <cell r="Z6179">
            <v>0</v>
          </cell>
          <cell r="AA6179">
            <v>0</v>
          </cell>
          <cell r="AB6179">
            <v>0</v>
          </cell>
        </row>
        <row r="6180">
          <cell r="A6180">
            <v>95310560</v>
          </cell>
          <cell r="B6180" t="str">
            <v>Energy drink (NOS)</v>
          </cell>
          <cell r="I6180">
            <v>360</v>
          </cell>
          <cell r="J6180">
            <v>158.4</v>
          </cell>
          <cell r="K6180">
            <v>0.44</v>
          </cell>
          <cell r="L6180">
            <v>0</v>
          </cell>
          <cell r="M6180">
            <v>0</v>
          </cell>
          <cell r="N6180">
            <v>0</v>
          </cell>
          <cell r="O6180">
            <v>0</v>
          </cell>
          <cell r="P6180">
            <v>0</v>
          </cell>
          <cell r="Q6180">
            <v>0</v>
          </cell>
          <cell r="R6180">
            <v>0</v>
          </cell>
          <cell r="S6180">
            <v>0</v>
          </cell>
          <cell r="T6180">
            <v>0</v>
          </cell>
          <cell r="U6180">
            <v>0</v>
          </cell>
          <cell r="V6180">
            <v>0</v>
          </cell>
          <cell r="W6180">
            <v>360</v>
          </cell>
          <cell r="X6180">
            <v>0.30599999999999999</v>
          </cell>
          <cell r="Y6180">
            <v>0</v>
          </cell>
          <cell r="Z6180">
            <v>0</v>
          </cell>
          <cell r="AA6180">
            <v>0</v>
          </cell>
          <cell r="AB6180">
            <v>0</v>
          </cell>
        </row>
        <row r="6181">
          <cell r="A6181">
            <v>95310600</v>
          </cell>
          <cell r="B6181" t="str">
            <v>Energy drink (Red Bull)</v>
          </cell>
          <cell r="I6181">
            <v>360</v>
          </cell>
          <cell r="J6181">
            <v>154.80000000000001</v>
          </cell>
          <cell r="K6181">
            <v>0.43000000000000005</v>
          </cell>
          <cell r="L6181">
            <v>0</v>
          </cell>
          <cell r="M6181">
            <v>0</v>
          </cell>
          <cell r="N6181">
            <v>0</v>
          </cell>
          <cell r="O6181">
            <v>2.1600000000000001E-2</v>
          </cell>
          <cell r="P6181">
            <v>0</v>
          </cell>
          <cell r="Q6181">
            <v>0</v>
          </cell>
          <cell r="R6181">
            <v>0</v>
          </cell>
          <cell r="S6181">
            <v>0</v>
          </cell>
          <cell r="T6181">
            <v>0</v>
          </cell>
          <cell r="U6181">
            <v>0</v>
          </cell>
          <cell r="V6181">
            <v>0</v>
          </cell>
          <cell r="W6181">
            <v>360</v>
          </cell>
          <cell r="X6181">
            <v>0.1404</v>
          </cell>
          <cell r="Y6181">
            <v>0</v>
          </cell>
          <cell r="Z6181">
            <v>0</v>
          </cell>
          <cell r="AA6181">
            <v>0</v>
          </cell>
          <cell r="AB6181">
            <v>0</v>
          </cell>
        </row>
        <row r="6182">
          <cell r="A6182">
            <v>95310700</v>
          </cell>
          <cell r="B6182" t="str">
            <v>Energy drink (Rockstar)</v>
          </cell>
          <cell r="I6182">
            <v>360</v>
          </cell>
          <cell r="J6182">
            <v>208.8</v>
          </cell>
          <cell r="K6182">
            <v>0.58000000000000007</v>
          </cell>
          <cell r="L6182">
            <v>0</v>
          </cell>
          <cell r="M6182">
            <v>0</v>
          </cell>
          <cell r="N6182">
            <v>0</v>
          </cell>
          <cell r="O6182">
            <v>3.5999999999999999E-3</v>
          </cell>
          <cell r="P6182">
            <v>0</v>
          </cell>
          <cell r="Q6182">
            <v>0</v>
          </cell>
          <cell r="R6182">
            <v>0</v>
          </cell>
          <cell r="S6182">
            <v>0</v>
          </cell>
          <cell r="T6182">
            <v>0</v>
          </cell>
          <cell r="U6182">
            <v>0</v>
          </cell>
          <cell r="V6182">
            <v>0</v>
          </cell>
          <cell r="W6182">
            <v>360</v>
          </cell>
          <cell r="X6182">
            <v>5.7599999999999998E-2</v>
          </cell>
          <cell r="Y6182">
            <v>0</v>
          </cell>
          <cell r="Z6182">
            <v>0</v>
          </cell>
          <cell r="AA6182">
            <v>0</v>
          </cell>
          <cell r="AB6182">
            <v>0</v>
          </cell>
        </row>
        <row r="6183">
          <cell r="A6183">
            <v>95310750</v>
          </cell>
          <cell r="B6183" t="str">
            <v>Energy drink (SoBe Energize Energy Juice Drink)</v>
          </cell>
          <cell r="I6183">
            <v>360</v>
          </cell>
          <cell r="J6183">
            <v>162</v>
          </cell>
          <cell r="K6183">
            <v>0.45</v>
          </cell>
          <cell r="L6183">
            <v>0</v>
          </cell>
          <cell r="M6183">
            <v>0</v>
          </cell>
          <cell r="N6183">
            <v>0</v>
          </cell>
          <cell r="O6183">
            <v>2.8799999999999999E-2</v>
          </cell>
          <cell r="P6183">
            <v>0</v>
          </cell>
          <cell r="Q6183">
            <v>0</v>
          </cell>
          <cell r="R6183">
            <v>0</v>
          </cell>
          <cell r="S6183">
            <v>0</v>
          </cell>
          <cell r="T6183">
            <v>9</v>
          </cell>
          <cell r="U6183">
            <v>0</v>
          </cell>
          <cell r="V6183">
            <v>0</v>
          </cell>
          <cell r="W6183">
            <v>360</v>
          </cell>
          <cell r="X6183">
            <v>3.5999999999999997E-2</v>
          </cell>
          <cell r="Y6183">
            <v>0</v>
          </cell>
          <cell r="Z6183">
            <v>0</v>
          </cell>
          <cell r="AA6183">
            <v>0</v>
          </cell>
          <cell r="AB6183">
            <v>0</v>
          </cell>
        </row>
        <row r="6184">
          <cell r="A6184">
            <v>95311000</v>
          </cell>
          <cell r="B6184" t="str">
            <v>Energy Drink</v>
          </cell>
          <cell r="I6184">
            <v>360</v>
          </cell>
          <cell r="J6184">
            <v>154.80000000000001</v>
          </cell>
          <cell r="K6184">
            <v>0.43000000000000005</v>
          </cell>
          <cell r="L6184">
            <v>0</v>
          </cell>
          <cell r="M6184">
            <v>0</v>
          </cell>
          <cell r="N6184">
            <v>0</v>
          </cell>
          <cell r="O6184">
            <v>2.1600000000000001E-2</v>
          </cell>
          <cell r="P6184">
            <v>0</v>
          </cell>
          <cell r="Q6184">
            <v>0</v>
          </cell>
          <cell r="R6184">
            <v>0</v>
          </cell>
          <cell r="S6184">
            <v>0</v>
          </cell>
          <cell r="T6184">
            <v>0</v>
          </cell>
          <cell r="U6184">
            <v>0</v>
          </cell>
          <cell r="V6184">
            <v>0</v>
          </cell>
          <cell r="W6184">
            <v>360</v>
          </cell>
          <cell r="X6184">
            <v>0.1404</v>
          </cell>
          <cell r="Y6184">
            <v>0</v>
          </cell>
          <cell r="Z6184">
            <v>0</v>
          </cell>
          <cell r="AA6184">
            <v>0</v>
          </cell>
          <cell r="AB6184">
            <v>0</v>
          </cell>
        </row>
        <row r="6185">
          <cell r="A6185">
            <v>95312400</v>
          </cell>
          <cell r="B6185" t="str">
            <v>Energy drink, low calorie (Monster)</v>
          </cell>
          <cell r="I6185">
            <v>360</v>
          </cell>
          <cell r="J6185">
            <v>18</v>
          </cell>
          <cell r="K6185">
            <v>0.05</v>
          </cell>
          <cell r="L6185">
            <v>0</v>
          </cell>
          <cell r="M6185">
            <v>0</v>
          </cell>
          <cell r="N6185">
            <v>0</v>
          </cell>
          <cell r="O6185">
            <v>0</v>
          </cell>
          <cell r="P6185">
            <v>0</v>
          </cell>
          <cell r="Q6185">
            <v>0</v>
          </cell>
          <cell r="R6185">
            <v>0</v>
          </cell>
          <cell r="S6185">
            <v>0</v>
          </cell>
          <cell r="T6185">
            <v>0</v>
          </cell>
          <cell r="U6185">
            <v>0</v>
          </cell>
          <cell r="V6185">
            <v>0</v>
          </cell>
          <cell r="W6185">
            <v>0</v>
          </cell>
          <cell r="X6185">
            <v>0.27</v>
          </cell>
          <cell r="Y6185">
            <v>0</v>
          </cell>
          <cell r="Z6185">
            <v>0</v>
          </cell>
          <cell r="AA6185">
            <v>0</v>
          </cell>
          <cell r="AB6185">
            <v>0</v>
          </cell>
        </row>
        <row r="6186">
          <cell r="A6186">
            <v>95312500</v>
          </cell>
          <cell r="B6186" t="str">
            <v>Mountain Dew AMP Energy Drink, sugar-free</v>
          </cell>
          <cell r="I6186">
            <v>360</v>
          </cell>
          <cell r="J6186">
            <v>7.2</v>
          </cell>
          <cell r="K6186">
            <v>0.02</v>
          </cell>
          <cell r="L6186">
            <v>0</v>
          </cell>
          <cell r="M6186">
            <v>0</v>
          </cell>
          <cell r="N6186">
            <v>0</v>
          </cell>
          <cell r="O6186">
            <v>0</v>
          </cell>
          <cell r="P6186">
            <v>0</v>
          </cell>
          <cell r="Q6186">
            <v>0</v>
          </cell>
          <cell r="R6186">
            <v>0</v>
          </cell>
          <cell r="S6186">
            <v>0</v>
          </cell>
          <cell r="T6186">
            <v>0</v>
          </cell>
          <cell r="U6186">
            <v>0</v>
          </cell>
          <cell r="V6186">
            <v>0</v>
          </cell>
          <cell r="W6186">
            <v>0</v>
          </cell>
          <cell r="X6186">
            <v>0.1116</v>
          </cell>
          <cell r="Y6186">
            <v>0</v>
          </cell>
          <cell r="Z6186">
            <v>0</v>
          </cell>
          <cell r="AA6186">
            <v>0</v>
          </cell>
          <cell r="AB6186">
            <v>0</v>
          </cell>
        </row>
        <row r="6187">
          <cell r="A6187">
            <v>95312560</v>
          </cell>
          <cell r="B6187" t="str">
            <v>Energy drink (Ocean Spray Cran-Energy Juice Drink)</v>
          </cell>
          <cell r="I6187">
            <v>360</v>
          </cell>
          <cell r="J6187">
            <v>54</v>
          </cell>
          <cell r="K6187">
            <v>0.15</v>
          </cell>
          <cell r="L6187">
            <v>0</v>
          </cell>
          <cell r="M6187">
            <v>0</v>
          </cell>
          <cell r="N6187">
            <v>0</v>
          </cell>
          <cell r="O6187">
            <v>0</v>
          </cell>
          <cell r="P6187">
            <v>0</v>
          </cell>
          <cell r="Q6187">
            <v>0</v>
          </cell>
          <cell r="R6187">
            <v>0</v>
          </cell>
          <cell r="S6187">
            <v>0</v>
          </cell>
          <cell r="T6187">
            <v>360</v>
          </cell>
          <cell r="U6187">
            <v>0</v>
          </cell>
          <cell r="V6187">
            <v>0</v>
          </cell>
          <cell r="W6187">
            <v>360</v>
          </cell>
          <cell r="X6187">
            <v>7.5600000000000001E-2</v>
          </cell>
          <cell r="Y6187">
            <v>0</v>
          </cell>
          <cell r="Z6187">
            <v>0</v>
          </cell>
          <cell r="AA6187">
            <v>0</v>
          </cell>
          <cell r="AB6187">
            <v>0</v>
          </cell>
        </row>
        <row r="6188">
          <cell r="A6188">
            <v>95312600</v>
          </cell>
          <cell r="B6188" t="str">
            <v>Energy drink, sugar-free (Red Bull)</v>
          </cell>
          <cell r="I6188">
            <v>360</v>
          </cell>
          <cell r="J6188">
            <v>18</v>
          </cell>
          <cell r="K6188">
            <v>0.05</v>
          </cell>
          <cell r="L6188">
            <v>0</v>
          </cell>
          <cell r="M6188">
            <v>0</v>
          </cell>
          <cell r="N6188">
            <v>0</v>
          </cell>
          <cell r="O6188">
            <v>4.6800000000000001E-2</v>
          </cell>
          <cell r="P6188">
            <v>0</v>
          </cell>
          <cell r="Q6188">
            <v>0</v>
          </cell>
          <cell r="R6188">
            <v>0</v>
          </cell>
          <cell r="S6188">
            <v>0</v>
          </cell>
          <cell r="T6188">
            <v>0</v>
          </cell>
          <cell r="U6188">
            <v>0</v>
          </cell>
          <cell r="V6188">
            <v>0</v>
          </cell>
          <cell r="W6188">
            <v>0</v>
          </cell>
          <cell r="X6188">
            <v>0.29880000000000001</v>
          </cell>
          <cell r="Y6188">
            <v>0</v>
          </cell>
          <cell r="Z6188">
            <v>0</v>
          </cell>
          <cell r="AA6188">
            <v>0</v>
          </cell>
          <cell r="AB6188">
            <v>0</v>
          </cell>
        </row>
        <row r="6189">
          <cell r="A6189">
            <v>95312700</v>
          </cell>
          <cell r="B6189" t="str">
            <v>Energy drink, sugar free (Rockstar)</v>
          </cell>
          <cell r="I6189">
            <v>360</v>
          </cell>
          <cell r="J6189">
            <v>14.4</v>
          </cell>
          <cell r="K6189">
            <v>0.04</v>
          </cell>
          <cell r="L6189">
            <v>0</v>
          </cell>
          <cell r="M6189">
            <v>0</v>
          </cell>
          <cell r="N6189">
            <v>0</v>
          </cell>
          <cell r="O6189">
            <v>4.6800000000000001E-2</v>
          </cell>
          <cell r="P6189">
            <v>0</v>
          </cell>
          <cell r="Q6189">
            <v>0</v>
          </cell>
          <cell r="R6189">
            <v>0</v>
          </cell>
          <cell r="S6189">
            <v>0</v>
          </cell>
          <cell r="T6189">
            <v>0</v>
          </cell>
          <cell r="U6189">
            <v>0</v>
          </cell>
          <cell r="V6189">
            <v>0</v>
          </cell>
          <cell r="W6189">
            <v>0</v>
          </cell>
          <cell r="X6189">
            <v>0.18720000000000001</v>
          </cell>
          <cell r="Y6189">
            <v>0</v>
          </cell>
          <cell r="Z6189">
            <v>0</v>
          </cell>
          <cell r="AA6189">
            <v>0</v>
          </cell>
          <cell r="AB6189">
            <v>0</v>
          </cell>
        </row>
        <row r="6190">
          <cell r="A6190">
            <v>95312900</v>
          </cell>
          <cell r="B6190" t="str">
            <v>XS Energy Drink</v>
          </cell>
          <cell r="I6190">
            <v>360</v>
          </cell>
          <cell r="J6190">
            <v>18</v>
          </cell>
          <cell r="K6190">
            <v>0.05</v>
          </cell>
          <cell r="L6190">
            <v>0</v>
          </cell>
          <cell r="M6190">
            <v>0</v>
          </cell>
          <cell r="N6190">
            <v>0</v>
          </cell>
          <cell r="O6190">
            <v>4.6800000000000001E-2</v>
          </cell>
          <cell r="P6190">
            <v>0</v>
          </cell>
          <cell r="Q6190">
            <v>0</v>
          </cell>
          <cell r="R6190">
            <v>0</v>
          </cell>
          <cell r="S6190">
            <v>0</v>
          </cell>
          <cell r="T6190">
            <v>0</v>
          </cell>
          <cell r="U6190">
            <v>0</v>
          </cell>
          <cell r="V6190">
            <v>0</v>
          </cell>
          <cell r="W6190">
            <v>360</v>
          </cell>
          <cell r="X6190">
            <v>0.29880000000000001</v>
          </cell>
          <cell r="Y6190">
            <v>0</v>
          </cell>
          <cell r="Z6190">
            <v>0</v>
          </cell>
          <cell r="AA6190">
            <v>0</v>
          </cell>
          <cell r="AB6190">
            <v>0</v>
          </cell>
        </row>
        <row r="6191">
          <cell r="A6191">
            <v>95313200</v>
          </cell>
          <cell r="B6191" t="str">
            <v>Energy drink, sugar free</v>
          </cell>
          <cell r="I6191">
            <v>360</v>
          </cell>
          <cell r="J6191">
            <v>16.2</v>
          </cell>
          <cell r="K6191">
            <v>4.4999999999999998E-2</v>
          </cell>
          <cell r="L6191">
            <v>0</v>
          </cell>
          <cell r="M6191">
            <v>0</v>
          </cell>
          <cell r="N6191">
            <v>0</v>
          </cell>
          <cell r="O6191">
            <v>4.6800000000000001E-2</v>
          </cell>
          <cell r="P6191">
            <v>0</v>
          </cell>
          <cell r="Q6191">
            <v>0</v>
          </cell>
          <cell r="R6191">
            <v>0</v>
          </cell>
          <cell r="S6191">
            <v>0</v>
          </cell>
          <cell r="T6191">
            <v>0</v>
          </cell>
          <cell r="U6191">
            <v>0</v>
          </cell>
          <cell r="V6191">
            <v>0</v>
          </cell>
          <cell r="W6191">
            <v>0</v>
          </cell>
          <cell r="X6191">
            <v>0.24299999999999999</v>
          </cell>
          <cell r="Y6191">
            <v>0</v>
          </cell>
          <cell r="Z6191">
            <v>0</v>
          </cell>
          <cell r="AA6191">
            <v>0</v>
          </cell>
          <cell r="AB6191">
            <v>0</v>
          </cell>
        </row>
        <row r="6192">
          <cell r="A6192">
            <v>95320200</v>
          </cell>
          <cell r="B6192" t="str">
            <v>Sports drink (Gatorade G)</v>
          </cell>
          <cell r="I6192">
            <v>360</v>
          </cell>
          <cell r="J6192">
            <v>93.6</v>
          </cell>
          <cell r="K6192">
            <v>0.26</v>
          </cell>
          <cell r="L6192">
            <v>0</v>
          </cell>
          <cell r="M6192">
            <v>0</v>
          </cell>
          <cell r="N6192">
            <v>0</v>
          </cell>
          <cell r="O6192">
            <v>3.5999999999999999E-3</v>
          </cell>
          <cell r="P6192">
            <v>0</v>
          </cell>
          <cell r="Q6192">
            <v>0</v>
          </cell>
          <cell r="R6192">
            <v>0</v>
          </cell>
          <cell r="S6192">
            <v>0</v>
          </cell>
          <cell r="T6192">
            <v>0</v>
          </cell>
          <cell r="U6192">
            <v>0</v>
          </cell>
          <cell r="V6192">
            <v>0</v>
          </cell>
          <cell r="W6192">
            <v>360</v>
          </cell>
          <cell r="X6192">
            <v>0.1404</v>
          </cell>
          <cell r="Y6192">
            <v>0</v>
          </cell>
          <cell r="Z6192">
            <v>0</v>
          </cell>
          <cell r="AA6192">
            <v>0</v>
          </cell>
          <cell r="AB6192">
            <v>0</v>
          </cell>
        </row>
        <row r="6193">
          <cell r="A6193">
            <v>95320500</v>
          </cell>
          <cell r="B6193" t="str">
            <v>Sports drink (Powerade)</v>
          </cell>
          <cell r="I6193">
            <v>360</v>
          </cell>
          <cell r="J6193">
            <v>115.2</v>
          </cell>
          <cell r="K6193">
            <v>0.32</v>
          </cell>
          <cell r="L6193">
            <v>0</v>
          </cell>
          <cell r="M6193">
            <v>2.8799999999999999E-2</v>
          </cell>
          <cell r="N6193">
            <v>0</v>
          </cell>
          <cell r="O6193">
            <v>3.5999999999999999E-3</v>
          </cell>
          <cell r="P6193">
            <v>0</v>
          </cell>
          <cell r="Q6193">
            <v>0.1008</v>
          </cell>
          <cell r="R6193">
            <v>0</v>
          </cell>
          <cell r="S6193">
            <v>0</v>
          </cell>
          <cell r="T6193">
            <v>0</v>
          </cell>
          <cell r="U6193">
            <v>0</v>
          </cell>
          <cell r="V6193">
            <v>0</v>
          </cell>
          <cell r="W6193">
            <v>360</v>
          </cell>
          <cell r="X6193">
            <v>0.1512</v>
          </cell>
          <cell r="Y6193">
            <v>0</v>
          </cell>
          <cell r="Z6193">
            <v>0</v>
          </cell>
          <cell r="AA6193">
            <v>0</v>
          </cell>
          <cell r="AB6193">
            <v>0</v>
          </cell>
        </row>
        <row r="6194">
          <cell r="A6194">
            <v>95321000</v>
          </cell>
          <cell r="B6194" t="str">
            <v>Sports drink, NFS</v>
          </cell>
          <cell r="I6194">
            <v>360</v>
          </cell>
          <cell r="J6194">
            <v>93.6</v>
          </cell>
          <cell r="K6194">
            <v>0.26</v>
          </cell>
          <cell r="L6194">
            <v>0</v>
          </cell>
          <cell r="M6194">
            <v>0</v>
          </cell>
          <cell r="N6194">
            <v>0</v>
          </cell>
          <cell r="O6194">
            <v>3.5999999999999999E-3</v>
          </cell>
          <cell r="P6194">
            <v>0</v>
          </cell>
          <cell r="Q6194">
            <v>0</v>
          </cell>
          <cell r="R6194">
            <v>0</v>
          </cell>
          <cell r="S6194">
            <v>0</v>
          </cell>
          <cell r="T6194">
            <v>0</v>
          </cell>
          <cell r="U6194">
            <v>0</v>
          </cell>
          <cell r="V6194">
            <v>0</v>
          </cell>
          <cell r="W6194">
            <v>360</v>
          </cell>
          <cell r="X6194">
            <v>0.1404</v>
          </cell>
          <cell r="Y6194">
            <v>0</v>
          </cell>
          <cell r="Z6194">
            <v>0</v>
          </cell>
          <cell r="AA6194">
            <v>0</v>
          </cell>
          <cell r="AB6194">
            <v>0</v>
          </cell>
        </row>
        <row r="6195">
          <cell r="A6195">
            <v>95322200</v>
          </cell>
          <cell r="B6195" t="str">
            <v>Sports drink, low calorie (Gatorade G2)</v>
          </cell>
          <cell r="I6195">
            <v>360</v>
          </cell>
          <cell r="J6195">
            <v>28.8</v>
          </cell>
          <cell r="K6195">
            <v>0.08</v>
          </cell>
          <cell r="L6195">
            <v>0</v>
          </cell>
          <cell r="M6195">
            <v>0</v>
          </cell>
          <cell r="N6195">
            <v>0</v>
          </cell>
          <cell r="O6195">
            <v>0</v>
          </cell>
          <cell r="P6195">
            <v>0</v>
          </cell>
          <cell r="Q6195">
            <v>0</v>
          </cell>
          <cell r="R6195">
            <v>0</v>
          </cell>
          <cell r="S6195">
            <v>0</v>
          </cell>
          <cell r="T6195">
            <v>0</v>
          </cell>
          <cell r="U6195">
            <v>0</v>
          </cell>
          <cell r="V6195">
            <v>0</v>
          </cell>
          <cell r="W6195">
            <v>0</v>
          </cell>
          <cell r="X6195">
            <v>0.16200000000000001</v>
          </cell>
          <cell r="Y6195">
            <v>0</v>
          </cell>
          <cell r="Z6195">
            <v>0</v>
          </cell>
          <cell r="AA6195">
            <v>0</v>
          </cell>
          <cell r="AB6195">
            <v>0</v>
          </cell>
        </row>
        <row r="6196">
          <cell r="A6196">
            <v>95322500</v>
          </cell>
          <cell r="B6196" t="str">
            <v>Sports drink, low calorie (Powerade Zero)</v>
          </cell>
          <cell r="I6196">
            <v>360</v>
          </cell>
          <cell r="J6196">
            <v>0</v>
          </cell>
          <cell r="K6196">
            <v>0</v>
          </cell>
          <cell r="L6196">
            <v>0</v>
          </cell>
          <cell r="M6196">
            <v>0</v>
          </cell>
          <cell r="N6196">
            <v>0</v>
          </cell>
          <cell r="O6196">
            <v>0</v>
          </cell>
          <cell r="P6196">
            <v>0</v>
          </cell>
          <cell r="Q6196">
            <v>0</v>
          </cell>
          <cell r="R6196">
            <v>0</v>
          </cell>
          <cell r="S6196">
            <v>0</v>
          </cell>
          <cell r="T6196">
            <v>0</v>
          </cell>
          <cell r="U6196">
            <v>0</v>
          </cell>
          <cell r="V6196">
            <v>0</v>
          </cell>
          <cell r="W6196">
            <v>0</v>
          </cell>
          <cell r="X6196">
            <v>0.1512</v>
          </cell>
          <cell r="Y6196">
            <v>0</v>
          </cell>
          <cell r="Z6196">
            <v>0</v>
          </cell>
          <cell r="AA6196">
            <v>0</v>
          </cell>
          <cell r="AB6196">
            <v>0</v>
          </cell>
        </row>
        <row r="6197">
          <cell r="A6197">
            <v>95323000</v>
          </cell>
          <cell r="B6197" t="str">
            <v>Sports drink, low calorie</v>
          </cell>
          <cell r="I6197">
            <v>360</v>
          </cell>
          <cell r="J6197">
            <v>28.8</v>
          </cell>
          <cell r="K6197">
            <v>0.08</v>
          </cell>
          <cell r="L6197">
            <v>0</v>
          </cell>
          <cell r="M6197">
            <v>0</v>
          </cell>
          <cell r="N6197">
            <v>0</v>
          </cell>
          <cell r="O6197">
            <v>0</v>
          </cell>
          <cell r="P6197">
            <v>0</v>
          </cell>
          <cell r="Q6197">
            <v>0</v>
          </cell>
          <cell r="R6197">
            <v>0</v>
          </cell>
          <cell r="S6197">
            <v>0</v>
          </cell>
          <cell r="T6197">
            <v>0</v>
          </cell>
          <cell r="U6197">
            <v>0</v>
          </cell>
          <cell r="V6197">
            <v>0</v>
          </cell>
          <cell r="W6197">
            <v>0</v>
          </cell>
          <cell r="X6197">
            <v>0.16200000000000001</v>
          </cell>
          <cell r="Y6197">
            <v>0</v>
          </cell>
          <cell r="Z6197">
            <v>0</v>
          </cell>
          <cell r="AA6197">
            <v>0</v>
          </cell>
          <cell r="AB6197">
            <v>0</v>
          </cell>
        </row>
        <row r="6198">
          <cell r="A6198">
            <v>95330100</v>
          </cell>
          <cell r="B6198" t="str">
            <v>Fluid replacement, electrolyte solution</v>
          </cell>
          <cell r="I6198">
            <v>360</v>
          </cell>
          <cell r="J6198">
            <v>36</v>
          </cell>
          <cell r="K6198">
            <v>0.1</v>
          </cell>
          <cell r="L6198">
            <v>0</v>
          </cell>
          <cell r="M6198">
            <v>0</v>
          </cell>
          <cell r="N6198">
            <v>0</v>
          </cell>
          <cell r="O6198">
            <v>3.5999999999999997E-2</v>
          </cell>
          <cell r="P6198">
            <v>0</v>
          </cell>
          <cell r="Q6198">
            <v>0</v>
          </cell>
          <cell r="R6198">
            <v>0</v>
          </cell>
          <cell r="S6198">
            <v>0</v>
          </cell>
          <cell r="T6198">
            <v>0</v>
          </cell>
          <cell r="U6198">
            <v>0</v>
          </cell>
          <cell r="V6198">
            <v>0</v>
          </cell>
          <cell r="W6198">
            <v>360</v>
          </cell>
          <cell r="X6198">
            <v>0.36359999999999998</v>
          </cell>
          <cell r="Y6198">
            <v>0</v>
          </cell>
          <cell r="Z6198">
            <v>0</v>
          </cell>
          <cell r="AA6198">
            <v>0</v>
          </cell>
          <cell r="AB6198">
            <v>0</v>
          </cell>
        </row>
        <row r="6199">
          <cell r="A6199">
            <v>95341000</v>
          </cell>
          <cell r="B6199" t="str">
            <v>FUZE Slenderize fortified low calorie fruit juice beverage</v>
          </cell>
          <cell r="I6199">
            <v>360</v>
          </cell>
          <cell r="J6199">
            <v>8.5374008000000003</v>
          </cell>
          <cell r="K6199">
            <v>2.3715002222222222E-2</v>
          </cell>
          <cell r="L6199">
            <v>0</v>
          </cell>
          <cell r="M6199">
            <v>3.7609999999999998E-4</v>
          </cell>
          <cell r="N6199">
            <v>0</v>
          </cell>
          <cell r="O6199">
            <v>4.0774900000000003E-2</v>
          </cell>
          <cell r="P6199">
            <v>8.2741300000000004E-2</v>
          </cell>
          <cell r="Q6199">
            <v>1.2787E-3</v>
          </cell>
          <cell r="R6199">
            <v>0</v>
          </cell>
          <cell r="S6199">
            <v>0</v>
          </cell>
          <cell r="T6199">
            <v>0</v>
          </cell>
          <cell r="U6199">
            <v>0</v>
          </cell>
          <cell r="V6199">
            <v>0</v>
          </cell>
          <cell r="W6199">
            <v>0</v>
          </cell>
          <cell r="X6199">
            <v>1.12137E-2</v>
          </cell>
          <cell r="Y6199">
            <v>0</v>
          </cell>
          <cell r="Z6199">
            <v>0</v>
          </cell>
          <cell r="AA6199">
            <v>0</v>
          </cell>
          <cell r="AB6199">
            <v>0</v>
          </cell>
        </row>
        <row r="6200">
          <cell r="A6200">
            <v>95342000</v>
          </cell>
          <cell r="B6200" t="str">
            <v>MonaVie acai blend beverage</v>
          </cell>
          <cell r="I6200">
            <v>360</v>
          </cell>
          <cell r="J6200">
            <v>223.2</v>
          </cell>
          <cell r="K6200">
            <v>0.62</v>
          </cell>
          <cell r="L6200">
            <v>0</v>
          </cell>
          <cell r="M6200">
            <v>0</v>
          </cell>
          <cell r="N6200">
            <v>0</v>
          </cell>
          <cell r="O6200">
            <v>6.8400000000000002E-2</v>
          </cell>
          <cell r="P6200">
            <v>4.32</v>
          </cell>
          <cell r="Q6200">
            <v>0</v>
          </cell>
          <cell r="R6200">
            <v>0</v>
          </cell>
          <cell r="S6200">
            <v>0</v>
          </cell>
          <cell r="T6200">
            <v>0</v>
          </cell>
          <cell r="U6200">
            <v>0</v>
          </cell>
          <cell r="V6200">
            <v>0</v>
          </cell>
          <cell r="W6200">
            <v>0</v>
          </cell>
          <cell r="X6200">
            <v>4.6800000000000001E-2</v>
          </cell>
          <cell r="Y6200">
            <v>0</v>
          </cell>
          <cell r="Z6200">
            <v>0</v>
          </cell>
          <cell r="AA6200">
            <v>0</v>
          </cell>
          <cell r="AB6200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J1" t="str">
            <v>omega3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3"/>
  <sheetViews>
    <sheetView topLeftCell="H1" workbookViewId="0">
      <selection activeCell="O33" sqref="O33"/>
    </sheetView>
  </sheetViews>
  <sheetFormatPr defaultColWidth="8.77734375" defaultRowHeight="14.4" x14ac:dyDescent="0.3"/>
  <cols>
    <col min="2" max="2" width="46.44140625" bestFit="1" customWidth="1"/>
    <col min="3" max="3" width="34.109375" bestFit="1" customWidth="1"/>
    <col min="4" max="4" width="12.6640625" bestFit="1" customWidth="1"/>
    <col min="5" max="5" width="10.6640625" bestFit="1" customWidth="1"/>
    <col min="6" max="6" width="13.109375" customWidth="1"/>
    <col min="7" max="7" width="12.77734375" bestFit="1" customWidth="1"/>
    <col min="9" max="9" width="10" bestFit="1" customWidth="1"/>
    <col min="10" max="10" width="11.6640625" customWidth="1"/>
    <col min="11" max="11" width="10" bestFit="1" customWidth="1"/>
    <col min="12" max="12" width="12.44140625" customWidth="1"/>
    <col min="13" max="22" width="10.33203125" customWidth="1"/>
  </cols>
  <sheetData>
    <row r="2" spans="1:22" s="7" customFormat="1" ht="57.6" x14ac:dyDescent="0.3">
      <c r="D2" s="7" t="s">
        <v>42</v>
      </c>
      <c r="E2" s="7" t="s">
        <v>43</v>
      </c>
      <c r="F2" s="8" t="s">
        <v>48</v>
      </c>
      <c r="G2" s="9" t="s">
        <v>45</v>
      </c>
      <c r="H2" s="8" t="s">
        <v>44</v>
      </c>
      <c r="I2" s="8" t="s">
        <v>46</v>
      </c>
      <c r="J2" s="8" t="s">
        <v>50</v>
      </c>
      <c r="K2" s="8" t="s">
        <v>47</v>
      </c>
      <c r="L2" s="8" t="s">
        <v>49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  <c r="V2" s="8" t="s">
        <v>60</v>
      </c>
    </row>
    <row r="3" spans="1:22" ht="27" x14ac:dyDescent="0.3">
      <c r="A3" t="s">
        <v>22</v>
      </c>
      <c r="B3" s="1" t="s">
        <v>0</v>
      </c>
      <c r="C3" s="1" t="s">
        <v>1</v>
      </c>
      <c r="D3" s="2" t="s">
        <v>23</v>
      </c>
      <c r="E3" s="2" t="s">
        <v>24</v>
      </c>
      <c r="F3" s="2" t="s">
        <v>25</v>
      </c>
      <c r="G3" s="10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40</v>
      </c>
      <c r="V3" s="2" t="s">
        <v>41</v>
      </c>
    </row>
    <row r="4" spans="1:22" x14ac:dyDescent="0.3">
      <c r="A4">
        <f>INDEX([1]foodcode_profile!$A$2:$A$6200,MATCH(B4,[1]foodcode_profile!$B$2:$B$6200,0))</f>
        <v>11431000</v>
      </c>
      <c r="B4" t="s">
        <v>2</v>
      </c>
      <c r="C4" t="s">
        <v>3</v>
      </c>
      <c r="D4">
        <f>INDEX([1]foodcode_profile!$I$2:$AB$6200,MATCH($B4,[1]foodcode_profile!$B$2:$B$6200,0),MATCH(D$3,[1]foodcode_profile!$I$1:$AB$1,0))</f>
        <v>170</v>
      </c>
      <c r="E4" s="6">
        <f>INDEX([1]foodcode_profile!$I$2:$AB$6200,MATCH($B4,[1]foodcode_profile!$B$2:$B$6200,0),MATCH(E$3,[1]foodcode_profile!$I$1:$AB$1,0))</f>
        <v>148.01903999999999</v>
      </c>
      <c r="F4" s="4">
        <f>INDEX([1]foodcode_profile!$I$2:$AB$6200,MATCH($B4,[1]foodcode_profile!$B$2:$B$6200,0),MATCH(F$3,[1]foodcode_profile!$I$1:$AB$1,0))</f>
        <v>0.2243753</v>
      </c>
      <c r="G4" s="11">
        <f>INDEX([1]foodcode_profile!$I$2:$AB$6200,MATCH($B4,[1]foodcode_profile!$B$2:$B$6200,0),MATCH(G$3,[1]foodcode_profile!$I$1:$AB$1,0))</f>
        <v>3.1373109000000001</v>
      </c>
      <c r="H4">
        <f>INDEX([1]foodcode_profile!$I$2:$AB$6200,MATCH($B4,[1]foodcode_profile!$B$2:$B$6200,0),MATCH(H$3,[1]foodcode_profile!$I$1:$AB$1,0))</f>
        <v>0</v>
      </c>
      <c r="I4" s="3">
        <f>INDEX([1]foodcode_profile!$I$2:$AB$6200,MATCH($B4,[1]foodcode_profile!$B$2:$B$6200,0),MATCH(I$3,[1]foodcode_profile!$I$1:$AB$1,0))</f>
        <v>0.18507560000000001</v>
      </c>
      <c r="J4">
        <f>INDEX([1]foodcode_profile!$I$2:$AB$6200,MATCH($B4,[1]foodcode_profile!$B$2:$B$6200,0),MATCH(J$3,[1]foodcode_profile!$I$1:$AB$1,0))</f>
        <v>0</v>
      </c>
      <c r="K4" s="4">
        <f>INDEX([1]foodcode_profile!$I$2:$AB$6200,MATCH($B4,[1]foodcode_profile!$B$2:$B$6200,0),MATCH(K$3,[1]foodcode_profile!$I$1:$AB$1,0))</f>
        <v>0.13761689999999999</v>
      </c>
      <c r="L4">
        <f>INDEX([1]foodcode_profile!$I$2:$AB$6200,MATCH($B4,[1]foodcode_profile!$B$2:$B$6200,0),MATCH(L$3,[1]foodcode_profile!$I$1:$AB$1,0))</f>
        <v>0</v>
      </c>
      <c r="M4">
        <f>INDEX([1]foodcode_profile!$I$2:$AB$6200,MATCH($B4,[1]foodcode_profile!$B$2:$B$6200,0),MATCH(M$3,[1]foodcode_profile!$I$1:$AB$1,0))</f>
        <v>0</v>
      </c>
      <c r="N4" s="5">
        <f>INDEX([1]foodcode_profile!$I$2:$AB$6200,MATCH($B4,[1]foodcode_profile!$B$2:$B$6200,0),MATCH(N$3,[1]foodcode_profile!$I$1:$AB$1,0))</f>
        <v>9.8088730000000002</v>
      </c>
      <c r="O4">
        <f>INDEX([1]foodcode_profile!$I$2:$AB$6200,MATCH($B4,[1]foodcode_profile!$B$2:$B$6200,0),MATCH(O$3,[1]foodcode_profile!$I$1:$AB$1,0))</f>
        <v>0</v>
      </c>
      <c r="P4">
        <f>INDEX([1]foodcode_profile!$I$2:$AB$6200,MATCH($B4,[1]foodcode_profile!$B$2:$B$6200,0),MATCH(P$3,[1]foodcode_profile!$I$1:$AB$1,0))</f>
        <v>0</v>
      </c>
      <c r="Q4">
        <f>INDEX([1]foodcode_profile!$I$2:$AB$6200,MATCH($B4,[1]foodcode_profile!$B$2:$B$6200,0),MATCH(Q$3,[1]foodcode_profile!$I$1:$AB$1,0))</f>
        <v>0</v>
      </c>
      <c r="R4" s="4">
        <f>INDEX([1]foodcode_profile!$I$2:$AB$6200,MATCH($B4,[1]foodcode_profile!$B$2:$B$6200,0),MATCH(R$3,[1]foodcode_profile!$I$1:$AB$1,0))</f>
        <v>7.5415700000000002E-2</v>
      </c>
      <c r="S4">
        <f>INDEX([1]foodcode_profile!$I$2:$AB$6200,MATCH($B4,[1]foodcode_profile!$B$2:$B$6200,0),MATCH(S$3,[1]foodcode_profile!$I$1:$AB$1,0))</f>
        <v>0</v>
      </c>
      <c r="T4">
        <f>INDEX([1]foodcode_profile!$I$2:$AB$6200,MATCH($B4,[1]foodcode_profile!$B$2:$B$6200,0),MATCH(T$3,[1]foodcode_profile!$I$1:$AB$1,0))</f>
        <v>0</v>
      </c>
      <c r="U4">
        <f>INDEX([1]foodcode_profile!$I$2:$AB$6200,MATCH($B4,[1]foodcode_profile!$B$2:$B$6200,0),MATCH(U$3,[1]foodcode_profile!$I$1:$AB$1,0))</f>
        <v>0</v>
      </c>
      <c r="V4" s="4">
        <f>INDEX([1]foodcode_profile!$I$2:$AB$6200,MATCH($B4,[1]foodcode_profile!$B$2:$B$6200,0),MATCH(V$3,[1]foodcode_profile!$I$1:$AB$1,0))</f>
        <v>6.11236E-2</v>
      </c>
    </row>
    <row r="5" spans="1:22" x14ac:dyDescent="0.3">
      <c r="A5">
        <f>INDEX([1]foodcode_profile!$A$2:$A$6200,MATCH(B5,[1]foodcode_profile!$B$2:$B$6200,0))</f>
        <v>42114140</v>
      </c>
      <c r="B5" t="s">
        <v>4</v>
      </c>
      <c r="C5" t="s">
        <v>5</v>
      </c>
      <c r="D5">
        <f>INDEX([1]foodcode_profile!$I$2:$AB$6200,MATCH($B5,[1]foodcode_profile!$B$2:$B$6200,0),MATCH(D$3,[1]foodcode_profile!$I$1:$AB$1,0))</f>
        <v>30</v>
      </c>
      <c r="E5" s="6">
        <f>INDEX([1]foodcode_profile!$I$2:$AB$6200,MATCH($B5,[1]foodcode_profile!$B$2:$B$6200,0),MATCH(E$3,[1]foodcode_profile!$I$1:$AB$1,0))</f>
        <v>172.69544999999999</v>
      </c>
      <c r="F5">
        <f>INDEX([1]foodcode_profile!$I$2:$AB$6200,MATCH($B5,[1]foodcode_profile!$B$2:$B$6200,0),MATCH(F$3,[1]foodcode_profile!$I$1:$AB$1,0))</f>
        <v>0</v>
      </c>
      <c r="G5" s="11">
        <f>INDEX([1]foodcode_profile!$I$2:$AB$6200,MATCH($B5,[1]foodcode_profile!$B$2:$B$6200,0),MATCH(G$3,[1]foodcode_profile!$I$1:$AB$1,0))</f>
        <v>1.7483009</v>
      </c>
      <c r="H5">
        <f>INDEX([1]foodcode_profile!$I$2:$AB$6200,MATCH($B5,[1]foodcode_profile!$B$2:$B$6200,0),MATCH(H$3,[1]foodcode_profile!$I$1:$AB$1,0))</f>
        <v>0</v>
      </c>
      <c r="I5" s="3">
        <f>INDEX([1]foodcode_profile!$I$2:$AB$6200,MATCH($B5,[1]foodcode_profile!$B$2:$B$6200,0),MATCH(I$3,[1]foodcode_profile!$I$1:$AB$1,0))</f>
        <v>3.0902200000000001E-2</v>
      </c>
      <c r="J5" s="4">
        <f>INDEX([1]foodcode_profile!$I$2:$AB$6200,MATCH($B5,[1]foodcode_profile!$B$2:$B$6200,0),MATCH(J$3,[1]foodcode_profile!$I$1:$AB$1,0))</f>
        <v>2.9676238000000001</v>
      </c>
      <c r="K5" s="4">
        <f>INDEX([1]foodcode_profile!$I$2:$AB$6200,MATCH($B5,[1]foodcode_profile!$B$2:$B$6200,0),MATCH(K$3,[1]foodcode_profile!$I$1:$AB$1,0))</f>
        <v>4.2122710000000003</v>
      </c>
      <c r="L5">
        <f>INDEX([1]foodcode_profile!$I$2:$AB$6200,MATCH($B5,[1]foodcode_profile!$B$2:$B$6200,0),MATCH(L$3,[1]foodcode_profile!$I$1:$AB$1,0))</f>
        <v>0</v>
      </c>
      <c r="M5">
        <f>INDEX([1]foodcode_profile!$I$2:$AB$6200,MATCH($B5,[1]foodcode_profile!$B$2:$B$6200,0),MATCH(M$3,[1]foodcode_profile!$I$1:$AB$1,0))</f>
        <v>0</v>
      </c>
      <c r="N5">
        <f>INDEX([1]foodcode_profile!$I$2:$AB$6200,MATCH($B5,[1]foodcode_profile!$B$2:$B$6200,0),MATCH(N$3,[1]foodcode_profile!$I$1:$AB$1,0))</f>
        <v>0</v>
      </c>
      <c r="O5">
        <f>INDEX([1]foodcode_profile!$I$2:$AB$6200,MATCH($B5,[1]foodcode_profile!$B$2:$B$6200,0),MATCH(O$3,[1]foodcode_profile!$I$1:$AB$1,0))</f>
        <v>0</v>
      </c>
      <c r="P5">
        <f>INDEX([1]foodcode_profile!$I$2:$AB$6200,MATCH($B5,[1]foodcode_profile!$B$2:$B$6200,0),MATCH(P$3,[1]foodcode_profile!$I$1:$AB$1,0))</f>
        <v>0</v>
      </c>
      <c r="Q5">
        <f>INDEX([1]foodcode_profile!$I$2:$AB$6200,MATCH($B5,[1]foodcode_profile!$B$2:$B$6200,0),MATCH(Q$3,[1]foodcode_profile!$I$1:$AB$1,0))</f>
        <v>0</v>
      </c>
      <c r="R5" s="4">
        <f>INDEX([1]foodcode_profile!$I$2:$AB$6200,MATCH($B5,[1]foodcode_profile!$B$2:$B$6200,0),MATCH(R$3,[1]foodcode_profile!$I$1:$AB$1,0))</f>
        <v>0.1168559</v>
      </c>
      <c r="S5" s="5">
        <f>INDEX([1]foodcode_profile!$I$2:$AB$6200,MATCH($B5,[1]foodcode_profile!$B$2:$B$6200,0),MATCH(S$3,[1]foodcode_profile!$I$1:$AB$1,0))</f>
        <v>28.792793</v>
      </c>
      <c r="T5">
        <f>INDEX([1]foodcode_profile!$I$2:$AB$6200,MATCH($B5,[1]foodcode_profile!$B$2:$B$6200,0),MATCH(T$3,[1]foodcode_profile!$I$1:$AB$1,0))</f>
        <v>0</v>
      </c>
      <c r="U5">
        <f>INDEX([1]foodcode_profile!$I$2:$AB$6200,MATCH($B5,[1]foodcode_profile!$B$2:$B$6200,0),MATCH(U$3,[1]foodcode_profile!$I$1:$AB$1,0))</f>
        <v>0</v>
      </c>
      <c r="V5" s="4">
        <f>INDEX([1]foodcode_profile!$I$2:$AB$6200,MATCH($B5,[1]foodcode_profile!$B$2:$B$6200,0),MATCH(V$3,[1]foodcode_profile!$I$1:$AB$1,0))</f>
        <v>3.1576E-3</v>
      </c>
    </row>
    <row r="6" spans="1:22" x14ac:dyDescent="0.3">
      <c r="A6">
        <f>INDEX([1]foodcode_profile!$A$2:$A$6200,MATCH(B6,[1]foodcode_profile!$B$2:$B$6200,0))</f>
        <v>58106516</v>
      </c>
      <c r="B6" t="s">
        <v>6</v>
      </c>
      <c r="C6" t="s">
        <v>7</v>
      </c>
      <c r="D6">
        <f>INDEX([1]foodcode_profile!$I$2:$AB$6200,MATCH($B6,[1]foodcode_profile!$B$2:$B$6200,0),MATCH(D$3,[1]foodcode_profile!$I$1:$AB$1,0))</f>
        <v>140</v>
      </c>
      <c r="E6" s="6">
        <f>INDEX([1]foodcode_profile!$I$2:$AB$6200,MATCH($B6,[1]foodcode_profile!$B$2:$B$6200,0),MATCH(E$3,[1]foodcode_profile!$I$1:$AB$1,0))</f>
        <v>375.57965999999999</v>
      </c>
      <c r="F6" s="4">
        <f>INDEX([1]foodcode_profile!$I$2:$AB$6200,MATCH($B6,[1]foodcode_profile!$B$2:$B$6200,0),MATCH(F$3,[1]foodcode_profile!$I$1:$AB$1,0))</f>
        <v>0.634826</v>
      </c>
      <c r="G6" s="11">
        <f>INDEX([1]foodcode_profile!$I$2:$AB$6200,MATCH($B6,[1]foodcode_profile!$B$2:$B$6200,0),MATCH(G$3,[1]foodcode_profile!$I$1:$AB$1,0))</f>
        <v>6.0138541999999999</v>
      </c>
      <c r="H6">
        <f>INDEX([1]foodcode_profile!$I$2:$AB$6200,MATCH($B6,[1]foodcode_profile!$B$2:$B$6200,0),MATCH(H$3,[1]foodcode_profile!$I$1:$AB$1,0))</f>
        <v>0</v>
      </c>
      <c r="I6" s="3">
        <f>INDEX([1]foodcode_profile!$I$2:$AB$6200,MATCH($B6,[1]foodcode_profile!$B$2:$B$6200,0),MATCH(I$3,[1]foodcode_profile!$I$1:$AB$1,0))</f>
        <v>0.24030170000000001</v>
      </c>
      <c r="J6" s="4">
        <f>INDEX([1]foodcode_profile!$I$2:$AB$6200,MATCH($B6,[1]foodcode_profile!$B$2:$B$6200,0),MATCH(J$3,[1]foodcode_profile!$I$1:$AB$1,0))</f>
        <v>2.7465299000000001</v>
      </c>
      <c r="K6" s="4">
        <f>INDEX([1]foodcode_profile!$I$2:$AB$6200,MATCH($B6,[1]foodcode_profile!$B$2:$B$6200,0),MATCH(K$3,[1]foodcode_profile!$I$1:$AB$1,0))</f>
        <v>2.0794271000000002</v>
      </c>
      <c r="L6">
        <f>INDEX([1]foodcode_profile!$I$2:$AB$6200,MATCH($B6,[1]foodcode_profile!$B$2:$B$6200,0),MATCH(L$3,[1]foodcode_profile!$I$1:$AB$1,0))</f>
        <v>0</v>
      </c>
      <c r="M6">
        <f>INDEX([1]foodcode_profile!$I$2:$AB$6200,MATCH($B6,[1]foodcode_profile!$B$2:$B$6200,0),MATCH(M$3,[1]foodcode_profile!$I$1:$AB$1,0))</f>
        <v>0</v>
      </c>
      <c r="N6">
        <f>INDEX([1]foodcode_profile!$I$2:$AB$6200,MATCH($B6,[1]foodcode_profile!$B$2:$B$6200,0),MATCH(N$3,[1]foodcode_profile!$I$1:$AB$1,0))</f>
        <v>0</v>
      </c>
      <c r="O6" s="5">
        <f>INDEX([1]foodcode_profile!$I$2:$AB$6200,MATCH($B6,[1]foodcode_profile!$B$2:$B$6200,0),MATCH(O$3,[1]foodcode_profile!$I$1:$AB$1,0))</f>
        <v>33.137287999999998</v>
      </c>
      <c r="P6">
        <f>INDEX([1]foodcode_profile!$I$2:$AB$6200,MATCH($B6,[1]foodcode_profile!$B$2:$B$6200,0),MATCH(P$3,[1]foodcode_profile!$I$1:$AB$1,0))</f>
        <v>0</v>
      </c>
      <c r="Q6">
        <f>INDEX([1]foodcode_profile!$I$2:$AB$6200,MATCH($B6,[1]foodcode_profile!$B$2:$B$6200,0),MATCH(Q$3,[1]foodcode_profile!$I$1:$AB$1,0))</f>
        <v>0</v>
      </c>
      <c r="R6" s="4">
        <f>INDEX([1]foodcode_profile!$I$2:$AB$6200,MATCH($B6,[1]foodcode_profile!$B$2:$B$6200,0),MATCH(R$3,[1]foodcode_profile!$I$1:$AB$1,0))</f>
        <v>0.82709149999999998</v>
      </c>
      <c r="S6">
        <f>INDEX([1]foodcode_profile!$I$2:$AB$6200,MATCH($B6,[1]foodcode_profile!$B$2:$B$6200,0),MATCH(S$3,[1]foodcode_profile!$I$1:$AB$1,0))</f>
        <v>0</v>
      </c>
      <c r="T6">
        <f>INDEX([1]foodcode_profile!$I$2:$AB$6200,MATCH($B6,[1]foodcode_profile!$B$2:$B$6200,0),MATCH(T$3,[1]foodcode_profile!$I$1:$AB$1,0))</f>
        <v>0</v>
      </c>
      <c r="U6" s="5">
        <f>INDEX([1]foodcode_profile!$I$2:$AB$6200,MATCH($B6,[1]foodcode_profile!$B$2:$B$6200,0),MATCH(U$3,[1]foodcode_profile!$I$1:$AB$1,0))</f>
        <v>2.8119356</v>
      </c>
      <c r="V6" s="4">
        <f>INDEX([1]foodcode_profile!$I$2:$AB$6200,MATCH($B6,[1]foodcode_profile!$B$2:$B$6200,0),MATCH(V$3,[1]foodcode_profile!$I$1:$AB$1,0))</f>
        <v>0.37417509999999998</v>
      </c>
    </row>
    <row r="7" spans="1:22" x14ac:dyDescent="0.3">
      <c r="A7">
        <f>INDEX([1]foodcode_profile!$A$2:$A$6200,MATCH(B7,[1]foodcode_profile!$B$2:$B$6200,0))</f>
        <v>72201223</v>
      </c>
      <c r="B7" t="s">
        <v>8</v>
      </c>
      <c r="C7" t="s">
        <v>9</v>
      </c>
      <c r="D7">
        <f>INDEX([1]foodcode_profile!$I$2:$AB$6200,MATCH($B7,[1]foodcode_profile!$B$2:$B$6200,0),MATCH(D$3,[1]foodcode_profile!$I$1:$AB$1,0))</f>
        <v>85</v>
      </c>
      <c r="E7" s="6">
        <f>INDEX([1]foodcode_profile!$I$2:$AB$6200,MATCH($B7,[1]foodcode_profile!$B$2:$B$6200,0),MATCH(E$3,[1]foodcode_profile!$I$1:$AB$1,0))</f>
        <v>49.894368</v>
      </c>
      <c r="F7" s="4">
        <f>INDEX([1]foodcode_profile!$I$2:$AB$6200,MATCH($B7,[1]foodcode_profile!$B$2:$B$6200,0),MATCH(F$3,[1]foodcode_profile!$I$1:$AB$1,0))</f>
        <v>2.7087691999999999</v>
      </c>
      <c r="G7" s="12">
        <f>INDEX([1]foodcode_profile!$I$2:$AB$6200,MATCH($B7,[1]foodcode_profile!$B$2:$B$6200,0),MATCH(G$3,[1]foodcode_profile!$I$1:$AB$1,0))</f>
        <v>0.39170280000000002</v>
      </c>
      <c r="H7">
        <f>INDEX([1]foodcode_profile!$I$2:$AB$6200,MATCH($B7,[1]foodcode_profile!$B$2:$B$6200,0),MATCH(H$3,[1]foodcode_profile!$I$1:$AB$1,0))</f>
        <v>0</v>
      </c>
      <c r="I7" s="3">
        <f>INDEX([1]foodcode_profile!$I$2:$AB$6200,MATCH($B7,[1]foodcode_profile!$B$2:$B$6200,0),MATCH(I$3,[1]foodcode_profile!$I$1:$AB$1,0))</f>
        <v>3.2965800000000003E-2</v>
      </c>
      <c r="J7">
        <f>INDEX([1]foodcode_profile!$I$2:$AB$6200,MATCH($B7,[1]foodcode_profile!$B$2:$B$6200,0),MATCH(J$3,[1]foodcode_profile!$I$1:$AB$1,0))</f>
        <v>0</v>
      </c>
      <c r="K7" s="4">
        <f>INDEX([1]foodcode_profile!$I$2:$AB$6200,MATCH($B7,[1]foodcode_profile!$B$2:$B$6200,0),MATCH(K$3,[1]foodcode_profile!$I$1:$AB$1,0))</f>
        <v>1.1239385</v>
      </c>
      <c r="L7">
        <f>INDEX([1]foodcode_profile!$I$2:$AB$6200,MATCH($B7,[1]foodcode_profile!$B$2:$B$6200,0),MATCH(L$3,[1]foodcode_profile!$I$1:$AB$1,0))</f>
        <v>0</v>
      </c>
      <c r="M7">
        <f>INDEX([1]foodcode_profile!$I$2:$AB$6200,MATCH($B7,[1]foodcode_profile!$B$2:$B$6200,0),MATCH(M$3,[1]foodcode_profile!$I$1:$AB$1,0))</f>
        <v>0</v>
      </c>
      <c r="N7">
        <f>INDEX([1]foodcode_profile!$I$2:$AB$6200,MATCH($B7,[1]foodcode_profile!$B$2:$B$6200,0),MATCH(N$3,[1]foodcode_profile!$I$1:$AB$1,0))</f>
        <v>0</v>
      </c>
      <c r="O7" s="5">
        <f>INDEX([1]foodcode_profile!$I$2:$AB$6200,MATCH($B7,[1]foodcode_profile!$B$2:$B$6200,0),MATCH(O$3,[1]foodcode_profile!$I$1:$AB$1,0))</f>
        <v>82.083916000000002</v>
      </c>
      <c r="P7">
        <f>INDEX([1]foodcode_profile!$I$2:$AB$6200,MATCH($B7,[1]foodcode_profile!$B$2:$B$6200,0),MATCH(P$3,[1]foodcode_profile!$I$1:$AB$1,0))</f>
        <v>0</v>
      </c>
      <c r="Q7">
        <f>INDEX([1]foodcode_profile!$I$2:$AB$6200,MATCH($B7,[1]foodcode_profile!$B$2:$B$6200,0),MATCH(Q$3,[1]foodcode_profile!$I$1:$AB$1,0))</f>
        <v>0</v>
      </c>
      <c r="R7" s="4">
        <f>INDEX([1]foodcode_profile!$I$2:$AB$6200,MATCH($B7,[1]foodcode_profile!$B$2:$B$6200,0),MATCH(R$3,[1]foodcode_profile!$I$1:$AB$1,0))</f>
        <v>0.2376028</v>
      </c>
      <c r="S7">
        <f>INDEX([1]foodcode_profile!$I$2:$AB$6200,MATCH($B7,[1]foodcode_profile!$B$2:$B$6200,0),MATCH(S$3,[1]foodcode_profile!$I$1:$AB$1,0))</f>
        <v>0</v>
      </c>
      <c r="T7">
        <f>INDEX([1]foodcode_profile!$I$2:$AB$6200,MATCH($B7,[1]foodcode_profile!$B$2:$B$6200,0),MATCH(T$3,[1]foodcode_profile!$I$1:$AB$1,0))</f>
        <v>0</v>
      </c>
      <c r="U7">
        <f>INDEX([1]foodcode_profile!$I$2:$AB$6200,MATCH($B7,[1]foodcode_profile!$B$2:$B$6200,0),MATCH(U$3,[1]foodcode_profile!$I$1:$AB$1,0))</f>
        <v>0</v>
      </c>
      <c r="V7" s="4">
        <f>INDEX([1]foodcode_profile!$I$2:$AB$6200,MATCH($B7,[1]foodcode_profile!$B$2:$B$6200,0),MATCH(V$3,[1]foodcode_profile!$I$1:$AB$1,0))</f>
        <v>8.4685999999999997E-3</v>
      </c>
    </row>
    <row r="8" spans="1:22" x14ac:dyDescent="0.3">
      <c r="A8">
        <f>INDEX([1]foodcode_profile!$A$2:$A$6200,MATCH(B8,[1]foodcode_profile!$B$2:$B$6200,0))</f>
        <v>75216136</v>
      </c>
      <c r="B8" t="s">
        <v>10</v>
      </c>
      <c r="C8" t="s">
        <v>11</v>
      </c>
      <c r="D8">
        <f>INDEX([1]foodcode_profile!$I$2:$AB$6200,MATCH($B8,[1]foodcode_profile!$B$2:$B$6200,0),MATCH(D$3,[1]foodcode_profile!$I$1:$AB$1,0))</f>
        <v>85</v>
      </c>
      <c r="E8" s="6">
        <f>INDEX([1]foodcode_profile!$I$2:$AB$6200,MATCH($B8,[1]foodcode_profile!$B$2:$B$6200,0),MATCH(E$3,[1]foodcode_profile!$I$1:$AB$1,0))</f>
        <v>91.558048999999997</v>
      </c>
      <c r="F8">
        <f>INDEX([1]foodcode_profile!$I$2:$AB$6200,MATCH($B8,[1]foodcode_profile!$B$2:$B$6200,0),MATCH(F$3,[1]foodcode_profile!$I$1:$AB$1,0))</f>
        <v>0</v>
      </c>
      <c r="G8" s="12">
        <f>INDEX([1]foodcode_profile!$I$2:$AB$6200,MATCH($B8,[1]foodcode_profile!$B$2:$B$6200,0),MATCH(G$3,[1]foodcode_profile!$I$1:$AB$1,0))</f>
        <v>0.45045829999999998</v>
      </c>
      <c r="H8">
        <f>INDEX([1]foodcode_profile!$I$2:$AB$6200,MATCH($B8,[1]foodcode_profile!$B$2:$B$6200,0),MATCH(H$3,[1]foodcode_profile!$I$1:$AB$1,0))</f>
        <v>0</v>
      </c>
      <c r="I8" s="3">
        <f>INDEX([1]foodcode_profile!$I$2:$AB$6200,MATCH($B8,[1]foodcode_profile!$B$2:$B$6200,0),MATCH(I$3,[1]foodcode_profile!$I$1:$AB$1,0))</f>
        <v>3.0850999999999999E-3</v>
      </c>
      <c r="J8" s="4">
        <f>INDEX([1]foodcode_profile!$I$2:$AB$6200,MATCH($B8,[1]foodcode_profile!$B$2:$B$6200,0),MATCH(J$3,[1]foodcode_profile!$I$1:$AB$1,0))</f>
        <v>1.9706546</v>
      </c>
      <c r="K8" s="4">
        <f>INDEX([1]foodcode_profile!$I$2:$AB$6200,MATCH($B8,[1]foodcode_profile!$B$2:$B$6200,0),MATCH(K$3,[1]foodcode_profile!$I$1:$AB$1,0))</f>
        <v>1.1275877999999999</v>
      </c>
      <c r="L8">
        <f>INDEX([1]foodcode_profile!$I$2:$AB$6200,MATCH($B8,[1]foodcode_profile!$B$2:$B$6200,0),MATCH(L$3,[1]foodcode_profile!$I$1:$AB$1,0))</f>
        <v>0</v>
      </c>
      <c r="M8">
        <f>INDEX([1]foodcode_profile!$I$2:$AB$6200,MATCH($B8,[1]foodcode_profile!$B$2:$B$6200,0),MATCH(M$3,[1]foodcode_profile!$I$1:$AB$1,0))</f>
        <v>0</v>
      </c>
      <c r="N8">
        <f>INDEX([1]foodcode_profile!$I$2:$AB$6200,MATCH($B8,[1]foodcode_profile!$B$2:$B$6200,0),MATCH(N$3,[1]foodcode_profile!$I$1:$AB$1,0))</f>
        <v>0</v>
      </c>
      <c r="O8">
        <f>INDEX([1]foodcode_profile!$I$2:$AB$6200,MATCH($B8,[1]foodcode_profile!$B$2:$B$6200,0),MATCH(O$3,[1]foodcode_profile!$I$1:$AB$1,0))</f>
        <v>0</v>
      </c>
      <c r="P8">
        <f>INDEX([1]foodcode_profile!$I$2:$AB$6200,MATCH($B8,[1]foodcode_profile!$B$2:$B$6200,0),MATCH(P$3,[1]foodcode_profile!$I$1:$AB$1,0))</f>
        <v>0</v>
      </c>
      <c r="Q8">
        <f>INDEX([1]foodcode_profile!$I$2:$AB$6200,MATCH($B8,[1]foodcode_profile!$B$2:$B$6200,0),MATCH(Q$3,[1]foodcode_profile!$I$1:$AB$1,0))</f>
        <v>0</v>
      </c>
      <c r="R8" s="4">
        <f>INDEX([1]foodcode_profile!$I$2:$AB$6200,MATCH($B8,[1]foodcode_profile!$B$2:$B$6200,0),MATCH(R$3,[1]foodcode_profile!$I$1:$AB$1,0))</f>
        <v>0.21098439999999999</v>
      </c>
      <c r="S8">
        <f>INDEX([1]foodcode_profile!$I$2:$AB$6200,MATCH($B8,[1]foodcode_profile!$B$2:$B$6200,0),MATCH(S$3,[1]foodcode_profile!$I$1:$AB$1,0))</f>
        <v>0</v>
      </c>
      <c r="T8">
        <f>INDEX([1]foodcode_profile!$I$2:$AB$6200,MATCH($B8,[1]foodcode_profile!$B$2:$B$6200,0),MATCH(T$3,[1]foodcode_profile!$I$1:$AB$1,0))</f>
        <v>0</v>
      </c>
      <c r="U8">
        <f>INDEX([1]foodcode_profile!$I$2:$AB$6200,MATCH($B8,[1]foodcode_profile!$B$2:$B$6200,0),MATCH(U$3,[1]foodcode_profile!$I$1:$AB$1,0))</f>
        <v>0</v>
      </c>
      <c r="V8" s="4">
        <f>INDEX([1]foodcode_profile!$I$2:$AB$6200,MATCH($B8,[1]foodcode_profile!$B$2:$B$6200,0),MATCH(V$3,[1]foodcode_profile!$I$1:$AB$1,0))</f>
        <v>8.7522600000000006E-2</v>
      </c>
    </row>
    <row r="9" spans="1:22" x14ac:dyDescent="0.3">
      <c r="A9">
        <f>INDEX([1]foodcode_profile!$A$2:$A$6200,MATCH(B9,[1]foodcode_profile!$B$2:$B$6200,0))</f>
        <v>21101130</v>
      </c>
      <c r="B9" t="s">
        <v>12</v>
      </c>
      <c r="C9" t="s">
        <v>13</v>
      </c>
      <c r="D9">
        <f>INDEX([1]foodcode_profile!$I$2:$AB$6200,MATCH($B9,[1]foodcode_profile!$B$2:$B$6200,0),MATCH(D$3,[1]foodcode_profile!$I$1:$AB$1,0))</f>
        <v>85</v>
      </c>
      <c r="E9" s="6">
        <f>INDEX([1]foodcode_profile!$I$2:$AB$6200,MATCH($B9,[1]foodcode_profile!$B$2:$B$6200,0),MATCH(E$3,[1]foodcode_profile!$I$1:$AB$1,0))</f>
        <v>156.15083000000001</v>
      </c>
      <c r="F9">
        <f>INDEX([1]foodcode_profile!$I$2:$AB$6200,MATCH($B9,[1]foodcode_profile!$B$2:$B$6200,0),MATCH(F$3,[1]foodcode_profile!$I$1:$AB$1,0))</f>
        <v>0</v>
      </c>
      <c r="G9" s="11">
        <f>INDEX([1]foodcode_profile!$I$2:$AB$6200,MATCH($B9,[1]foodcode_profile!$B$2:$B$6200,0),MATCH(G$3,[1]foodcode_profile!$I$1:$AB$1,0))</f>
        <v>2.2465910999999998</v>
      </c>
      <c r="H9">
        <f>INDEX([1]foodcode_profile!$I$2:$AB$6200,MATCH($B9,[1]foodcode_profile!$B$2:$B$6200,0),MATCH(H$3,[1]foodcode_profile!$I$1:$AB$1,0))</f>
        <v>0</v>
      </c>
      <c r="I9" s="3">
        <f>INDEX([1]foodcode_profile!$I$2:$AB$6200,MATCH($B9,[1]foodcode_profile!$B$2:$B$6200,0),MATCH(I$3,[1]foodcode_profile!$I$1:$AB$1,0))</f>
        <v>1.36566E-2</v>
      </c>
      <c r="J9">
        <f>INDEX([1]foodcode_profile!$I$2:$AB$6200,MATCH($B9,[1]foodcode_profile!$B$2:$B$6200,0),MATCH(J$3,[1]foodcode_profile!$I$1:$AB$1,0))</f>
        <v>0</v>
      </c>
      <c r="K9" s="4">
        <f>INDEX([1]foodcode_profile!$I$2:$AB$6200,MATCH($B9,[1]foodcode_profile!$B$2:$B$6200,0),MATCH(K$3,[1]foodcode_profile!$I$1:$AB$1,0))</f>
        <v>0.28301019999999999</v>
      </c>
      <c r="L9">
        <f>INDEX([1]foodcode_profile!$I$2:$AB$6200,MATCH($B9,[1]foodcode_profile!$B$2:$B$6200,0),MATCH(L$3,[1]foodcode_profile!$I$1:$AB$1,0))</f>
        <v>0</v>
      </c>
      <c r="M9">
        <f>INDEX([1]foodcode_profile!$I$2:$AB$6200,MATCH($B9,[1]foodcode_profile!$B$2:$B$6200,0),MATCH(M$3,[1]foodcode_profile!$I$1:$AB$1,0))</f>
        <v>0</v>
      </c>
      <c r="N9">
        <f>INDEX([1]foodcode_profile!$I$2:$AB$6200,MATCH($B9,[1]foodcode_profile!$B$2:$B$6200,0),MATCH(N$3,[1]foodcode_profile!$I$1:$AB$1,0))</f>
        <v>0</v>
      </c>
      <c r="O9">
        <f>INDEX([1]foodcode_profile!$I$2:$AB$6200,MATCH($B9,[1]foodcode_profile!$B$2:$B$6200,0),MATCH(O$3,[1]foodcode_profile!$I$1:$AB$1,0))</f>
        <v>0</v>
      </c>
      <c r="P9">
        <f>INDEX([1]foodcode_profile!$I$2:$AB$6200,MATCH($B9,[1]foodcode_profile!$B$2:$B$6200,0),MATCH(P$3,[1]foodcode_profile!$I$1:$AB$1,0))</f>
        <v>0</v>
      </c>
      <c r="Q9">
        <f>INDEX([1]foodcode_profile!$I$2:$AB$6200,MATCH($B9,[1]foodcode_profile!$B$2:$B$6200,0),MATCH(Q$3,[1]foodcode_profile!$I$1:$AB$1,0))</f>
        <v>0</v>
      </c>
      <c r="R9" s="4">
        <f>INDEX([1]foodcode_profile!$I$2:$AB$6200,MATCH($B9,[1]foodcode_profile!$B$2:$B$6200,0),MATCH(R$3,[1]foodcode_profile!$I$1:$AB$1,0))</f>
        <v>0.32900600000000002</v>
      </c>
      <c r="S9">
        <f>INDEX([1]foodcode_profile!$I$2:$AB$6200,MATCH($B9,[1]foodcode_profile!$B$2:$B$6200,0),MATCH(S$3,[1]foodcode_profile!$I$1:$AB$1,0))</f>
        <v>0</v>
      </c>
      <c r="T9" s="5">
        <f>INDEX([1]foodcode_profile!$I$2:$AB$6200,MATCH($B9,[1]foodcode_profile!$B$2:$B$6200,0),MATCH(T$3,[1]foodcode_profile!$I$1:$AB$1,0))</f>
        <v>84.009147999999996</v>
      </c>
      <c r="U9">
        <f>INDEX([1]foodcode_profile!$I$2:$AB$6200,MATCH($B9,[1]foodcode_profile!$B$2:$B$6200,0),MATCH(U$3,[1]foodcode_profile!$I$1:$AB$1,0))</f>
        <v>0</v>
      </c>
      <c r="V9" s="4">
        <f>INDEX([1]foodcode_profile!$I$2:$AB$6200,MATCH($B9,[1]foodcode_profile!$B$2:$B$6200,0),MATCH(V$3,[1]foodcode_profile!$I$1:$AB$1,0))</f>
        <v>0.14919679999999999</v>
      </c>
    </row>
    <row r="10" spans="1:22" x14ac:dyDescent="0.3">
      <c r="A10">
        <f>INDEX([1]foodcode_profile!$A$2:$A$6200,MATCH(B10,[1]foodcode_profile!$B$2:$B$6200,0))</f>
        <v>25221405</v>
      </c>
      <c r="B10" t="s">
        <v>14</v>
      </c>
      <c r="C10" t="s">
        <v>15</v>
      </c>
      <c r="D10">
        <f>INDEX([1]foodcode_profile!$I$2:$AB$6200,MATCH($B10,[1]foodcode_profile!$B$2:$B$6200,0),MATCH(D$3,[1]foodcode_profile!$I$1:$AB$1,0))</f>
        <v>55</v>
      </c>
      <c r="E10" s="6">
        <f>INDEX([1]foodcode_profile!$I$2:$AB$6200,MATCH($B10,[1]foodcode_profile!$B$2:$B$6200,0),MATCH(E$3,[1]foodcode_profile!$I$1:$AB$1,0))</f>
        <v>178.75</v>
      </c>
      <c r="F10">
        <f>INDEX([1]foodcode_profile!$I$2:$AB$6200,MATCH($B10,[1]foodcode_profile!$B$2:$B$6200,0),MATCH(F$3,[1]foodcode_profile!$I$1:$AB$1,0))</f>
        <v>0</v>
      </c>
      <c r="G10" s="11">
        <f>INDEX([1]foodcode_profile!$I$2:$AB$6200,MATCH($B10,[1]foodcode_profile!$B$2:$B$6200,0),MATCH(G$3,[1]foodcode_profile!$I$1:$AB$1,0))</f>
        <v>4.8543000000000003</v>
      </c>
      <c r="H10">
        <f>INDEX([1]foodcode_profile!$I$2:$AB$6200,MATCH($B10,[1]foodcode_profile!$B$2:$B$6200,0),MATCH(H$3,[1]foodcode_profile!$I$1:$AB$1,0))</f>
        <v>0</v>
      </c>
      <c r="I10" s="3">
        <f>INDEX([1]foodcode_profile!$I$2:$AB$6200,MATCH($B10,[1]foodcode_profile!$B$2:$B$6200,0),MATCH(I$3,[1]foodcode_profile!$I$1:$AB$1,0))</f>
        <v>4.9500000000000004E-3</v>
      </c>
      <c r="J10">
        <f>INDEX([1]foodcode_profile!$I$2:$AB$6200,MATCH($B10,[1]foodcode_profile!$B$2:$B$6200,0),MATCH(J$3,[1]foodcode_profile!$I$1:$AB$1,0))</f>
        <v>0</v>
      </c>
      <c r="K10" s="4">
        <f>INDEX([1]foodcode_profile!$I$2:$AB$6200,MATCH($B10,[1]foodcode_profile!$B$2:$B$6200,0),MATCH(K$3,[1]foodcode_profile!$I$1:$AB$1,0))</f>
        <v>2.81325</v>
      </c>
      <c r="L10">
        <f>INDEX([1]foodcode_profile!$I$2:$AB$6200,MATCH($B10,[1]foodcode_profile!$B$2:$B$6200,0),MATCH(L$3,[1]foodcode_profile!$I$1:$AB$1,0))</f>
        <v>0</v>
      </c>
      <c r="M10">
        <f>INDEX([1]foodcode_profile!$I$2:$AB$6200,MATCH($B10,[1]foodcode_profile!$B$2:$B$6200,0),MATCH(M$3,[1]foodcode_profile!$I$1:$AB$1,0))</f>
        <v>0</v>
      </c>
      <c r="N10">
        <f>INDEX([1]foodcode_profile!$I$2:$AB$6200,MATCH($B10,[1]foodcode_profile!$B$2:$B$6200,0),MATCH(N$3,[1]foodcode_profile!$I$1:$AB$1,0))</f>
        <v>0</v>
      </c>
      <c r="O10">
        <f>INDEX([1]foodcode_profile!$I$2:$AB$6200,MATCH($B10,[1]foodcode_profile!$B$2:$B$6200,0),MATCH(O$3,[1]foodcode_profile!$I$1:$AB$1,0))</f>
        <v>0</v>
      </c>
      <c r="P10">
        <f>INDEX([1]foodcode_profile!$I$2:$AB$6200,MATCH($B10,[1]foodcode_profile!$B$2:$B$6200,0),MATCH(P$3,[1]foodcode_profile!$I$1:$AB$1,0))</f>
        <v>0</v>
      </c>
      <c r="Q10">
        <f>INDEX([1]foodcode_profile!$I$2:$AB$6200,MATCH($B10,[1]foodcode_profile!$B$2:$B$6200,0),MATCH(Q$3,[1]foodcode_profile!$I$1:$AB$1,0))</f>
        <v>0</v>
      </c>
      <c r="R10" s="4">
        <f>INDEX([1]foodcode_profile!$I$2:$AB$6200,MATCH($B10,[1]foodcode_profile!$B$2:$B$6200,0),MATCH(R$3,[1]foodcode_profile!$I$1:$AB$1,0))</f>
        <v>0.44769999999999999</v>
      </c>
      <c r="S10">
        <f>INDEX([1]foodcode_profile!$I$2:$AB$6200,MATCH($B10,[1]foodcode_profile!$B$2:$B$6200,0),MATCH(S$3,[1]foodcode_profile!$I$1:$AB$1,0))</f>
        <v>0</v>
      </c>
      <c r="T10">
        <f>INDEX([1]foodcode_profile!$I$2:$AB$6200,MATCH($B10,[1]foodcode_profile!$B$2:$B$6200,0),MATCH(T$3,[1]foodcode_profile!$I$1:$AB$1,0))</f>
        <v>0</v>
      </c>
      <c r="U10" s="5">
        <f>INDEX([1]foodcode_profile!$I$2:$AB$6200,MATCH($B10,[1]foodcode_profile!$B$2:$B$6200,0),MATCH(U$3,[1]foodcode_profile!$I$1:$AB$1,0))</f>
        <v>43.503075000000003</v>
      </c>
      <c r="V10" s="4">
        <f>INDEX([1]foodcode_profile!$I$2:$AB$6200,MATCH($B10,[1]foodcode_profile!$B$2:$B$6200,0),MATCH(V$3,[1]foodcode_profile!$I$1:$AB$1,0))</f>
        <v>6.6000000000000003E-2</v>
      </c>
    </row>
    <row r="11" spans="1:22" x14ac:dyDescent="0.3">
      <c r="A11">
        <f>INDEX([1]foodcode_profile!$A$2:$A$6200,MATCH(B11,[1]foodcode_profile!$B$2:$B$6200,0))</f>
        <v>26107140</v>
      </c>
      <c r="B11" t="s">
        <v>16</v>
      </c>
      <c r="C11" t="s">
        <v>17</v>
      </c>
      <c r="D11">
        <f>INDEX([1]foodcode_profile!$I$2:$AB$6200,MATCH($B11,[1]foodcode_profile!$B$2:$B$6200,0),MATCH(D$3,[1]foodcode_profile!$I$1:$AB$1,0))</f>
        <v>85</v>
      </c>
      <c r="E11" s="6">
        <f>INDEX([1]foodcode_profile!$I$2:$AB$6200,MATCH($B11,[1]foodcode_profile!$B$2:$B$6200,0),MATCH(E$3,[1]foodcode_profile!$I$1:$AB$1,0))</f>
        <v>177.62217999999999</v>
      </c>
      <c r="F11">
        <f>INDEX([1]foodcode_profile!$I$2:$AB$6200,MATCH($B11,[1]foodcode_profile!$B$2:$B$6200,0),MATCH(F$3,[1]foodcode_profile!$I$1:$AB$1,0))</f>
        <v>0</v>
      </c>
      <c r="G11" s="11">
        <f>INDEX([1]foodcode_profile!$I$2:$AB$6200,MATCH($B11,[1]foodcode_profile!$B$2:$B$6200,0),MATCH(G$3,[1]foodcode_profile!$I$1:$AB$1,0))</f>
        <v>1.9996494</v>
      </c>
      <c r="H11" s="3">
        <f>INDEX([1]foodcode_profile!$I$2:$AB$6200,MATCH($B11,[1]foodcode_profile!$B$2:$B$6200,0),MATCH(H$3,[1]foodcode_profile!$I$1:$AB$1,0))</f>
        <v>4.5637799999999999E-2</v>
      </c>
      <c r="I11" s="3">
        <f>INDEX([1]foodcode_profile!$I$2:$AB$6200,MATCH($B11,[1]foodcode_profile!$B$2:$B$6200,0),MATCH(I$3,[1]foodcode_profile!$I$1:$AB$1,0))</f>
        <v>2.6930699999999998E-2</v>
      </c>
      <c r="J11" s="4">
        <f>INDEX([1]foodcode_profile!$I$2:$AB$6200,MATCH($B11,[1]foodcode_profile!$B$2:$B$6200,0),MATCH(J$3,[1]foodcode_profile!$I$1:$AB$1,0))</f>
        <v>0.44972839999999997</v>
      </c>
      <c r="K11" s="4">
        <f>INDEX([1]foodcode_profile!$I$2:$AB$6200,MATCH($B11,[1]foodcode_profile!$B$2:$B$6200,0),MATCH(K$3,[1]foodcode_profile!$I$1:$AB$1,0))</f>
        <v>3.6149905000000002</v>
      </c>
      <c r="L11">
        <f>INDEX([1]foodcode_profile!$I$2:$AB$6200,MATCH($B11,[1]foodcode_profile!$B$2:$B$6200,0),MATCH(L$3,[1]foodcode_profile!$I$1:$AB$1,0))</f>
        <v>0</v>
      </c>
      <c r="M11">
        <f>INDEX([1]foodcode_profile!$I$2:$AB$6200,MATCH($B11,[1]foodcode_profile!$B$2:$B$6200,0),MATCH(M$3,[1]foodcode_profile!$I$1:$AB$1,0))</f>
        <v>0</v>
      </c>
      <c r="N11">
        <f>INDEX([1]foodcode_profile!$I$2:$AB$6200,MATCH($B11,[1]foodcode_profile!$B$2:$B$6200,0),MATCH(N$3,[1]foodcode_profile!$I$1:$AB$1,0))</f>
        <v>0</v>
      </c>
      <c r="O11">
        <f>INDEX([1]foodcode_profile!$I$2:$AB$6200,MATCH($B11,[1]foodcode_profile!$B$2:$B$6200,0),MATCH(O$3,[1]foodcode_profile!$I$1:$AB$1,0))</f>
        <v>0</v>
      </c>
      <c r="P11">
        <f>INDEX([1]foodcode_profile!$I$2:$AB$6200,MATCH($B11,[1]foodcode_profile!$B$2:$B$6200,0),MATCH(P$3,[1]foodcode_profile!$I$1:$AB$1,0))</f>
        <v>0</v>
      </c>
      <c r="Q11">
        <f>INDEX([1]foodcode_profile!$I$2:$AB$6200,MATCH($B11,[1]foodcode_profile!$B$2:$B$6200,0),MATCH(Q$3,[1]foodcode_profile!$I$1:$AB$1,0))</f>
        <v>0</v>
      </c>
      <c r="R11" s="4">
        <f>INDEX([1]foodcode_profile!$I$2:$AB$6200,MATCH($B11,[1]foodcode_profile!$B$2:$B$6200,0),MATCH(R$3,[1]foodcode_profile!$I$1:$AB$1,0))</f>
        <v>0.2998826</v>
      </c>
      <c r="S11">
        <f>INDEX([1]foodcode_profile!$I$2:$AB$6200,MATCH($B11,[1]foodcode_profile!$B$2:$B$6200,0),MATCH(S$3,[1]foodcode_profile!$I$1:$AB$1,0))</f>
        <v>0</v>
      </c>
      <c r="T11">
        <f>INDEX([1]foodcode_profile!$I$2:$AB$6200,MATCH($B11,[1]foodcode_profile!$B$2:$B$6200,0),MATCH(T$3,[1]foodcode_profile!$I$1:$AB$1,0))</f>
        <v>0</v>
      </c>
      <c r="U11">
        <f>INDEX([1]foodcode_profile!$I$2:$AB$6200,MATCH($B11,[1]foodcode_profile!$B$2:$B$6200,0),MATCH(U$3,[1]foodcode_profile!$I$1:$AB$1,0))</f>
        <v>0</v>
      </c>
      <c r="V11" s="4">
        <f>INDEX([1]foodcode_profile!$I$2:$AB$6200,MATCH($B11,[1]foodcode_profile!$B$2:$B$6200,0),MATCH(V$3,[1]foodcode_profile!$I$1:$AB$1,0))</f>
        <v>7.7438599999999996E-2</v>
      </c>
    </row>
    <row r="12" spans="1:22" x14ac:dyDescent="0.3">
      <c r="A12">
        <f>INDEX([1]foodcode_profile!$A$2:$A$6200,MATCH(B12,[1]foodcode_profile!$B$2:$B$6200,0))</f>
        <v>63107010</v>
      </c>
      <c r="B12" t="s">
        <v>18</v>
      </c>
      <c r="C12" t="s">
        <v>19</v>
      </c>
      <c r="D12">
        <f>INDEX([1]foodcode_profile!$I$2:$AB$6200,MATCH($B12,[1]foodcode_profile!$B$2:$B$6200,0),MATCH(D$3,[1]foodcode_profile!$I$1:$AB$1,0))</f>
        <v>140</v>
      </c>
      <c r="E12" s="6">
        <f>INDEX([1]foodcode_profile!$I$2:$AB$6200,MATCH($B12,[1]foodcode_profile!$B$2:$B$6200,0),MATCH(E$3,[1]foodcode_profile!$I$1:$AB$1,0))</f>
        <v>124.6</v>
      </c>
      <c r="F12">
        <f>INDEX([1]foodcode_profile!$I$2:$AB$6200,MATCH($B12,[1]foodcode_profile!$B$2:$B$6200,0),MATCH(F$3,[1]foodcode_profile!$I$1:$AB$1,0))</f>
        <v>3.64</v>
      </c>
      <c r="G12" s="12">
        <f>INDEX([1]foodcode_profile!$I$2:$AB$6200,MATCH($B12,[1]foodcode_profile!$B$2:$B$6200,0),MATCH(G$3,[1]foodcode_profile!$I$1:$AB$1,0))</f>
        <v>0.15679999999999999</v>
      </c>
      <c r="H12">
        <f>INDEX([1]foodcode_profile!$I$2:$AB$6200,MATCH($B12,[1]foodcode_profile!$B$2:$B$6200,0),MATCH(H$3,[1]foodcode_profile!$I$1:$AB$1,0))</f>
        <v>0</v>
      </c>
      <c r="I12" s="3">
        <f>INDEX([1]foodcode_profile!$I$2:$AB$6200,MATCH($B12,[1]foodcode_profile!$B$2:$B$6200,0),MATCH(I$3,[1]foodcode_profile!$I$1:$AB$1,0))</f>
        <v>7.0000000000000001E-3</v>
      </c>
      <c r="J12">
        <f>INDEX([1]foodcode_profile!$I$2:$AB$6200,MATCH($B12,[1]foodcode_profile!$B$2:$B$6200,0),MATCH(J$3,[1]foodcode_profile!$I$1:$AB$1,0))</f>
        <v>0</v>
      </c>
      <c r="K12" s="4">
        <f>INDEX([1]foodcode_profile!$I$2:$AB$6200,MATCH($B12,[1]foodcode_profile!$B$2:$B$6200,0),MATCH(K$3,[1]foodcode_profile!$I$1:$AB$1,0))</f>
        <v>0.1022</v>
      </c>
      <c r="L12">
        <f>INDEX([1]foodcode_profile!$I$2:$AB$6200,MATCH($B12,[1]foodcode_profile!$B$2:$B$6200,0),MATCH(L$3,[1]foodcode_profile!$I$1:$AB$1,0))</f>
        <v>0</v>
      </c>
      <c r="M12">
        <f>INDEX([1]foodcode_profile!$I$2:$AB$6200,MATCH($B12,[1]foodcode_profile!$B$2:$B$6200,0),MATCH(M$3,[1]foodcode_profile!$I$1:$AB$1,0))</f>
        <v>0</v>
      </c>
      <c r="N12">
        <f>INDEX([1]foodcode_profile!$I$2:$AB$6200,MATCH($B12,[1]foodcode_profile!$B$2:$B$6200,0),MATCH(N$3,[1]foodcode_profile!$I$1:$AB$1,0))</f>
        <v>140</v>
      </c>
      <c r="O12">
        <f>INDEX([1]foodcode_profile!$I$2:$AB$6200,MATCH($B12,[1]foodcode_profile!$B$2:$B$6200,0),MATCH(O$3,[1]foodcode_profile!$I$1:$AB$1,0))</f>
        <v>0</v>
      </c>
      <c r="P12">
        <f>INDEX([1]foodcode_profile!$I$2:$AB$6200,MATCH($B12,[1]foodcode_profile!$B$2:$B$6200,0),MATCH(P$3,[1]foodcode_profile!$I$1:$AB$1,0))</f>
        <v>0</v>
      </c>
      <c r="Q12">
        <f>INDEX([1]foodcode_profile!$I$2:$AB$6200,MATCH($B12,[1]foodcode_profile!$B$2:$B$6200,0),MATCH(Q$3,[1]foodcode_profile!$I$1:$AB$1,0))</f>
        <v>0</v>
      </c>
      <c r="R12" s="4">
        <f>INDEX([1]foodcode_profile!$I$2:$AB$6200,MATCH($B12,[1]foodcode_profile!$B$2:$B$6200,0),MATCH(R$3,[1]foodcode_profile!$I$1:$AB$1,0))</f>
        <v>1.4E-3</v>
      </c>
      <c r="S12">
        <f>INDEX([1]foodcode_profile!$I$2:$AB$6200,MATCH($B12,[1]foodcode_profile!$B$2:$B$6200,0),MATCH(S$3,[1]foodcode_profile!$I$1:$AB$1,0))</f>
        <v>0</v>
      </c>
      <c r="T12">
        <f>INDEX([1]foodcode_profile!$I$2:$AB$6200,MATCH($B12,[1]foodcode_profile!$B$2:$B$6200,0),MATCH(T$3,[1]foodcode_profile!$I$1:$AB$1,0))</f>
        <v>0</v>
      </c>
      <c r="U12">
        <f>INDEX([1]foodcode_profile!$I$2:$AB$6200,MATCH($B12,[1]foodcode_profile!$B$2:$B$6200,0),MATCH(U$3,[1]foodcode_profile!$I$1:$AB$1,0))</f>
        <v>0</v>
      </c>
      <c r="V12">
        <f>INDEX([1]foodcode_profile!$I$2:$AB$6200,MATCH($B12,[1]foodcode_profile!$B$2:$B$6200,0),MATCH(V$3,[1]foodcode_profile!$I$1:$AB$1,0))</f>
        <v>0</v>
      </c>
    </row>
    <row r="13" spans="1:22" x14ac:dyDescent="0.3">
      <c r="A13">
        <f>INDEX([1]foodcode_profile!$A$2:$A$6200,MATCH(B13,[1]foodcode_profile!$B$2:$B$6200,0))</f>
        <v>41201020</v>
      </c>
      <c r="B13" t="s">
        <v>20</v>
      </c>
      <c r="C13" t="s">
        <v>21</v>
      </c>
      <c r="D13">
        <f>INDEX([1]foodcode_profile!$I$2:$AB$6200,MATCH($B13,[1]foodcode_profile!$B$2:$B$6200,0),MATCH(D$3,[1]foodcode_profile!$I$1:$AB$1,0))</f>
        <v>130</v>
      </c>
      <c r="E13" s="6">
        <f>INDEX([1]foodcode_profile!$I$2:$AB$6200,MATCH($B13,[1]foodcode_profile!$B$2:$B$6200,0),MATCH(E$3,[1]foodcode_profile!$I$1:$AB$1,0))</f>
        <v>122.2</v>
      </c>
      <c r="F13">
        <f>INDEX([1]foodcode_profile!$I$2:$AB$6200,MATCH($B13,[1]foodcode_profile!$B$2:$B$6200,0),MATCH(F$3,[1]foodcode_profile!$I$1:$AB$1,0))</f>
        <v>5.33</v>
      </c>
      <c r="G13" s="13">
        <f>INDEX([1]foodcode_profile!$I$2:$AB$6200,MATCH($B13,[1]foodcode_profile!$B$2:$B$6200,0),MATCH(G$3,[1]foodcode_profile!$I$1:$AB$1,0))</f>
        <v>9.2299999999999993E-2</v>
      </c>
      <c r="H13">
        <f>INDEX([1]foodcode_profile!$I$2:$AB$6200,MATCH($B13,[1]foodcode_profile!$B$2:$B$6200,0),MATCH(H$3,[1]foodcode_profile!$I$1:$AB$1,0))</f>
        <v>0</v>
      </c>
      <c r="I13" s="3">
        <f>INDEX([1]foodcode_profile!$I$2:$AB$6200,MATCH($B13,[1]foodcode_profile!$B$2:$B$6200,0),MATCH(I$3,[1]foodcode_profile!$I$1:$AB$1,0))</f>
        <v>4.4200000000000003E-2</v>
      </c>
      <c r="J13" s="14">
        <f>INDEX([1]foodcode_profile!$I$2:$AB$6200,MATCH($B13,[1]foodcode_profile!$B$2:$B$6200,0),MATCH(J$3,[1]foodcode_profile!$I$1:$AB$1,0))</f>
        <v>4.5089999999999999E-16</v>
      </c>
      <c r="K13" s="4">
        <f>INDEX([1]foodcode_profile!$I$2:$AB$6200,MATCH($B13,[1]foodcode_profile!$B$2:$B$6200,0),MATCH(K$3,[1]foodcode_profile!$I$1:$AB$1,0))</f>
        <v>0.1573</v>
      </c>
      <c r="L13">
        <f>INDEX([1]foodcode_profile!$I$2:$AB$6200,MATCH($B13,[1]foodcode_profile!$B$2:$B$6200,0),MATCH(L$3,[1]foodcode_profile!$I$1:$AB$1,0))</f>
        <v>0</v>
      </c>
      <c r="M13">
        <f>INDEX([1]foodcode_profile!$I$2:$AB$6200,MATCH($B13,[1]foodcode_profile!$B$2:$B$6200,0),MATCH(M$3,[1]foodcode_profile!$I$1:$AB$1,0))</f>
        <v>77.349999999999994</v>
      </c>
      <c r="N13">
        <f>INDEX([1]foodcode_profile!$I$2:$AB$6200,MATCH($B13,[1]foodcode_profile!$B$2:$B$6200,0),MATCH(N$3,[1]foodcode_profile!$I$1:$AB$1,0))</f>
        <v>0</v>
      </c>
      <c r="O13">
        <f>INDEX([1]foodcode_profile!$I$2:$AB$6200,MATCH($B13,[1]foodcode_profile!$B$2:$B$6200,0),MATCH(O$3,[1]foodcode_profile!$I$1:$AB$1,0))</f>
        <v>31.85</v>
      </c>
      <c r="P13">
        <f>INDEX([1]foodcode_profile!$I$2:$AB$6200,MATCH($B13,[1]foodcode_profile!$B$2:$B$6200,0),MATCH(P$3,[1]foodcode_profile!$I$1:$AB$1,0))</f>
        <v>0</v>
      </c>
      <c r="Q13">
        <f>INDEX([1]foodcode_profile!$I$2:$AB$6200,MATCH($B13,[1]foodcode_profile!$B$2:$B$6200,0),MATCH(Q$3,[1]foodcode_profile!$I$1:$AB$1,0))</f>
        <v>0</v>
      </c>
      <c r="R13" s="4">
        <f>INDEX([1]foodcode_profile!$I$2:$AB$6200,MATCH($B13,[1]foodcode_profile!$B$2:$B$6200,0),MATCH(R$3,[1]foodcode_profile!$I$1:$AB$1,0))</f>
        <v>0.44590000000000002</v>
      </c>
      <c r="S13">
        <f>INDEX([1]foodcode_profile!$I$2:$AB$6200,MATCH($B13,[1]foodcode_profile!$B$2:$B$6200,0),MATCH(S$3,[1]foodcode_profile!$I$1:$AB$1,0))</f>
        <v>0</v>
      </c>
      <c r="T13">
        <f>INDEX([1]foodcode_profile!$I$2:$AB$6200,MATCH($B13,[1]foodcode_profile!$B$2:$B$6200,0),MATCH(T$3,[1]foodcode_profile!$I$1:$AB$1,0))</f>
        <v>0</v>
      </c>
      <c r="U13">
        <f>INDEX([1]foodcode_profile!$I$2:$AB$6200,MATCH($B13,[1]foodcode_profile!$B$2:$B$6200,0),MATCH(U$3,[1]foodcode_profile!$I$1:$AB$1,0))</f>
        <v>0</v>
      </c>
      <c r="V13">
        <f>INDEX([1]foodcode_profile!$I$2:$AB$6200,MATCH($B13,[1]foodcode_profile!$B$2:$B$6200,0),MATCH(V$3,[1]foodcode_profile!$I$1:$AB$1,0))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topLeftCell="X1" zoomScaleNormal="100" workbookViewId="0">
      <selection activeCell="AL4" sqref="AL4:AL13"/>
    </sheetView>
  </sheetViews>
  <sheetFormatPr defaultColWidth="8.77734375" defaultRowHeight="14.4" x14ac:dyDescent="0.3"/>
  <cols>
    <col min="2" max="2" width="46.44140625" bestFit="1" customWidth="1"/>
    <col min="3" max="3" width="34.109375" bestFit="1" customWidth="1"/>
    <col min="4" max="4" width="12.6640625" bestFit="1" customWidth="1"/>
    <col min="5" max="5" width="10.6640625" bestFit="1" customWidth="1"/>
    <col min="6" max="6" width="13.109375" customWidth="1"/>
    <col min="7" max="7" width="12.77734375" bestFit="1" customWidth="1"/>
    <col min="9" max="9" width="10" bestFit="1" customWidth="1"/>
    <col min="10" max="10" width="11.6640625" customWidth="1"/>
    <col min="11" max="11" width="10" bestFit="1" customWidth="1"/>
    <col min="12" max="12" width="12.44140625" customWidth="1"/>
    <col min="13" max="22" width="10.33203125" customWidth="1"/>
    <col min="23" max="23" width="24.109375" customWidth="1"/>
    <col min="25" max="25" width="8.77734375" customWidth="1"/>
    <col min="28" max="28" width="11" customWidth="1"/>
    <col min="29" max="29" width="10.6640625" customWidth="1"/>
    <col min="30" max="33" width="0.44140625" customWidth="1"/>
    <col min="34" max="34" width="25.44140625" customWidth="1"/>
  </cols>
  <sheetData>
    <row r="1" spans="1:40" x14ac:dyDescent="0.3">
      <c r="AI1" t="s">
        <v>80</v>
      </c>
      <c r="AJ1">
        <v>100</v>
      </c>
      <c r="AK1">
        <v>100</v>
      </c>
    </row>
    <row r="2" spans="1:40" s="7" customFormat="1" ht="57.6" x14ac:dyDescent="0.3">
      <c r="D2" s="7" t="s">
        <v>42</v>
      </c>
      <c r="E2" s="7" t="s">
        <v>43</v>
      </c>
      <c r="F2" s="8" t="s">
        <v>61</v>
      </c>
      <c r="G2" s="9" t="s">
        <v>62</v>
      </c>
      <c r="H2" s="8" t="s">
        <v>63</v>
      </c>
      <c r="I2" s="8" t="s">
        <v>64</v>
      </c>
      <c r="J2" s="8" t="s">
        <v>65</v>
      </c>
      <c r="K2" s="8" t="s">
        <v>66</v>
      </c>
      <c r="L2" s="8" t="s">
        <v>67</v>
      </c>
      <c r="M2" s="8" t="s">
        <v>68</v>
      </c>
      <c r="N2" s="8" t="s">
        <v>69</v>
      </c>
      <c r="O2" s="8" t="s">
        <v>70</v>
      </c>
      <c r="P2" s="8" t="s">
        <v>71</v>
      </c>
      <c r="Q2" s="8" t="s">
        <v>72</v>
      </c>
      <c r="R2" s="8" t="s">
        <v>73</v>
      </c>
      <c r="S2" s="8" t="s">
        <v>74</v>
      </c>
      <c r="T2" s="8" t="s">
        <v>75</v>
      </c>
      <c r="U2" s="8" t="s">
        <v>76</v>
      </c>
      <c r="V2" s="8" t="s">
        <v>77</v>
      </c>
      <c r="W2" s="8"/>
      <c r="X2" s="15" t="s">
        <v>78</v>
      </c>
      <c r="AI2" s="8" t="s">
        <v>79</v>
      </c>
      <c r="AJ2" s="8" t="s">
        <v>79</v>
      </c>
      <c r="AK2" s="8" t="s">
        <v>79</v>
      </c>
    </row>
    <row r="3" spans="1:40" ht="44.55" customHeight="1" x14ac:dyDescent="0.3">
      <c r="A3" t="s">
        <v>22</v>
      </c>
      <c r="B3" s="1" t="s">
        <v>0</v>
      </c>
      <c r="C3" s="1" t="s">
        <v>1</v>
      </c>
      <c r="D3" s="2" t="s">
        <v>23</v>
      </c>
      <c r="E3" s="2" t="s">
        <v>24</v>
      </c>
      <c r="F3" s="2" t="s">
        <v>25</v>
      </c>
      <c r="G3" s="10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40</v>
      </c>
      <c r="V3" s="16" t="s">
        <v>41</v>
      </c>
      <c r="W3" s="29" t="s">
        <v>1</v>
      </c>
      <c r="X3" s="37" t="s">
        <v>93</v>
      </c>
      <c r="Y3" s="30" t="s">
        <v>94</v>
      </c>
      <c r="Z3" s="32" t="s">
        <v>95</v>
      </c>
      <c r="AA3" s="30" t="s">
        <v>84</v>
      </c>
      <c r="AB3" s="30" t="s">
        <v>86</v>
      </c>
      <c r="AC3" s="32" t="s">
        <v>85</v>
      </c>
      <c r="AD3" s="31" t="s">
        <v>81</v>
      </c>
      <c r="AE3" s="31" t="s">
        <v>87</v>
      </c>
      <c r="AF3" s="31" t="s">
        <v>83</v>
      </c>
      <c r="AG3" s="31"/>
      <c r="AH3" s="29" t="s">
        <v>1</v>
      </c>
      <c r="AI3" s="37" t="s">
        <v>82</v>
      </c>
      <c r="AJ3" s="30" t="s">
        <v>89</v>
      </c>
      <c r="AK3" s="32" t="s">
        <v>88</v>
      </c>
      <c r="AL3" s="30" t="s">
        <v>90</v>
      </c>
      <c r="AM3" s="30" t="s">
        <v>91</v>
      </c>
      <c r="AN3" s="32" t="s">
        <v>92</v>
      </c>
    </row>
    <row r="4" spans="1:40" x14ac:dyDescent="0.3">
      <c r="A4">
        <v>25221405</v>
      </c>
      <c r="B4" t="s">
        <v>14</v>
      </c>
      <c r="C4" t="s">
        <v>15</v>
      </c>
      <c r="D4">
        <v>55</v>
      </c>
      <c r="E4" s="6">
        <v>178.75</v>
      </c>
      <c r="F4" s="4">
        <v>0</v>
      </c>
      <c r="G4" s="4">
        <v>-1.5619829999999999</v>
      </c>
      <c r="H4" s="4">
        <v>0</v>
      </c>
      <c r="I4" s="4">
        <v>1.33927E-2</v>
      </c>
      <c r="J4" s="4">
        <v>0</v>
      </c>
      <c r="K4" s="4">
        <v>0.89548000000000005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-3.2707079999999999</v>
      </c>
      <c r="S4" s="4">
        <v>0</v>
      </c>
      <c r="T4" s="4">
        <v>0</v>
      </c>
      <c r="U4" s="4">
        <v>-19.63552</v>
      </c>
      <c r="V4" s="4">
        <v>-0.15412600000000001</v>
      </c>
      <c r="W4" s="17" t="s">
        <v>15</v>
      </c>
      <c r="X4" s="33">
        <v>-22.1514813</v>
      </c>
      <c r="Y4" s="20">
        <v>-40.275420545454551</v>
      </c>
      <c r="Z4" s="35">
        <v>-12.392437090909091</v>
      </c>
      <c r="AA4" s="19">
        <f>RANK(X4,X$4:X$13,0)</f>
        <v>10</v>
      </c>
      <c r="AB4" s="18">
        <f>RANK(Y4,Y$4:Y$13,0)</f>
        <v>10</v>
      </c>
      <c r="AC4" s="22">
        <f>RANK(Z4,Z$4:Z$13,0)</f>
        <v>10</v>
      </c>
      <c r="AD4" s="20">
        <f t="shared" ref="AD4:AD13" si="0">-X4</f>
        <v>22.1514813</v>
      </c>
      <c r="AE4" s="20">
        <f t="shared" ref="AE4:AE13" si="1">-Y4</f>
        <v>40.275420545454551</v>
      </c>
      <c r="AF4" s="18">
        <f t="shared" ref="AF4:AF13" si="2">-Z4</f>
        <v>12.392437090909091</v>
      </c>
      <c r="AG4" s="18"/>
      <c r="AH4" s="17" t="s">
        <v>15</v>
      </c>
      <c r="AI4" s="33">
        <v>0.39049999999999996</v>
      </c>
      <c r="AJ4" s="20">
        <v>0.71</v>
      </c>
      <c r="AK4" s="35">
        <v>0.21846153846153843</v>
      </c>
      <c r="AL4" s="21">
        <f>RANK(AI4,AI$4:AI$13,-1)</f>
        <v>8</v>
      </c>
      <c r="AM4" s="18">
        <f t="shared" ref="AM4:AN13" si="3">RANK(AJ4,AJ$4:AJ$13,-1)</f>
        <v>9</v>
      </c>
      <c r="AN4" s="22">
        <f t="shared" si="3"/>
        <v>7</v>
      </c>
    </row>
    <row r="5" spans="1:40" x14ac:dyDescent="0.3">
      <c r="A5">
        <v>21101130</v>
      </c>
      <c r="B5" t="s">
        <v>12</v>
      </c>
      <c r="C5" t="s">
        <v>13</v>
      </c>
      <c r="D5">
        <v>85</v>
      </c>
      <c r="E5" s="6">
        <v>156.15083000000001</v>
      </c>
      <c r="F5" s="4">
        <v>0</v>
      </c>
      <c r="G5" s="4">
        <v>-0.72289199999999998</v>
      </c>
      <c r="H5" s="4">
        <v>0</v>
      </c>
      <c r="I5" s="4">
        <v>3.69494E-2</v>
      </c>
      <c r="J5" s="4">
        <v>0</v>
      </c>
      <c r="K5" s="4">
        <v>9.0084399999999995E-2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-2.4035790000000001</v>
      </c>
      <c r="S5" s="4">
        <v>0</v>
      </c>
      <c r="T5" s="4">
        <v>-4.3779310000000002</v>
      </c>
      <c r="U5" s="4">
        <v>0</v>
      </c>
      <c r="V5" s="4">
        <v>-0.34841</v>
      </c>
      <c r="W5" s="17" t="s">
        <v>13</v>
      </c>
      <c r="X5" s="33">
        <v>-7.0028862000000007</v>
      </c>
      <c r="Y5" s="20">
        <v>-8.2386896470588251</v>
      </c>
      <c r="Z5" s="35">
        <v>-4.484693549179342</v>
      </c>
      <c r="AA5" s="19">
        <f t="shared" ref="AA5:AB13" si="4">RANK(X5,X$4:X$13,0)</f>
        <v>9</v>
      </c>
      <c r="AB5" s="18">
        <f t="shared" si="4"/>
        <v>9</v>
      </c>
      <c r="AC5" s="22">
        <f t="shared" ref="AC5:AC13" si="5">RANK(Z5,Z$4:Z$13,0)</f>
        <v>9</v>
      </c>
      <c r="AD5" s="20">
        <f t="shared" si="0"/>
        <v>7.0028862000000007</v>
      </c>
      <c r="AE5" s="20">
        <f t="shared" si="1"/>
        <v>8.2386896470588251</v>
      </c>
      <c r="AF5" s="18">
        <f t="shared" si="2"/>
        <v>4.484693549179342</v>
      </c>
      <c r="AG5" s="18"/>
      <c r="AH5" s="17" t="s">
        <v>13</v>
      </c>
      <c r="AI5" s="33">
        <v>3.7910000000000004</v>
      </c>
      <c r="AJ5" s="20">
        <v>4.4600000000000009</v>
      </c>
      <c r="AK5" s="35">
        <v>2.4277808833933192</v>
      </c>
      <c r="AL5" s="21">
        <f t="shared" ref="AL5:AL13" si="6">RANK(AI5,AI$4:AI$13,-1)</f>
        <v>10</v>
      </c>
      <c r="AM5" s="18">
        <f t="shared" si="3"/>
        <v>10</v>
      </c>
      <c r="AN5" s="22">
        <f t="shared" si="3"/>
        <v>10</v>
      </c>
    </row>
    <row r="6" spans="1:40" x14ac:dyDescent="0.3">
      <c r="A6">
        <v>58106516</v>
      </c>
      <c r="B6" t="s">
        <v>6</v>
      </c>
      <c r="C6" t="s">
        <v>7</v>
      </c>
      <c r="D6">
        <v>140</v>
      </c>
      <c r="E6" s="6">
        <v>375.57965999999999</v>
      </c>
      <c r="F6" s="4">
        <v>6.2394999999999999E-2</v>
      </c>
      <c r="G6" s="4">
        <v>-1.9350959999999999</v>
      </c>
      <c r="H6" s="4">
        <v>0</v>
      </c>
      <c r="I6" s="4">
        <v>0.65015979999999995</v>
      </c>
      <c r="J6" s="4">
        <v>1.4328006</v>
      </c>
      <c r="K6" s="4">
        <v>0.66189830000000005</v>
      </c>
      <c r="L6" s="4">
        <v>0</v>
      </c>
      <c r="M6" s="4">
        <v>0</v>
      </c>
      <c r="N6" s="4">
        <v>0</v>
      </c>
      <c r="O6" s="4">
        <v>1.4445532000000001</v>
      </c>
      <c r="P6" s="4">
        <v>0</v>
      </c>
      <c r="Q6" s="4">
        <v>0</v>
      </c>
      <c r="R6" s="4">
        <v>-6.0423819999999999</v>
      </c>
      <c r="S6" s="4">
        <v>0</v>
      </c>
      <c r="T6" s="4">
        <v>0</v>
      </c>
      <c r="U6" s="4">
        <v>-1.269193</v>
      </c>
      <c r="V6" s="4">
        <v>-0.87378800000000001</v>
      </c>
      <c r="W6" s="17" t="s">
        <v>7</v>
      </c>
      <c r="X6" s="33">
        <v>-3.9335560999999997</v>
      </c>
      <c r="Y6" s="20">
        <v>-2.8096829285714282</v>
      </c>
      <c r="Z6" s="35">
        <v>-1.0473293734809814</v>
      </c>
      <c r="AA6" s="19">
        <f t="shared" si="4"/>
        <v>8</v>
      </c>
      <c r="AB6" s="18">
        <f t="shared" si="4"/>
        <v>8</v>
      </c>
      <c r="AC6" s="22">
        <f t="shared" si="5"/>
        <v>8</v>
      </c>
      <c r="AD6" s="20">
        <f t="shared" si="0"/>
        <v>3.9335560999999997</v>
      </c>
      <c r="AE6" s="20">
        <f t="shared" si="1"/>
        <v>2.8096829285714282</v>
      </c>
      <c r="AF6" s="18">
        <f t="shared" si="2"/>
        <v>1.0473293734809814</v>
      </c>
      <c r="AG6" s="18"/>
      <c r="AH6" s="17" t="s">
        <v>7</v>
      </c>
      <c r="AI6" s="33">
        <v>0.51800000000000013</v>
      </c>
      <c r="AJ6" s="20">
        <v>0.37000000000000011</v>
      </c>
      <c r="AK6" s="35">
        <v>0.13792014189479807</v>
      </c>
      <c r="AL6" s="21">
        <f t="shared" si="6"/>
        <v>9</v>
      </c>
      <c r="AM6" s="18">
        <f t="shared" si="3"/>
        <v>8</v>
      </c>
      <c r="AN6" s="22">
        <f t="shared" si="3"/>
        <v>5</v>
      </c>
    </row>
    <row r="7" spans="1:40" x14ac:dyDescent="0.3">
      <c r="A7">
        <v>75216136</v>
      </c>
      <c r="B7" t="s">
        <v>10</v>
      </c>
      <c r="C7" t="s">
        <v>11</v>
      </c>
      <c r="D7">
        <v>85</v>
      </c>
      <c r="E7" s="6">
        <v>91.558048999999997</v>
      </c>
      <c r="F7" s="4">
        <v>0</v>
      </c>
      <c r="G7" s="4">
        <v>-0.14494499999999999</v>
      </c>
      <c r="H7" s="4">
        <v>0</v>
      </c>
      <c r="I7" s="4">
        <v>8.3470999999999997E-3</v>
      </c>
      <c r="J7" s="4">
        <v>1.0280445</v>
      </c>
      <c r="K7" s="4">
        <v>0.35892020000000002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-1.541363</v>
      </c>
      <c r="S7" s="4">
        <v>0</v>
      </c>
      <c r="T7" s="4">
        <v>0</v>
      </c>
      <c r="U7" s="4">
        <v>0</v>
      </c>
      <c r="V7" s="4">
        <v>-0.20438600000000001</v>
      </c>
      <c r="W7" s="17" t="s">
        <v>11</v>
      </c>
      <c r="X7" s="33">
        <v>-0.35043720000000006</v>
      </c>
      <c r="Y7" s="20">
        <v>-0.4122790588235295</v>
      </c>
      <c r="Z7" s="35">
        <v>-0.38274865380759704</v>
      </c>
      <c r="AA7" s="19">
        <f t="shared" si="4"/>
        <v>7</v>
      </c>
      <c r="AB7" s="18">
        <f t="shared" si="4"/>
        <v>7</v>
      </c>
      <c r="AC7" s="22">
        <f t="shared" si="5"/>
        <v>7</v>
      </c>
      <c r="AD7" s="20">
        <f t="shared" si="0"/>
        <v>0.35043720000000006</v>
      </c>
      <c r="AE7" s="20">
        <f t="shared" si="1"/>
        <v>0.4122790588235295</v>
      </c>
      <c r="AF7" s="18">
        <f t="shared" si="2"/>
        <v>0.38274865380759704</v>
      </c>
      <c r="AG7" s="18"/>
      <c r="AH7" s="17" t="s">
        <v>11</v>
      </c>
      <c r="AI7" s="33">
        <v>9.5200000000000021E-2</v>
      </c>
      <c r="AJ7" s="20">
        <v>0.11200000000000003</v>
      </c>
      <c r="AK7" s="35">
        <v>0.10397775077098904</v>
      </c>
      <c r="AL7" s="21">
        <f t="shared" si="6"/>
        <v>3</v>
      </c>
      <c r="AM7" s="18">
        <f t="shared" si="3"/>
        <v>3</v>
      </c>
      <c r="AN7" s="22">
        <f t="shared" si="3"/>
        <v>4</v>
      </c>
    </row>
    <row r="8" spans="1:40" x14ac:dyDescent="0.3">
      <c r="A8">
        <v>11431000</v>
      </c>
      <c r="B8" t="s">
        <v>2</v>
      </c>
      <c r="C8" t="s">
        <v>3</v>
      </c>
      <c r="D8">
        <v>170</v>
      </c>
      <c r="E8" s="6">
        <v>148.01903999999999</v>
      </c>
      <c r="F8" s="4">
        <v>2.2053099999999999E-2</v>
      </c>
      <c r="G8" s="4">
        <v>-1.0095019999999999</v>
      </c>
      <c r="H8" s="4">
        <v>0</v>
      </c>
      <c r="I8" s="4">
        <v>0.50074030000000003</v>
      </c>
      <c r="J8" s="4">
        <v>0</v>
      </c>
      <c r="K8" s="4">
        <v>4.3804599999999999E-2</v>
      </c>
      <c r="L8" s="4">
        <v>0</v>
      </c>
      <c r="M8" s="4">
        <v>0</v>
      </c>
      <c r="N8" s="4">
        <v>0.91726580000000002</v>
      </c>
      <c r="O8" s="4">
        <v>0</v>
      </c>
      <c r="P8" s="4">
        <v>0</v>
      </c>
      <c r="Q8" s="4">
        <v>0</v>
      </c>
      <c r="R8" s="4">
        <v>-0.550956</v>
      </c>
      <c r="S8" s="4">
        <v>0</v>
      </c>
      <c r="T8" s="4">
        <v>0</v>
      </c>
      <c r="U8" s="4">
        <v>0</v>
      </c>
      <c r="V8" s="4">
        <v>-0.142738</v>
      </c>
      <c r="W8" s="17" t="s">
        <v>3</v>
      </c>
      <c r="X8" s="33">
        <v>0.79016979999999992</v>
      </c>
      <c r="Y8" s="20">
        <v>0.46480576470588231</v>
      </c>
      <c r="Z8" s="35">
        <v>0.53382983702637177</v>
      </c>
      <c r="AA8" s="19">
        <f t="shared" si="4"/>
        <v>6</v>
      </c>
      <c r="AB8" s="18">
        <f t="shared" si="4"/>
        <v>6</v>
      </c>
      <c r="AC8" s="22">
        <f t="shared" si="5"/>
        <v>6</v>
      </c>
      <c r="AD8" s="20">
        <f t="shared" si="0"/>
        <v>-0.79016979999999992</v>
      </c>
      <c r="AE8" s="20">
        <f t="shared" si="1"/>
        <v>-0.46480576470588231</v>
      </c>
      <c r="AF8" s="18">
        <f t="shared" si="2"/>
        <v>-0.53382983702637177</v>
      </c>
      <c r="AG8" s="18"/>
      <c r="AH8" s="17" t="s">
        <v>3</v>
      </c>
      <c r="AI8" s="33">
        <v>0.36720000000000003</v>
      </c>
      <c r="AJ8" s="20">
        <v>0.216</v>
      </c>
      <c r="AK8" s="35">
        <v>0.24807619344106008</v>
      </c>
      <c r="AL8" s="21">
        <f t="shared" si="6"/>
        <v>7</v>
      </c>
      <c r="AM8" s="18">
        <f t="shared" si="3"/>
        <v>5</v>
      </c>
      <c r="AN8" s="22">
        <f t="shared" si="3"/>
        <v>8</v>
      </c>
    </row>
    <row r="9" spans="1:40" x14ac:dyDescent="0.3">
      <c r="A9">
        <v>26107140</v>
      </c>
      <c r="B9" t="s">
        <v>16</v>
      </c>
      <c r="C9" t="s">
        <v>17</v>
      </c>
      <c r="D9">
        <v>85</v>
      </c>
      <c r="E9" s="6">
        <v>177.62217999999999</v>
      </c>
      <c r="F9" s="4">
        <v>0</v>
      </c>
      <c r="G9" s="4">
        <v>-0.64343300000000003</v>
      </c>
      <c r="H9" s="4">
        <v>1.9349151</v>
      </c>
      <c r="I9" s="4">
        <v>7.2863600000000001E-2</v>
      </c>
      <c r="J9" s="4">
        <v>0.23461280000000001</v>
      </c>
      <c r="K9" s="4">
        <v>1.1506805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-2.1908159999999999</v>
      </c>
      <c r="S9" s="4">
        <v>0</v>
      </c>
      <c r="T9" s="4">
        <v>0</v>
      </c>
      <c r="U9" s="4">
        <v>0</v>
      </c>
      <c r="V9" s="4">
        <v>-0.180838</v>
      </c>
      <c r="W9" s="17" t="s">
        <v>17</v>
      </c>
      <c r="X9" s="33">
        <v>1.0214179999999997</v>
      </c>
      <c r="Y9" s="20">
        <v>1.2016682352941173</v>
      </c>
      <c r="Z9" s="35">
        <v>0.57505093113934291</v>
      </c>
      <c r="AA9" s="19">
        <f t="shared" si="4"/>
        <v>5</v>
      </c>
      <c r="AB9" s="18">
        <f t="shared" si="4"/>
        <v>5</v>
      </c>
      <c r="AC9" s="22">
        <f t="shared" si="5"/>
        <v>5</v>
      </c>
      <c r="AD9" s="20">
        <f t="shared" si="0"/>
        <v>-1.0214179999999997</v>
      </c>
      <c r="AE9" s="20">
        <f t="shared" si="1"/>
        <v>-1.2016682352941173</v>
      </c>
      <c r="AF9" s="18">
        <f t="shared" si="2"/>
        <v>-0.57505093113934291</v>
      </c>
      <c r="AG9" s="18"/>
      <c r="AH9" s="17" t="s">
        <v>17</v>
      </c>
      <c r="AI9" s="33">
        <v>0.29835</v>
      </c>
      <c r="AJ9" s="20">
        <v>0.35100000000000003</v>
      </c>
      <c r="AK9" s="35">
        <v>0.1679688876693215</v>
      </c>
      <c r="AL9" s="21">
        <f t="shared" si="6"/>
        <v>6</v>
      </c>
      <c r="AM9" s="18">
        <f t="shared" si="3"/>
        <v>6</v>
      </c>
      <c r="AN9" s="22">
        <f t="shared" si="3"/>
        <v>6</v>
      </c>
    </row>
    <row r="10" spans="1:40" x14ac:dyDescent="0.3">
      <c r="A10">
        <v>72201223</v>
      </c>
      <c r="B10" t="s">
        <v>8</v>
      </c>
      <c r="C10" t="s">
        <v>9</v>
      </c>
      <c r="D10">
        <v>85</v>
      </c>
      <c r="E10" s="6">
        <v>49.894368</v>
      </c>
      <c r="F10" s="4">
        <v>0.26623619999999998</v>
      </c>
      <c r="G10" s="4">
        <v>-0.12603900000000001</v>
      </c>
      <c r="H10" s="4">
        <v>0</v>
      </c>
      <c r="I10" s="4">
        <v>8.9192300000000002E-2</v>
      </c>
      <c r="J10" s="4">
        <v>0</v>
      </c>
      <c r="K10" s="4">
        <v>0.35775859999999998</v>
      </c>
      <c r="L10" s="4">
        <v>0</v>
      </c>
      <c r="M10" s="4">
        <v>0</v>
      </c>
      <c r="N10" s="4">
        <v>0</v>
      </c>
      <c r="O10" s="4">
        <v>3.5782826999999999</v>
      </c>
      <c r="P10" s="4">
        <v>0</v>
      </c>
      <c r="Q10" s="4">
        <v>0</v>
      </c>
      <c r="R10" s="4">
        <v>-1.7358260000000001</v>
      </c>
      <c r="S10" s="4">
        <v>0</v>
      </c>
      <c r="T10" s="4">
        <v>0</v>
      </c>
      <c r="U10" s="4">
        <v>0</v>
      </c>
      <c r="V10" s="4">
        <v>-1.9775999999999998E-2</v>
      </c>
      <c r="W10" s="17" t="s">
        <v>9</v>
      </c>
      <c r="X10" s="33">
        <v>2.5358677999999997</v>
      </c>
      <c r="Y10" s="20">
        <v>2.9833738823529408</v>
      </c>
      <c r="Z10" s="35">
        <v>5.0824730358344246</v>
      </c>
      <c r="AA10" s="19">
        <f t="shared" si="4"/>
        <v>4</v>
      </c>
      <c r="AB10" s="18">
        <f t="shared" si="4"/>
        <v>4</v>
      </c>
      <c r="AC10" s="22">
        <f t="shared" si="5"/>
        <v>4</v>
      </c>
      <c r="AD10" s="20">
        <f t="shared" si="0"/>
        <v>-2.5358677999999997</v>
      </c>
      <c r="AE10" s="20">
        <f t="shared" si="1"/>
        <v>-2.9833738823529408</v>
      </c>
      <c r="AF10" s="18">
        <f t="shared" si="2"/>
        <v>-5.0824730358344246</v>
      </c>
      <c r="AG10" s="18"/>
      <c r="AH10" s="17" t="s">
        <v>9</v>
      </c>
      <c r="AI10" s="33">
        <v>0.15385000000000001</v>
      </c>
      <c r="AJ10" s="20">
        <v>0.18100000000000002</v>
      </c>
      <c r="AK10" s="35">
        <v>0.30835143557685712</v>
      </c>
      <c r="AL10" s="21">
        <f t="shared" si="6"/>
        <v>5</v>
      </c>
      <c r="AM10" s="18">
        <f t="shared" si="3"/>
        <v>4</v>
      </c>
      <c r="AN10" s="22">
        <f t="shared" si="3"/>
        <v>9</v>
      </c>
    </row>
    <row r="11" spans="1:40" x14ac:dyDescent="0.3">
      <c r="A11">
        <v>41201020</v>
      </c>
      <c r="B11" t="s">
        <v>20</v>
      </c>
      <c r="C11" t="s">
        <v>21</v>
      </c>
      <c r="D11">
        <v>130</v>
      </c>
      <c r="E11" s="6">
        <v>122.2</v>
      </c>
      <c r="F11" s="4">
        <v>0.52386849999999996</v>
      </c>
      <c r="G11" s="4">
        <v>-2.9700000000000001E-2</v>
      </c>
      <c r="H11" s="4">
        <v>0</v>
      </c>
      <c r="I11" s="4">
        <v>0.1195874</v>
      </c>
      <c r="J11" s="4">
        <v>2.3520000000000001E-16</v>
      </c>
      <c r="K11" s="4">
        <v>5.0069900000000001E-2</v>
      </c>
      <c r="L11" s="4">
        <v>0</v>
      </c>
      <c r="M11" s="4">
        <v>9.4777989999999992</v>
      </c>
      <c r="N11" s="4">
        <v>0</v>
      </c>
      <c r="O11" s="4">
        <v>1.3884365000000001</v>
      </c>
      <c r="P11" s="4">
        <v>0</v>
      </c>
      <c r="Q11" s="4">
        <v>0</v>
      </c>
      <c r="R11" s="4">
        <v>-3.2575569999999998</v>
      </c>
      <c r="S11" s="4">
        <v>0</v>
      </c>
      <c r="T11" s="4">
        <v>0</v>
      </c>
      <c r="U11" s="4">
        <v>0</v>
      </c>
      <c r="V11" s="4">
        <v>0</v>
      </c>
      <c r="W11" s="17" t="s">
        <v>21</v>
      </c>
      <c r="X11" s="33">
        <v>8.3022042999999979</v>
      </c>
      <c r="Y11" s="20">
        <v>6.3863109999999983</v>
      </c>
      <c r="Z11" s="35">
        <v>6.7939478723404241</v>
      </c>
      <c r="AA11" s="19">
        <f t="shared" si="4"/>
        <v>3</v>
      </c>
      <c r="AB11" s="18">
        <f t="shared" si="4"/>
        <v>3</v>
      </c>
      <c r="AC11" s="22">
        <f t="shared" si="5"/>
        <v>3</v>
      </c>
      <c r="AD11" s="20">
        <f t="shared" si="0"/>
        <v>-8.3022042999999979</v>
      </c>
      <c r="AE11" s="20">
        <f t="shared" si="1"/>
        <v>-6.3863109999999983</v>
      </c>
      <c r="AF11" s="18">
        <f t="shared" si="2"/>
        <v>-6.7939478723404241</v>
      </c>
      <c r="AG11" s="18"/>
      <c r="AH11" s="17" t="s">
        <v>21</v>
      </c>
      <c r="AI11" s="33">
        <v>2.366E-2</v>
      </c>
      <c r="AJ11" s="20">
        <v>1.8200000000000001E-2</v>
      </c>
      <c r="AK11" s="35">
        <v>1.9361702127659572E-2</v>
      </c>
      <c r="AL11" s="21">
        <f t="shared" si="6"/>
        <v>1</v>
      </c>
      <c r="AM11" s="18">
        <f t="shared" si="3"/>
        <v>1</v>
      </c>
      <c r="AN11" s="22">
        <f t="shared" si="3"/>
        <v>1</v>
      </c>
    </row>
    <row r="12" spans="1:40" x14ac:dyDescent="0.3">
      <c r="A12">
        <v>63107010</v>
      </c>
      <c r="B12" t="s">
        <v>18</v>
      </c>
      <c r="C12" t="s">
        <v>19</v>
      </c>
      <c r="D12">
        <v>140</v>
      </c>
      <c r="E12" s="6">
        <v>124.6</v>
      </c>
      <c r="F12" s="4">
        <v>0.35776380000000002</v>
      </c>
      <c r="G12" s="4">
        <v>-5.0453999999999999E-2</v>
      </c>
      <c r="H12" s="4">
        <v>0</v>
      </c>
      <c r="I12" s="4">
        <v>1.89392E-2</v>
      </c>
      <c r="J12" s="4">
        <v>0</v>
      </c>
      <c r="K12" s="4">
        <v>3.25311E-2</v>
      </c>
      <c r="L12" s="4">
        <v>0</v>
      </c>
      <c r="M12" s="4">
        <v>0</v>
      </c>
      <c r="N12" s="4">
        <v>13.091943000000001</v>
      </c>
      <c r="O12" s="4">
        <v>0</v>
      </c>
      <c r="P12" s="4">
        <v>0</v>
      </c>
      <c r="Q12" s="4">
        <v>0</v>
      </c>
      <c r="R12" s="4">
        <v>-1.0227999999999999E-2</v>
      </c>
      <c r="S12" s="4">
        <v>0</v>
      </c>
      <c r="T12" s="4">
        <v>0</v>
      </c>
      <c r="U12" s="4">
        <v>0</v>
      </c>
      <c r="V12" s="4">
        <v>0</v>
      </c>
      <c r="W12" s="17" t="s">
        <v>19</v>
      </c>
      <c r="X12" s="33">
        <v>13.490949100000002</v>
      </c>
      <c r="Y12" s="20">
        <v>9.636392214285717</v>
      </c>
      <c r="Z12" s="35">
        <v>10.827406982343501</v>
      </c>
      <c r="AA12" s="19">
        <f t="shared" si="4"/>
        <v>2</v>
      </c>
      <c r="AB12" s="18">
        <f t="shared" si="4"/>
        <v>2</v>
      </c>
      <c r="AC12" s="22">
        <f t="shared" si="5"/>
        <v>2</v>
      </c>
      <c r="AD12" s="20">
        <f t="shared" si="0"/>
        <v>-13.490949100000002</v>
      </c>
      <c r="AE12" s="20">
        <f t="shared" si="1"/>
        <v>-9.636392214285717</v>
      </c>
      <c r="AF12" s="18">
        <f t="shared" si="2"/>
        <v>-10.827406982343501</v>
      </c>
      <c r="AG12" s="18"/>
      <c r="AH12" s="17" t="s">
        <v>19</v>
      </c>
      <c r="AI12" s="33">
        <v>2.7720000000000005E-2</v>
      </c>
      <c r="AJ12" s="20">
        <v>1.9800000000000005E-2</v>
      </c>
      <c r="AK12" s="35">
        <v>2.224719101123596E-2</v>
      </c>
      <c r="AL12" s="21">
        <f t="shared" si="6"/>
        <v>2</v>
      </c>
      <c r="AM12" s="18">
        <f t="shared" si="3"/>
        <v>2</v>
      </c>
      <c r="AN12" s="22">
        <f t="shared" si="3"/>
        <v>2</v>
      </c>
    </row>
    <row r="13" spans="1:40" x14ac:dyDescent="0.3">
      <c r="A13">
        <v>42114140</v>
      </c>
      <c r="B13" t="s">
        <v>4</v>
      </c>
      <c r="C13" t="s">
        <v>5</v>
      </c>
      <c r="D13">
        <v>30</v>
      </c>
      <c r="E13" s="6">
        <v>172.69544999999999</v>
      </c>
      <c r="F13" s="4">
        <v>0</v>
      </c>
      <c r="G13" s="4">
        <v>-0.56255599999999994</v>
      </c>
      <c r="H13" s="4">
        <v>0</v>
      </c>
      <c r="I13" s="4">
        <v>8.3609000000000003E-2</v>
      </c>
      <c r="J13" s="4">
        <v>1.5481400999999999</v>
      </c>
      <c r="K13" s="4">
        <v>1.3407996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-0.85370000000000001</v>
      </c>
      <c r="S13" s="4">
        <v>23.164383000000001</v>
      </c>
      <c r="T13" s="4">
        <v>0</v>
      </c>
      <c r="U13" s="4">
        <v>0</v>
      </c>
      <c r="V13" s="4">
        <v>-7.3740000000000003E-3</v>
      </c>
      <c r="W13" s="23" t="s">
        <v>5</v>
      </c>
      <c r="X13" s="34">
        <v>25.275857700000003</v>
      </c>
      <c r="Y13" s="26">
        <v>84.252859000000015</v>
      </c>
      <c r="Z13" s="36">
        <v>14.636087806598267</v>
      </c>
      <c r="AA13" s="25">
        <f t="shared" si="4"/>
        <v>1</v>
      </c>
      <c r="AB13" s="24">
        <f t="shared" si="4"/>
        <v>1</v>
      </c>
      <c r="AC13" s="28">
        <f t="shared" si="5"/>
        <v>1</v>
      </c>
      <c r="AD13" s="26">
        <f t="shared" si="0"/>
        <v>-25.275857700000003</v>
      </c>
      <c r="AE13" s="26">
        <f t="shared" si="1"/>
        <v>-84.252859000000015</v>
      </c>
      <c r="AF13" s="24">
        <f t="shared" si="2"/>
        <v>-14.636087806598267</v>
      </c>
      <c r="AG13" s="24"/>
      <c r="AH13" s="23" t="s">
        <v>5</v>
      </c>
      <c r="AI13" s="34">
        <v>0.1104</v>
      </c>
      <c r="AJ13" s="26">
        <v>0.36799999999999999</v>
      </c>
      <c r="AK13" s="36">
        <v>6.3927567286804599E-2</v>
      </c>
      <c r="AL13" s="27">
        <f t="shared" si="6"/>
        <v>4</v>
      </c>
      <c r="AM13" s="24">
        <f t="shared" si="3"/>
        <v>7</v>
      </c>
      <c r="AN13" s="28">
        <f t="shared" si="3"/>
        <v>3</v>
      </c>
    </row>
  </sheetData>
  <sortState ref="A4:AE13">
    <sortCondition ref="X4:X13"/>
  </sortState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activeCell="H34" sqref="H34"/>
    </sheetView>
  </sheetViews>
  <sheetFormatPr defaultRowHeight="14.4" x14ac:dyDescent="0.3"/>
  <cols>
    <col min="1" max="1" width="15.109375" customWidth="1"/>
  </cols>
  <sheetData>
    <row r="1" spans="1:13" x14ac:dyDescent="0.3">
      <c r="A1" s="1" t="s">
        <v>96</v>
      </c>
      <c r="D1" t="s">
        <v>97</v>
      </c>
    </row>
    <row r="2" spans="1:13" x14ac:dyDescent="0.3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 t="s">
        <v>109</v>
      </c>
    </row>
    <row r="3" spans="1:13" x14ac:dyDescent="0.3">
      <c r="A3" t="s">
        <v>110</v>
      </c>
      <c r="B3">
        <v>4</v>
      </c>
      <c r="C3">
        <v>8</v>
      </c>
      <c r="D3">
        <v>5</v>
      </c>
      <c r="E3">
        <v>3</v>
      </c>
      <c r="F3">
        <v>2</v>
      </c>
      <c r="G3">
        <v>9</v>
      </c>
      <c r="H3">
        <v>1</v>
      </c>
      <c r="I3">
        <v>10</v>
      </c>
      <c r="J3">
        <v>6</v>
      </c>
      <c r="K3">
        <v>7</v>
      </c>
      <c r="L3" s="5">
        <f>AVERAGE(ABS(B3-B$11),ABS(C3-C$11),ABS(D3-D$11),ABS(E3-E$11),ABS(F3-F$11),ABS(G3-G$11),ABS(H3-H$11),ABS(I3-I$11),ABS(J3-J$11),ABS(K3-K$11))</f>
        <v>0.8</v>
      </c>
    </row>
    <row r="4" spans="1:13" x14ac:dyDescent="0.3">
      <c r="A4" t="s">
        <v>111</v>
      </c>
      <c r="B4">
        <v>5</v>
      </c>
      <c r="C4">
        <v>6</v>
      </c>
      <c r="D4">
        <v>2</v>
      </c>
      <c r="E4">
        <v>1</v>
      </c>
      <c r="F4">
        <v>7</v>
      </c>
      <c r="G4">
        <v>9</v>
      </c>
      <c r="H4">
        <v>4</v>
      </c>
      <c r="I4">
        <v>8</v>
      </c>
      <c r="J4">
        <v>3</v>
      </c>
      <c r="K4">
        <v>5</v>
      </c>
      <c r="L4" s="5">
        <f>AVERAGE(ABS(B4-B$11),ABS(C4-C$11),ABS(D4-D$11),ABS(E4-E$11),ABS(F4-F$11),ABS(G4-G$11),ABS(H4-H$11),ABS(I4-I$11),ABS(J4-J$11),ABS(K4-K$11))</f>
        <v>2.1</v>
      </c>
    </row>
    <row r="5" spans="1:13" x14ac:dyDescent="0.3">
      <c r="A5" t="s">
        <v>112</v>
      </c>
      <c r="B5">
        <v>4</v>
      </c>
      <c r="C5">
        <v>7</v>
      </c>
      <c r="D5">
        <v>2</v>
      </c>
      <c r="E5">
        <v>1</v>
      </c>
      <c r="F5">
        <v>8</v>
      </c>
      <c r="G5">
        <v>9</v>
      </c>
      <c r="H5">
        <v>5</v>
      </c>
      <c r="I5">
        <v>10</v>
      </c>
      <c r="J5">
        <v>3</v>
      </c>
      <c r="K5">
        <v>6</v>
      </c>
      <c r="L5" s="5">
        <f>AVERAGE(ABS(B5-B$11),ABS(C5-C$11),ABS(D5-D$11),ABS(E5-E$11),ABS(F5-F$11),ABS(G5-G$11),ABS(H5-H$11),ABS(I5-I$11),ABS(J5-J$11),ABS(K5-K$11))</f>
        <v>1.8</v>
      </c>
    </row>
    <row r="6" spans="1:13" x14ac:dyDescent="0.3">
      <c r="A6" t="s">
        <v>113</v>
      </c>
      <c r="B6">
        <v>6</v>
      </c>
      <c r="C6">
        <v>4</v>
      </c>
      <c r="D6">
        <v>5</v>
      </c>
      <c r="E6">
        <v>9</v>
      </c>
      <c r="F6">
        <v>3</v>
      </c>
      <c r="G6">
        <v>1</v>
      </c>
      <c r="H6">
        <v>8</v>
      </c>
      <c r="I6">
        <v>2</v>
      </c>
      <c r="J6">
        <v>7</v>
      </c>
      <c r="K6">
        <v>6</v>
      </c>
      <c r="L6" s="5">
        <f>AVERAGE(ABS(B6-B$11),ABS(C6-C$11),ABS(D6-D$11),ABS(E6-E$11),ABS(F6-F$11),ABS(G6-G$11),ABS(H6-H$11),ABS(I6-I$11),ABS(J6-J$11),ABS(K6-K$11))</f>
        <v>4.2</v>
      </c>
      <c r="M6" t="s">
        <v>122</v>
      </c>
    </row>
    <row r="7" spans="1:13" x14ac:dyDescent="0.3">
      <c r="A7" t="s">
        <v>114</v>
      </c>
      <c r="B7">
        <v>7</v>
      </c>
      <c r="C7">
        <v>4</v>
      </c>
      <c r="D7">
        <v>6</v>
      </c>
      <c r="E7">
        <v>3</v>
      </c>
      <c r="F7">
        <v>8</v>
      </c>
      <c r="G7">
        <v>10</v>
      </c>
      <c r="H7">
        <v>1</v>
      </c>
      <c r="I7">
        <v>5</v>
      </c>
      <c r="J7">
        <v>2</v>
      </c>
      <c r="K7">
        <v>9</v>
      </c>
      <c r="L7" s="5">
        <f>AVERAGE(ABS(B7-B$11),ABS(C7-C$11),ABS(D7-D$11),ABS(E7-E$11),ABS(F7-F$11),ABS(G7-G$11),ABS(H7-H$11),ABS(I7-I$11),ABS(J7-J$11),ABS(K7-K$11))</f>
        <v>2.8</v>
      </c>
    </row>
    <row r="8" spans="1:13" x14ac:dyDescent="0.3">
      <c r="A8" t="s">
        <v>115</v>
      </c>
      <c r="B8">
        <v>5</v>
      </c>
      <c r="C8">
        <v>8</v>
      </c>
      <c r="D8">
        <v>3</v>
      </c>
      <c r="E8">
        <v>2</v>
      </c>
      <c r="F8">
        <v>9</v>
      </c>
      <c r="G8">
        <v>10</v>
      </c>
      <c r="H8">
        <v>4</v>
      </c>
      <c r="I8">
        <v>7</v>
      </c>
      <c r="J8">
        <v>1</v>
      </c>
      <c r="K8">
        <v>6</v>
      </c>
      <c r="L8" s="5">
        <f>AVERAGE(ABS(B8-B$11),ABS(C8-C$11),ABS(D8-D$11),ABS(E8-E$11),ABS(F8-F$11),ABS(G8-G$11),ABS(H8-H$11),ABS(I8-I$11),ABS(J8-J$11),ABS(K8-K$11))</f>
        <v>2.2000000000000002</v>
      </c>
    </row>
    <row r="9" spans="1:13" x14ac:dyDescent="0.3">
      <c r="A9" t="s">
        <v>116</v>
      </c>
      <c r="B9">
        <v>1</v>
      </c>
      <c r="C9">
        <v>9</v>
      </c>
      <c r="D9">
        <v>3</v>
      </c>
      <c r="E9">
        <v>2</v>
      </c>
      <c r="F9">
        <v>7</v>
      </c>
      <c r="G9">
        <v>8</v>
      </c>
      <c r="H9">
        <v>4</v>
      </c>
      <c r="I9">
        <v>10</v>
      </c>
      <c r="J9">
        <v>5</v>
      </c>
      <c r="K9">
        <v>6</v>
      </c>
      <c r="L9" s="5">
        <f>AVERAGE(ABS(B9-B$11),ABS(C9-C$11),ABS(D9-D$11),ABS(E9-E$11),ABS(F9-F$11),ABS(G9-G$11),ABS(H9-H$11),ABS(I9-I$11),ABS(J9-J$11),ABS(K9-K$11))</f>
        <v>1</v>
      </c>
    </row>
    <row r="10" spans="1:13" x14ac:dyDescent="0.3">
      <c r="L10" s="5"/>
    </row>
    <row r="11" spans="1:13" x14ac:dyDescent="0.3">
      <c r="A11" s="1" t="s">
        <v>117</v>
      </c>
      <c r="B11">
        <v>3</v>
      </c>
      <c r="C11">
        <v>9</v>
      </c>
      <c r="D11">
        <v>4</v>
      </c>
      <c r="E11">
        <v>2</v>
      </c>
      <c r="F11">
        <v>5</v>
      </c>
      <c r="G11">
        <v>8</v>
      </c>
      <c r="H11">
        <v>1</v>
      </c>
      <c r="I11">
        <v>10</v>
      </c>
      <c r="J11">
        <v>6</v>
      </c>
      <c r="K11">
        <v>7</v>
      </c>
      <c r="L11" s="5">
        <f>AVERAGE(L3:L9)</f>
        <v>2.1285714285714286</v>
      </c>
    </row>
    <row r="15" spans="1:13" x14ac:dyDescent="0.3">
      <c r="A15" s="1" t="s">
        <v>118</v>
      </c>
      <c r="D15" t="s">
        <v>119</v>
      </c>
    </row>
    <row r="16" spans="1:13" x14ac:dyDescent="0.3">
      <c r="A16" t="s">
        <v>98</v>
      </c>
      <c r="B16" t="str">
        <f>B2</f>
        <v>[Baked Beans]</v>
      </c>
      <c r="C16" t="str">
        <f>C2</f>
        <v>[Beef Steak (lean)]</v>
      </c>
      <c r="D16" t="str">
        <f>D2</f>
        <v>[Broccoli (cooked in oil)]</v>
      </c>
      <c r="E16" t="str">
        <f>E2</f>
        <v>[Fresh Banana]</v>
      </c>
      <c r="F16" t="str">
        <f>F2</f>
        <v>[Fried Coated Catfish]</v>
      </c>
      <c r="G16" t="str">
        <f>G2</f>
        <v>[Pepperoni Pizza, Thick Crust]</v>
      </c>
      <c r="H16" t="str">
        <f>H2</f>
        <v>[Pistachio nuts, salted]</v>
      </c>
      <c r="I16" t="str">
        <f>I2</f>
        <v>[Pork sausage]</v>
      </c>
      <c r="J16" t="str">
        <f>J2</f>
        <v>[Whole Milk Yogurt (3.25% fat) with Fruit]</v>
      </c>
      <c r="K16" t="str">
        <f>K2</f>
        <v>[Yellow Corn (cooked with margarine)]</v>
      </c>
    </row>
    <row r="17" spans="1:13" x14ac:dyDescent="0.3">
      <c r="A17" t="s">
        <v>120</v>
      </c>
      <c r="B17">
        <v>3</v>
      </c>
      <c r="C17">
        <v>10</v>
      </c>
      <c r="D17">
        <v>4</v>
      </c>
      <c r="E17">
        <v>2</v>
      </c>
      <c r="F17">
        <v>6</v>
      </c>
      <c r="G17">
        <v>8</v>
      </c>
      <c r="H17">
        <v>5</v>
      </c>
      <c r="I17">
        <v>9</v>
      </c>
      <c r="J17">
        <v>7</v>
      </c>
      <c r="K17">
        <v>1</v>
      </c>
      <c r="L17" s="5">
        <f>AVERAGE(ABS(B17-B$25),ABS(C17-C$25),ABS(D17-D$25),ABS(E17-E$25),ABS(F17-F$25),ABS(G17-G$25),ABS(H17-H$25),ABS(I17-I$25),ABS(J17-J$25),ABS(K17-K$25))</f>
        <v>0.8</v>
      </c>
    </row>
    <row r="18" spans="1:13" x14ac:dyDescent="0.3">
      <c r="A18" t="s">
        <v>111</v>
      </c>
      <c r="B18">
        <v>4</v>
      </c>
      <c r="C18">
        <v>9</v>
      </c>
      <c r="D18">
        <v>2</v>
      </c>
      <c r="E18">
        <v>1</v>
      </c>
      <c r="F18">
        <v>5</v>
      </c>
      <c r="G18">
        <v>7</v>
      </c>
      <c r="H18">
        <v>3</v>
      </c>
      <c r="I18">
        <v>8</v>
      </c>
      <c r="J18">
        <v>6</v>
      </c>
      <c r="K18">
        <v>4</v>
      </c>
      <c r="L18" s="5">
        <f>AVERAGE(ABS(B18-B$25),ABS(C18-C$25),ABS(D18-D$25),ABS(E18-E$25),ABS(F18-F$25),ABS(G18-G$25),ABS(H18-H$25),ABS(I18-I$25),ABS(J18-J$25),ABS(K18-K$25))</f>
        <v>1.4</v>
      </c>
    </row>
    <row r="19" spans="1:13" x14ac:dyDescent="0.3">
      <c r="A19" t="s">
        <v>112</v>
      </c>
      <c r="B19">
        <v>1</v>
      </c>
      <c r="C19">
        <v>7</v>
      </c>
      <c r="E19">
        <v>5</v>
      </c>
      <c r="F19">
        <v>6</v>
      </c>
      <c r="G19">
        <v>8</v>
      </c>
      <c r="H19">
        <v>4</v>
      </c>
      <c r="I19">
        <v>9</v>
      </c>
      <c r="J19">
        <v>3</v>
      </c>
      <c r="K19">
        <v>2</v>
      </c>
      <c r="L19" s="5">
        <f>AVERAGE(ABS(B19-B$25),ABS(C19-C$25),ABS(D19-D$25),ABS(E19-E$25),ABS(F19-F$25),ABS(G19-G$25),ABS(H19-H$25),ABS(I19-I$25),ABS(J19-J$25),ABS(K19-K$25))</f>
        <v>1.8</v>
      </c>
    </row>
    <row r="20" spans="1:13" x14ac:dyDescent="0.3">
      <c r="A20" t="s">
        <v>113</v>
      </c>
      <c r="B20">
        <v>7</v>
      </c>
      <c r="C20">
        <v>4</v>
      </c>
      <c r="D20">
        <v>4</v>
      </c>
      <c r="E20">
        <v>9</v>
      </c>
      <c r="F20">
        <v>4</v>
      </c>
      <c r="G20">
        <v>1</v>
      </c>
      <c r="H20">
        <v>7</v>
      </c>
      <c r="I20">
        <v>2</v>
      </c>
      <c r="J20">
        <v>6</v>
      </c>
      <c r="K20">
        <v>2</v>
      </c>
      <c r="L20" s="5">
        <f>AVERAGE(ABS(B20-B$25),ABS(C20-C$25),ABS(D20-D$25),ABS(E20-E$25),ABS(F20-F$25),ABS(G20-G$25),ABS(H20-H$25),ABS(I20-I$25),ABS(J20-J$25),ABS(K20-K$25))</f>
        <v>4.0999999999999996</v>
      </c>
      <c r="M20" t="s">
        <v>122</v>
      </c>
    </row>
    <row r="21" spans="1:13" x14ac:dyDescent="0.3">
      <c r="A21" t="s">
        <v>114</v>
      </c>
      <c r="L21" s="5">
        <f>AVERAGE(ABS(B21-B$25),ABS(C21-C$25),ABS(D21-D$25),ABS(E21-E$25),ABS(F21-F$25),ABS(G21-G$25),ABS(H21-H$25),ABS(I21-I$25),ABS(J21-J$25),ABS(K21-K$25))</f>
        <v>5.5</v>
      </c>
    </row>
    <row r="22" spans="1:13" x14ac:dyDescent="0.3">
      <c r="A22" t="s">
        <v>115</v>
      </c>
      <c r="L22" s="5">
        <f>AVERAGE(ABS(B22-B$25),ABS(C22-C$25),ABS(D22-D$25),ABS(E22-E$25),ABS(F22-F$25),ABS(G22-G$25),ABS(H22-H$25),ABS(I22-I$25),ABS(J22-J$25),ABS(K22-K$25))</f>
        <v>5.5</v>
      </c>
    </row>
    <row r="23" spans="1:13" x14ac:dyDescent="0.3">
      <c r="A23" t="s">
        <v>116</v>
      </c>
      <c r="L23" s="5">
        <f>AVERAGE(ABS(B23-B$25),ABS(C23-C$25),ABS(D23-D$25),ABS(E23-E$25),ABS(F23-F$25),ABS(G23-G$25),ABS(H23-H$25),ABS(I23-I$25),ABS(J23-J$25),ABS(K23-K$25))</f>
        <v>5.5</v>
      </c>
    </row>
    <row r="25" spans="1:13" x14ac:dyDescent="0.3">
      <c r="A25" s="1" t="s">
        <v>121</v>
      </c>
      <c r="B25">
        <v>1</v>
      </c>
      <c r="C25">
        <v>10</v>
      </c>
      <c r="D25">
        <v>5</v>
      </c>
      <c r="E25">
        <v>2</v>
      </c>
      <c r="F25">
        <v>6</v>
      </c>
      <c r="G25">
        <v>9</v>
      </c>
      <c r="H25">
        <v>4</v>
      </c>
      <c r="I25">
        <v>8</v>
      </c>
      <c r="J25">
        <v>7</v>
      </c>
      <c r="K25">
        <v>3</v>
      </c>
      <c r="L25" s="5">
        <f>AVERAGE(L17:L23)</f>
        <v>3.5142857142857147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 GBD profiles</vt:lpstr>
      <vt:lpstr>HENI by risk &amp; carbon footp. </vt:lpstr>
      <vt:lpstr>Initial ranking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Stylianou</dc:creator>
  <cp:lastModifiedBy>Olivier Jolliet</cp:lastModifiedBy>
  <dcterms:created xsi:type="dcterms:W3CDTF">2020-09-08T22:46:46Z</dcterms:created>
  <dcterms:modified xsi:type="dcterms:W3CDTF">2020-11-20T03:18:07Z</dcterms:modified>
</cp:coreProperties>
</file>