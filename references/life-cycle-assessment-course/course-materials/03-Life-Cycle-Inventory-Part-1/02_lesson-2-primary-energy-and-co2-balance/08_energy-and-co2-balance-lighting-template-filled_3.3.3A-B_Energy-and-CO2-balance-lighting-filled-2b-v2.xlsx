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cr.UMROOT\Downloads\"/>
    </mc:Choice>
  </mc:AlternateContent>
  <xr:revisionPtr revIDLastSave="0" documentId="8_{C50324FF-5185-4512-8E0E-EB94CE57C2D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Incandescent bulb lighting" sheetId="1" r:id="rId1"/>
    <sheet name="Tungsten coi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  <c r="H13" i="1"/>
  <c r="H3" i="1"/>
  <c r="J3" i="1" s="1"/>
  <c r="H4" i="1"/>
  <c r="A4" i="2"/>
  <c r="E4" i="2" s="1"/>
  <c r="F4" i="2" s="1"/>
  <c r="G4" i="2" s="1"/>
  <c r="H15" i="1"/>
  <c r="J15" i="1" s="1"/>
  <c r="E15" i="1"/>
  <c r="B15" i="1"/>
  <c r="J13" i="1"/>
  <c r="H11" i="1"/>
  <c r="J11" i="1" s="1"/>
  <c r="E11" i="1"/>
  <c r="H10" i="1"/>
  <c r="J10" i="1" s="1"/>
  <c r="E10" i="1"/>
  <c r="G8" i="1"/>
  <c r="H8" i="1" s="1"/>
  <c r="E8" i="1"/>
  <c r="H6" i="1"/>
  <c r="J6" i="1" s="1"/>
  <c r="E6" i="1"/>
  <c r="H5" i="1"/>
  <c r="J5" i="1" s="1"/>
  <c r="E5" i="1"/>
  <c r="B5" i="1"/>
  <c r="B16" i="1" s="1"/>
  <c r="E4" i="1"/>
  <c r="B4" i="1"/>
  <c r="E3" i="1"/>
  <c r="J4" i="1" l="1"/>
  <c r="J8" i="1"/>
  <c r="F10" i="1"/>
  <c r="H16" i="1"/>
  <c r="E16" i="1"/>
  <c r="H18" i="1"/>
  <c r="I5" i="1" s="1"/>
  <c r="F4" i="1"/>
  <c r="E18" i="1"/>
  <c r="F3" i="1" s="1"/>
  <c r="I4" i="1" l="1"/>
  <c r="I15" i="1"/>
  <c r="F15" i="1"/>
  <c r="I10" i="1"/>
  <c r="F16" i="1"/>
  <c r="F8" i="1"/>
  <c r="I11" i="1"/>
  <c r="I6" i="1"/>
  <c r="J18" i="1"/>
  <c r="I8" i="1"/>
  <c r="I3" i="1"/>
  <c r="F11" i="1"/>
  <c r="F6" i="1"/>
  <c r="I16" i="1"/>
  <c r="J16" i="1"/>
  <c r="F13" i="1"/>
  <c r="I13" i="1"/>
  <c r="F5" i="1"/>
</calcChain>
</file>

<file path=xl/sharedStrings.xml><?xml version="1.0" encoding="utf-8"?>
<sst xmlns="http://schemas.openxmlformats.org/spreadsheetml/2006/main" count="53" uniqueCount="44">
  <si>
    <t>Life Cycle stage</t>
  </si>
  <si>
    <t>Quantity per FU = per 800 lumen over 5,000 hours</t>
  </si>
  <si>
    <t>Unit</t>
  </si>
  <si>
    <t>Energy/Unit  [MJ/Unit]</t>
  </si>
  <si>
    <t>Energy per FU [MJ/FU]</t>
  </si>
  <si>
    <t>fraction</t>
  </si>
  <si>
    <r>
      <rPr>
        <sz val="16"/>
        <color rgb="FF000000"/>
        <rFont val="Arial"/>
        <family val="2"/>
        <charset val="1"/>
      </rPr>
      <t>CO</t>
    </r>
    <r>
      <rPr>
        <vertAlign val="subscript"/>
        <sz val="16"/>
        <color rgb="FF000000"/>
        <rFont val="Arial"/>
        <family val="2"/>
        <charset val="1"/>
      </rPr>
      <t>2</t>
    </r>
    <r>
      <rPr>
        <sz val="16"/>
        <color rgb="FF000000"/>
        <rFont val="Arial"/>
        <family val="2"/>
        <charset val="1"/>
      </rPr>
      <t>/Unit [kg/unit]</t>
    </r>
  </si>
  <si>
    <r>
      <rPr>
        <sz val="16"/>
        <color rgb="FF000000"/>
        <rFont val="Arial"/>
        <family val="2"/>
        <charset val="1"/>
      </rPr>
      <t>CO</t>
    </r>
    <r>
      <rPr>
        <vertAlign val="subscript"/>
        <sz val="16"/>
        <color rgb="FF000000"/>
        <rFont val="Arial"/>
        <family val="2"/>
        <charset val="1"/>
      </rPr>
      <t>2</t>
    </r>
    <r>
      <rPr>
        <sz val="16"/>
        <color rgb="FF000000"/>
        <rFont val="Arial"/>
        <family val="2"/>
        <charset val="1"/>
      </rPr>
      <t>/FU     [kg/FU]</t>
    </r>
  </si>
  <si>
    <t>fraction2</t>
  </si>
  <si>
    <r>
      <rPr>
        <sz val="16"/>
        <color rgb="FF000000"/>
        <rFont val="Arial"/>
        <family val="2"/>
        <charset val="1"/>
      </rPr>
      <t>Check g CO</t>
    </r>
    <r>
      <rPr>
        <vertAlign val="subscript"/>
        <sz val="16"/>
        <color rgb="FF000000"/>
        <rFont val="Arial"/>
        <family val="2"/>
        <charset val="1"/>
      </rPr>
      <t>2</t>
    </r>
    <r>
      <rPr>
        <sz val="16"/>
        <color rgb="FF000000"/>
        <rFont val="Arial"/>
        <family val="2"/>
        <charset val="1"/>
      </rPr>
      <t>/MJ</t>
    </r>
  </si>
  <si>
    <t>Materials</t>
  </si>
  <si>
    <t>Glass (20g/bulb)</t>
  </si>
  <si>
    <t>kg</t>
  </si>
  <si>
    <t>Aluminum (15g/bulb)</t>
  </si>
  <si>
    <t>Tungsten (0.7g/bulb)</t>
  </si>
  <si>
    <t>Packaging (10g/bulb)</t>
  </si>
  <si>
    <t>Processing</t>
  </si>
  <si>
    <t>Bulb manufacturing</t>
  </si>
  <si>
    <t>bulb</t>
  </si>
  <si>
    <t>Transportation bulb + packaging</t>
  </si>
  <si>
    <t>Truck 3200 km</t>
  </si>
  <si>
    <t>t.km</t>
  </si>
  <si>
    <t>Freight 10000 km</t>
  </si>
  <si>
    <t>Use phase</t>
  </si>
  <si>
    <t>Electricity lighting</t>
  </si>
  <si>
    <t>kWh</t>
  </si>
  <si>
    <t>Disposal</t>
  </si>
  <si>
    <t>Packaging</t>
  </si>
  <si>
    <t>Bulb</t>
  </si>
  <si>
    <t>Total</t>
  </si>
  <si>
    <t>kg/t conversion factor</t>
  </si>
  <si>
    <t>g/kg</t>
  </si>
  <si>
    <t>Tungsten coil</t>
  </si>
  <si>
    <t>Density</t>
  </si>
  <si>
    <t>Length</t>
  </si>
  <si>
    <t>diameter</t>
  </si>
  <si>
    <t>Volume</t>
  </si>
  <si>
    <t>Weight</t>
  </si>
  <si>
    <t>Final weight per bulb</t>
  </si>
  <si>
    <t>Pi</t>
  </si>
  <si>
    <t>kg/m3</t>
  </si>
  <si>
    <t>m</t>
  </si>
  <si>
    <t>m3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</si>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</sst>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vertAlign val="subscript"/>
      <sz val="16"/>
      <color rgb="FF000000"/>
      <name val="Arial"/>
      <family val="2"/>
      <charset val="1"/>
    </font>
    <font>
      <sz val="16"/>
      <color rgb="FFFF0000"/>
      <name val="Arial"/>
      <family val="2"/>
      <charset val="1"/>
    </font>
    <font>
      <sz val="16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BE5D6"/>
        <bgColor rgb="FFFFFFFF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" fontId="1" fillId="0" borderId="5" xfId="0" applyNumberFormat="1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6" xfId="0" applyFont="1" applyFill="1" applyBorder="1"/>
    <xf numFmtId="0" fontId="3" fillId="2" borderId="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1" fontId="3" fillId="2" borderId="9" xfId="0" applyNumberFormat="1" applyFont="1" applyFill="1" applyBorder="1"/>
    <xf numFmtId="0" fontId="1" fillId="0" borderId="6" xfId="0" applyFont="1" applyBorder="1"/>
    <xf numFmtId="0" fontId="1" fillId="3" borderId="0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8" totalsRowShown="0">
  <autoFilter ref="A1:J18" xr:uid="{00000000-0009-0000-0100-000001000000}"/>
  <tableColumns count="10">
    <tableColumn id="1" xr3:uid="{00000000-0010-0000-0000-000001000000}" name="Life Cycle stage"/>
    <tableColumn id="2" xr3:uid="{00000000-0010-0000-0000-000002000000}" name="Quantity per FU = per 800 lumen over 5,000 hours"/>
    <tableColumn id="3" xr3:uid="{00000000-0010-0000-0000-000003000000}" name="Unit"/>
    <tableColumn id="4" xr3:uid="{00000000-0010-0000-0000-000004000000}" name="Energy/Unit  [MJ/Unit]"/>
    <tableColumn id="5" xr3:uid="{00000000-0010-0000-0000-000005000000}" name="Energy per FU [MJ/FU]"/>
    <tableColumn id="6" xr3:uid="{00000000-0010-0000-0000-000006000000}" name="fraction"/>
    <tableColumn id="7" xr3:uid="{00000000-0010-0000-0000-000007000000}" name="CO2/Unit [kg/unit]"/>
    <tableColumn id="8" xr3:uid="{00000000-0010-0000-0000-000008000000}" name="CO2/FU     [kg/FU]"/>
    <tableColumn id="9" xr3:uid="{00000000-0010-0000-0000-000009000000}" name="fraction2"/>
    <tableColumn id="10" xr3:uid="{00000000-0010-0000-0000-00000A000000}" name="Check g CO2/MJ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1"/>
  <sheetViews>
    <sheetView tabSelected="1" zoomScale="90" zoomScaleNormal="90" workbookViewId="0">
      <selection activeCell="H3" sqref="H3"/>
    </sheetView>
  </sheetViews>
  <sheetFormatPr defaultColWidth="30.6640625" defaultRowHeight="20.399999999999999" x14ac:dyDescent="0.35"/>
  <cols>
    <col min="1" max="1" width="46.33203125" style="1" customWidth="1"/>
    <col min="2" max="2" width="27.33203125" style="1" customWidth="1"/>
    <col min="3" max="3" width="13.33203125" style="1" customWidth="1"/>
    <col min="4" max="4" width="18" style="1" customWidth="1"/>
    <col min="5" max="5" width="17" style="1" customWidth="1"/>
    <col min="6" max="6" width="12.44140625" style="1" customWidth="1"/>
    <col min="7" max="7" width="19" style="1" customWidth="1"/>
    <col min="8" max="8" width="25.33203125" style="1" customWidth="1"/>
    <col min="9" max="9" width="13.33203125" style="1" customWidth="1"/>
    <col min="10" max="10" width="16.77734375" style="2" customWidth="1"/>
    <col min="11" max="1024" width="30.6640625" style="1"/>
  </cols>
  <sheetData>
    <row r="1" spans="1:10" s="10" customFormat="1" ht="63" customHeight="1" x14ac:dyDescent="0.3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9" t="s">
        <v>9</v>
      </c>
    </row>
    <row r="2" spans="1:10" x14ac:dyDescent="0.35">
      <c r="A2" s="11" t="s">
        <v>10</v>
      </c>
      <c r="B2" s="12"/>
      <c r="C2" s="13"/>
      <c r="D2" s="12"/>
      <c r="E2" s="13"/>
      <c r="F2" s="14"/>
      <c r="G2" s="12"/>
      <c r="H2" s="12"/>
      <c r="I2" s="14"/>
      <c r="J2" s="15"/>
    </row>
    <row r="3" spans="1:10" x14ac:dyDescent="0.35">
      <c r="A3" s="16" t="s">
        <v>11</v>
      </c>
      <c r="B3" s="17">
        <v>0.1</v>
      </c>
      <c r="C3" s="18" t="s">
        <v>12</v>
      </c>
      <c r="D3" s="17">
        <v>11.5</v>
      </c>
      <c r="E3" s="19">
        <f>B3*D3</f>
        <v>1.1500000000000001</v>
      </c>
      <c r="F3" s="20">
        <f>E3/E$18</f>
        <v>3.1515770566270041E-4</v>
      </c>
      <c r="G3" s="21">
        <v>0.63</v>
      </c>
      <c r="H3" s="17">
        <f t="shared" ref="H3:H4" si="0">G3*$B3</f>
        <v>6.3E-2</v>
      </c>
      <c r="I3" s="22">
        <f>H3/H$18</f>
        <v>2.9422221956955201E-4</v>
      </c>
      <c r="J3" s="23">
        <f>H3/E3*$B$20</f>
        <v>54.782608695652172</v>
      </c>
    </row>
    <row r="4" spans="1:10" x14ac:dyDescent="0.35">
      <c r="A4" s="16" t="s">
        <v>13</v>
      </c>
      <c r="B4" s="21">
        <f>0.015*5</f>
        <v>7.4999999999999997E-2</v>
      </c>
      <c r="C4" s="18" t="s">
        <v>12</v>
      </c>
      <c r="D4" s="21">
        <v>160</v>
      </c>
      <c r="E4" s="18">
        <f>D4*$B4</f>
        <v>12</v>
      </c>
      <c r="F4" s="22">
        <f>E4/E$18</f>
        <v>3.2886021460455691E-3</v>
      </c>
      <c r="G4" s="21">
        <v>9.5</v>
      </c>
      <c r="H4" s="21">
        <f t="shared" si="0"/>
        <v>0.71250000000000002</v>
      </c>
      <c r="I4" s="22">
        <f>H4/H$18</f>
        <v>3.3275131975127911E-3</v>
      </c>
      <c r="J4" s="23">
        <f>H4/E4*$B$20</f>
        <v>59.375000000000007</v>
      </c>
    </row>
    <row r="5" spans="1:10" x14ac:dyDescent="0.35">
      <c r="A5" s="16" t="s">
        <v>14</v>
      </c>
      <c r="B5" s="21">
        <f>0.0007*5</f>
        <v>3.5000000000000001E-3</v>
      </c>
      <c r="C5" s="18" t="s">
        <v>12</v>
      </c>
      <c r="D5" s="21">
        <v>133</v>
      </c>
      <c r="E5" s="24">
        <f>D5*$B5</f>
        <v>0.46550000000000002</v>
      </c>
      <c r="F5" s="22">
        <f>E5/E$18</f>
        <v>1.2757035824868438E-4</v>
      </c>
      <c r="G5" s="21">
        <v>12.6</v>
      </c>
      <c r="H5" s="21">
        <f>G5*$B5</f>
        <v>4.41E-2</v>
      </c>
      <c r="I5" s="22">
        <f>H5/H$18</f>
        <v>2.0595555369868642E-4</v>
      </c>
      <c r="J5" s="23">
        <f>H5/E5*$B$20</f>
        <v>94.73684210526315</v>
      </c>
    </row>
    <row r="6" spans="1:10" x14ac:dyDescent="0.35">
      <c r="A6" s="16" t="s">
        <v>15</v>
      </c>
      <c r="B6" s="25">
        <v>0.05</v>
      </c>
      <c r="C6" s="18" t="s">
        <v>12</v>
      </c>
      <c r="D6" s="17">
        <v>20</v>
      </c>
      <c r="E6" s="24">
        <f>D6*$B6</f>
        <v>1</v>
      </c>
      <c r="F6" s="22">
        <f>E6/E$18</f>
        <v>2.7405017883713078E-4</v>
      </c>
      <c r="G6" s="21">
        <v>1</v>
      </c>
      <c r="H6" s="21">
        <f>G6*$B6</f>
        <v>0.05</v>
      </c>
      <c r="I6" s="22">
        <f>H6/H$18</f>
        <v>2.3350969807107305E-4</v>
      </c>
      <c r="J6" s="23">
        <f>H6/E6*$B$20</f>
        <v>50</v>
      </c>
    </row>
    <row r="7" spans="1:10" x14ac:dyDescent="0.35">
      <c r="A7" s="11" t="s">
        <v>16</v>
      </c>
      <c r="B7" s="26"/>
      <c r="C7" s="27"/>
      <c r="D7" s="26"/>
      <c r="E7" s="27"/>
      <c r="F7" s="28"/>
      <c r="G7" s="26"/>
      <c r="H7" s="26"/>
      <c r="I7" s="28"/>
      <c r="J7" s="29"/>
    </row>
    <row r="8" spans="1:10" x14ac:dyDescent="0.35">
      <c r="A8" s="16" t="s">
        <v>17</v>
      </c>
      <c r="B8" s="21">
        <v>5</v>
      </c>
      <c r="C8" s="18" t="s">
        <v>18</v>
      </c>
      <c r="D8" s="21">
        <v>0.38</v>
      </c>
      <c r="E8" s="18">
        <f>D8*$B8</f>
        <v>1.9</v>
      </c>
      <c r="F8" s="22">
        <f>E8/E$18</f>
        <v>5.206953397905484E-4</v>
      </c>
      <c r="G8" s="21">
        <f>D8*0.06</f>
        <v>2.2800000000000001E-2</v>
      </c>
      <c r="H8" s="21">
        <f>G8*$B8</f>
        <v>0.114</v>
      </c>
      <c r="I8" s="22">
        <f>H8/H$18</f>
        <v>5.3240211160204658E-4</v>
      </c>
      <c r="J8" s="23">
        <f>H8/E8*$B$20</f>
        <v>60.000000000000007</v>
      </c>
    </row>
    <row r="9" spans="1:10" x14ac:dyDescent="0.35">
      <c r="A9" s="11" t="s">
        <v>19</v>
      </c>
      <c r="B9" s="26"/>
      <c r="C9" s="27"/>
      <c r="D9" s="26"/>
      <c r="E9" s="27"/>
      <c r="F9" s="28"/>
      <c r="G9" s="26"/>
      <c r="H9" s="26"/>
      <c r="I9" s="28"/>
      <c r="J9" s="29"/>
    </row>
    <row r="10" spans="1:10" x14ac:dyDescent="0.35">
      <c r="A10" s="16" t="s">
        <v>20</v>
      </c>
      <c r="B10" s="17">
        <v>0.73099999999999998</v>
      </c>
      <c r="C10" s="18" t="s">
        <v>21</v>
      </c>
      <c r="D10" s="17">
        <v>2.6</v>
      </c>
      <c r="E10" s="24">
        <f>D10*$B10</f>
        <v>1.9006000000000001</v>
      </c>
      <c r="F10" s="22">
        <f>E10/E$18</f>
        <v>5.208597698978508E-4</v>
      </c>
      <c r="G10" s="17">
        <v>0.15</v>
      </c>
      <c r="H10" s="21">
        <f>G10*$B10</f>
        <v>0.10965</v>
      </c>
      <c r="I10" s="22">
        <f>H10/H$18</f>
        <v>5.1208676786986321E-4</v>
      </c>
      <c r="J10" s="23">
        <f>H10/E10*$B$20</f>
        <v>57.692307692307686</v>
      </c>
    </row>
    <row r="11" spans="1:10" x14ac:dyDescent="0.35">
      <c r="A11" s="16" t="s">
        <v>22</v>
      </c>
      <c r="B11" s="17">
        <v>2.2850000000000001</v>
      </c>
      <c r="C11" s="18" t="s">
        <v>21</v>
      </c>
      <c r="D11" s="17">
        <v>0.17</v>
      </c>
      <c r="E11" s="24">
        <f>D11*$B11</f>
        <v>0.38845000000000007</v>
      </c>
      <c r="F11" s="22">
        <f>E11/E$18</f>
        <v>1.0645479196928347E-4</v>
      </c>
      <c r="G11" s="17">
        <v>1.04E-2</v>
      </c>
      <c r="H11" s="21">
        <f>G11*$B11</f>
        <v>2.3764E-2</v>
      </c>
      <c r="I11" s="22">
        <f>H11/H$18</f>
        <v>1.1098248929921959E-4</v>
      </c>
      <c r="J11" s="23">
        <f>H11/E11*$B$20</f>
        <v>61.176470588235283</v>
      </c>
    </row>
    <row r="12" spans="1:10" x14ac:dyDescent="0.35">
      <c r="A12" s="11" t="s">
        <v>23</v>
      </c>
      <c r="B12" s="26"/>
      <c r="C12" s="27"/>
      <c r="D12" s="26"/>
      <c r="E12" s="27"/>
      <c r="F12" s="28"/>
      <c r="G12" s="26"/>
      <c r="H12" s="26"/>
      <c r="I12" s="28"/>
      <c r="J12" s="29"/>
    </row>
    <row r="13" spans="1:10" ht="21" x14ac:dyDescent="0.4">
      <c r="A13" s="16" t="s">
        <v>24</v>
      </c>
      <c r="B13" s="17">
        <v>300</v>
      </c>
      <c r="C13" s="18" t="s">
        <v>25</v>
      </c>
      <c r="D13" s="21">
        <v>12.1</v>
      </c>
      <c r="E13" s="30">
        <f>B13*D13</f>
        <v>3630</v>
      </c>
      <c r="F13" s="31">
        <f>E13/E$18</f>
        <v>0.99480214917878473</v>
      </c>
      <c r="G13" s="21">
        <v>0.71</v>
      </c>
      <c r="H13" s="17">
        <f>G13*B13</f>
        <v>213</v>
      </c>
      <c r="I13" s="32">
        <f>H13/H$18</f>
        <v>0.99475131378277115</v>
      </c>
      <c r="J13" s="23">
        <f>H13/E13*$B$20</f>
        <v>58.67768595041322</v>
      </c>
    </row>
    <row r="14" spans="1:10" x14ac:dyDescent="0.35">
      <c r="A14" s="11" t="s">
        <v>26</v>
      </c>
      <c r="B14" s="26"/>
      <c r="C14" s="27"/>
      <c r="D14" s="26"/>
      <c r="E14" s="27"/>
      <c r="F14" s="28"/>
      <c r="G14" s="26"/>
      <c r="H14" s="26"/>
      <c r="I14" s="28"/>
      <c r="J14" s="29"/>
    </row>
    <row r="15" spans="1:10" x14ac:dyDescent="0.35">
      <c r="A15" s="16" t="s">
        <v>27</v>
      </c>
      <c r="B15" s="21">
        <f>B6</f>
        <v>0.05</v>
      </c>
      <c r="C15" s="18" t="s">
        <v>12</v>
      </c>
      <c r="D15" s="21">
        <v>0.71</v>
      </c>
      <c r="E15" s="18">
        <f>D15*$B15</f>
        <v>3.5499999999999997E-2</v>
      </c>
      <c r="F15" s="22">
        <f>E15/E$18</f>
        <v>9.7287813487181421E-6</v>
      </c>
      <c r="G15" s="21">
        <v>0.03</v>
      </c>
      <c r="H15" s="21">
        <f>G15*$B15</f>
        <v>1.5E-3</v>
      </c>
      <c r="I15" s="22">
        <f>H15/H$18</f>
        <v>7.0052909421321914E-6</v>
      </c>
      <c r="J15" s="23">
        <f>H15/E15*$B$20</f>
        <v>42.253521126760567</v>
      </c>
    </row>
    <row r="16" spans="1:10" x14ac:dyDescent="0.35">
      <c r="A16" s="33" t="s">
        <v>28</v>
      </c>
      <c r="B16" s="34">
        <f>B3+B5+B4</f>
        <v>0.17849999999999999</v>
      </c>
      <c r="C16" s="35" t="s">
        <v>12</v>
      </c>
      <c r="D16" s="36">
        <v>0.71</v>
      </c>
      <c r="E16" s="35">
        <f>D16*$B16</f>
        <v>0.12673499999999999</v>
      </c>
      <c r="F16" s="37">
        <f>E16/E$18</f>
        <v>3.4731749414923764E-5</v>
      </c>
      <c r="G16" s="34">
        <v>0.03</v>
      </c>
      <c r="H16" s="35">
        <f>G16*$B16</f>
        <v>5.3549999999999995E-3</v>
      </c>
      <c r="I16" s="37">
        <f>H16/H$18</f>
        <v>2.5008888663411919E-5</v>
      </c>
      <c r="J16" s="38">
        <f>H16/E16*$B$20</f>
        <v>42.25352112676056</v>
      </c>
    </row>
    <row r="17" spans="1:10" x14ac:dyDescent="0.35">
      <c r="A17" s="11" t="s">
        <v>29</v>
      </c>
      <c r="B17" s="26"/>
      <c r="C17" s="27"/>
      <c r="D17" s="26"/>
      <c r="E17" s="27"/>
      <c r="F17" s="28"/>
      <c r="G17" s="26"/>
      <c r="H17" s="26"/>
      <c r="I17" s="28"/>
      <c r="J17" s="29"/>
    </row>
    <row r="18" spans="1:10" ht="21" x14ac:dyDescent="0.4">
      <c r="A18" s="16" t="s">
        <v>29</v>
      </c>
      <c r="B18" s="21"/>
      <c r="C18" s="18"/>
      <c r="D18" s="21"/>
      <c r="E18" s="39">
        <f>SUM(E3:E16)</f>
        <v>3648.9667849999996</v>
      </c>
      <c r="F18" s="40"/>
      <c r="G18" s="41"/>
      <c r="H18" s="42">
        <f>SUM(H3:H16)</f>
        <v>214.12386900000001</v>
      </c>
      <c r="I18" s="40"/>
      <c r="J18" s="23">
        <f>H18/E18*$B$20</f>
        <v>58.680684592748371</v>
      </c>
    </row>
    <row r="19" spans="1:10" x14ac:dyDescent="0.35">
      <c r="A19" s="1" t="s">
        <v>30</v>
      </c>
      <c r="B19" s="43">
        <v>1000</v>
      </c>
      <c r="C19" s="43"/>
      <c r="D19" s="43"/>
      <c r="E19" s="43"/>
      <c r="F19" s="43"/>
      <c r="G19" s="43"/>
      <c r="H19" s="43"/>
      <c r="I19" s="43"/>
    </row>
    <row r="20" spans="1:10" x14ac:dyDescent="0.35">
      <c r="A20" s="1" t="s">
        <v>31</v>
      </c>
      <c r="B20" s="43">
        <v>1000</v>
      </c>
      <c r="C20" s="43"/>
      <c r="D20" s="43"/>
      <c r="E20" s="43"/>
      <c r="F20" s="43"/>
      <c r="G20" s="43"/>
      <c r="H20" s="43"/>
      <c r="I20" s="43"/>
    </row>
    <row r="21" spans="1:10" x14ac:dyDescent="0.35">
      <c r="B21" s="43"/>
      <c r="C21" s="43"/>
      <c r="D21" s="43"/>
      <c r="E21" s="43"/>
      <c r="F21" s="43"/>
      <c r="G21" s="43"/>
      <c r="H21" s="43"/>
      <c r="I21" s="43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zoomScaleNormal="100" workbookViewId="0">
      <selection activeCell="G4" sqref="G4"/>
    </sheetView>
  </sheetViews>
  <sheetFormatPr defaultColWidth="8.88671875" defaultRowHeight="14.4" x14ac:dyDescent="0.3"/>
  <sheetData>
    <row r="1" spans="1:7" x14ac:dyDescent="0.3">
      <c r="B1" t="s">
        <v>32</v>
      </c>
    </row>
    <row r="2" spans="1:7" x14ac:dyDescent="0.3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3">
      <c r="A3" t="s">
        <v>39</v>
      </c>
      <c r="B3" t="s">
        <v>40</v>
      </c>
      <c r="C3" t="s">
        <v>41</v>
      </c>
      <c r="D3" t="s">
        <v>41</v>
      </c>
      <c r="E3" t="s">
        <v>42</v>
      </c>
      <c r="F3" t="s">
        <v>12</v>
      </c>
      <c r="G3" t="s">
        <v>43</v>
      </c>
    </row>
    <row r="4" spans="1:7" x14ac:dyDescent="0.3">
      <c r="A4">
        <f>PI()</f>
        <v>3.1415926535897931</v>
      </c>
      <c r="B4">
        <v>19300</v>
      </c>
      <c r="C4">
        <v>5.8</v>
      </c>
      <c r="D4" s="44">
        <v>4.6E-5</v>
      </c>
      <c r="E4" s="44">
        <f>C4*D4^2*A4</f>
        <v>3.8556138318976814E-8</v>
      </c>
      <c r="F4" s="44">
        <f>E4*B4</f>
        <v>7.4413346955625251E-4</v>
      </c>
      <c r="G4" s="45">
        <f>F4*1000</f>
        <v>0.74413346955625248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Incandescent bulb lighting</vt:lpstr>
      <vt:lpstr>Tungsten coil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Jolliet</dc:creator>
  <dc:description/>
  <cp:lastModifiedBy>Cole, Crystal</cp:lastModifiedBy>
  <cp:revision>0</cp:revision>
  <dcterms:created xsi:type="dcterms:W3CDTF">2018-03-14T16:19:16Z</dcterms:created>
  <dcterms:modified xsi:type="dcterms:W3CDTF">2023-05-16T13:45:08Z</dcterms:modified>
  <dc:language>en-US</dc:language>
</cp:coreProperties>
</file>