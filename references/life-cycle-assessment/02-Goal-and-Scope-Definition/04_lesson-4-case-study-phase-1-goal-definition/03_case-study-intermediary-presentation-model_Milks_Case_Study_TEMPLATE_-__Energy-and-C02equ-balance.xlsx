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jolliet\OneDrive - Danmarks Tekniske Universitet\Jolliet UM\Teaching\MOOCs serie\Course 3 material\Case studies material\Milk alternatives\"/>
    </mc:Choice>
  </mc:AlternateContent>
  <bookViews>
    <workbookView xWindow="-24" yWindow="528" windowWidth="21624" windowHeight="9240"/>
  </bookViews>
  <sheets>
    <sheet name="Milk alternatives" sheetId="1" r:id="rId1"/>
    <sheet name="Processes"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7" i="1" l="1"/>
  <c r="AS4" i="1"/>
  <c r="AR4" i="1"/>
  <c r="AQ4" i="1"/>
  <c r="AP4" i="1"/>
  <c r="AO4" i="1"/>
  <c r="AN4" i="1"/>
  <c r="AM4" i="1"/>
  <c r="AE4" i="1" l="1"/>
  <c r="AI4" i="1" l="1"/>
  <c r="AH4" i="1"/>
  <c r="AG4" i="1"/>
  <c r="AF4" i="1"/>
  <c r="AJ4" i="1"/>
  <c r="AD4" i="1" l="1"/>
  <c r="L34" i="1" l="1"/>
  <c r="L16" i="1"/>
  <c r="L19" i="1"/>
  <c r="L7" i="1"/>
  <c r="L6" i="1"/>
  <c r="X5" i="1" l="1"/>
  <c r="L11" i="1"/>
  <c r="L32" i="1"/>
  <c r="Z12" i="1" s="1"/>
  <c r="AS12" i="1" s="1"/>
  <c r="L18" i="1"/>
  <c r="L9" i="1"/>
  <c r="L10" i="1"/>
  <c r="L14" i="1"/>
  <c r="X12" i="1" s="1"/>
  <c r="H34" i="1"/>
  <c r="E34" i="1"/>
  <c r="L13" i="1" l="1"/>
  <c r="X11" i="1" s="1"/>
  <c r="AP11" i="1" s="1"/>
  <c r="AR12" i="1"/>
  <c r="AQ12" i="1"/>
  <c r="AP12" i="1"/>
  <c r="AO12" i="1"/>
  <c r="AN12" i="1"/>
  <c r="AM12" i="1"/>
  <c r="AN5" i="1"/>
  <c r="AM5" i="1"/>
  <c r="AR5" i="1"/>
  <c r="AQ5" i="1"/>
  <c r="AP5" i="1"/>
  <c r="AO5" i="1"/>
  <c r="L31" i="1"/>
  <c r="Z11" i="1" s="1"/>
  <c r="AS11" i="1" s="1"/>
  <c r="L27" i="1"/>
  <c r="X6" i="1"/>
  <c r="L29" i="1"/>
  <c r="E32" i="1"/>
  <c r="Q12" i="1" s="1"/>
  <c r="E10" i="1"/>
  <c r="H32" i="1"/>
  <c r="H10" i="1"/>
  <c r="L20" i="1"/>
  <c r="E11" i="1"/>
  <c r="H11" i="1"/>
  <c r="L22" i="1" l="1"/>
  <c r="M13" i="1" s="1"/>
  <c r="AR11" i="1"/>
  <c r="AN11" i="1"/>
  <c r="AO11" i="1"/>
  <c r="AM11" i="1"/>
  <c r="AQ11" i="1"/>
  <c r="AQ6" i="1"/>
  <c r="AP6" i="1"/>
  <c r="AM6" i="1"/>
  <c r="AO6" i="1"/>
  <c r="AN6" i="1"/>
  <c r="AR6" i="1"/>
  <c r="L36" i="1"/>
  <c r="Z10" i="1" s="1"/>
  <c r="AS10" i="1" s="1"/>
  <c r="AJ12" i="1"/>
  <c r="U12" i="1"/>
  <c r="Z9" i="1"/>
  <c r="Z8" i="1"/>
  <c r="X7" i="1"/>
  <c r="J10" i="1"/>
  <c r="J32" i="1"/>
  <c r="J11" i="1"/>
  <c r="M20" i="1" l="1"/>
  <c r="M22" i="1"/>
  <c r="M10" i="1"/>
  <c r="M18" i="1"/>
  <c r="M16" i="1"/>
  <c r="M6" i="1"/>
  <c r="M14" i="1"/>
  <c r="M19" i="1"/>
  <c r="M9" i="1"/>
  <c r="M7" i="1"/>
  <c r="M34" i="1"/>
  <c r="L38" i="1"/>
  <c r="M27" i="1" s="1"/>
  <c r="AM7" i="1"/>
  <c r="AB11" i="1"/>
  <c r="AS9" i="1"/>
  <c r="AS8" i="1"/>
  <c r="H16" i="1"/>
  <c r="Q78" i="1"/>
  <c r="Q76" i="1"/>
  <c r="Q74" i="1"/>
  <c r="Q70" i="1"/>
  <c r="Q69" i="1"/>
  <c r="Q62" i="1"/>
  <c r="Q61" i="1"/>
  <c r="Q60" i="1"/>
  <c r="Q56" i="1"/>
  <c r="Q55" i="1"/>
  <c r="Q51" i="1"/>
  <c r="Q50" i="1"/>
  <c r="E16" i="1"/>
  <c r="H14" i="1"/>
  <c r="M11" i="1" l="1"/>
  <c r="M32" i="1"/>
  <c r="M38" i="1"/>
  <c r="M29" i="1"/>
  <c r="M31" i="1"/>
  <c r="M36" i="1"/>
  <c r="AS13" i="1"/>
  <c r="AG12" i="1"/>
  <c r="AH12" i="1" s="1"/>
  <c r="T12" i="1"/>
  <c r="H7" i="1"/>
  <c r="E27" i="1"/>
  <c r="Q8" i="1" s="1"/>
  <c r="H27" i="1"/>
  <c r="E6" i="1"/>
  <c r="E7" i="1"/>
  <c r="E14" i="1"/>
  <c r="P12" i="1" s="1"/>
  <c r="H20" i="1"/>
  <c r="E36" i="1"/>
  <c r="Q10" i="1" s="1"/>
  <c r="H6" i="1"/>
  <c r="H18" i="1"/>
  <c r="H19" i="1"/>
  <c r="H13" i="1"/>
  <c r="T11" i="1" s="1"/>
  <c r="AD12" i="1" l="1"/>
  <c r="AI12" i="1"/>
  <c r="AF12" i="1"/>
  <c r="AE12" i="1"/>
  <c r="AG5" i="1"/>
  <c r="AE5" i="1" s="1"/>
  <c r="T5" i="1"/>
  <c r="AJ8" i="1"/>
  <c r="U8" i="1"/>
  <c r="T7" i="1"/>
  <c r="AG11" i="1"/>
  <c r="AD11" i="1" s="1"/>
  <c r="P5" i="1"/>
  <c r="AG7" i="1"/>
  <c r="E31" i="1"/>
  <c r="Q11" i="1" s="1"/>
  <c r="E13" i="1"/>
  <c r="P11" i="1" s="1"/>
  <c r="E18" i="1"/>
  <c r="E19" i="1"/>
  <c r="E29" i="1"/>
  <c r="Q9" i="1" s="1"/>
  <c r="H29" i="1"/>
  <c r="H36" i="1"/>
  <c r="U10" i="1" s="1"/>
  <c r="H9" i="1"/>
  <c r="E9" i="1"/>
  <c r="P6" i="1" s="1"/>
  <c r="J27" i="1"/>
  <c r="AR7" i="1" l="1"/>
  <c r="AQ7" i="1"/>
  <c r="AO7" i="1"/>
  <c r="AN7" i="1"/>
  <c r="AI11" i="1"/>
  <c r="AH5" i="1"/>
  <c r="AD5" i="1"/>
  <c r="AF5" i="1"/>
  <c r="AI5" i="1"/>
  <c r="AJ9" i="1"/>
  <c r="U9" i="1"/>
  <c r="AG6" i="1"/>
  <c r="AE6" i="1" s="1"/>
  <c r="T6" i="1"/>
  <c r="T13" i="1" s="1"/>
  <c r="AI7" i="1"/>
  <c r="AF7" i="1"/>
  <c r="AH7" i="1"/>
  <c r="AE7" i="1"/>
  <c r="AD7" i="1"/>
  <c r="AF11" i="1"/>
  <c r="AH11" i="1"/>
  <c r="AE11" i="1"/>
  <c r="Q13" i="1"/>
  <c r="J36" i="1"/>
  <c r="AJ10" i="1"/>
  <c r="H31" i="1"/>
  <c r="J19" i="1"/>
  <c r="J29" i="1"/>
  <c r="E38" i="1"/>
  <c r="J14" i="1"/>
  <c r="J6" i="1"/>
  <c r="AF6" i="1" l="1"/>
  <c r="AI6" i="1"/>
  <c r="AD6" i="1"/>
  <c r="AH6" i="1"/>
  <c r="AJ11" i="1"/>
  <c r="AJ13" i="1" s="1"/>
  <c r="U11" i="1"/>
  <c r="U13" i="1" s="1"/>
  <c r="J31" i="1"/>
  <c r="F11" i="1"/>
  <c r="F32" i="1"/>
  <c r="H38" i="1"/>
  <c r="I32" i="1" s="1"/>
  <c r="F38" i="1"/>
  <c r="F27" i="1"/>
  <c r="F36" i="1"/>
  <c r="F31" i="1"/>
  <c r="F29" i="1"/>
  <c r="J13" i="1"/>
  <c r="I29" i="1" l="1"/>
  <c r="I36" i="1"/>
  <c r="I27" i="1"/>
  <c r="I38" i="1"/>
  <c r="I11" i="1"/>
  <c r="I31" i="1"/>
  <c r="J38" i="1"/>
  <c r="E20" i="1"/>
  <c r="P7" i="1" s="1"/>
  <c r="P13" i="1" s="1"/>
  <c r="J7" i="1"/>
  <c r="J9" i="1"/>
  <c r="J18" i="1" l="1"/>
  <c r="J20" i="1"/>
  <c r="H22" i="1"/>
  <c r="I10" i="1" s="1"/>
  <c r="E22" i="1"/>
  <c r="F22" i="1" s="1"/>
  <c r="I19" i="1" l="1"/>
  <c r="I34" i="1"/>
  <c r="F10" i="1"/>
  <c r="F34" i="1"/>
  <c r="I22" i="1"/>
  <c r="F14" i="1"/>
  <c r="F19" i="1"/>
  <c r="J22" i="1"/>
  <c r="I14" i="1"/>
  <c r="I9" i="1"/>
  <c r="I20" i="1"/>
  <c r="I18" i="1"/>
  <c r="I16" i="1"/>
  <c r="I7" i="1"/>
  <c r="I6" i="1"/>
  <c r="I13" i="1"/>
  <c r="F16" i="1"/>
  <c r="F7" i="1"/>
  <c r="F6" i="1"/>
  <c r="F13" i="1"/>
  <c r="F9" i="1"/>
  <c r="F18" i="1"/>
  <c r="F20" i="1"/>
</calcChain>
</file>

<file path=xl/comments1.xml><?xml version="1.0" encoding="utf-8"?>
<comments xmlns="http://schemas.openxmlformats.org/spreadsheetml/2006/main">
  <authors>
    <author>School of Public Health</author>
    <author>Neil</author>
  </authors>
  <commentList>
    <comment ref="B6" authorId="0" shapeId="0">
      <text>
        <r>
          <rPr>
            <b/>
            <sz val="9"/>
            <color indexed="81"/>
            <rFont val="Tahoma"/>
            <family val="2"/>
          </rPr>
          <t>School of Public Health:</t>
        </r>
        <r>
          <rPr>
            <sz val="9"/>
            <color indexed="81"/>
            <rFont val="Tahoma"/>
            <family val="2"/>
          </rPr>
          <t xml:space="preserve">
1.5*3.5 g also accepteable answer
</t>
        </r>
      </text>
    </comment>
    <comment ref="A17" authorId="1" shapeId="0">
      <text>
        <r>
          <rPr>
            <b/>
            <sz val="9"/>
            <color indexed="81"/>
            <rFont val="Tahoma"/>
            <family val="2"/>
          </rPr>
          <t>Neil:</t>
        </r>
        <r>
          <rPr>
            <sz val="9"/>
            <color indexed="81"/>
            <rFont val="Tahoma"/>
            <family val="2"/>
          </rPr>
          <t xml:space="preserve">
Minor Processing Waste </t>
        </r>
      </text>
    </comment>
  </commentList>
</comments>
</file>

<file path=xl/sharedStrings.xml><?xml version="1.0" encoding="utf-8"?>
<sst xmlns="http://schemas.openxmlformats.org/spreadsheetml/2006/main" count="158" uniqueCount="80">
  <si>
    <t>Unit</t>
  </si>
  <si>
    <t>kg</t>
  </si>
  <si>
    <t>kWh</t>
  </si>
  <si>
    <t>Materials</t>
  </si>
  <si>
    <t>Energy/Unit  [MJ/Unit]</t>
  </si>
  <si>
    <t>Use phase</t>
  </si>
  <si>
    <t>Disposal</t>
  </si>
  <si>
    <t>Total</t>
  </si>
  <si>
    <t>kg/t conversion factor</t>
  </si>
  <si>
    <t>fraction</t>
  </si>
  <si>
    <t>Transportation</t>
  </si>
  <si>
    <t>Energy per FU [MJ/FU]</t>
  </si>
  <si>
    <t>Check g CO2/MJ</t>
  </si>
  <si>
    <t>g/kg</t>
  </si>
  <si>
    <t>-</t>
  </si>
  <si>
    <t>t-km</t>
  </si>
  <si>
    <t>Quantity per FU</t>
  </si>
  <si>
    <t xml:space="preserve">Result discussion </t>
  </si>
  <si>
    <t>3c. Comparison between scenarios</t>
  </si>
  <si>
    <t xml:space="preserve">4. Interpretation of ratios gCO2/MJ </t>
  </si>
  <si>
    <t>CO2/Unit [kg/unit]</t>
  </si>
  <si>
    <t>CO2/FU</t>
  </si>
  <si>
    <t>fraction2</t>
  </si>
  <si>
    <t>Category</t>
  </si>
  <si>
    <t>air</t>
  </si>
  <si>
    <t>fossil+nuclear+primary forest</t>
  </si>
  <si>
    <t>CO2 fossil/total non renewable energy</t>
  </si>
  <si>
    <t>climate change</t>
  </si>
  <si>
    <t>conversion kg_to_g</t>
  </si>
  <si>
    <t>CO2 fossil/FU</t>
  </si>
  <si>
    <t>Net value</t>
  </si>
  <si>
    <t>Fossil CO2
 kgCO2/FU</t>
  </si>
  <si>
    <t>Energy
MJ/FU</t>
  </si>
  <si>
    <t>m3</t>
  </si>
  <si>
    <t>skimmed milk, from cow milk</t>
  </si>
  <si>
    <t>paper production, woodfree, coated, at integrated mill</t>
  </si>
  <si>
    <t>km</t>
  </si>
  <si>
    <t>Almond, unshelled</t>
  </si>
  <si>
    <t>Tap water</t>
  </si>
  <si>
    <t>Electricity, medium voltage</t>
  </si>
  <si>
    <t>Steam, in chemical industry</t>
  </si>
  <si>
    <t>Biowaste</t>
  </si>
  <si>
    <t>Wastewater</t>
  </si>
  <si>
    <t>Waste paperboard to landfill</t>
  </si>
  <si>
    <t>waste paperboard at landfill</t>
  </si>
  <si>
    <t>Milk - 400 m transport, passenger car</t>
  </si>
  <si>
    <t>g/kg and m/km</t>
  </si>
  <si>
    <t>Almond Milk Processing</t>
  </si>
  <si>
    <t>Almond Milk Materials</t>
  </si>
  <si>
    <t>Almond Milk Disposal</t>
  </si>
  <si>
    <t>Dairy Milk Disposal</t>
  </si>
  <si>
    <t>Dairy Milk Materials</t>
  </si>
  <si>
    <t>Dairy Milk Processing</t>
  </si>
  <si>
    <t>Almond Milk</t>
  </si>
  <si>
    <t>Dairy Milk</t>
  </si>
  <si>
    <t xml:space="preserve">3a. Almond Milk- dominant contributions </t>
  </si>
  <si>
    <t>3b.Dairy Milk- dominant contributions</t>
  </si>
  <si>
    <t>The ratios of gCO2/MJ fall within expected limits with manufacturing, processing, and transport by truck in the ~50-60s range. Disposal is either high for almond milk in the 70s or low for only waste paperboard at landfill in the 20s. Skimmed milk production is high at the 90s.</t>
  </si>
  <si>
    <t>5. Importance of tradeoffs substitution related to transportation</t>
  </si>
  <si>
    <t>CO2equ/Unit [kg/unit]2</t>
  </si>
  <si>
    <t>CO2equ./FU</t>
  </si>
  <si>
    <t>fraction3</t>
  </si>
  <si>
    <t>Global warming score
 kgCO2equ/FU</t>
  </si>
  <si>
    <t>Milk - 2000 km truck, 16-32t</t>
  </si>
  <si>
    <t>Milk - 900 km refrigerated truck 7.5-16t</t>
  </si>
  <si>
    <t>Sensitivity study with travel distance</t>
  </si>
  <si>
    <t>Transportation consumer</t>
  </si>
  <si>
    <t>Transportation to sale</t>
  </si>
  <si>
    <t>Almond milk Open LCA</t>
  </si>
  <si>
    <t>Dairy Milk Open LCA</t>
  </si>
  <si>
    <t>Reduction on production and processing</t>
  </si>
  <si>
    <t>Processing &amp; packaging</t>
  </si>
  <si>
    <t>Fo almond milk</t>
  </si>
  <si>
    <t xml:space="preserve">The almond milk scenario generates onl slightly lower environmental impacts in terms of energy use compared to the dairy milk scenario. However, the dairy milk scenario generates higher environmental impacts in terms of both fossil CO2 and carbon footprints compared to the almond milk scenario. </t>
  </si>
  <si>
    <t>Dairy Milk
FU= 0.25 L milk consumed
Life Cycle stage</t>
  </si>
  <si>
    <t>Almond Milk
FU= 0.25 L milk consumed
Life Cycle stage</t>
  </si>
  <si>
    <t>The transportation for almond milk is the dominant process with mor than 60% for energy use, fossil CO2 and CO2 eq emissions</t>
  </si>
  <si>
    <t>The skimmed milk input during the production phase is the dominant source of energy use (38%) and  CO2 eq emissions (58.7%)</t>
  </si>
  <si>
    <t>Being able to recover energy through paper incineration is important as it could reduce total energy use by 26%</t>
  </si>
  <si>
    <t>34%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</si>
</sst>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
    <numFmt numFmtId="165" formatCode="0.0%"/>
    <numFmt numFmtId="166" formatCode="0.0"/>
    <numFmt numFmtId="167" formatCode="0.00000"/>
    <numFmt numFmtId="168" formatCode="0.000000"/>
  </numFmts>
  <fonts count="9" x14ac:knownFonts="1">
    <font>
      <sz val="11"/>
      <color theme="1"/>
      <name val="Calibri"/>
      <family val="2"/>
      <scheme val="minor"/>
    </font>
    <font>
      <sz val="16"/>
      <color theme="1"/>
      <name val="Arial"/>
      <family val="2"/>
    </font>
    <font>
      <sz val="16"/>
      <color rgb="FFFF0000"/>
      <name val="Arial"/>
      <family val="2"/>
    </font>
    <font>
      <b/>
      <sz val="16"/>
      <color theme="1"/>
      <name val="Arial"/>
      <family val="2"/>
    </font>
    <font>
      <sz val="11"/>
      <color theme="1"/>
      <name val="Calibri Light"/>
      <family val="2"/>
      <scheme val="major"/>
    </font>
    <font>
      <b/>
      <sz val="11"/>
      <color theme="0"/>
      <name val="Calibri Light"/>
      <family val="2"/>
      <scheme val="major"/>
    </font>
    <font>
      <b/>
      <sz val="9"/>
      <color indexed="81"/>
      <name val="Tahoma"/>
      <family val="2"/>
    </font>
    <font>
      <sz val="9"/>
      <color indexed="81"/>
      <name val="Tahoma"/>
      <family val="2"/>
    </font>
    <font>
      <sz val="16"/>
      <color theme="1"/>
      <name val="Arial"/>
      <family val="2"/>
    </font>
  </fonts>
  <fills count="7">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5"/>
        <bgColor indexed="64"/>
      </patternFill>
    </fill>
    <fill>
      <patternFill patternType="solid">
        <fgColor theme="7" tint="0.79998168889431442"/>
        <bgColor indexed="64"/>
      </patternFill>
    </fill>
    <fill>
      <patternFill patternType="solid">
        <fgColor theme="7" tint="0.59999389629810485"/>
        <bgColor indexed="64"/>
      </patternFill>
    </fill>
  </fills>
  <borders count="35">
    <border>
      <left/>
      <right/>
      <top/>
      <bottom/>
      <diagonal/>
    </border>
    <border>
      <left/>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style="thin">
        <color auto="1"/>
      </right>
      <top/>
      <bottom style="medium">
        <color auto="1"/>
      </bottom>
      <diagonal/>
    </border>
    <border>
      <left style="medium">
        <color auto="1"/>
      </left>
      <right style="medium">
        <color auto="1"/>
      </right>
      <top/>
      <bottom style="thin">
        <color auto="1"/>
      </bottom>
      <diagonal/>
    </border>
    <border>
      <left/>
      <right/>
      <top/>
      <bottom style="thin">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medium">
        <color auto="1"/>
      </right>
      <top style="thin">
        <color auto="1"/>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indexed="64"/>
      </left>
      <right style="thin">
        <color auto="1"/>
      </right>
      <top style="thin">
        <color auto="1"/>
      </top>
      <bottom/>
      <diagonal/>
    </border>
    <border>
      <left/>
      <right style="thin">
        <color auto="1"/>
      </right>
      <top/>
      <bottom style="thin">
        <color auto="1"/>
      </bottom>
      <diagonal/>
    </border>
    <border>
      <left/>
      <right style="medium">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ck">
        <color auto="1"/>
      </left>
      <right style="thin">
        <color auto="1"/>
      </right>
      <top/>
      <bottom/>
      <diagonal/>
    </border>
    <border>
      <left style="thick">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medium">
        <color auto="1"/>
      </left>
      <right style="thick">
        <color auto="1"/>
      </right>
      <top/>
      <bottom/>
      <diagonal/>
    </border>
  </borders>
  <cellStyleXfs count="1">
    <xf numFmtId="0" fontId="0" fillId="0" borderId="0"/>
  </cellStyleXfs>
  <cellXfs count="133">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horizontal="center"/>
    </xf>
    <xf numFmtId="0" fontId="2" fillId="2" borderId="0" xfId="0" applyFont="1" applyFill="1"/>
    <xf numFmtId="0" fontId="1" fillId="2" borderId="0" xfId="0" applyFont="1" applyFill="1" applyAlignment="1">
      <alignment horizontal="center"/>
    </xf>
    <xf numFmtId="0" fontId="2" fillId="2" borderId="2" xfId="0" applyFont="1" applyFill="1" applyBorder="1"/>
    <xf numFmtId="0" fontId="1" fillId="0" borderId="2" xfId="0" applyFont="1" applyBorder="1"/>
    <xf numFmtId="0" fontId="2" fillId="2" borderId="4" xfId="0" applyFont="1" applyFill="1" applyBorder="1"/>
    <xf numFmtId="0" fontId="1" fillId="0" borderId="4" xfId="0" applyFont="1" applyBorder="1" applyAlignment="1">
      <alignment horizontal="center"/>
    </xf>
    <xf numFmtId="0" fontId="1" fillId="2" borderId="4" xfId="0" applyFont="1" applyFill="1" applyBorder="1" applyAlignment="1">
      <alignment horizontal="center"/>
    </xf>
    <xf numFmtId="0" fontId="1" fillId="0" borderId="6" xfId="0" applyFont="1" applyBorder="1"/>
    <xf numFmtId="164" fontId="1" fillId="0" borderId="4" xfId="0" applyNumberFormat="1" applyFont="1" applyBorder="1" applyAlignment="1">
      <alignment horizontal="center"/>
    </xf>
    <xf numFmtId="0" fontId="2" fillId="2" borderId="8" xfId="0" applyFont="1" applyFill="1" applyBorder="1"/>
    <xf numFmtId="165" fontId="1" fillId="0" borderId="8" xfId="0" applyNumberFormat="1" applyFont="1" applyBorder="1" applyAlignment="1">
      <alignment horizontal="center"/>
    </xf>
    <xf numFmtId="0" fontId="1" fillId="2" borderId="8" xfId="0" applyFont="1" applyFill="1" applyBorder="1" applyAlignment="1">
      <alignment horizontal="center"/>
    </xf>
    <xf numFmtId="1" fontId="1" fillId="0" borderId="0" xfId="0" applyNumberFormat="1" applyFont="1"/>
    <xf numFmtId="0" fontId="1" fillId="3" borderId="0" xfId="0" applyFont="1" applyFill="1" applyAlignment="1">
      <alignment horizontal="center"/>
    </xf>
    <xf numFmtId="0" fontId="1" fillId="3" borderId="2" xfId="0" applyFont="1" applyFill="1" applyBorder="1"/>
    <xf numFmtId="0" fontId="1" fillId="3" borderId="4" xfId="0" applyFont="1" applyFill="1" applyBorder="1" applyAlignment="1">
      <alignment horizontal="center"/>
    </xf>
    <xf numFmtId="165" fontId="1" fillId="3" borderId="8" xfId="0" applyNumberFormat="1" applyFont="1" applyFill="1" applyBorder="1" applyAlignment="1">
      <alignment horizontal="center"/>
    </xf>
    <xf numFmtId="0" fontId="1" fillId="3" borderId="0" xfId="0" applyFont="1" applyFill="1"/>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0" borderId="14" xfId="0" applyFont="1" applyBorder="1"/>
    <xf numFmtId="0" fontId="1" fillId="0" borderId="15" xfId="0" applyFont="1" applyBorder="1"/>
    <xf numFmtId="0" fontId="1" fillId="0" borderId="15" xfId="0" applyFont="1" applyBorder="1" applyAlignment="1">
      <alignment horizontal="center"/>
    </xf>
    <xf numFmtId="0" fontId="1" fillId="0" borderId="0" xfId="0" applyFont="1" applyAlignment="1">
      <alignment wrapText="1"/>
    </xf>
    <xf numFmtId="0" fontId="3" fillId="0" borderId="0" xfId="0" applyFont="1"/>
    <xf numFmtId="0" fontId="1" fillId="0" borderId="15" xfId="0" applyFont="1" applyBorder="1" applyAlignment="1">
      <alignment wrapText="1"/>
    </xf>
    <xf numFmtId="1" fontId="2" fillId="2" borderId="16" xfId="0" applyNumberFormat="1" applyFont="1" applyFill="1" applyBorder="1"/>
    <xf numFmtId="1" fontId="1" fillId="0" borderId="16" xfId="0" applyNumberFormat="1" applyFont="1" applyBorder="1" applyAlignment="1">
      <alignment horizontal="center"/>
    </xf>
    <xf numFmtId="1" fontId="1" fillId="2" borderId="16" xfId="0" applyNumberFormat="1" applyFont="1" applyFill="1" applyBorder="1" applyAlignment="1">
      <alignment horizontal="center"/>
    </xf>
    <xf numFmtId="0" fontId="1" fillId="0" borderId="3" xfId="0" applyFont="1" applyBorder="1" applyAlignment="1">
      <alignment vertical="top" wrapText="1"/>
    </xf>
    <xf numFmtId="0" fontId="1" fillId="0" borderId="1" xfId="0" applyFont="1" applyBorder="1" applyAlignment="1">
      <alignment vertical="top" wrapText="1"/>
    </xf>
    <xf numFmtId="0" fontId="1" fillId="0" borderId="5" xfId="0" applyFont="1" applyBorder="1" applyAlignment="1">
      <alignment vertical="top" wrapText="1"/>
    </xf>
    <xf numFmtId="0" fontId="1" fillId="0" borderId="9" xfId="0" applyFont="1" applyBorder="1" applyAlignment="1">
      <alignment vertical="top" wrapText="1"/>
    </xf>
    <xf numFmtId="1" fontId="1" fillId="0" borderId="17" xfId="0" applyNumberFormat="1" applyFont="1" applyBorder="1" applyAlignment="1">
      <alignment vertical="top" wrapText="1"/>
    </xf>
    <xf numFmtId="0" fontId="1" fillId="0" borderId="4" xfId="0" quotePrefix="1" applyFont="1" applyBorder="1" applyAlignment="1">
      <alignment horizontal="center"/>
    </xf>
    <xf numFmtId="2" fontId="1" fillId="0" borderId="0" xfId="0" applyNumberFormat="1" applyFont="1" applyAlignment="1">
      <alignment horizontal="center"/>
    </xf>
    <xf numFmtId="2" fontId="3" fillId="0" borderId="0" xfId="0" applyNumberFormat="1" applyFont="1" applyAlignment="1">
      <alignment horizontal="center"/>
    </xf>
    <xf numFmtId="0" fontId="0" fillId="0" borderId="15" xfId="0" applyBorder="1"/>
    <xf numFmtId="164" fontId="0" fillId="0" borderId="15" xfId="0" applyNumberFormat="1" applyBorder="1"/>
    <xf numFmtId="2" fontId="0" fillId="0" borderId="21" xfId="0" applyNumberFormat="1" applyBorder="1"/>
    <xf numFmtId="166" fontId="0" fillId="0" borderId="21" xfId="0" applyNumberFormat="1" applyBorder="1"/>
    <xf numFmtId="0" fontId="4" fillId="0" borderId="0" xfId="0" applyFont="1"/>
    <xf numFmtId="0" fontId="5" fillId="4" borderId="15" xfId="0" applyFont="1" applyFill="1" applyBorder="1" applyAlignment="1">
      <alignment vertical="top" wrapText="1"/>
    </xf>
    <xf numFmtId="164" fontId="5" fillId="4" borderId="15" xfId="0" applyNumberFormat="1" applyFont="1" applyFill="1" applyBorder="1" applyAlignment="1">
      <alignment vertical="top" wrapText="1"/>
    </xf>
    <xf numFmtId="2" fontId="5" fillId="4" borderId="15" xfId="0" applyNumberFormat="1" applyFont="1" applyFill="1" applyBorder="1" applyAlignment="1">
      <alignment vertical="top" wrapText="1"/>
    </xf>
    <xf numFmtId="166" fontId="5" fillId="4" borderId="15" xfId="0" applyNumberFormat="1" applyFont="1" applyFill="1" applyBorder="1" applyAlignment="1">
      <alignment vertical="top" wrapText="1"/>
    </xf>
    <xf numFmtId="0" fontId="0" fillId="0" borderId="21" xfId="0" applyBorder="1"/>
    <xf numFmtId="11" fontId="1" fillId="3" borderId="0" xfId="0" applyNumberFormat="1" applyFont="1" applyFill="1" applyAlignment="1">
      <alignment horizontal="center"/>
    </xf>
    <xf numFmtId="11" fontId="1" fillId="0" borderId="0" xfId="0" applyNumberFormat="1" applyFont="1" applyAlignment="1">
      <alignment horizontal="center"/>
    </xf>
    <xf numFmtId="11" fontId="1" fillId="2" borderId="0" xfId="0" applyNumberFormat="1" applyFont="1" applyFill="1" applyAlignment="1">
      <alignment horizontal="center"/>
    </xf>
    <xf numFmtId="164" fontId="1" fillId="0" borderId="0" xfId="0" applyNumberFormat="1" applyFont="1"/>
    <xf numFmtId="164" fontId="1" fillId="0" borderId="5" xfId="0" applyNumberFormat="1" applyFont="1" applyBorder="1" applyAlignment="1">
      <alignment vertical="top" wrapText="1"/>
    </xf>
    <xf numFmtId="164" fontId="2" fillId="2" borderId="4" xfId="0" applyNumberFormat="1" applyFont="1" applyFill="1" applyBorder="1"/>
    <xf numFmtId="164" fontId="1" fillId="3" borderId="4" xfId="0" applyNumberFormat="1" applyFont="1" applyFill="1" applyBorder="1" applyAlignment="1">
      <alignment horizontal="center"/>
    </xf>
    <xf numFmtId="164" fontId="1" fillId="2" borderId="4" xfId="0" applyNumberFormat="1" applyFont="1" applyFill="1" applyBorder="1" applyAlignment="1">
      <alignment horizontal="center"/>
    </xf>
    <xf numFmtId="164" fontId="3" fillId="3" borderId="4" xfId="0" applyNumberFormat="1" applyFont="1" applyFill="1" applyBorder="1" applyAlignment="1">
      <alignment horizontal="center"/>
    </xf>
    <xf numFmtId="164" fontId="1" fillId="2" borderId="11" xfId="0" applyNumberFormat="1" applyFont="1" applyFill="1" applyBorder="1" applyAlignment="1">
      <alignment horizontal="center"/>
    </xf>
    <xf numFmtId="164" fontId="3" fillId="0" borderId="4" xfId="0" applyNumberFormat="1" applyFont="1" applyBorder="1" applyAlignment="1">
      <alignment horizontal="center"/>
    </xf>
    <xf numFmtId="164" fontId="1" fillId="0" borderId="0" xfId="0" applyNumberFormat="1" applyFont="1" applyAlignment="1">
      <alignment horizontal="center"/>
    </xf>
    <xf numFmtId="2" fontId="1" fillId="3" borderId="0" xfId="0" applyNumberFormat="1" applyFont="1" applyFill="1" applyAlignment="1">
      <alignment horizontal="center"/>
    </xf>
    <xf numFmtId="167" fontId="1" fillId="0" borderId="4" xfId="0" applyNumberFormat="1" applyFont="1" applyBorder="1" applyAlignment="1">
      <alignment horizontal="center"/>
    </xf>
    <xf numFmtId="168" fontId="1" fillId="0" borderId="4" xfId="0" applyNumberFormat="1" applyFont="1" applyBorder="1" applyAlignment="1">
      <alignment horizontal="center"/>
    </xf>
    <xf numFmtId="167" fontId="3" fillId="0" borderId="0" xfId="0" applyNumberFormat="1" applyFont="1" applyAlignment="1">
      <alignment horizontal="center"/>
    </xf>
    <xf numFmtId="10" fontId="1" fillId="0" borderId="8" xfId="0" applyNumberFormat="1" applyFont="1" applyBorder="1" applyAlignment="1">
      <alignment horizontal="center"/>
    </xf>
    <xf numFmtId="167" fontId="1" fillId="0" borderId="0" xfId="0" applyNumberFormat="1" applyFont="1"/>
    <xf numFmtId="0" fontId="1" fillId="0" borderId="22" xfId="0" applyFont="1" applyBorder="1"/>
    <xf numFmtId="167" fontId="1" fillId="3" borderId="22" xfId="0" applyNumberFormat="1" applyFont="1" applyFill="1" applyBorder="1"/>
    <xf numFmtId="0" fontId="1" fillId="3" borderId="22" xfId="0" applyFont="1" applyFill="1" applyBorder="1"/>
    <xf numFmtId="164" fontId="1" fillId="3" borderId="22" xfId="0" applyNumberFormat="1" applyFont="1" applyFill="1" applyBorder="1"/>
    <xf numFmtId="167" fontId="1" fillId="0" borderId="22" xfId="0" applyNumberFormat="1" applyFont="1" applyBorder="1"/>
    <xf numFmtId="164" fontId="1" fillId="0" borderId="22" xfId="0" applyNumberFormat="1" applyFont="1" applyBorder="1"/>
    <xf numFmtId="0" fontId="1" fillId="0" borderId="21" xfId="0" applyFont="1" applyBorder="1"/>
    <xf numFmtId="167" fontId="1" fillId="0" borderId="21" xfId="0" applyNumberFormat="1" applyFont="1" applyBorder="1"/>
    <xf numFmtId="0" fontId="1" fillId="0" borderId="15" xfId="0" applyFont="1" applyBorder="1" applyAlignment="1">
      <alignment vertical="top" wrapText="1"/>
    </xf>
    <xf numFmtId="0" fontId="0" fillId="5" borderId="21" xfId="0" applyFill="1" applyBorder="1"/>
    <xf numFmtId="0" fontId="0" fillId="5" borderId="15" xfId="0" applyFill="1" applyBorder="1"/>
    <xf numFmtId="164" fontId="0" fillId="5" borderId="15" xfId="0" applyNumberFormat="1" applyFill="1" applyBorder="1"/>
    <xf numFmtId="2" fontId="0" fillId="5" borderId="21" xfId="0" applyNumberFormat="1" applyFill="1" applyBorder="1"/>
    <xf numFmtId="166" fontId="0" fillId="5" borderId="21" xfId="0" applyNumberFormat="1" applyFill="1" applyBorder="1"/>
    <xf numFmtId="0" fontId="0" fillId="0" borderId="23" xfId="0" applyBorder="1"/>
    <xf numFmtId="2" fontId="0" fillId="0" borderId="24" xfId="0" applyNumberFormat="1" applyBorder="1"/>
    <xf numFmtId="11" fontId="8" fillId="0" borderId="0" xfId="0" applyNumberFormat="1" applyFont="1" applyAlignment="1">
      <alignment horizontal="center"/>
    </xf>
    <xf numFmtId="0" fontId="8" fillId="0" borderId="4" xfId="0" applyFont="1" applyBorder="1" applyAlignment="1">
      <alignment horizontal="center"/>
    </xf>
    <xf numFmtId="2" fontId="8" fillId="0" borderId="0" xfId="0" applyNumberFormat="1" applyFont="1" applyAlignment="1">
      <alignment horizontal="center"/>
    </xf>
    <xf numFmtId="165" fontId="8" fillId="0" borderId="8" xfId="0" applyNumberFormat="1" applyFont="1" applyBorder="1" applyAlignment="1">
      <alignment horizontal="center"/>
    </xf>
    <xf numFmtId="2" fontId="8" fillId="3" borderId="0" xfId="0" applyNumberFormat="1" applyFont="1" applyFill="1" applyAlignment="1">
      <alignment horizontal="center"/>
    </xf>
    <xf numFmtId="0" fontId="8" fillId="0" borderId="2" xfId="0" applyFont="1" applyBorder="1"/>
    <xf numFmtId="0" fontId="1" fillId="0" borderId="25" xfId="0" applyFont="1" applyBorder="1"/>
    <xf numFmtId="0" fontId="1" fillId="0" borderId="4" xfId="0" applyFont="1" applyBorder="1"/>
    <xf numFmtId="167" fontId="1" fillId="0" borderId="26" xfId="0" applyNumberFormat="1" applyFont="1" applyBorder="1"/>
    <xf numFmtId="0" fontId="1" fillId="0" borderId="27" xfId="0" applyFont="1" applyBorder="1" applyAlignment="1">
      <alignment vertical="top" wrapText="1"/>
    </xf>
    <xf numFmtId="0" fontId="2" fillId="2" borderId="28" xfId="0" applyFont="1" applyFill="1" applyBorder="1"/>
    <xf numFmtId="0" fontId="2" fillId="2" borderId="29" xfId="0" applyFont="1" applyFill="1" applyBorder="1"/>
    <xf numFmtId="164" fontId="1" fillId="3" borderId="22" xfId="0" applyNumberFormat="1" applyFont="1" applyFill="1" applyBorder="1" applyAlignment="1">
      <alignment horizontal="center"/>
    </xf>
    <xf numFmtId="2" fontId="1" fillId="0" borderId="30" xfId="0" applyNumberFormat="1" applyFont="1" applyBorder="1" applyAlignment="1">
      <alignment horizontal="center"/>
    </xf>
    <xf numFmtId="167" fontId="1" fillId="0" borderId="22" xfId="0" applyNumberFormat="1" applyFont="1" applyBorder="1" applyAlignment="1">
      <alignment horizontal="center"/>
    </xf>
    <xf numFmtId="0" fontId="1" fillId="2" borderId="30" xfId="0" applyFont="1" applyFill="1" applyBorder="1" applyAlignment="1">
      <alignment horizontal="center"/>
    </xf>
    <xf numFmtId="164" fontId="1" fillId="2" borderId="22" xfId="0" applyNumberFormat="1" applyFont="1" applyFill="1" applyBorder="1" applyAlignment="1">
      <alignment horizontal="center"/>
    </xf>
    <xf numFmtId="0" fontId="1" fillId="0" borderId="30" xfId="0" applyFont="1" applyBorder="1" applyAlignment="1">
      <alignment horizontal="center"/>
    </xf>
    <xf numFmtId="168" fontId="1" fillId="0" borderId="22" xfId="0" applyNumberFormat="1" applyFont="1" applyBorder="1" applyAlignment="1">
      <alignment horizontal="center"/>
    </xf>
    <xf numFmtId="164" fontId="3" fillId="3" borderId="22" xfId="0" applyNumberFormat="1" applyFont="1" applyFill="1" applyBorder="1" applyAlignment="1">
      <alignment horizontal="center"/>
    </xf>
    <xf numFmtId="164" fontId="1" fillId="0" borderId="22" xfId="0" applyNumberFormat="1" applyFont="1" applyBorder="1" applyAlignment="1">
      <alignment horizontal="center"/>
    </xf>
    <xf numFmtId="1" fontId="2" fillId="2" borderId="28" xfId="0" applyNumberFormat="1" applyFont="1" applyFill="1" applyBorder="1"/>
    <xf numFmtId="1" fontId="2" fillId="2" borderId="29" xfId="0" applyNumberFormat="1" applyFont="1" applyFill="1" applyBorder="1"/>
    <xf numFmtId="1" fontId="2" fillId="2" borderId="33" xfId="0" applyNumberFormat="1" applyFont="1" applyFill="1" applyBorder="1"/>
    <xf numFmtId="1" fontId="1" fillId="0" borderId="30" xfId="0" applyNumberFormat="1" applyFont="1" applyBorder="1" applyAlignment="1">
      <alignment horizontal="center"/>
    </xf>
    <xf numFmtId="1" fontId="1" fillId="2" borderId="30" xfId="0" applyNumberFormat="1" applyFont="1" applyFill="1" applyBorder="1" applyAlignment="1">
      <alignment horizontal="center"/>
    </xf>
    <xf numFmtId="1" fontId="1" fillId="3" borderId="34" xfId="0" applyNumberFormat="1" applyFont="1" applyFill="1" applyBorder="1" applyAlignment="1">
      <alignment horizontal="center"/>
    </xf>
    <xf numFmtId="1" fontId="1" fillId="0" borderId="34" xfId="0" applyNumberFormat="1" applyFont="1" applyBorder="1" applyAlignment="1">
      <alignment horizontal="center"/>
    </xf>
    <xf numFmtId="1" fontId="1" fillId="2" borderId="34" xfId="0" applyNumberFormat="1" applyFont="1" applyFill="1" applyBorder="1" applyAlignment="1">
      <alignment horizontal="center"/>
    </xf>
    <xf numFmtId="0" fontId="1" fillId="0" borderId="32" xfId="0" applyFont="1" applyBorder="1" applyAlignment="1">
      <alignment vertical="top" wrapText="1"/>
    </xf>
    <xf numFmtId="0" fontId="1" fillId="0" borderId="31" xfId="0" applyFont="1" applyBorder="1" applyAlignment="1">
      <alignment vertical="top" wrapText="1"/>
    </xf>
    <xf numFmtId="164" fontId="1" fillId="0" borderId="16" xfId="0" applyNumberFormat="1" applyFont="1" applyBorder="1"/>
    <xf numFmtId="164" fontId="1" fillId="0" borderId="4" xfId="0" applyNumberFormat="1" applyFont="1" applyBorder="1"/>
    <xf numFmtId="164" fontId="1" fillId="3" borderId="4" xfId="0" applyNumberFormat="1" applyFont="1" applyFill="1" applyBorder="1"/>
    <xf numFmtId="167" fontId="1" fillId="0" borderId="4" xfId="0" applyNumberFormat="1" applyFont="1" applyBorder="1"/>
    <xf numFmtId="167" fontId="1" fillId="6" borderId="26" xfId="0" applyNumberFormat="1" applyFont="1" applyFill="1" applyBorder="1"/>
    <xf numFmtId="1" fontId="1" fillId="0" borderId="22" xfId="0" applyNumberFormat="1" applyFont="1" applyBorder="1" applyAlignment="1">
      <alignment horizontal="center"/>
    </xf>
    <xf numFmtId="167" fontId="1" fillId="6" borderId="0" xfId="0" applyNumberFormat="1" applyFont="1" applyFill="1"/>
    <xf numFmtId="11" fontId="1" fillId="0" borderId="0" xfId="0" applyNumberFormat="1" applyFont="1"/>
    <xf numFmtId="0" fontId="1" fillId="0" borderId="0" xfId="0" applyFont="1" applyAlignment="1">
      <alignment wrapText="1"/>
    </xf>
    <xf numFmtId="0" fontId="0" fillId="0" borderId="0" xfId="0" applyAlignment="1">
      <alignment wrapText="1"/>
    </xf>
    <xf numFmtId="0" fontId="1" fillId="0" borderId="7" xfId="0" applyFont="1" applyBorder="1"/>
    <xf numFmtId="0" fontId="0" fillId="0" borderId="7" xfId="0" applyBorder="1"/>
    <xf numFmtId="0" fontId="1" fillId="0" borderId="18" xfId="0" applyFont="1" applyBorder="1" applyAlignment="1">
      <alignment wrapText="1"/>
    </xf>
    <xf numFmtId="0" fontId="0" fillId="0" borderId="19" xfId="0" applyBorder="1" applyAlignment="1">
      <alignment wrapText="1"/>
    </xf>
    <xf numFmtId="0" fontId="0" fillId="0" borderId="20" xfId="0" applyBorder="1" applyAlignment="1">
      <alignment wrapText="1"/>
    </xf>
  </cellXfs>
  <cellStyles count="1">
    <cellStyle name="Normal" xfId="0" builtinId="0"/>
  </cellStyles>
  <dxfs count="51">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outline="0">
        <left style="thick">
          <color auto="1"/>
        </left>
        <right style="thin">
          <color auto="1"/>
        </right>
        <top/>
        <bottom/>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6"/>
        <color theme="1"/>
        <name val="Arial"/>
        <scheme val="none"/>
      </font>
    </dxf>
    <dxf>
      <font>
        <b val="0"/>
        <i val="0"/>
        <strike val="0"/>
        <condense val="0"/>
        <extend val="0"/>
        <outline val="0"/>
        <shadow val="0"/>
        <u val="none"/>
        <vertAlign val="baseline"/>
        <sz val="16"/>
        <color theme="1"/>
        <name val="Arial"/>
        <scheme val="none"/>
      </font>
    </dxf>
    <dxf>
      <font>
        <b val="0"/>
        <i val="0"/>
        <strike val="0"/>
        <condense val="0"/>
        <extend val="0"/>
        <outline val="0"/>
        <shadow val="0"/>
        <u val="none"/>
        <vertAlign val="baseline"/>
        <sz val="16"/>
        <color theme="1"/>
        <name val="Arial"/>
        <scheme val="none"/>
      </font>
    </dxf>
    <dxf>
      <font>
        <b val="0"/>
        <i val="0"/>
        <strike val="0"/>
        <condense val="0"/>
        <extend val="0"/>
        <outline val="0"/>
        <shadow val="0"/>
        <u val="none"/>
        <vertAlign val="baseline"/>
        <sz val="16"/>
        <color theme="1"/>
        <name val="Arial"/>
        <scheme val="none"/>
      </font>
    </dxf>
    <dxf>
      <font>
        <b val="0"/>
        <i val="0"/>
        <strike val="0"/>
        <condense val="0"/>
        <extend val="0"/>
        <outline val="0"/>
        <shadow val="0"/>
        <u val="none"/>
        <vertAlign val="baseline"/>
        <sz val="16"/>
        <color theme="1"/>
        <name val="Arial"/>
        <scheme val="none"/>
      </font>
      <numFmt numFmtId="164" formatCode="0.000"/>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6"/>
        <color theme="1"/>
        <name val="Arial"/>
        <scheme val="none"/>
      </font>
      <numFmt numFmtId="15" formatCode="0.00E+00"/>
    </dxf>
    <dxf>
      <font>
        <b val="0"/>
        <i val="0"/>
        <strike val="0"/>
        <condense val="0"/>
        <extend val="0"/>
        <outline val="0"/>
        <shadow val="0"/>
        <u val="none"/>
        <vertAlign val="baseline"/>
        <sz val="16"/>
        <color theme="1"/>
        <name val="Arial"/>
        <scheme val="none"/>
      </font>
      <border diagonalUp="0" diagonalDown="0" outline="0">
        <left/>
        <right style="medium">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left style="thin">
          <color auto="1"/>
        </left>
        <right/>
        <top/>
        <bottom/>
        <vertical style="thin">
          <color auto="1"/>
        </vertical>
        <horizontal/>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left style="thin">
          <color auto="1"/>
        </left>
        <right style="thin">
          <color auto="1"/>
        </right>
        <top/>
        <bottom/>
        <vertical style="thin">
          <color auto="1"/>
        </vertical>
        <horizontal/>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left style="thick">
          <color auto="1"/>
        </left>
        <right style="thin">
          <color auto="1"/>
        </right>
        <top/>
        <bottom/>
        <vertical style="thin">
          <color auto="1"/>
        </vertical>
        <horizontal/>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left style="thin">
          <color auto="1"/>
        </left>
        <right/>
        <top/>
        <bottom/>
        <vertical/>
        <horizontal/>
      </border>
    </dxf>
    <dxf>
      <numFmt numFmtId="164" formatCode="0.000"/>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6"/>
        <color theme="1"/>
        <name val="Arial"/>
        <scheme val="none"/>
      </font>
      <border diagonalUp="0" diagonalDown="0">
        <left/>
        <right style="medium">
          <color auto="1"/>
        </right>
        <top/>
        <bottom/>
        <vertical/>
        <horizontal/>
      </border>
    </dxf>
    <dxf>
      <border outline="0">
        <right style="medium">
          <color auto="1"/>
        </right>
        <top style="medium">
          <color auto="1"/>
        </top>
        <bottom style="medium">
          <color auto="1"/>
        </bottom>
      </border>
    </dxf>
    <dxf>
      <border outline="0">
        <bottom style="medium">
          <color auto="1"/>
        </bottom>
      </border>
    </dxf>
    <dxf>
      <font>
        <b val="0"/>
        <i val="0"/>
        <strike val="0"/>
        <condense val="0"/>
        <extend val="0"/>
        <outline val="0"/>
        <shadow val="0"/>
        <u val="none"/>
        <vertAlign val="baseline"/>
        <sz val="16"/>
        <color theme="1"/>
        <name val="Arial"/>
        <scheme val="none"/>
      </font>
      <numFmt numFmtId="165" formatCode="0.0%"/>
      <alignment horizontal="center" vertical="bottom" textRotation="0" wrapText="0" indent="0" justifyLastLine="0" shrinkToFit="0" readingOrder="0"/>
      <border diagonalUp="0" diagonalDown="0">
        <left style="thin">
          <color auto="1"/>
        </left>
        <right style="medium">
          <color auto="1"/>
        </right>
        <top/>
        <bottom/>
        <vertical/>
        <horizontal/>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left style="thin">
          <color auto="1"/>
        </left>
        <right style="thin">
          <color auto="1"/>
        </right>
        <top/>
        <bottom/>
        <vertical style="thin">
          <color auto="1"/>
        </vertical>
        <horizontal/>
      </border>
    </dxf>
    <dxf>
      <font>
        <b val="0"/>
        <i val="0"/>
        <strike val="0"/>
        <condense val="0"/>
        <extend val="0"/>
        <outline val="0"/>
        <shadow val="0"/>
        <u val="none"/>
        <vertAlign val="baseline"/>
        <sz val="16"/>
        <color theme="1"/>
        <name val="Arial"/>
        <scheme val="none"/>
      </font>
      <numFmt numFmtId="2" formatCode="0.00"/>
      <alignment horizontal="center" vertical="bottom" textRotation="0" wrapText="0" indent="0" justifyLastLine="0" shrinkToFit="0" readingOrder="0"/>
      <border diagonalUp="0" diagonalDown="0">
        <left style="thick">
          <color auto="1"/>
        </left>
        <right style="thin">
          <color auto="1"/>
        </right>
        <top/>
        <bottom/>
        <vertical style="thin">
          <color auto="1"/>
        </vertical>
        <horizontal/>
      </border>
    </dxf>
    <dxf>
      <font>
        <b val="0"/>
        <i val="0"/>
        <strike val="0"/>
        <condense val="0"/>
        <extend val="0"/>
        <outline val="0"/>
        <shadow val="0"/>
        <u val="none"/>
        <vertAlign val="baseline"/>
        <sz val="16"/>
        <color theme="1"/>
        <name val="Arial"/>
        <scheme val="none"/>
      </font>
      <numFmt numFmtId="1" formatCode="0"/>
      <alignment horizontal="center" vertical="bottom"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6"/>
        <color theme="1"/>
        <name val="Arial"/>
        <scheme val="none"/>
      </font>
      <numFmt numFmtId="165" formatCode="0.0%"/>
      <alignment horizontal="center" vertical="bottom" textRotation="0" wrapText="0" indent="0" justifyLastLine="0" shrinkToFit="0" readingOrder="0"/>
      <border diagonalUp="0" diagonalDown="0">
        <left style="thin">
          <color auto="1"/>
        </left>
        <right style="medium">
          <color auto="1"/>
        </right>
        <top/>
        <bottom/>
        <vertical/>
        <horizontal/>
      </border>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6"/>
        <color theme="1"/>
        <name val="Arial"/>
        <scheme val="none"/>
      </font>
      <numFmt numFmtId="165" formatCode="0.0%"/>
      <alignment horizontal="center" vertical="bottom" textRotation="0" wrapText="0" indent="0" justifyLastLine="0" shrinkToFit="0" readingOrder="0"/>
      <border diagonalUp="0" diagonalDown="0">
        <left style="thin">
          <color auto="1"/>
        </left>
        <right style="medium">
          <color auto="1"/>
        </right>
        <top/>
        <bottom/>
        <vertical/>
        <horizontal/>
      </border>
    </dxf>
    <dxf>
      <font>
        <b val="0"/>
        <i val="0"/>
        <strike val="0"/>
        <condense val="0"/>
        <extend val="0"/>
        <outline val="0"/>
        <shadow val="0"/>
        <u val="none"/>
        <vertAlign val="baseline"/>
        <sz val="16"/>
        <color theme="1"/>
        <name val="Arial"/>
        <scheme val="none"/>
      </font>
      <numFmt numFmtId="164" formatCode="0.000"/>
      <alignment horizontal="center"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6"/>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6"/>
        <color theme="1"/>
        <name val="Arial"/>
        <scheme val="none"/>
      </font>
      <border diagonalUp="0" diagonalDown="0">
        <left style="medium">
          <color auto="1"/>
        </left>
        <right style="medium">
          <color auto="1"/>
        </right>
        <top/>
        <bottom style="thin">
          <color auto="1"/>
        </bottom>
        <vertical/>
        <horizontal/>
      </border>
    </dxf>
    <dxf>
      <border outline="0">
        <right style="medium">
          <color auto="1"/>
        </right>
        <top style="medium">
          <color auto="1"/>
        </top>
        <bottom style="medium">
          <color auto="1"/>
        </bottom>
      </border>
    </dxf>
    <dxf>
      <border outline="0">
        <bottom style="medium">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non-renewable primary energy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579446508580368"/>
          <c:y val="0.13401987353206865"/>
          <c:w val="0.74304151375017513"/>
          <c:h val="0.52304079763048894"/>
        </c:manualLayout>
      </c:layout>
      <c:barChart>
        <c:barDir val="col"/>
        <c:grouping val="stacked"/>
        <c:varyColors val="0"/>
        <c:ser>
          <c:idx val="0"/>
          <c:order val="0"/>
          <c:tx>
            <c:strRef>
              <c:f>'Milk alternatives'!$O$5</c:f>
              <c:strCache>
                <c:ptCount val="1"/>
                <c:pt idx="0">
                  <c:v>Almond Milk Materials</c:v>
                </c:pt>
              </c:strCache>
            </c:strRef>
          </c:tx>
          <c:spPr>
            <a:solidFill>
              <a:schemeClr val="accent1"/>
            </a:solidFill>
            <a:ln>
              <a:noFill/>
            </a:ln>
            <a:effectLst/>
          </c:spPr>
          <c:invertIfNegative val="0"/>
          <c:cat>
            <c:strRef>
              <c:f>'Milk alternatives'!$P$4:$Q$4</c:f>
              <c:strCache>
                <c:ptCount val="2"/>
                <c:pt idx="0">
                  <c:v>Almond Milk</c:v>
                </c:pt>
                <c:pt idx="1">
                  <c:v>Dairy Milk</c:v>
                </c:pt>
              </c:strCache>
            </c:strRef>
          </c:cat>
          <c:val>
            <c:numRef>
              <c:f>'Milk alternatives'!$P$5:$Q$5</c:f>
              <c:numCache>
                <c:formatCode>General</c:formatCode>
                <c:ptCount val="2"/>
                <c:pt idx="0" formatCode="0.00000">
                  <c:v>0</c:v>
                </c:pt>
              </c:numCache>
            </c:numRef>
          </c:val>
          <c:extLst>
            <c:ext xmlns:c16="http://schemas.microsoft.com/office/drawing/2014/chart" uri="{C3380CC4-5D6E-409C-BE32-E72D297353CC}">
              <c16:uniqueId val="{00000000-E99F-4665-AB87-81CDB0B17A30}"/>
            </c:ext>
          </c:extLst>
        </c:ser>
        <c:ser>
          <c:idx val="1"/>
          <c:order val="1"/>
          <c:tx>
            <c:strRef>
              <c:f>'Milk alternatives'!$O$6</c:f>
              <c:strCache>
                <c:ptCount val="1"/>
                <c:pt idx="0">
                  <c:v>Almond Milk Processing</c:v>
                </c:pt>
              </c:strCache>
            </c:strRef>
          </c:tx>
          <c:spPr>
            <a:solidFill>
              <a:schemeClr val="accent2"/>
            </a:solidFill>
            <a:ln>
              <a:noFill/>
            </a:ln>
            <a:effectLst/>
          </c:spPr>
          <c:invertIfNegative val="0"/>
          <c:cat>
            <c:strRef>
              <c:f>'Milk alternatives'!$P$4:$Q$4</c:f>
              <c:strCache>
                <c:ptCount val="2"/>
                <c:pt idx="0">
                  <c:v>Almond Milk</c:v>
                </c:pt>
                <c:pt idx="1">
                  <c:v>Dairy Milk</c:v>
                </c:pt>
              </c:strCache>
            </c:strRef>
          </c:cat>
          <c:val>
            <c:numRef>
              <c:f>'Milk alternatives'!$P$6:$Q$6</c:f>
              <c:numCache>
                <c:formatCode>General</c:formatCode>
                <c:ptCount val="2"/>
                <c:pt idx="0" formatCode="0.000">
                  <c:v>0</c:v>
                </c:pt>
              </c:numCache>
            </c:numRef>
          </c:val>
          <c:extLst>
            <c:ext xmlns:c16="http://schemas.microsoft.com/office/drawing/2014/chart" uri="{C3380CC4-5D6E-409C-BE32-E72D297353CC}">
              <c16:uniqueId val="{00000001-E99F-4665-AB87-81CDB0B17A30}"/>
            </c:ext>
          </c:extLst>
        </c:ser>
        <c:ser>
          <c:idx val="2"/>
          <c:order val="2"/>
          <c:tx>
            <c:strRef>
              <c:f>'Milk alternatives'!$O$7</c:f>
              <c:strCache>
                <c:ptCount val="1"/>
                <c:pt idx="0">
                  <c:v>Almond Milk Disposal</c:v>
                </c:pt>
              </c:strCache>
            </c:strRef>
          </c:tx>
          <c:spPr>
            <a:solidFill>
              <a:schemeClr val="accent3"/>
            </a:solidFill>
            <a:ln>
              <a:noFill/>
            </a:ln>
            <a:effectLst/>
          </c:spPr>
          <c:invertIfNegative val="0"/>
          <c:cat>
            <c:strRef>
              <c:f>'Milk alternatives'!$P$4:$Q$4</c:f>
              <c:strCache>
                <c:ptCount val="2"/>
                <c:pt idx="0">
                  <c:v>Almond Milk</c:v>
                </c:pt>
                <c:pt idx="1">
                  <c:v>Dairy Milk</c:v>
                </c:pt>
              </c:strCache>
            </c:strRef>
          </c:cat>
          <c:val>
            <c:numRef>
              <c:f>'Milk alternatives'!$P$7:$Q$7</c:f>
              <c:numCache>
                <c:formatCode>General</c:formatCode>
                <c:ptCount val="2"/>
                <c:pt idx="0" formatCode="0.00000">
                  <c:v>0</c:v>
                </c:pt>
              </c:numCache>
            </c:numRef>
          </c:val>
          <c:extLst>
            <c:ext xmlns:c16="http://schemas.microsoft.com/office/drawing/2014/chart" uri="{C3380CC4-5D6E-409C-BE32-E72D297353CC}">
              <c16:uniqueId val="{00000002-E99F-4665-AB87-81CDB0B17A30}"/>
            </c:ext>
          </c:extLst>
        </c:ser>
        <c:ser>
          <c:idx val="3"/>
          <c:order val="3"/>
          <c:tx>
            <c:strRef>
              <c:f>'Milk alternatives'!$O$8</c:f>
              <c:strCache>
                <c:ptCount val="1"/>
                <c:pt idx="0">
                  <c:v>Dairy Milk Materials</c:v>
                </c:pt>
              </c:strCache>
            </c:strRef>
          </c:tx>
          <c:spPr>
            <a:solidFill>
              <a:schemeClr val="accent4"/>
            </a:solidFill>
            <a:ln>
              <a:noFill/>
            </a:ln>
            <a:effectLst/>
          </c:spPr>
          <c:invertIfNegative val="0"/>
          <c:cat>
            <c:strRef>
              <c:f>'Milk alternatives'!$P$4:$Q$4</c:f>
              <c:strCache>
                <c:ptCount val="2"/>
                <c:pt idx="0">
                  <c:v>Almond Milk</c:v>
                </c:pt>
                <c:pt idx="1">
                  <c:v>Dairy Milk</c:v>
                </c:pt>
              </c:strCache>
            </c:strRef>
          </c:cat>
          <c:val>
            <c:numRef>
              <c:f>'Milk alternatives'!$P$8:$Q$8</c:f>
              <c:numCache>
                <c:formatCode>0.000</c:formatCode>
                <c:ptCount val="2"/>
                <c:pt idx="1">
                  <c:v>0</c:v>
                </c:pt>
              </c:numCache>
            </c:numRef>
          </c:val>
          <c:extLst>
            <c:ext xmlns:c16="http://schemas.microsoft.com/office/drawing/2014/chart" uri="{C3380CC4-5D6E-409C-BE32-E72D297353CC}">
              <c16:uniqueId val="{00000003-E99F-4665-AB87-81CDB0B17A30}"/>
            </c:ext>
          </c:extLst>
        </c:ser>
        <c:ser>
          <c:idx val="4"/>
          <c:order val="4"/>
          <c:tx>
            <c:strRef>
              <c:f>'Milk alternatives'!$O$9</c:f>
              <c:strCache>
                <c:ptCount val="1"/>
                <c:pt idx="0">
                  <c:v>Dairy Milk Processing</c:v>
                </c:pt>
              </c:strCache>
            </c:strRef>
          </c:tx>
          <c:spPr>
            <a:solidFill>
              <a:schemeClr val="accent5"/>
            </a:solidFill>
            <a:ln>
              <a:noFill/>
            </a:ln>
            <a:effectLst/>
          </c:spPr>
          <c:invertIfNegative val="0"/>
          <c:cat>
            <c:strRef>
              <c:f>'Milk alternatives'!$P$4:$Q$4</c:f>
              <c:strCache>
                <c:ptCount val="2"/>
                <c:pt idx="0">
                  <c:v>Almond Milk</c:v>
                </c:pt>
                <c:pt idx="1">
                  <c:v>Dairy Milk</c:v>
                </c:pt>
              </c:strCache>
            </c:strRef>
          </c:cat>
          <c:val>
            <c:numRef>
              <c:f>'Milk alternatives'!$P$9:$Q$9</c:f>
              <c:numCache>
                <c:formatCode>0.000</c:formatCode>
                <c:ptCount val="2"/>
                <c:pt idx="1">
                  <c:v>0</c:v>
                </c:pt>
              </c:numCache>
            </c:numRef>
          </c:val>
          <c:extLst>
            <c:ext xmlns:c16="http://schemas.microsoft.com/office/drawing/2014/chart" uri="{C3380CC4-5D6E-409C-BE32-E72D297353CC}">
              <c16:uniqueId val="{00000004-E99F-4665-AB87-81CDB0B17A30}"/>
            </c:ext>
          </c:extLst>
        </c:ser>
        <c:ser>
          <c:idx val="5"/>
          <c:order val="5"/>
          <c:tx>
            <c:strRef>
              <c:f>'Milk alternatives'!$O$10</c:f>
              <c:strCache>
                <c:ptCount val="1"/>
                <c:pt idx="0">
                  <c:v>Dairy Milk Disposal</c:v>
                </c:pt>
              </c:strCache>
            </c:strRef>
          </c:tx>
          <c:spPr>
            <a:solidFill>
              <a:schemeClr val="accent6"/>
            </a:solidFill>
            <a:ln>
              <a:noFill/>
            </a:ln>
            <a:effectLst/>
          </c:spPr>
          <c:invertIfNegative val="0"/>
          <c:cat>
            <c:strRef>
              <c:f>'Milk alternatives'!$P$4:$Q$4</c:f>
              <c:strCache>
                <c:ptCount val="2"/>
                <c:pt idx="0">
                  <c:v>Almond Milk</c:v>
                </c:pt>
                <c:pt idx="1">
                  <c:v>Dairy Milk</c:v>
                </c:pt>
              </c:strCache>
            </c:strRef>
          </c:cat>
          <c:val>
            <c:numRef>
              <c:f>'Milk alternatives'!$P$10:$Q$10</c:f>
              <c:numCache>
                <c:formatCode>0.000</c:formatCode>
                <c:ptCount val="2"/>
                <c:pt idx="1">
                  <c:v>0</c:v>
                </c:pt>
              </c:numCache>
            </c:numRef>
          </c:val>
          <c:extLst>
            <c:ext xmlns:c16="http://schemas.microsoft.com/office/drawing/2014/chart" uri="{C3380CC4-5D6E-409C-BE32-E72D297353CC}">
              <c16:uniqueId val="{00000005-E99F-4665-AB87-81CDB0B17A30}"/>
            </c:ext>
          </c:extLst>
        </c:ser>
        <c:ser>
          <c:idx val="6"/>
          <c:order val="6"/>
          <c:tx>
            <c:strRef>
              <c:f>'Milk alternatives'!$O$11</c:f>
              <c:strCache>
                <c:ptCount val="1"/>
                <c:pt idx="0">
                  <c:v>Transportation to sale</c:v>
                </c:pt>
              </c:strCache>
            </c:strRef>
          </c:tx>
          <c:spPr>
            <a:solidFill>
              <a:schemeClr val="accent1">
                <a:lumMod val="60000"/>
              </a:schemeClr>
            </a:solidFill>
            <a:ln>
              <a:noFill/>
            </a:ln>
            <a:effectLst/>
          </c:spPr>
          <c:invertIfNegative val="0"/>
          <c:cat>
            <c:strRef>
              <c:f>'Milk alternatives'!$P$4:$Q$4</c:f>
              <c:strCache>
                <c:ptCount val="2"/>
                <c:pt idx="0">
                  <c:v>Almond Milk</c:v>
                </c:pt>
                <c:pt idx="1">
                  <c:v>Dairy Milk</c:v>
                </c:pt>
              </c:strCache>
            </c:strRef>
          </c:cat>
          <c:val>
            <c:numRef>
              <c:f>'Milk alternatives'!$P$11:$Q$11</c:f>
              <c:numCache>
                <c:formatCode>0.000</c:formatCode>
                <c:ptCount val="2"/>
                <c:pt idx="0" formatCode="General">
                  <c:v>0</c:v>
                </c:pt>
                <c:pt idx="1">
                  <c:v>0</c:v>
                </c:pt>
              </c:numCache>
            </c:numRef>
          </c:val>
          <c:extLst>
            <c:ext xmlns:c16="http://schemas.microsoft.com/office/drawing/2014/chart" uri="{C3380CC4-5D6E-409C-BE32-E72D297353CC}">
              <c16:uniqueId val="{00000006-E99F-4665-AB87-81CDB0B17A30}"/>
            </c:ext>
          </c:extLst>
        </c:ser>
        <c:ser>
          <c:idx val="7"/>
          <c:order val="7"/>
          <c:tx>
            <c:strRef>
              <c:f>'Milk alternatives'!$O$12</c:f>
              <c:strCache>
                <c:ptCount val="1"/>
                <c:pt idx="0">
                  <c:v>Transportation consumer</c:v>
                </c:pt>
              </c:strCache>
            </c:strRef>
          </c:tx>
          <c:spPr>
            <a:solidFill>
              <a:schemeClr val="accent2">
                <a:lumMod val="60000"/>
              </a:schemeClr>
            </a:solidFill>
            <a:ln>
              <a:noFill/>
            </a:ln>
            <a:effectLst/>
          </c:spPr>
          <c:invertIfNegative val="0"/>
          <c:cat>
            <c:strRef>
              <c:f>'Milk alternatives'!$P$4:$Q$4</c:f>
              <c:strCache>
                <c:ptCount val="2"/>
                <c:pt idx="0">
                  <c:v>Almond Milk</c:v>
                </c:pt>
                <c:pt idx="1">
                  <c:v>Dairy Milk</c:v>
                </c:pt>
              </c:strCache>
            </c:strRef>
          </c:cat>
          <c:val>
            <c:numRef>
              <c:f>'Milk alternatives'!$P$12:$Q$12</c:f>
              <c:numCache>
                <c:formatCode>0.00000</c:formatCode>
                <c:ptCount val="2"/>
                <c:pt idx="0" formatCode="0.000">
                  <c:v>0</c:v>
                </c:pt>
                <c:pt idx="1">
                  <c:v>0</c:v>
                </c:pt>
              </c:numCache>
            </c:numRef>
          </c:val>
          <c:extLst xmlns:c15="http://schemas.microsoft.com/office/drawing/2012/chart">
            <c:ext xmlns:c16="http://schemas.microsoft.com/office/drawing/2014/chart" uri="{C3380CC4-5D6E-409C-BE32-E72D297353CC}">
              <c16:uniqueId val="{00000007-E99F-4665-AB87-81CDB0B17A30}"/>
            </c:ext>
          </c:extLst>
        </c:ser>
        <c:dLbls>
          <c:showLegendKey val="0"/>
          <c:showVal val="0"/>
          <c:showCatName val="0"/>
          <c:showSerName val="0"/>
          <c:showPercent val="0"/>
          <c:showBubbleSize val="0"/>
        </c:dLbls>
        <c:gapWidth val="150"/>
        <c:overlap val="100"/>
        <c:axId val="-838158336"/>
        <c:axId val="-838158880"/>
      </c:barChart>
      <c:catAx>
        <c:axId val="-8381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8158880"/>
        <c:crossesAt val="-5.000000000000001E-2"/>
        <c:auto val="1"/>
        <c:lblAlgn val="ctr"/>
        <c:lblOffset val="100"/>
        <c:noMultiLvlLbl val="0"/>
      </c:catAx>
      <c:valAx>
        <c:axId val="-83815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primary energy [MJ/FU]</a:t>
                </a:r>
              </a:p>
            </c:rich>
          </c:tx>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8158336"/>
        <c:crosses val="autoZero"/>
        <c:crossBetween val="between"/>
      </c:valAx>
      <c:spPr>
        <a:noFill/>
        <a:ln>
          <a:noFill/>
        </a:ln>
        <a:effectLst/>
      </c:spPr>
    </c:plotArea>
    <c:legend>
      <c:legendPos val="b"/>
      <c:layout>
        <c:manualLayout>
          <c:xMode val="edge"/>
          <c:yMode val="edge"/>
          <c:x val="0"/>
          <c:y val="0.77348238322458074"/>
          <c:w val="1"/>
          <c:h val="0.1484705336769503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Global warming scores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68636914319852"/>
          <c:y val="0.13401987353206865"/>
          <c:w val="0.69516983218493889"/>
          <c:h val="0.56447199913385826"/>
        </c:manualLayout>
      </c:layout>
      <c:barChart>
        <c:barDir val="col"/>
        <c:grouping val="stacked"/>
        <c:varyColors val="0"/>
        <c:ser>
          <c:idx val="0"/>
          <c:order val="0"/>
          <c:tx>
            <c:strRef>
              <c:f>'Milk alternatives'!$W$5</c:f>
              <c:strCache>
                <c:ptCount val="1"/>
                <c:pt idx="0">
                  <c:v>Almond Milk Materials</c:v>
                </c:pt>
              </c:strCache>
            </c:strRef>
          </c:tx>
          <c:spPr>
            <a:solidFill>
              <a:schemeClr val="accent1"/>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alternatives'!$X$5:$AA$5</c:f>
              <c:numCache>
                <c:formatCode>0.00000</c:formatCode>
                <c:ptCount val="4"/>
                <c:pt idx="0">
                  <c:v>0</c:v>
                </c:pt>
              </c:numCache>
            </c:numRef>
          </c:val>
          <c:extLst>
            <c:ext xmlns:c16="http://schemas.microsoft.com/office/drawing/2014/chart" uri="{C3380CC4-5D6E-409C-BE32-E72D297353CC}">
              <c16:uniqueId val="{00000000-E99F-4665-AB87-81CDB0B17A30}"/>
            </c:ext>
          </c:extLst>
        </c:ser>
        <c:ser>
          <c:idx val="1"/>
          <c:order val="1"/>
          <c:tx>
            <c:strRef>
              <c:f>'Milk alternatives'!$W$6</c:f>
              <c:strCache>
                <c:ptCount val="1"/>
                <c:pt idx="0">
                  <c:v>Almond Milk Processing</c:v>
                </c:pt>
              </c:strCache>
            </c:strRef>
          </c:tx>
          <c:spPr>
            <a:solidFill>
              <a:schemeClr val="accent2"/>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alternatives'!$X$6:$AA$6</c:f>
              <c:numCache>
                <c:formatCode>0.000</c:formatCode>
                <c:ptCount val="4"/>
                <c:pt idx="0">
                  <c:v>0</c:v>
                </c:pt>
              </c:numCache>
            </c:numRef>
          </c:val>
          <c:extLst>
            <c:ext xmlns:c16="http://schemas.microsoft.com/office/drawing/2014/chart" uri="{C3380CC4-5D6E-409C-BE32-E72D297353CC}">
              <c16:uniqueId val="{00000001-E99F-4665-AB87-81CDB0B17A30}"/>
            </c:ext>
          </c:extLst>
        </c:ser>
        <c:ser>
          <c:idx val="2"/>
          <c:order val="2"/>
          <c:tx>
            <c:strRef>
              <c:f>'Milk alternatives'!$W$7</c:f>
              <c:strCache>
                <c:ptCount val="1"/>
                <c:pt idx="0">
                  <c:v>Almond Milk Disposal</c:v>
                </c:pt>
              </c:strCache>
            </c:strRef>
          </c:tx>
          <c:spPr>
            <a:solidFill>
              <a:schemeClr val="accent3"/>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alternatives'!$X$7:$AA$7</c:f>
              <c:numCache>
                <c:formatCode>0.00000</c:formatCode>
                <c:ptCount val="4"/>
                <c:pt idx="0">
                  <c:v>0</c:v>
                </c:pt>
              </c:numCache>
            </c:numRef>
          </c:val>
          <c:extLst>
            <c:ext xmlns:c16="http://schemas.microsoft.com/office/drawing/2014/chart" uri="{C3380CC4-5D6E-409C-BE32-E72D297353CC}">
              <c16:uniqueId val="{00000002-E99F-4665-AB87-81CDB0B17A30}"/>
            </c:ext>
          </c:extLst>
        </c:ser>
        <c:ser>
          <c:idx val="3"/>
          <c:order val="3"/>
          <c:tx>
            <c:strRef>
              <c:f>'Milk alternatives'!$W$8</c:f>
              <c:strCache>
                <c:ptCount val="1"/>
                <c:pt idx="0">
                  <c:v>Dairy Milk Materials</c:v>
                </c:pt>
              </c:strCache>
            </c:strRef>
          </c:tx>
          <c:spPr>
            <a:solidFill>
              <a:schemeClr val="accent4"/>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alternatives'!$X$8:$AA$8</c:f>
              <c:numCache>
                <c:formatCode>General</c:formatCode>
                <c:ptCount val="4"/>
                <c:pt idx="2" formatCode="0.000">
                  <c:v>0</c:v>
                </c:pt>
              </c:numCache>
            </c:numRef>
          </c:val>
          <c:extLst>
            <c:ext xmlns:c16="http://schemas.microsoft.com/office/drawing/2014/chart" uri="{C3380CC4-5D6E-409C-BE32-E72D297353CC}">
              <c16:uniqueId val="{00000003-E99F-4665-AB87-81CDB0B17A30}"/>
            </c:ext>
          </c:extLst>
        </c:ser>
        <c:ser>
          <c:idx val="4"/>
          <c:order val="4"/>
          <c:tx>
            <c:strRef>
              <c:f>'Milk alternatives'!$W$9</c:f>
              <c:strCache>
                <c:ptCount val="1"/>
                <c:pt idx="0">
                  <c:v>Dairy Milk Processing</c:v>
                </c:pt>
              </c:strCache>
            </c:strRef>
          </c:tx>
          <c:spPr>
            <a:solidFill>
              <a:schemeClr val="accent5"/>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alternatives'!$X$9:$AA$9</c:f>
              <c:numCache>
                <c:formatCode>General</c:formatCode>
                <c:ptCount val="4"/>
                <c:pt idx="2" formatCode="0.000">
                  <c:v>0</c:v>
                </c:pt>
              </c:numCache>
            </c:numRef>
          </c:val>
          <c:extLst>
            <c:ext xmlns:c16="http://schemas.microsoft.com/office/drawing/2014/chart" uri="{C3380CC4-5D6E-409C-BE32-E72D297353CC}">
              <c16:uniqueId val="{00000004-E99F-4665-AB87-81CDB0B17A30}"/>
            </c:ext>
          </c:extLst>
        </c:ser>
        <c:ser>
          <c:idx val="5"/>
          <c:order val="5"/>
          <c:tx>
            <c:strRef>
              <c:f>'Milk alternatives'!$W$10</c:f>
              <c:strCache>
                <c:ptCount val="1"/>
                <c:pt idx="0">
                  <c:v>Dairy Milk Disposal</c:v>
                </c:pt>
              </c:strCache>
            </c:strRef>
          </c:tx>
          <c:spPr>
            <a:solidFill>
              <a:schemeClr val="accent6"/>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alternatives'!$X$10:$AA$10</c:f>
              <c:numCache>
                <c:formatCode>General</c:formatCode>
                <c:ptCount val="4"/>
                <c:pt idx="2" formatCode="0.000">
                  <c:v>0</c:v>
                </c:pt>
              </c:numCache>
            </c:numRef>
          </c:val>
          <c:extLst>
            <c:ext xmlns:c16="http://schemas.microsoft.com/office/drawing/2014/chart" uri="{C3380CC4-5D6E-409C-BE32-E72D297353CC}">
              <c16:uniqueId val="{00000005-E99F-4665-AB87-81CDB0B17A30}"/>
            </c:ext>
          </c:extLst>
        </c:ser>
        <c:ser>
          <c:idx val="6"/>
          <c:order val="6"/>
          <c:tx>
            <c:strRef>
              <c:f>'Milk alternatives'!$W$11</c:f>
              <c:strCache>
                <c:ptCount val="1"/>
                <c:pt idx="0">
                  <c:v>Transportation to sale</c:v>
                </c:pt>
              </c:strCache>
            </c:strRef>
          </c:tx>
          <c:spPr>
            <a:solidFill>
              <a:schemeClr val="accent1">
                <a:lumMod val="60000"/>
              </a:schemeClr>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alternatives'!$X$11:$AA$11</c:f>
              <c:numCache>
                <c:formatCode>General</c:formatCode>
                <c:ptCount val="4"/>
                <c:pt idx="0" formatCode="0.00000">
                  <c:v>0</c:v>
                </c:pt>
                <c:pt idx="2" formatCode="0.000">
                  <c:v>0</c:v>
                </c:pt>
              </c:numCache>
            </c:numRef>
          </c:val>
          <c:extLst>
            <c:ext xmlns:c16="http://schemas.microsoft.com/office/drawing/2014/chart" uri="{C3380CC4-5D6E-409C-BE32-E72D297353CC}">
              <c16:uniqueId val="{00000006-E99F-4665-AB87-81CDB0B17A30}"/>
            </c:ext>
          </c:extLst>
        </c:ser>
        <c:ser>
          <c:idx val="7"/>
          <c:order val="7"/>
          <c:tx>
            <c:strRef>
              <c:f>'Milk alternatives'!$W$12</c:f>
              <c:strCache>
                <c:ptCount val="1"/>
                <c:pt idx="0">
                  <c:v>Transportation consumer</c:v>
                </c:pt>
              </c:strCache>
            </c:strRef>
          </c:tx>
          <c:spPr>
            <a:solidFill>
              <a:schemeClr val="accent2">
                <a:lumMod val="60000"/>
              </a:schemeClr>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alternatives'!$X$12:$AA$12</c:f>
              <c:numCache>
                <c:formatCode>0.000</c:formatCode>
                <c:ptCount val="4"/>
                <c:pt idx="0">
                  <c:v>0</c:v>
                </c:pt>
                <c:pt idx="2" formatCode="0.00000">
                  <c:v>0</c:v>
                </c:pt>
              </c:numCache>
            </c:numRef>
          </c:val>
          <c:extLst>
            <c:ext xmlns:c16="http://schemas.microsoft.com/office/drawing/2014/chart" uri="{C3380CC4-5D6E-409C-BE32-E72D297353CC}">
              <c16:uniqueId val="{00000000-D405-4E84-BE2C-6937E1277820}"/>
            </c:ext>
          </c:extLst>
        </c:ser>
        <c:ser>
          <c:idx val="8"/>
          <c:order val="8"/>
          <c:tx>
            <c:strRef>
              <c:f>'Milk alternatives'!$W$13</c:f>
              <c:strCache>
                <c:ptCount val="1"/>
                <c:pt idx="0">
                  <c:v>Net value</c:v>
                </c:pt>
              </c:strCache>
            </c:strRef>
          </c:tx>
          <c:spPr>
            <a:solidFill>
              <a:schemeClr val="accent3">
                <a:lumMod val="60000"/>
              </a:schemeClr>
            </a:solidFill>
            <a:ln>
              <a:noFill/>
            </a:ln>
            <a:effectLst/>
          </c:spPr>
          <c:invertIfNegative val="0"/>
          <c:cat>
            <c:strRef>
              <c:f>'Milk alternatives'!$X$4:$AA$4</c:f>
              <c:strCache>
                <c:ptCount val="4"/>
                <c:pt idx="0">
                  <c:v>Almond Milk</c:v>
                </c:pt>
                <c:pt idx="1">
                  <c:v>Almond milk Open LCA</c:v>
                </c:pt>
                <c:pt idx="2">
                  <c:v>Dairy Milk</c:v>
                </c:pt>
                <c:pt idx="3">
                  <c:v>Dairy Milk Open LCA</c:v>
                </c:pt>
              </c:strCache>
            </c:strRef>
          </c:cat>
          <c:val>
            <c:numRef>
              <c:f>'Milk alternatives'!$X$13:$AA$13</c:f>
              <c:numCache>
                <c:formatCode>0.00000</c:formatCode>
                <c:ptCount val="4"/>
              </c:numCache>
            </c:numRef>
          </c:val>
          <c:extLst>
            <c:ext xmlns:c16="http://schemas.microsoft.com/office/drawing/2014/chart" uri="{C3380CC4-5D6E-409C-BE32-E72D297353CC}">
              <c16:uniqueId val="{00000000-4404-4569-B041-0F6D8A22F686}"/>
            </c:ext>
          </c:extLst>
        </c:ser>
        <c:dLbls>
          <c:showLegendKey val="0"/>
          <c:showVal val="0"/>
          <c:showCatName val="0"/>
          <c:showSerName val="0"/>
          <c:showPercent val="0"/>
          <c:showBubbleSize val="0"/>
        </c:dLbls>
        <c:gapWidth val="219"/>
        <c:overlap val="100"/>
        <c:axId val="-844781248"/>
        <c:axId val="-844787232"/>
      </c:barChart>
      <c:catAx>
        <c:axId val="-8447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7232"/>
        <c:crossesAt val="-5.000000000000001E-2"/>
        <c:auto val="1"/>
        <c:lblAlgn val="ctr"/>
        <c:lblOffset val="100"/>
        <c:noMultiLvlLbl val="0"/>
      </c:catAx>
      <c:valAx>
        <c:axId val="-84478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Carbon footprint [kg</a:t>
                </a:r>
                <a:r>
                  <a:rPr lang="en-US" sz="1400" baseline="-25000"/>
                  <a:t>CO2equ</a:t>
                </a:r>
                <a:r>
                  <a:rPr lang="en-US" sz="1400"/>
                  <a:t>/FU]</a:t>
                </a:r>
              </a:p>
            </c:rich>
          </c:tx>
          <c:layout>
            <c:manualLayout>
              <c:xMode val="edge"/>
              <c:yMode val="edge"/>
              <c:x val="6.0985032850096509E-2"/>
              <c:y val="0.2273378248101153"/>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1248"/>
        <c:crosses val="autoZero"/>
        <c:crossBetween val="between"/>
      </c:valAx>
      <c:spPr>
        <a:noFill/>
        <a:ln>
          <a:noFill/>
        </a:ln>
        <a:effectLst/>
      </c:spPr>
    </c:plotArea>
    <c:legend>
      <c:legendPos val="b"/>
      <c:layout>
        <c:manualLayout>
          <c:xMode val="edge"/>
          <c:yMode val="edge"/>
          <c:x val="0"/>
          <c:y val="0.80991430538714482"/>
          <c:w val="0.56585330164561187"/>
          <c:h val="0.1741587180286548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Sensitivity study-</a:t>
            </a:r>
            <a:r>
              <a:rPr lang="en-US" baseline="0"/>
              <a:t> Transportation distance to sale almond milk - </a:t>
            </a:r>
            <a:r>
              <a:rPr lang="en-US"/>
              <a:t>Comparison of fossil CO2</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68636914319852"/>
          <c:y val="0.13401987353206865"/>
          <c:w val="0.69516983218493889"/>
          <c:h val="0.52304079763048894"/>
        </c:manualLayout>
      </c:layout>
      <c:barChart>
        <c:barDir val="col"/>
        <c:grouping val="stacked"/>
        <c:varyColors val="0"/>
        <c:ser>
          <c:idx val="0"/>
          <c:order val="0"/>
          <c:tx>
            <c:strRef>
              <c:f>'Milk alternatives'!$AC$5</c:f>
              <c:strCache>
                <c:ptCount val="1"/>
                <c:pt idx="0">
                  <c:v>Almond Milk Materials</c:v>
                </c:pt>
              </c:strCache>
            </c:strRef>
          </c:tx>
          <c:spPr>
            <a:solidFill>
              <a:schemeClr val="accent1"/>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alternatives'!$AD$5:$AJ$5</c:f>
              <c:numCache>
                <c:formatCode>0.00000</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0-B0BC-45AB-9B6A-B002554A8360}"/>
            </c:ext>
          </c:extLst>
        </c:ser>
        <c:ser>
          <c:idx val="1"/>
          <c:order val="1"/>
          <c:tx>
            <c:strRef>
              <c:f>'Milk alternatives'!$AC$6</c:f>
              <c:strCache>
                <c:ptCount val="1"/>
                <c:pt idx="0">
                  <c:v>Almond Milk Processing</c:v>
                </c:pt>
              </c:strCache>
            </c:strRef>
          </c:tx>
          <c:spPr>
            <a:solidFill>
              <a:schemeClr val="accent2"/>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alternatives'!$AD$6:$AJ$6</c:f>
              <c:numCache>
                <c:formatCode>0.00000</c:formatCode>
                <c:ptCount val="7"/>
                <c:pt idx="0">
                  <c:v>0</c:v>
                </c:pt>
                <c:pt idx="1">
                  <c:v>0</c:v>
                </c:pt>
                <c:pt idx="2">
                  <c:v>0</c:v>
                </c:pt>
                <c:pt idx="3" formatCode="0.000">
                  <c:v>0</c:v>
                </c:pt>
                <c:pt idx="4">
                  <c:v>0</c:v>
                </c:pt>
                <c:pt idx="5">
                  <c:v>0</c:v>
                </c:pt>
              </c:numCache>
            </c:numRef>
          </c:val>
          <c:extLst>
            <c:ext xmlns:c16="http://schemas.microsoft.com/office/drawing/2014/chart" uri="{C3380CC4-5D6E-409C-BE32-E72D297353CC}">
              <c16:uniqueId val="{00000001-B0BC-45AB-9B6A-B002554A8360}"/>
            </c:ext>
          </c:extLst>
        </c:ser>
        <c:ser>
          <c:idx val="2"/>
          <c:order val="2"/>
          <c:tx>
            <c:strRef>
              <c:f>'Milk alternatives'!$AC$7</c:f>
              <c:strCache>
                <c:ptCount val="1"/>
                <c:pt idx="0">
                  <c:v>Almond Milk Disposal</c:v>
                </c:pt>
              </c:strCache>
            </c:strRef>
          </c:tx>
          <c:spPr>
            <a:solidFill>
              <a:schemeClr val="accent3"/>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alternatives'!$AD$7:$AJ$7</c:f>
              <c:numCache>
                <c:formatCode>0.00000</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2-B0BC-45AB-9B6A-B002554A8360}"/>
            </c:ext>
          </c:extLst>
        </c:ser>
        <c:ser>
          <c:idx val="3"/>
          <c:order val="3"/>
          <c:tx>
            <c:strRef>
              <c:f>'Milk alternatives'!$AC$8</c:f>
              <c:strCache>
                <c:ptCount val="1"/>
                <c:pt idx="0">
                  <c:v>Dairy Milk Materials</c:v>
                </c:pt>
              </c:strCache>
            </c:strRef>
          </c:tx>
          <c:spPr>
            <a:solidFill>
              <a:schemeClr val="accent4"/>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alternatives'!$AD$8:$AJ$8</c:f>
              <c:numCache>
                <c:formatCode>0.00000</c:formatCode>
                <c:ptCount val="7"/>
                <c:pt idx="6" formatCode="0.000">
                  <c:v>0</c:v>
                </c:pt>
              </c:numCache>
            </c:numRef>
          </c:val>
          <c:extLst>
            <c:ext xmlns:c16="http://schemas.microsoft.com/office/drawing/2014/chart" uri="{C3380CC4-5D6E-409C-BE32-E72D297353CC}">
              <c16:uniqueId val="{00000003-B0BC-45AB-9B6A-B002554A8360}"/>
            </c:ext>
          </c:extLst>
        </c:ser>
        <c:ser>
          <c:idx val="4"/>
          <c:order val="4"/>
          <c:tx>
            <c:strRef>
              <c:f>'Milk alternatives'!$AC$9</c:f>
              <c:strCache>
                <c:ptCount val="1"/>
                <c:pt idx="0">
                  <c:v>Dairy Milk Processing</c:v>
                </c:pt>
              </c:strCache>
            </c:strRef>
          </c:tx>
          <c:spPr>
            <a:solidFill>
              <a:schemeClr val="accent5"/>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alternatives'!$AD$9:$AJ$9</c:f>
              <c:numCache>
                <c:formatCode>0.00000</c:formatCode>
                <c:ptCount val="7"/>
                <c:pt idx="6" formatCode="0.000">
                  <c:v>0</c:v>
                </c:pt>
              </c:numCache>
            </c:numRef>
          </c:val>
          <c:extLst>
            <c:ext xmlns:c16="http://schemas.microsoft.com/office/drawing/2014/chart" uri="{C3380CC4-5D6E-409C-BE32-E72D297353CC}">
              <c16:uniqueId val="{00000004-B0BC-45AB-9B6A-B002554A8360}"/>
            </c:ext>
          </c:extLst>
        </c:ser>
        <c:ser>
          <c:idx val="5"/>
          <c:order val="5"/>
          <c:tx>
            <c:strRef>
              <c:f>'Milk alternatives'!$AC$10</c:f>
              <c:strCache>
                <c:ptCount val="1"/>
                <c:pt idx="0">
                  <c:v>Dairy Milk Disposal</c:v>
                </c:pt>
              </c:strCache>
            </c:strRef>
          </c:tx>
          <c:spPr>
            <a:solidFill>
              <a:schemeClr val="accent6"/>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alternatives'!$AD$10:$AJ$10</c:f>
              <c:numCache>
                <c:formatCode>0.00000</c:formatCode>
                <c:ptCount val="7"/>
                <c:pt idx="6" formatCode="0.000">
                  <c:v>0</c:v>
                </c:pt>
              </c:numCache>
            </c:numRef>
          </c:val>
          <c:extLst>
            <c:ext xmlns:c16="http://schemas.microsoft.com/office/drawing/2014/chart" uri="{C3380CC4-5D6E-409C-BE32-E72D297353CC}">
              <c16:uniqueId val="{00000005-B0BC-45AB-9B6A-B002554A8360}"/>
            </c:ext>
          </c:extLst>
        </c:ser>
        <c:ser>
          <c:idx val="6"/>
          <c:order val="6"/>
          <c:tx>
            <c:strRef>
              <c:f>'Milk alternatives'!$AC$11</c:f>
              <c:strCache>
                <c:ptCount val="1"/>
                <c:pt idx="0">
                  <c:v>Transportation to sale</c:v>
                </c:pt>
              </c:strCache>
            </c:strRef>
          </c:tx>
          <c:spPr>
            <a:solidFill>
              <a:schemeClr val="accent1">
                <a:lumMod val="60000"/>
              </a:schemeClr>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alternatives'!$AD$11:$AJ$11</c:f>
              <c:numCache>
                <c:formatCode>0.000</c:formatCode>
                <c:ptCount val="7"/>
                <c:pt idx="0">
                  <c:v>0</c:v>
                </c:pt>
                <c:pt idx="1">
                  <c:v>0</c:v>
                </c:pt>
                <c:pt idx="2">
                  <c:v>0</c:v>
                </c:pt>
                <c:pt idx="3" formatCode="General">
                  <c:v>0</c:v>
                </c:pt>
                <c:pt idx="4">
                  <c:v>0</c:v>
                </c:pt>
                <c:pt idx="5">
                  <c:v>0</c:v>
                </c:pt>
                <c:pt idx="6">
                  <c:v>0</c:v>
                </c:pt>
              </c:numCache>
            </c:numRef>
          </c:val>
          <c:extLst>
            <c:ext xmlns:c16="http://schemas.microsoft.com/office/drawing/2014/chart" uri="{C3380CC4-5D6E-409C-BE32-E72D297353CC}">
              <c16:uniqueId val="{00000006-B0BC-45AB-9B6A-B002554A8360}"/>
            </c:ext>
          </c:extLst>
        </c:ser>
        <c:ser>
          <c:idx val="7"/>
          <c:order val="7"/>
          <c:tx>
            <c:strRef>
              <c:f>'Milk alternatives'!$AC$12</c:f>
              <c:strCache>
                <c:ptCount val="1"/>
                <c:pt idx="0">
                  <c:v>Transportation consumer</c:v>
                </c:pt>
              </c:strCache>
            </c:strRef>
          </c:tx>
          <c:spPr>
            <a:solidFill>
              <a:schemeClr val="accent2">
                <a:lumMod val="60000"/>
              </a:schemeClr>
            </a:solidFill>
            <a:ln>
              <a:noFill/>
            </a:ln>
            <a:effectLst/>
          </c:spPr>
          <c:invertIfNegative val="0"/>
          <c:cat>
            <c:strRef>
              <c:f>'Milk alternatives'!$AD$4:$AJ$4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alternatives'!$AD$12:$AJ$12</c:f>
              <c:numCache>
                <c:formatCode>0.00000</c:formatCode>
                <c:ptCount val="7"/>
                <c:pt idx="0">
                  <c:v>0</c:v>
                </c:pt>
                <c:pt idx="1">
                  <c:v>0</c:v>
                </c:pt>
                <c:pt idx="2">
                  <c:v>0</c:v>
                </c:pt>
                <c:pt idx="3" formatCode="0.000">
                  <c:v>0</c:v>
                </c:pt>
                <c:pt idx="4">
                  <c:v>0</c:v>
                </c:pt>
                <c:pt idx="5">
                  <c:v>0</c:v>
                </c:pt>
                <c:pt idx="6">
                  <c:v>0</c:v>
                </c:pt>
              </c:numCache>
            </c:numRef>
          </c:val>
          <c:extLst xmlns:c15="http://schemas.microsoft.com/office/drawing/2012/chart">
            <c:ext xmlns:c16="http://schemas.microsoft.com/office/drawing/2014/chart" uri="{C3380CC4-5D6E-409C-BE32-E72D297353CC}">
              <c16:uniqueId val="{00000007-B0BC-45AB-9B6A-B002554A8360}"/>
            </c:ext>
          </c:extLst>
        </c:ser>
        <c:dLbls>
          <c:showLegendKey val="0"/>
          <c:showVal val="0"/>
          <c:showCatName val="0"/>
          <c:showSerName val="0"/>
          <c:showPercent val="0"/>
          <c:showBubbleSize val="0"/>
        </c:dLbls>
        <c:gapWidth val="150"/>
        <c:overlap val="100"/>
        <c:axId val="-844781248"/>
        <c:axId val="-844787232"/>
      </c:barChart>
      <c:catAx>
        <c:axId val="-8447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7232"/>
        <c:crossesAt val="-5.000000000000001E-2"/>
        <c:auto val="1"/>
        <c:lblAlgn val="ctr"/>
        <c:lblOffset val="100"/>
        <c:noMultiLvlLbl val="0"/>
      </c:catAx>
      <c:valAx>
        <c:axId val="-84478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Fossi CO2[kg</a:t>
                </a:r>
                <a:r>
                  <a:rPr lang="en-US" sz="1400" baseline="-25000"/>
                  <a:t>CO2</a:t>
                </a:r>
                <a:r>
                  <a:rPr lang="en-US" sz="1400"/>
                  <a:t>/FU]</a:t>
                </a:r>
              </a:p>
            </c:rich>
          </c:tx>
          <c:layout>
            <c:manualLayout>
              <c:xMode val="edge"/>
              <c:yMode val="edge"/>
              <c:x val="6.0985032850096509E-2"/>
              <c:y val="0.2273378248101153"/>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1248"/>
        <c:crosses val="autoZero"/>
        <c:crossBetween val="between"/>
      </c:valAx>
      <c:spPr>
        <a:noFill/>
        <a:ln>
          <a:noFill/>
        </a:ln>
        <a:effectLst/>
      </c:spPr>
    </c:plotArea>
    <c:legend>
      <c:legendPos val="b"/>
      <c:layout>
        <c:manualLayout>
          <c:xMode val="edge"/>
          <c:yMode val="edge"/>
          <c:x val="0"/>
          <c:y val="0.77348238322458074"/>
          <c:w val="1"/>
          <c:h val="0.1877718632903068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fossil CO2</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68636914319852"/>
          <c:y val="0.13401987353206865"/>
          <c:w val="0.69516983218493889"/>
          <c:h val="0.57519271549394779"/>
        </c:manualLayout>
      </c:layout>
      <c:barChart>
        <c:barDir val="col"/>
        <c:grouping val="stacked"/>
        <c:varyColors val="0"/>
        <c:ser>
          <c:idx val="0"/>
          <c:order val="0"/>
          <c:tx>
            <c:strRef>
              <c:f>'Milk alternatives'!$S$5</c:f>
              <c:strCache>
                <c:ptCount val="1"/>
                <c:pt idx="0">
                  <c:v>Almond Milk Materials</c:v>
                </c:pt>
              </c:strCache>
            </c:strRef>
          </c:tx>
          <c:spPr>
            <a:solidFill>
              <a:schemeClr val="accent1"/>
            </a:solidFill>
            <a:ln>
              <a:noFill/>
            </a:ln>
            <a:effectLst/>
          </c:spPr>
          <c:invertIfNegative val="0"/>
          <c:cat>
            <c:strRef>
              <c:f>'Milk alternatives'!$T$4:$U$4</c:f>
              <c:strCache>
                <c:ptCount val="2"/>
                <c:pt idx="0">
                  <c:v>Almond Milk</c:v>
                </c:pt>
                <c:pt idx="1">
                  <c:v>Dairy Milk</c:v>
                </c:pt>
              </c:strCache>
            </c:strRef>
          </c:cat>
          <c:val>
            <c:numRef>
              <c:f>'Milk alternatives'!$T$5:$U$5</c:f>
              <c:numCache>
                <c:formatCode>General</c:formatCode>
                <c:ptCount val="2"/>
                <c:pt idx="0" formatCode="0.00000">
                  <c:v>0</c:v>
                </c:pt>
              </c:numCache>
            </c:numRef>
          </c:val>
          <c:extLst>
            <c:ext xmlns:c16="http://schemas.microsoft.com/office/drawing/2014/chart" uri="{C3380CC4-5D6E-409C-BE32-E72D297353CC}">
              <c16:uniqueId val="{00000000-9C86-4F7C-9899-B468AF875CC0}"/>
            </c:ext>
          </c:extLst>
        </c:ser>
        <c:ser>
          <c:idx val="1"/>
          <c:order val="1"/>
          <c:tx>
            <c:strRef>
              <c:f>'Milk alternatives'!$S$6</c:f>
              <c:strCache>
                <c:ptCount val="1"/>
                <c:pt idx="0">
                  <c:v>Almond Milk Processing</c:v>
                </c:pt>
              </c:strCache>
            </c:strRef>
          </c:tx>
          <c:spPr>
            <a:solidFill>
              <a:schemeClr val="accent2"/>
            </a:solidFill>
            <a:ln>
              <a:noFill/>
            </a:ln>
            <a:effectLst/>
          </c:spPr>
          <c:invertIfNegative val="0"/>
          <c:cat>
            <c:strRef>
              <c:f>'Milk alternatives'!$T$4:$U$4</c:f>
              <c:strCache>
                <c:ptCount val="2"/>
                <c:pt idx="0">
                  <c:v>Almond Milk</c:v>
                </c:pt>
                <c:pt idx="1">
                  <c:v>Dairy Milk</c:v>
                </c:pt>
              </c:strCache>
            </c:strRef>
          </c:cat>
          <c:val>
            <c:numRef>
              <c:f>'Milk alternatives'!$T$6:$U$6</c:f>
              <c:numCache>
                <c:formatCode>General</c:formatCode>
                <c:ptCount val="2"/>
                <c:pt idx="0" formatCode="0.000">
                  <c:v>0</c:v>
                </c:pt>
              </c:numCache>
            </c:numRef>
          </c:val>
          <c:extLst>
            <c:ext xmlns:c16="http://schemas.microsoft.com/office/drawing/2014/chart" uri="{C3380CC4-5D6E-409C-BE32-E72D297353CC}">
              <c16:uniqueId val="{00000001-9C86-4F7C-9899-B468AF875CC0}"/>
            </c:ext>
          </c:extLst>
        </c:ser>
        <c:ser>
          <c:idx val="2"/>
          <c:order val="2"/>
          <c:tx>
            <c:strRef>
              <c:f>'Milk alternatives'!$S$7</c:f>
              <c:strCache>
                <c:ptCount val="1"/>
                <c:pt idx="0">
                  <c:v>Almond Milk Disposal</c:v>
                </c:pt>
              </c:strCache>
            </c:strRef>
          </c:tx>
          <c:spPr>
            <a:solidFill>
              <a:schemeClr val="accent3"/>
            </a:solidFill>
            <a:ln>
              <a:noFill/>
            </a:ln>
            <a:effectLst/>
          </c:spPr>
          <c:invertIfNegative val="0"/>
          <c:cat>
            <c:strRef>
              <c:f>'Milk alternatives'!$T$4:$U$4</c:f>
              <c:strCache>
                <c:ptCount val="2"/>
                <c:pt idx="0">
                  <c:v>Almond Milk</c:v>
                </c:pt>
                <c:pt idx="1">
                  <c:v>Dairy Milk</c:v>
                </c:pt>
              </c:strCache>
            </c:strRef>
          </c:cat>
          <c:val>
            <c:numRef>
              <c:f>'Milk alternatives'!$T$7:$U$7</c:f>
              <c:numCache>
                <c:formatCode>General</c:formatCode>
                <c:ptCount val="2"/>
                <c:pt idx="0" formatCode="0.00000">
                  <c:v>0</c:v>
                </c:pt>
              </c:numCache>
            </c:numRef>
          </c:val>
          <c:extLst>
            <c:ext xmlns:c16="http://schemas.microsoft.com/office/drawing/2014/chart" uri="{C3380CC4-5D6E-409C-BE32-E72D297353CC}">
              <c16:uniqueId val="{00000002-9C86-4F7C-9899-B468AF875CC0}"/>
            </c:ext>
          </c:extLst>
        </c:ser>
        <c:ser>
          <c:idx val="3"/>
          <c:order val="3"/>
          <c:tx>
            <c:strRef>
              <c:f>'Milk alternatives'!$S$8</c:f>
              <c:strCache>
                <c:ptCount val="1"/>
                <c:pt idx="0">
                  <c:v>Dairy Milk Materials</c:v>
                </c:pt>
              </c:strCache>
            </c:strRef>
          </c:tx>
          <c:spPr>
            <a:solidFill>
              <a:schemeClr val="accent4"/>
            </a:solidFill>
            <a:ln>
              <a:noFill/>
            </a:ln>
            <a:effectLst/>
          </c:spPr>
          <c:invertIfNegative val="0"/>
          <c:cat>
            <c:strRef>
              <c:f>'Milk alternatives'!$T$4:$U$4</c:f>
              <c:strCache>
                <c:ptCount val="2"/>
                <c:pt idx="0">
                  <c:v>Almond Milk</c:v>
                </c:pt>
                <c:pt idx="1">
                  <c:v>Dairy Milk</c:v>
                </c:pt>
              </c:strCache>
            </c:strRef>
          </c:cat>
          <c:val>
            <c:numRef>
              <c:f>'Milk alternatives'!$T$8:$U$8</c:f>
              <c:numCache>
                <c:formatCode>0.000</c:formatCode>
                <c:ptCount val="2"/>
                <c:pt idx="1">
                  <c:v>0</c:v>
                </c:pt>
              </c:numCache>
            </c:numRef>
          </c:val>
          <c:extLst>
            <c:ext xmlns:c16="http://schemas.microsoft.com/office/drawing/2014/chart" uri="{C3380CC4-5D6E-409C-BE32-E72D297353CC}">
              <c16:uniqueId val="{00000003-9C86-4F7C-9899-B468AF875CC0}"/>
            </c:ext>
          </c:extLst>
        </c:ser>
        <c:ser>
          <c:idx val="4"/>
          <c:order val="4"/>
          <c:tx>
            <c:strRef>
              <c:f>'Milk alternatives'!$S$9</c:f>
              <c:strCache>
                <c:ptCount val="1"/>
                <c:pt idx="0">
                  <c:v>Dairy Milk Processing</c:v>
                </c:pt>
              </c:strCache>
            </c:strRef>
          </c:tx>
          <c:spPr>
            <a:solidFill>
              <a:schemeClr val="accent5"/>
            </a:solidFill>
            <a:ln>
              <a:noFill/>
            </a:ln>
            <a:effectLst/>
          </c:spPr>
          <c:invertIfNegative val="0"/>
          <c:cat>
            <c:strRef>
              <c:f>'Milk alternatives'!$T$4:$U$4</c:f>
              <c:strCache>
                <c:ptCount val="2"/>
                <c:pt idx="0">
                  <c:v>Almond Milk</c:v>
                </c:pt>
                <c:pt idx="1">
                  <c:v>Dairy Milk</c:v>
                </c:pt>
              </c:strCache>
            </c:strRef>
          </c:cat>
          <c:val>
            <c:numRef>
              <c:f>'Milk alternatives'!$T$9:$U$9</c:f>
              <c:numCache>
                <c:formatCode>0.000</c:formatCode>
                <c:ptCount val="2"/>
                <c:pt idx="1">
                  <c:v>0</c:v>
                </c:pt>
              </c:numCache>
            </c:numRef>
          </c:val>
          <c:extLst>
            <c:ext xmlns:c16="http://schemas.microsoft.com/office/drawing/2014/chart" uri="{C3380CC4-5D6E-409C-BE32-E72D297353CC}">
              <c16:uniqueId val="{00000004-9C86-4F7C-9899-B468AF875CC0}"/>
            </c:ext>
          </c:extLst>
        </c:ser>
        <c:ser>
          <c:idx val="5"/>
          <c:order val="5"/>
          <c:tx>
            <c:strRef>
              <c:f>'Milk alternatives'!$S$10</c:f>
              <c:strCache>
                <c:ptCount val="1"/>
                <c:pt idx="0">
                  <c:v>Dairy Milk Disposal</c:v>
                </c:pt>
              </c:strCache>
            </c:strRef>
          </c:tx>
          <c:spPr>
            <a:solidFill>
              <a:schemeClr val="accent6"/>
            </a:solidFill>
            <a:ln>
              <a:noFill/>
            </a:ln>
            <a:effectLst/>
          </c:spPr>
          <c:invertIfNegative val="0"/>
          <c:cat>
            <c:strRef>
              <c:f>'Milk alternatives'!$T$4:$U$4</c:f>
              <c:strCache>
                <c:ptCount val="2"/>
                <c:pt idx="0">
                  <c:v>Almond Milk</c:v>
                </c:pt>
                <c:pt idx="1">
                  <c:v>Dairy Milk</c:v>
                </c:pt>
              </c:strCache>
            </c:strRef>
          </c:cat>
          <c:val>
            <c:numRef>
              <c:f>'Milk alternatives'!$T$10:$U$10</c:f>
              <c:numCache>
                <c:formatCode>0.000</c:formatCode>
                <c:ptCount val="2"/>
                <c:pt idx="1">
                  <c:v>0</c:v>
                </c:pt>
              </c:numCache>
            </c:numRef>
          </c:val>
          <c:extLst>
            <c:ext xmlns:c16="http://schemas.microsoft.com/office/drawing/2014/chart" uri="{C3380CC4-5D6E-409C-BE32-E72D297353CC}">
              <c16:uniqueId val="{00000005-9C86-4F7C-9899-B468AF875CC0}"/>
            </c:ext>
          </c:extLst>
        </c:ser>
        <c:ser>
          <c:idx val="6"/>
          <c:order val="6"/>
          <c:tx>
            <c:strRef>
              <c:f>'Milk alternatives'!$S$11</c:f>
              <c:strCache>
                <c:ptCount val="1"/>
                <c:pt idx="0">
                  <c:v>Transportation to sale</c:v>
                </c:pt>
              </c:strCache>
            </c:strRef>
          </c:tx>
          <c:spPr>
            <a:solidFill>
              <a:schemeClr val="accent1">
                <a:lumMod val="60000"/>
              </a:schemeClr>
            </a:solidFill>
            <a:ln>
              <a:noFill/>
            </a:ln>
            <a:effectLst/>
          </c:spPr>
          <c:invertIfNegative val="0"/>
          <c:cat>
            <c:strRef>
              <c:f>'Milk alternatives'!$T$4:$U$4</c:f>
              <c:strCache>
                <c:ptCount val="2"/>
                <c:pt idx="0">
                  <c:v>Almond Milk</c:v>
                </c:pt>
                <c:pt idx="1">
                  <c:v>Dairy Milk</c:v>
                </c:pt>
              </c:strCache>
            </c:strRef>
          </c:cat>
          <c:val>
            <c:numRef>
              <c:f>'Milk alternatives'!$T$11:$U$11</c:f>
              <c:numCache>
                <c:formatCode>0.000</c:formatCode>
                <c:ptCount val="2"/>
                <c:pt idx="0" formatCode="General">
                  <c:v>0</c:v>
                </c:pt>
                <c:pt idx="1">
                  <c:v>0</c:v>
                </c:pt>
              </c:numCache>
            </c:numRef>
          </c:val>
          <c:extLst>
            <c:ext xmlns:c16="http://schemas.microsoft.com/office/drawing/2014/chart" uri="{C3380CC4-5D6E-409C-BE32-E72D297353CC}">
              <c16:uniqueId val="{00000006-9C86-4F7C-9899-B468AF875CC0}"/>
            </c:ext>
          </c:extLst>
        </c:ser>
        <c:ser>
          <c:idx val="7"/>
          <c:order val="7"/>
          <c:tx>
            <c:strRef>
              <c:f>'Milk alternatives'!$S$12</c:f>
              <c:strCache>
                <c:ptCount val="1"/>
                <c:pt idx="0">
                  <c:v>Transportation consumer</c:v>
                </c:pt>
              </c:strCache>
            </c:strRef>
          </c:tx>
          <c:spPr>
            <a:solidFill>
              <a:schemeClr val="accent2">
                <a:lumMod val="60000"/>
              </a:schemeClr>
            </a:solidFill>
            <a:ln w="25400">
              <a:noFill/>
            </a:ln>
            <a:effectLst/>
          </c:spPr>
          <c:invertIfNegative val="0"/>
          <c:cat>
            <c:strRef>
              <c:f>'Milk alternatives'!$T$4:$U$4</c:f>
              <c:strCache>
                <c:ptCount val="2"/>
                <c:pt idx="0">
                  <c:v>Almond Milk</c:v>
                </c:pt>
                <c:pt idx="1">
                  <c:v>Dairy Milk</c:v>
                </c:pt>
              </c:strCache>
            </c:strRef>
          </c:cat>
          <c:val>
            <c:numRef>
              <c:f>'Milk alternatives'!$T$12:$U$12</c:f>
              <c:numCache>
                <c:formatCode>0.00000</c:formatCode>
                <c:ptCount val="2"/>
                <c:pt idx="0" formatCode="0.000">
                  <c:v>0</c:v>
                </c:pt>
                <c:pt idx="1">
                  <c:v>0</c:v>
                </c:pt>
              </c:numCache>
            </c:numRef>
          </c:val>
          <c:extLst>
            <c:ext xmlns:c16="http://schemas.microsoft.com/office/drawing/2014/chart" uri="{C3380CC4-5D6E-409C-BE32-E72D297353CC}">
              <c16:uniqueId val="{00000008-9C86-4F7C-9899-B468AF875CC0}"/>
            </c:ext>
          </c:extLst>
        </c:ser>
        <c:dLbls>
          <c:showLegendKey val="0"/>
          <c:showVal val="0"/>
          <c:showCatName val="0"/>
          <c:showSerName val="0"/>
          <c:showPercent val="0"/>
          <c:showBubbleSize val="0"/>
        </c:dLbls>
        <c:gapWidth val="219"/>
        <c:overlap val="100"/>
        <c:axId val="-844781248"/>
        <c:axId val="-844787232"/>
      </c:barChart>
      <c:catAx>
        <c:axId val="-8447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7232"/>
        <c:crossesAt val="-5.000000000000001E-2"/>
        <c:auto val="1"/>
        <c:lblAlgn val="ctr"/>
        <c:lblOffset val="100"/>
        <c:noMultiLvlLbl val="0"/>
      </c:catAx>
      <c:valAx>
        <c:axId val="-84478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Fossi CO2[kg</a:t>
                </a:r>
                <a:r>
                  <a:rPr lang="en-US" sz="1400" baseline="-25000"/>
                  <a:t>CO2</a:t>
                </a:r>
                <a:r>
                  <a:rPr lang="en-US" sz="1400"/>
                  <a:t>/FU]</a:t>
                </a:r>
              </a:p>
            </c:rich>
          </c:tx>
          <c:layout>
            <c:manualLayout>
              <c:xMode val="edge"/>
              <c:yMode val="edge"/>
              <c:x val="6.0985032850096509E-2"/>
              <c:y val="0.2273378248101153"/>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1248"/>
        <c:crosses val="autoZero"/>
        <c:crossBetween val="between"/>
      </c:valAx>
      <c:spPr>
        <a:noFill/>
        <a:ln>
          <a:noFill/>
        </a:ln>
        <a:effectLst/>
      </c:spPr>
    </c:plotArea>
    <c:legend>
      <c:legendPos val="b"/>
      <c:layout>
        <c:manualLayout>
          <c:xMode val="edge"/>
          <c:yMode val="edge"/>
          <c:x val="2.2828862485209982E-2"/>
          <c:y val="0.77628114255039193"/>
          <c:w val="0.95240973995186817"/>
          <c:h val="0.1397590021602584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Sensitivity study-</a:t>
            </a:r>
            <a:r>
              <a:rPr lang="en-US" baseline="0"/>
              <a:t> Transportation distance to sale almond milk - </a:t>
            </a:r>
            <a:r>
              <a:rPr lang="en-US"/>
              <a:t>Comparison of carbon</a:t>
            </a:r>
            <a:r>
              <a:rPr lang="en-US" baseline="0"/>
              <a:t> footprint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903434967282922"/>
          <c:y val="0.13643848107514334"/>
          <c:w val="0.69516983218493889"/>
          <c:h val="0.52304079763048894"/>
        </c:manualLayout>
      </c:layout>
      <c:barChart>
        <c:barDir val="col"/>
        <c:grouping val="stacked"/>
        <c:varyColors val="0"/>
        <c:ser>
          <c:idx val="0"/>
          <c:order val="0"/>
          <c:tx>
            <c:strRef>
              <c:f>'Milk alternatives'!$AL$5</c:f>
              <c:strCache>
                <c:ptCount val="1"/>
                <c:pt idx="0">
                  <c:v>Almond Milk Materials</c:v>
                </c:pt>
              </c:strCache>
            </c:strRef>
          </c:tx>
          <c:spPr>
            <a:solidFill>
              <a:schemeClr val="accent1"/>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alternatives'!$AM$5:$AS$5</c:f>
              <c:numCache>
                <c:formatCode>0.00000</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0-6194-447A-ACBD-F2D1F9C1E212}"/>
            </c:ext>
          </c:extLst>
        </c:ser>
        <c:ser>
          <c:idx val="1"/>
          <c:order val="1"/>
          <c:tx>
            <c:strRef>
              <c:f>'Milk alternatives'!$AL$6</c:f>
              <c:strCache>
                <c:ptCount val="1"/>
                <c:pt idx="0">
                  <c:v>Almond Milk Processing</c:v>
                </c:pt>
              </c:strCache>
            </c:strRef>
          </c:tx>
          <c:spPr>
            <a:solidFill>
              <a:schemeClr val="accent2"/>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alternatives'!$AM$6:$AS$6</c:f>
              <c:numCache>
                <c:formatCode>0.00000</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1-6194-447A-ACBD-F2D1F9C1E212}"/>
            </c:ext>
          </c:extLst>
        </c:ser>
        <c:ser>
          <c:idx val="2"/>
          <c:order val="2"/>
          <c:tx>
            <c:strRef>
              <c:f>'Milk alternatives'!$AL$7</c:f>
              <c:strCache>
                <c:ptCount val="1"/>
                <c:pt idx="0">
                  <c:v>Almond Milk Disposal</c:v>
                </c:pt>
              </c:strCache>
            </c:strRef>
          </c:tx>
          <c:spPr>
            <a:solidFill>
              <a:schemeClr val="accent3"/>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alternatives'!$AM$7:$AS$7</c:f>
              <c:numCache>
                <c:formatCode>0.00000</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2-6194-447A-ACBD-F2D1F9C1E212}"/>
            </c:ext>
          </c:extLst>
        </c:ser>
        <c:ser>
          <c:idx val="3"/>
          <c:order val="3"/>
          <c:tx>
            <c:strRef>
              <c:f>'Milk alternatives'!$AL$8</c:f>
              <c:strCache>
                <c:ptCount val="1"/>
                <c:pt idx="0">
                  <c:v>Dairy Milk Materials</c:v>
                </c:pt>
              </c:strCache>
            </c:strRef>
          </c:tx>
          <c:spPr>
            <a:solidFill>
              <a:schemeClr val="accent4"/>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alternatives'!$AM$8:$AS$8</c:f>
              <c:numCache>
                <c:formatCode>0.00000</c:formatCode>
                <c:ptCount val="7"/>
                <c:pt idx="6" formatCode="0.000">
                  <c:v>0</c:v>
                </c:pt>
              </c:numCache>
            </c:numRef>
          </c:val>
          <c:extLst>
            <c:ext xmlns:c16="http://schemas.microsoft.com/office/drawing/2014/chart" uri="{C3380CC4-5D6E-409C-BE32-E72D297353CC}">
              <c16:uniqueId val="{00000003-6194-447A-ACBD-F2D1F9C1E212}"/>
            </c:ext>
          </c:extLst>
        </c:ser>
        <c:ser>
          <c:idx val="4"/>
          <c:order val="4"/>
          <c:tx>
            <c:strRef>
              <c:f>'Milk alternatives'!$AL$9</c:f>
              <c:strCache>
                <c:ptCount val="1"/>
                <c:pt idx="0">
                  <c:v>Dairy Milk Processing</c:v>
                </c:pt>
              </c:strCache>
            </c:strRef>
          </c:tx>
          <c:spPr>
            <a:solidFill>
              <a:schemeClr val="accent5"/>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alternatives'!$AM$9:$AS$9</c:f>
              <c:numCache>
                <c:formatCode>0.00000</c:formatCode>
                <c:ptCount val="7"/>
                <c:pt idx="6" formatCode="0.000">
                  <c:v>0</c:v>
                </c:pt>
              </c:numCache>
            </c:numRef>
          </c:val>
          <c:extLst>
            <c:ext xmlns:c16="http://schemas.microsoft.com/office/drawing/2014/chart" uri="{C3380CC4-5D6E-409C-BE32-E72D297353CC}">
              <c16:uniqueId val="{00000004-6194-447A-ACBD-F2D1F9C1E212}"/>
            </c:ext>
          </c:extLst>
        </c:ser>
        <c:ser>
          <c:idx val="5"/>
          <c:order val="5"/>
          <c:tx>
            <c:strRef>
              <c:f>'Milk alternatives'!$AL$10</c:f>
              <c:strCache>
                <c:ptCount val="1"/>
                <c:pt idx="0">
                  <c:v>Dairy Milk Disposal</c:v>
                </c:pt>
              </c:strCache>
            </c:strRef>
          </c:tx>
          <c:spPr>
            <a:solidFill>
              <a:schemeClr val="accent6"/>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alternatives'!$AM$10:$AS$10</c:f>
              <c:numCache>
                <c:formatCode>0.00000</c:formatCode>
                <c:ptCount val="7"/>
                <c:pt idx="6" formatCode="0.000">
                  <c:v>0</c:v>
                </c:pt>
              </c:numCache>
            </c:numRef>
          </c:val>
          <c:extLst>
            <c:ext xmlns:c16="http://schemas.microsoft.com/office/drawing/2014/chart" uri="{C3380CC4-5D6E-409C-BE32-E72D297353CC}">
              <c16:uniqueId val="{00000005-6194-447A-ACBD-F2D1F9C1E212}"/>
            </c:ext>
          </c:extLst>
        </c:ser>
        <c:ser>
          <c:idx val="6"/>
          <c:order val="6"/>
          <c:tx>
            <c:strRef>
              <c:f>'Milk alternatives'!$AL$11</c:f>
              <c:strCache>
                <c:ptCount val="1"/>
                <c:pt idx="0">
                  <c:v>Transportation to sale</c:v>
                </c:pt>
              </c:strCache>
            </c:strRef>
          </c:tx>
          <c:spPr>
            <a:solidFill>
              <a:schemeClr val="accent1">
                <a:lumMod val="60000"/>
              </a:schemeClr>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alternatives'!$AM$11:$AS$11</c:f>
              <c:numCache>
                <c:formatCode>0.000</c:formatCode>
                <c:ptCount val="7"/>
                <c:pt idx="0">
                  <c:v>0</c:v>
                </c:pt>
                <c:pt idx="1">
                  <c:v>0</c:v>
                </c:pt>
                <c:pt idx="2">
                  <c:v>0</c:v>
                </c:pt>
                <c:pt idx="3" formatCode="0.00000">
                  <c:v>0</c:v>
                </c:pt>
                <c:pt idx="4">
                  <c:v>0</c:v>
                </c:pt>
                <c:pt idx="5">
                  <c:v>0</c:v>
                </c:pt>
                <c:pt idx="6">
                  <c:v>0</c:v>
                </c:pt>
              </c:numCache>
            </c:numRef>
          </c:val>
          <c:extLst>
            <c:ext xmlns:c16="http://schemas.microsoft.com/office/drawing/2014/chart" uri="{C3380CC4-5D6E-409C-BE32-E72D297353CC}">
              <c16:uniqueId val="{00000006-6194-447A-ACBD-F2D1F9C1E212}"/>
            </c:ext>
          </c:extLst>
        </c:ser>
        <c:ser>
          <c:idx val="7"/>
          <c:order val="7"/>
          <c:tx>
            <c:strRef>
              <c:f>'Milk alternatives'!$AL$12</c:f>
              <c:strCache>
                <c:ptCount val="1"/>
                <c:pt idx="0">
                  <c:v>Transportation consumer</c:v>
                </c:pt>
              </c:strCache>
            </c:strRef>
          </c:tx>
          <c:spPr>
            <a:solidFill>
              <a:schemeClr val="accent2">
                <a:lumMod val="60000"/>
              </a:schemeClr>
            </a:solidFill>
            <a:ln>
              <a:noFill/>
            </a:ln>
            <a:effectLst/>
          </c:spPr>
          <c:invertIfNegative val="0"/>
          <c:cat>
            <c:strRef>
              <c:f>'Milk alternatives'!$AM$4:$AS$4</c:f>
              <c:strCache>
                <c:ptCount val="7"/>
                <c:pt idx="0">
                  <c:v>Almond Milk 100 km</c:v>
                </c:pt>
                <c:pt idx="1">
                  <c:v>Almond Milk 500 km</c:v>
                </c:pt>
                <c:pt idx="2">
                  <c:v>Almond Milk 1000 km</c:v>
                </c:pt>
                <c:pt idx="3">
                  <c:v>Almond Milk 2000 km</c:v>
                </c:pt>
                <c:pt idx="4">
                  <c:v>Almond Milk 3000 km</c:v>
                </c:pt>
                <c:pt idx="5">
                  <c:v>Almond Milk 4000 km</c:v>
                </c:pt>
                <c:pt idx="6">
                  <c:v>Dairy Milk 900 km</c:v>
                </c:pt>
              </c:strCache>
            </c:strRef>
          </c:cat>
          <c:val>
            <c:numRef>
              <c:f>'Milk alternatives'!$AM$12:$AS$12</c:f>
              <c:numCache>
                <c:formatCode>0.00000</c:formatCode>
                <c:ptCount val="7"/>
                <c:pt idx="0">
                  <c:v>0</c:v>
                </c:pt>
                <c:pt idx="1">
                  <c:v>0</c:v>
                </c:pt>
                <c:pt idx="2">
                  <c:v>0</c:v>
                </c:pt>
                <c:pt idx="3">
                  <c:v>0</c:v>
                </c:pt>
                <c:pt idx="4">
                  <c:v>0</c:v>
                </c:pt>
                <c:pt idx="5">
                  <c:v>0</c:v>
                </c:pt>
                <c:pt idx="6" formatCode="0.000">
                  <c:v>0</c:v>
                </c:pt>
              </c:numCache>
            </c:numRef>
          </c:val>
          <c:extLst xmlns:c15="http://schemas.microsoft.com/office/drawing/2012/chart">
            <c:ext xmlns:c16="http://schemas.microsoft.com/office/drawing/2014/chart" uri="{C3380CC4-5D6E-409C-BE32-E72D297353CC}">
              <c16:uniqueId val="{00000007-6194-447A-ACBD-F2D1F9C1E212}"/>
            </c:ext>
          </c:extLst>
        </c:ser>
        <c:dLbls>
          <c:showLegendKey val="0"/>
          <c:showVal val="0"/>
          <c:showCatName val="0"/>
          <c:showSerName val="0"/>
          <c:showPercent val="0"/>
          <c:showBubbleSize val="0"/>
        </c:dLbls>
        <c:gapWidth val="150"/>
        <c:overlap val="100"/>
        <c:axId val="-844781248"/>
        <c:axId val="-844787232"/>
      </c:barChart>
      <c:catAx>
        <c:axId val="-8447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7232"/>
        <c:crossesAt val="-5.000000000000001E-2"/>
        <c:auto val="1"/>
        <c:lblAlgn val="ctr"/>
        <c:lblOffset val="100"/>
        <c:noMultiLvlLbl val="0"/>
      </c:catAx>
      <c:valAx>
        <c:axId val="-84478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  Carbon footprint [</a:t>
                </a:r>
                <a:r>
                  <a:rPr lang="en-US" sz="1400"/>
                  <a:t>kg</a:t>
                </a:r>
                <a:r>
                  <a:rPr lang="en-US" sz="1400" baseline="-25000"/>
                  <a:t>CO2equ</a:t>
                </a:r>
                <a:r>
                  <a:rPr lang="en-US" sz="1400"/>
                  <a:t>/FU]</a:t>
                </a:r>
              </a:p>
            </c:rich>
          </c:tx>
          <c:layout>
            <c:manualLayout>
              <c:xMode val="edge"/>
              <c:yMode val="edge"/>
              <c:x val="6.0985032850096509E-2"/>
              <c:y val="0.2273378248101153"/>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4781248"/>
        <c:crosses val="autoZero"/>
        <c:crossBetween val="between"/>
      </c:valAx>
      <c:spPr>
        <a:noFill/>
        <a:ln>
          <a:noFill/>
        </a:ln>
        <a:effectLst/>
      </c:spPr>
    </c:plotArea>
    <c:legend>
      <c:legendPos val="b"/>
      <c:layout>
        <c:manualLayout>
          <c:xMode val="edge"/>
          <c:yMode val="edge"/>
          <c:x val="0"/>
          <c:y val="0.77348238322458074"/>
          <c:w val="1"/>
          <c:h val="0.1877718632903068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107373</xdr:colOff>
      <xdr:row>19</xdr:row>
      <xdr:rowOff>41565</xdr:rowOff>
    </xdr:from>
    <xdr:to>
      <xdr:col>17</xdr:col>
      <xdr:colOff>1551710</xdr:colOff>
      <xdr:row>35</xdr:row>
      <xdr:rowOff>180110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223751</xdr:colOff>
      <xdr:row>19</xdr:row>
      <xdr:rowOff>13855</xdr:rowOff>
    </xdr:from>
    <xdr:to>
      <xdr:col>27</xdr:col>
      <xdr:colOff>132310</xdr:colOff>
      <xdr:row>35</xdr:row>
      <xdr:rowOff>180109</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1011383</xdr:colOff>
      <xdr:row>19</xdr:row>
      <xdr:rowOff>1</xdr:rowOff>
    </xdr:from>
    <xdr:to>
      <xdr:col>34</xdr:col>
      <xdr:colOff>914400</xdr:colOff>
      <xdr:row>36</xdr:row>
      <xdr:rowOff>249382</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27708</xdr:colOff>
      <xdr:row>19</xdr:row>
      <xdr:rowOff>27710</xdr:rowOff>
    </xdr:from>
    <xdr:to>
      <xdr:col>21</xdr:col>
      <xdr:colOff>110836</xdr:colOff>
      <xdr:row>35</xdr:row>
      <xdr:rowOff>159847</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152400</xdr:colOff>
      <xdr:row>18</xdr:row>
      <xdr:rowOff>69272</xdr:rowOff>
    </xdr:from>
    <xdr:to>
      <xdr:col>42</xdr:col>
      <xdr:colOff>55418</xdr:colOff>
      <xdr:row>36</xdr:row>
      <xdr:rowOff>55417</xdr:rowOff>
    </xdr:to>
    <xdr:graphicFrame macro="">
      <xdr:nvGraphicFramePr>
        <xdr:cNvPr id="6" name="Chart 5">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id="1" name="Towel_hand_drying_cycle_stage" displayName="Towel_hand_drying_cycle_stage" ref="A4:M23" totalsRowShown="0" headerRowBorderDxfId="50" tableBorderDxfId="49">
  <autoFilter ref="A4:M23"/>
  <tableColumns count="13">
    <tableColumn id="1" name="Almond Milk_x000a_FU= 0.25 L milk consumed_x000a_Life Cycle stage" dataDxfId="48"/>
    <tableColumn id="2" name="Quantity per FU" dataDxfId="47"/>
    <tableColumn id="3" name="Unit" dataDxfId="46"/>
    <tableColumn id="4" name="Energy/Unit  [MJ/Unit]" dataDxfId="45"/>
    <tableColumn id="5" name="Energy per FU [MJ/FU]" dataDxfId="44"/>
    <tableColumn id="6" name="fraction" dataDxfId="43">
      <calculatedColumnFormula>E5/E$22</calculatedColumnFormula>
    </tableColumn>
    <tableColumn id="7" name="CO2/Unit [kg/unit]" dataDxfId="42"/>
    <tableColumn id="8" name="CO2 fossil/FU" dataDxfId="41"/>
    <tableColumn id="9" name="fraction2" dataDxfId="40"/>
    <tableColumn id="10" name="Check g CO2/MJ" dataDxfId="39"/>
    <tableColumn id="11" name="CO2equ/Unit [kg/unit]2" dataDxfId="38"/>
    <tableColumn id="12" name="CO2equ./FU" dataDxfId="37"/>
    <tableColumn id="13" name="fraction3" dataDxfId="36"/>
  </tableColumns>
  <tableStyleInfo showFirstColumn="0" showLastColumn="0" showRowStripes="1" showColumnStripes="0"/>
  <extLst>
    <ext xmlns:x14="http://schemas.microsoft.com/office/spreadsheetml/2009/9/main" uri="{504A1905-F514-4f6f-8877-14C23A59335A}">
      <x14:table altTextSummary="This table provides learners with an opportunity to fill in the template for Energy and Carbon Dioxide balance for hands drying with towels. _x000a_"/>
    </ext>
  </extLst>
</table>
</file>

<file path=xl/tables/table2.xml><?xml version="1.0" encoding="utf-8"?>
<table xmlns="http://schemas.openxmlformats.org/spreadsheetml/2006/main" id="2" name="electric_hand_drying_cycle_stage" displayName="electric_hand_drying_cycle_stage" ref="A25:M40" totalsRowCount="1" headerRowBorderDxfId="35" tableBorderDxfId="34">
  <autoFilter ref="A25:M39"/>
  <tableColumns count="13">
    <tableColumn id="1" name="Dairy Milk_x000a_FU= 0.25 L milk consumed_x000a_Life Cycle stage" dataDxfId="33" totalsRowDxfId="12"/>
    <tableColumn id="2" name="Quantity per FU" totalsRowDxfId="11"/>
    <tableColumn id="3" name="Unit" dataDxfId="32" totalsRowDxfId="10"/>
    <tableColumn id="4" name="Energy/Unit  [MJ/Unit]" dataDxfId="31" totalsRowDxfId="9"/>
    <tableColumn id="5" name="Energy per FU [MJ/FU]" dataDxfId="30" totalsRowDxfId="8"/>
    <tableColumn id="6" name="fraction" totalsRowDxfId="7"/>
    <tableColumn id="7" name="CO2/Unit [kg/unit]" totalsRowDxfId="6"/>
    <tableColumn id="8" name="CO2/FU" totalsRowDxfId="5"/>
    <tableColumn id="9" name="fraction2" totalsRowDxfId="4"/>
    <tableColumn id="10" name="Check g CO2/MJ" dataDxfId="29" totalsRowDxfId="3"/>
    <tableColumn id="11" name="CO2equ/Unit [kg/unit]2" dataDxfId="28" totalsRowDxfId="2"/>
    <tableColumn id="12" name="CO2equ./FU" dataDxfId="27" totalsRowDxfId="1"/>
    <tableColumn id="13" name="fraction3" dataDxfId="26" totalsRowDxfId="0"/>
  </tableColumns>
  <tableStyleInfo showFirstColumn="0" showLastColumn="0" showRowStripes="1" showColumnStripes="0"/>
  <extLst>
    <ext xmlns:x14="http://schemas.microsoft.com/office/spreadsheetml/2009/9/main" uri="{504A1905-F514-4f6f-8877-14C23A59335A}">
      <x14:table altTextSummary="This table provides learners with an opportunity to fill in the template for Energy and Carbon Dioxide balance for electric air appliances.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80"/>
  <sheetViews>
    <sheetView tabSelected="1" zoomScale="55" zoomScaleNormal="55" workbookViewId="0">
      <selection activeCell="A17" sqref="A17"/>
    </sheetView>
  </sheetViews>
  <sheetFormatPr defaultColWidth="30.6640625" defaultRowHeight="20.399999999999999" x14ac:dyDescent="0.35"/>
  <cols>
    <col min="1" max="1" width="60.5546875" style="1" customWidth="1"/>
    <col min="2" max="2" width="24.33203125" style="1" customWidth="1"/>
    <col min="3" max="3" width="13.33203125" style="1" customWidth="1"/>
    <col min="4" max="4" width="16.109375" style="1" customWidth="1"/>
    <col min="5" max="5" width="16.109375" style="56" customWidth="1"/>
    <col min="6" max="6" width="23.6640625" style="1" customWidth="1"/>
    <col min="7" max="7" width="15.6640625" style="1" customWidth="1"/>
    <col min="8" max="8" width="14.6640625" style="1" customWidth="1"/>
    <col min="9" max="9" width="23.6640625" style="1" customWidth="1"/>
    <col min="10" max="14" width="30.6640625" style="16"/>
    <col min="15" max="15" width="38.77734375" style="1" customWidth="1"/>
    <col min="16" max="22" width="30.6640625" style="1"/>
    <col min="23" max="23" width="35.5546875" style="1" customWidth="1"/>
    <col min="24" max="16384" width="30.6640625" style="1"/>
  </cols>
  <sheetData>
    <row r="1" spans="1:45" x14ac:dyDescent="0.35">
      <c r="A1" s="27" t="s">
        <v>8</v>
      </c>
      <c r="B1" s="28">
        <v>1000</v>
      </c>
      <c r="F1" s="125"/>
    </row>
    <row r="2" spans="1:45" x14ac:dyDescent="0.35">
      <c r="A2" s="27" t="s">
        <v>46</v>
      </c>
      <c r="B2" s="28">
        <v>1000</v>
      </c>
      <c r="AC2" s="1" t="s">
        <v>65</v>
      </c>
      <c r="AL2" s="1" t="s">
        <v>65</v>
      </c>
    </row>
    <row r="3" spans="1:45" x14ac:dyDescent="0.35">
      <c r="AD3" s="1">
        <v>100</v>
      </c>
      <c r="AE3" s="1">
        <v>500</v>
      </c>
      <c r="AF3" s="1">
        <v>1000</v>
      </c>
      <c r="AG3" s="1">
        <v>2000</v>
      </c>
      <c r="AH3" s="1">
        <v>3000</v>
      </c>
      <c r="AI3" s="1">
        <v>4000</v>
      </c>
      <c r="AJ3" s="1">
        <v>900</v>
      </c>
      <c r="AM3" s="1">
        <v>100</v>
      </c>
      <c r="AN3" s="1">
        <v>500</v>
      </c>
      <c r="AO3" s="1">
        <v>1000</v>
      </c>
      <c r="AP3" s="1">
        <v>2000</v>
      </c>
      <c r="AQ3" s="1">
        <v>3000</v>
      </c>
      <c r="AR3" s="1">
        <v>4000</v>
      </c>
      <c r="AS3" s="1">
        <v>900</v>
      </c>
    </row>
    <row r="4" spans="1:45" s="2" customFormat="1" ht="63" customHeight="1" thickBot="1" x14ac:dyDescent="0.4">
      <c r="A4" s="35" t="s">
        <v>75</v>
      </c>
      <c r="B4" s="36" t="s">
        <v>16</v>
      </c>
      <c r="C4" s="37" t="s">
        <v>0</v>
      </c>
      <c r="D4" s="36" t="s">
        <v>4</v>
      </c>
      <c r="E4" s="57" t="s">
        <v>11</v>
      </c>
      <c r="F4" s="38" t="s">
        <v>9</v>
      </c>
      <c r="G4" s="36" t="s">
        <v>20</v>
      </c>
      <c r="H4" s="36" t="s">
        <v>29</v>
      </c>
      <c r="I4" s="38" t="s">
        <v>22</v>
      </c>
      <c r="J4" s="39" t="s">
        <v>12</v>
      </c>
      <c r="K4" s="117" t="s">
        <v>59</v>
      </c>
      <c r="L4" s="116" t="s">
        <v>60</v>
      </c>
      <c r="M4" s="38" t="s">
        <v>61</v>
      </c>
      <c r="N4" s="16"/>
      <c r="O4" s="79" t="s">
        <v>32</v>
      </c>
      <c r="P4" s="79" t="s">
        <v>53</v>
      </c>
      <c r="Q4" s="79" t="s">
        <v>54</v>
      </c>
      <c r="S4" s="79" t="s">
        <v>31</v>
      </c>
      <c r="T4" s="79" t="s">
        <v>53</v>
      </c>
      <c r="U4" s="79" t="s">
        <v>54</v>
      </c>
      <c r="V4" s="1"/>
      <c r="W4" s="79" t="s">
        <v>62</v>
      </c>
      <c r="X4" s="79" t="s">
        <v>53</v>
      </c>
      <c r="Y4" s="79" t="s">
        <v>68</v>
      </c>
      <c r="Z4" s="79" t="s">
        <v>54</v>
      </c>
      <c r="AA4" s="79" t="s">
        <v>69</v>
      </c>
      <c r="AC4" s="79" t="s">
        <v>31</v>
      </c>
      <c r="AD4" s="79" t="str">
        <f t="shared" ref="AD4" si="0">"Almond Milk "&amp;AD3&amp;" km"</f>
        <v>Almond Milk 100 km</v>
      </c>
      <c r="AE4" s="79" t="str">
        <f>"Almond Milk "&amp;AE3&amp;" km"</f>
        <v>Almond Milk 500 km</v>
      </c>
      <c r="AF4" s="79" t="str">
        <f>"Almond Milk "&amp;AF3&amp;" km"</f>
        <v>Almond Milk 1000 km</v>
      </c>
      <c r="AG4" s="79" t="str">
        <f t="shared" ref="AG4:AI4" si="1">"Almond Milk "&amp;AG3&amp;" km"</f>
        <v>Almond Milk 2000 km</v>
      </c>
      <c r="AH4" s="79" t="str">
        <f t="shared" si="1"/>
        <v>Almond Milk 3000 km</v>
      </c>
      <c r="AI4" s="79" t="str">
        <f t="shared" si="1"/>
        <v>Almond Milk 4000 km</v>
      </c>
      <c r="AJ4" s="79" t="str">
        <f>"Dairy Milk "&amp;AJ3&amp;" km"</f>
        <v>Dairy Milk 900 km</v>
      </c>
      <c r="AL4" s="79" t="s">
        <v>62</v>
      </c>
      <c r="AM4" s="79" t="str">
        <f t="shared" ref="AM4" si="2">"Almond Milk "&amp;AM3&amp;" km"</f>
        <v>Almond Milk 100 km</v>
      </c>
      <c r="AN4" s="79" t="str">
        <f>"Almond Milk "&amp;AN3&amp;" km"</f>
        <v>Almond Milk 500 km</v>
      </c>
      <c r="AO4" s="79" t="str">
        <f>"Almond Milk "&amp;AO3&amp;" km"</f>
        <v>Almond Milk 1000 km</v>
      </c>
      <c r="AP4" s="79" t="str">
        <f t="shared" ref="AP4:AR4" si="3">"Almond Milk "&amp;AP3&amp;" km"</f>
        <v>Almond Milk 2000 km</v>
      </c>
      <c r="AQ4" s="79" t="str">
        <f t="shared" si="3"/>
        <v>Almond Milk 3000 km</v>
      </c>
      <c r="AR4" s="79" t="str">
        <f t="shared" si="3"/>
        <v>Almond Milk 4000 km</v>
      </c>
      <c r="AS4" s="79" t="str">
        <f>"Dairy Milk "&amp;AS3&amp;" km"</f>
        <v>Dairy Milk 900 km</v>
      </c>
    </row>
    <row r="5" spans="1:45" x14ac:dyDescent="0.35">
      <c r="A5" s="6" t="s">
        <v>3</v>
      </c>
      <c r="B5" s="4"/>
      <c r="C5" s="8"/>
      <c r="D5" s="4"/>
      <c r="E5" s="58"/>
      <c r="F5" s="13"/>
      <c r="G5" s="4"/>
      <c r="H5" s="4"/>
      <c r="I5" s="13"/>
      <c r="J5" s="32"/>
      <c r="K5" s="97"/>
      <c r="L5" s="98"/>
      <c r="M5" s="13"/>
      <c r="O5" s="93" t="s">
        <v>48</v>
      </c>
      <c r="P5" s="72">
        <f>SUM(E6:E7)</f>
        <v>0</v>
      </c>
      <c r="Q5" s="73"/>
      <c r="R5" s="21"/>
      <c r="S5" s="93" t="s">
        <v>48</v>
      </c>
      <c r="T5" s="72">
        <f>SUM(H6:H7)</f>
        <v>0</v>
      </c>
      <c r="U5" s="73"/>
      <c r="W5" s="93" t="s">
        <v>48</v>
      </c>
      <c r="X5" s="72">
        <f>SUM(L6:L7)</f>
        <v>0</v>
      </c>
      <c r="Y5" s="72"/>
      <c r="Z5" s="73"/>
      <c r="AA5" s="73"/>
      <c r="AC5" s="93" t="s">
        <v>48</v>
      </c>
      <c r="AD5" s="72">
        <f>$AG5</f>
        <v>0</v>
      </c>
      <c r="AE5" s="72">
        <f t="shared" ref="AE5:AI5" si="4">$AG5</f>
        <v>0</v>
      </c>
      <c r="AF5" s="72">
        <f t="shared" si="4"/>
        <v>0</v>
      </c>
      <c r="AG5" s="72">
        <f>SUM(H6:H7)</f>
        <v>0</v>
      </c>
      <c r="AH5" s="72">
        <f t="shared" si="4"/>
        <v>0</v>
      </c>
      <c r="AI5" s="72">
        <f t="shared" si="4"/>
        <v>0</v>
      </c>
      <c r="AJ5" s="73"/>
      <c r="AL5" s="93" t="s">
        <v>48</v>
      </c>
      <c r="AM5" s="72">
        <f>$X5</f>
        <v>0</v>
      </c>
      <c r="AN5" s="72">
        <f>$X5</f>
        <v>0</v>
      </c>
      <c r="AO5" s="72">
        <f t="shared" ref="AN5:AR6" si="5">$X5</f>
        <v>0</v>
      </c>
      <c r="AP5" s="72">
        <f t="shared" si="5"/>
        <v>0</v>
      </c>
      <c r="AQ5" s="72">
        <f t="shared" si="5"/>
        <v>0</v>
      </c>
      <c r="AR5" s="72">
        <f t="shared" si="5"/>
        <v>0</v>
      </c>
      <c r="AS5" s="73"/>
    </row>
    <row r="6" spans="1:45" s="21" customFormat="1" x14ac:dyDescent="0.35">
      <c r="A6" s="18" t="s">
        <v>37</v>
      </c>
      <c r="B6" s="54"/>
      <c r="C6" s="19" t="s">
        <v>1</v>
      </c>
      <c r="D6" s="65"/>
      <c r="E6" s="59">
        <f t="shared" ref="E6:E19" si="6">D6*$B6</f>
        <v>0</v>
      </c>
      <c r="F6" s="20" t="e">
        <f>E6/E$22</f>
        <v>#DIV/0!</v>
      </c>
      <c r="G6" s="65"/>
      <c r="H6" s="59">
        <f t="shared" ref="H6:H19" si="7">G6*$B6</f>
        <v>0</v>
      </c>
      <c r="I6" s="20" t="e">
        <f>H6/H$22</f>
        <v>#DIV/0!</v>
      </c>
      <c r="J6" s="113" t="e">
        <f>H6/E6*$B$2</f>
        <v>#DIV/0!</v>
      </c>
      <c r="K6" s="65"/>
      <c r="L6" s="99">
        <f t="shared" ref="L6:L7" si="8">K6*$B6</f>
        <v>0</v>
      </c>
      <c r="M6" s="20" t="e">
        <f>L6/L$22</f>
        <v>#DIV/0!</v>
      </c>
      <c r="N6" s="16"/>
      <c r="O6" s="73" t="s">
        <v>47</v>
      </c>
      <c r="P6" s="74">
        <f>SUM(E9:E11)</f>
        <v>0</v>
      </c>
      <c r="Q6" s="94"/>
      <c r="R6" s="1"/>
      <c r="S6" s="73" t="s">
        <v>47</v>
      </c>
      <c r="T6" s="74">
        <f>SUM(H9:H11)</f>
        <v>0</v>
      </c>
      <c r="U6" s="94"/>
      <c r="V6" s="1"/>
      <c r="W6" s="73" t="s">
        <v>47</v>
      </c>
      <c r="X6" s="74">
        <f>SUM(L9:L11)</f>
        <v>0</v>
      </c>
      <c r="Y6" s="120"/>
      <c r="Z6" s="94"/>
      <c r="AA6" s="94"/>
      <c r="AC6" s="73" t="s">
        <v>47</v>
      </c>
      <c r="AD6" s="72">
        <f t="shared" ref="AD6:AI7" si="9">$AG6</f>
        <v>0</v>
      </c>
      <c r="AE6" s="72">
        <f t="shared" si="9"/>
        <v>0</v>
      </c>
      <c r="AF6" s="72">
        <f t="shared" si="9"/>
        <v>0</v>
      </c>
      <c r="AG6" s="74">
        <f>SUM(H9:H11)</f>
        <v>0</v>
      </c>
      <c r="AH6" s="72">
        <f t="shared" si="9"/>
        <v>0</v>
      </c>
      <c r="AI6" s="72">
        <f t="shared" si="9"/>
        <v>0</v>
      </c>
      <c r="AJ6" s="94"/>
      <c r="AL6" s="73" t="s">
        <v>47</v>
      </c>
      <c r="AM6" s="72">
        <f>$X6</f>
        <v>0</v>
      </c>
      <c r="AN6" s="72">
        <f t="shared" si="5"/>
        <v>0</v>
      </c>
      <c r="AO6" s="72">
        <f t="shared" si="5"/>
        <v>0</v>
      </c>
      <c r="AP6" s="72">
        <f t="shared" si="5"/>
        <v>0</v>
      </c>
      <c r="AQ6" s="72">
        <f t="shared" si="5"/>
        <v>0</v>
      </c>
      <c r="AR6" s="72">
        <f t="shared" si="5"/>
        <v>0</v>
      </c>
      <c r="AS6" s="94"/>
    </row>
    <row r="7" spans="1:45" x14ac:dyDescent="0.35">
      <c r="A7" s="7" t="s">
        <v>38</v>
      </c>
      <c r="B7" s="54"/>
      <c r="C7" s="9" t="s">
        <v>1</v>
      </c>
      <c r="D7" s="41"/>
      <c r="E7" s="66">
        <f t="shared" si="6"/>
        <v>0</v>
      </c>
      <c r="F7" s="14" t="e">
        <f>E7/E$22</f>
        <v>#DIV/0!</v>
      </c>
      <c r="G7" s="41"/>
      <c r="H7" s="66">
        <f t="shared" si="7"/>
        <v>0</v>
      </c>
      <c r="I7" s="14" t="e">
        <f>H7/H$22</f>
        <v>#DIV/0!</v>
      </c>
      <c r="J7" s="114" t="e">
        <f>H7/E7*$B$2</f>
        <v>#DIV/0!</v>
      </c>
      <c r="K7" s="41"/>
      <c r="L7" s="101">
        <f t="shared" si="8"/>
        <v>0</v>
      </c>
      <c r="M7" s="14" t="e">
        <f>L7/L$22</f>
        <v>#DIV/0!</v>
      </c>
      <c r="O7" s="71" t="s">
        <v>49</v>
      </c>
      <c r="P7" s="75">
        <f>SUM(E18:E20)</f>
        <v>0</v>
      </c>
      <c r="Q7" s="94"/>
      <c r="S7" s="71" t="s">
        <v>49</v>
      </c>
      <c r="T7" s="75">
        <f>SUM(H18:H20)</f>
        <v>0</v>
      </c>
      <c r="U7" s="94"/>
      <c r="W7" s="71" t="s">
        <v>49</v>
      </c>
      <c r="X7" s="75">
        <f>SUM(L18:L20)</f>
        <v>0</v>
      </c>
      <c r="Y7" s="121"/>
      <c r="Z7" s="94"/>
      <c r="AA7" s="94"/>
      <c r="AB7" s="21"/>
      <c r="AC7" s="71" t="s">
        <v>49</v>
      </c>
      <c r="AD7" s="72">
        <f t="shared" si="9"/>
        <v>0</v>
      </c>
      <c r="AE7" s="72">
        <f t="shared" si="9"/>
        <v>0</v>
      </c>
      <c r="AF7" s="72">
        <f t="shared" si="9"/>
        <v>0</v>
      </c>
      <c r="AG7" s="75">
        <f>SUM(H18:H20)</f>
        <v>0</v>
      </c>
      <c r="AH7" s="72">
        <f t="shared" si="9"/>
        <v>0</v>
      </c>
      <c r="AI7" s="72">
        <f t="shared" si="9"/>
        <v>0</v>
      </c>
      <c r="AJ7" s="94"/>
      <c r="AL7" s="71" t="s">
        <v>49</v>
      </c>
      <c r="AM7" s="72">
        <f>$X7</f>
        <v>0</v>
      </c>
      <c r="AN7" s="72">
        <f t="shared" ref="AN7:AR7" si="10">$AG7</f>
        <v>0</v>
      </c>
      <c r="AO7" s="72">
        <f t="shared" si="10"/>
        <v>0</v>
      </c>
      <c r="AP7" s="75">
        <f>SUM(Q18:Q20)</f>
        <v>0</v>
      </c>
      <c r="AQ7" s="72">
        <f t="shared" si="10"/>
        <v>0</v>
      </c>
      <c r="AR7" s="72">
        <f t="shared" si="10"/>
        <v>0</v>
      </c>
      <c r="AS7" s="94"/>
    </row>
    <row r="8" spans="1:45" x14ac:dyDescent="0.35">
      <c r="A8" s="6" t="s">
        <v>71</v>
      </c>
      <c r="B8" s="55"/>
      <c r="C8" s="10"/>
      <c r="D8" s="5"/>
      <c r="E8" s="60"/>
      <c r="F8" s="15"/>
      <c r="G8" s="5"/>
      <c r="H8" s="60"/>
      <c r="I8" s="15"/>
      <c r="J8" s="115"/>
      <c r="K8" s="5"/>
      <c r="L8" s="103"/>
      <c r="M8" s="15"/>
      <c r="O8" s="71" t="s">
        <v>51</v>
      </c>
      <c r="Q8" s="76" t="e">
        <f>E27</f>
        <v>#VALUE!</v>
      </c>
      <c r="S8" s="71" t="s">
        <v>51</v>
      </c>
      <c r="U8" s="76" t="e">
        <f>H27</f>
        <v>#VALUE!</v>
      </c>
      <c r="W8" s="71" t="s">
        <v>51</v>
      </c>
      <c r="Z8" s="76" t="e">
        <f>L27</f>
        <v>#VALUE!</v>
      </c>
      <c r="AA8" s="76"/>
      <c r="AC8" s="71" t="s">
        <v>51</v>
      </c>
      <c r="AD8" s="72"/>
      <c r="AE8" s="72"/>
      <c r="AF8" s="72"/>
      <c r="AH8" s="72"/>
      <c r="AI8" s="72"/>
      <c r="AJ8" s="76" t="e">
        <f>H27</f>
        <v>#VALUE!</v>
      </c>
      <c r="AL8" s="71" t="s">
        <v>51</v>
      </c>
      <c r="AM8" s="72"/>
      <c r="AN8" s="72"/>
      <c r="AO8" s="72"/>
      <c r="AQ8" s="72"/>
      <c r="AR8" s="72"/>
      <c r="AS8" s="76" t="e">
        <f>Z8</f>
        <v>#VALUE!</v>
      </c>
    </row>
    <row r="9" spans="1:45" x14ac:dyDescent="0.35">
      <c r="A9" s="7" t="s">
        <v>39</v>
      </c>
      <c r="B9" s="54"/>
      <c r="C9" s="9" t="s">
        <v>2</v>
      </c>
      <c r="D9" s="41"/>
      <c r="E9" s="66">
        <f t="shared" si="6"/>
        <v>0</v>
      </c>
      <c r="F9" s="14" t="e">
        <f>E9/E$22</f>
        <v>#DIV/0!</v>
      </c>
      <c r="G9" s="3"/>
      <c r="H9" s="66">
        <f t="shared" si="7"/>
        <v>0</v>
      </c>
      <c r="I9" s="14" t="e">
        <f>H9/H$22</f>
        <v>#DIV/0!</v>
      </c>
      <c r="J9" s="114" t="e">
        <f>H9/E9*$B$2</f>
        <v>#DIV/0!</v>
      </c>
      <c r="K9" s="3"/>
      <c r="L9" s="101">
        <f t="shared" ref="L9:L10" si="11">K9*$B9</f>
        <v>0</v>
      </c>
      <c r="M9" s="14" t="e">
        <f>L9/L$22</f>
        <v>#DIV/0!</v>
      </c>
      <c r="O9" s="71" t="s">
        <v>52</v>
      </c>
      <c r="Q9" s="76">
        <f>E29</f>
        <v>0</v>
      </c>
      <c r="S9" s="71" t="s">
        <v>52</v>
      </c>
      <c r="U9" s="76">
        <f>H29</f>
        <v>0</v>
      </c>
      <c r="W9" s="71" t="s">
        <v>52</v>
      </c>
      <c r="Z9" s="76">
        <f>L29</f>
        <v>0</v>
      </c>
      <c r="AA9" s="76"/>
      <c r="AC9" s="71" t="s">
        <v>52</v>
      </c>
      <c r="AD9" s="72"/>
      <c r="AE9" s="72"/>
      <c r="AF9" s="72"/>
      <c r="AH9" s="72"/>
      <c r="AI9" s="72"/>
      <c r="AJ9" s="76">
        <f>H29</f>
        <v>0</v>
      </c>
      <c r="AL9" s="71" t="s">
        <v>52</v>
      </c>
      <c r="AM9" s="72"/>
      <c r="AN9" s="72"/>
      <c r="AO9" s="72"/>
      <c r="AQ9" s="72"/>
      <c r="AR9" s="72"/>
      <c r="AS9" s="76">
        <f t="shared" ref="AS9:AS12" si="12">Z9</f>
        <v>0</v>
      </c>
    </row>
    <row r="10" spans="1:45" x14ac:dyDescent="0.35">
      <c r="A10" s="92" t="s">
        <v>40</v>
      </c>
      <c r="B10" s="87"/>
      <c r="C10" s="88" t="s">
        <v>1</v>
      </c>
      <c r="D10" s="89"/>
      <c r="E10" s="66">
        <f t="shared" si="6"/>
        <v>0</v>
      </c>
      <c r="F10" s="90" t="e">
        <f>E10/E$22</f>
        <v>#DIV/0!</v>
      </c>
      <c r="G10" s="89"/>
      <c r="H10" s="66">
        <f t="shared" si="7"/>
        <v>0</v>
      </c>
      <c r="I10" s="14" t="e">
        <f>H10/H$22</f>
        <v>#DIV/0!</v>
      </c>
      <c r="J10" s="114" t="e">
        <f>H10/E10*$B$2</f>
        <v>#DIV/0!</v>
      </c>
      <c r="K10" s="89"/>
      <c r="L10" s="101">
        <f t="shared" si="11"/>
        <v>0</v>
      </c>
      <c r="M10" s="14" t="e">
        <f>L10/L$22</f>
        <v>#DIV/0!</v>
      </c>
      <c r="O10" s="71" t="s">
        <v>50</v>
      </c>
      <c r="Q10" s="76">
        <f>E36</f>
        <v>0</v>
      </c>
      <c r="S10" s="71" t="s">
        <v>50</v>
      </c>
      <c r="U10" s="76">
        <f>H36</f>
        <v>0</v>
      </c>
      <c r="W10" s="71" t="s">
        <v>50</v>
      </c>
      <c r="Z10" s="76">
        <f>L36</f>
        <v>0</v>
      </c>
      <c r="AA10" s="76"/>
      <c r="AC10" s="71" t="s">
        <v>50</v>
      </c>
      <c r="AD10" s="72"/>
      <c r="AE10" s="72"/>
      <c r="AF10" s="72"/>
      <c r="AH10" s="72"/>
      <c r="AI10" s="72"/>
      <c r="AJ10" s="76">
        <f>H36</f>
        <v>0</v>
      </c>
      <c r="AL10" s="71" t="s">
        <v>50</v>
      </c>
      <c r="AM10" s="72"/>
      <c r="AN10" s="72"/>
      <c r="AO10" s="72"/>
      <c r="AQ10" s="72"/>
      <c r="AR10" s="72"/>
      <c r="AS10" s="76">
        <f t="shared" si="12"/>
        <v>0</v>
      </c>
    </row>
    <row r="11" spans="1:45" x14ac:dyDescent="0.35">
      <c r="A11" s="1" t="s">
        <v>35</v>
      </c>
      <c r="B11" s="54"/>
      <c r="C11" s="9" t="s">
        <v>1</v>
      </c>
      <c r="D11" s="41"/>
      <c r="E11" s="66">
        <f>D11*$B11</f>
        <v>0</v>
      </c>
      <c r="F11" s="14" t="e">
        <f>E11/E$38</f>
        <v>#VALUE!</v>
      </c>
      <c r="G11" s="89"/>
      <c r="H11" s="66">
        <f>G11*$B11</f>
        <v>0</v>
      </c>
      <c r="I11" s="14" t="e">
        <f>H11/H$38</f>
        <v>#VALUE!</v>
      </c>
      <c r="J11" s="114" t="e">
        <f>H11/E11*$B$2</f>
        <v>#DIV/0!</v>
      </c>
      <c r="K11" s="89"/>
      <c r="L11" s="101">
        <f>K11*$B11</f>
        <v>0</v>
      </c>
      <c r="M11" s="14" t="e">
        <f>L11/L$38</f>
        <v>#VALUE!</v>
      </c>
      <c r="O11" s="71" t="s">
        <v>67</v>
      </c>
      <c r="P11" s="1">
        <f>E13</f>
        <v>0</v>
      </c>
      <c r="Q11" s="76">
        <f>E31</f>
        <v>0</v>
      </c>
      <c r="S11" s="71" t="s">
        <v>67</v>
      </c>
      <c r="T11" s="1">
        <f>H13</f>
        <v>0</v>
      </c>
      <c r="U11" s="76">
        <f>H31</f>
        <v>0</v>
      </c>
      <c r="W11" s="71" t="s">
        <v>67</v>
      </c>
      <c r="X11" s="70">
        <f>L13</f>
        <v>0</v>
      </c>
      <c r="Z11" s="76">
        <f>L31</f>
        <v>0</v>
      </c>
      <c r="AA11" s="76"/>
      <c r="AB11" s="1" t="e">
        <f>(X6+X5)/(Z9+Z8)</f>
        <v>#VALUE!</v>
      </c>
      <c r="AC11" s="71" t="s">
        <v>67</v>
      </c>
      <c r="AD11" s="118">
        <f>AG$11*$AD3/$AG$3</f>
        <v>0</v>
      </c>
      <c r="AE11" s="56">
        <f>AG$11*$AE3/$AG$3</f>
        <v>0</v>
      </c>
      <c r="AF11" s="56">
        <f>AG$11*$AF3/$AG$3</f>
        <v>0</v>
      </c>
      <c r="AG11" s="1">
        <f>H13</f>
        <v>0</v>
      </c>
      <c r="AH11" s="56">
        <f>AG$11*$AH3/$AG$3</f>
        <v>0</v>
      </c>
      <c r="AI11" s="119">
        <f>AG$11*$AI3/$AG$3</f>
        <v>0</v>
      </c>
      <c r="AJ11" s="76">
        <f>H31</f>
        <v>0</v>
      </c>
      <c r="AL11" s="71" t="s">
        <v>67</v>
      </c>
      <c r="AM11" s="118">
        <f>$AP$11*AM3/$AP$3</f>
        <v>0</v>
      </c>
      <c r="AN11" s="118">
        <f t="shared" ref="AN11:AO11" si="13">$AP$11*AN3/$AP$3</f>
        <v>0</v>
      </c>
      <c r="AO11" s="118">
        <f t="shared" si="13"/>
        <v>0</v>
      </c>
      <c r="AP11" s="70">
        <f>$X11</f>
        <v>0</v>
      </c>
      <c r="AQ11" s="118">
        <f t="shared" ref="AQ11:AR11" si="14">$AP$11*AQ3/$AP$3</f>
        <v>0</v>
      </c>
      <c r="AR11" s="118">
        <f t="shared" si="14"/>
        <v>0</v>
      </c>
      <c r="AS11" s="76">
        <f t="shared" si="12"/>
        <v>0</v>
      </c>
    </row>
    <row r="12" spans="1:45" x14ac:dyDescent="0.35">
      <c r="A12" s="6" t="s">
        <v>10</v>
      </c>
      <c r="B12" s="55"/>
      <c r="C12" s="10"/>
      <c r="D12" s="5"/>
      <c r="E12" s="60"/>
      <c r="F12" s="15"/>
      <c r="G12" s="5"/>
      <c r="H12" s="60"/>
      <c r="I12" s="15"/>
      <c r="J12" s="115"/>
      <c r="K12" s="5"/>
      <c r="L12" s="103"/>
      <c r="M12" s="15"/>
      <c r="O12" s="71" t="s">
        <v>66</v>
      </c>
      <c r="P12" s="76">
        <f>E14</f>
        <v>0</v>
      </c>
      <c r="Q12" s="75">
        <f>E32</f>
        <v>0</v>
      </c>
      <c r="S12" s="71" t="s">
        <v>66</v>
      </c>
      <c r="T12" s="76">
        <f>H14</f>
        <v>0</v>
      </c>
      <c r="U12" s="75">
        <f>H32</f>
        <v>0</v>
      </c>
      <c r="W12" s="71" t="s">
        <v>66</v>
      </c>
      <c r="X12" s="76">
        <f>L14</f>
        <v>0</v>
      </c>
      <c r="Y12" s="76"/>
      <c r="Z12" s="75">
        <f>L32</f>
        <v>0</v>
      </c>
      <c r="AA12" s="75"/>
      <c r="AC12" s="71" t="s">
        <v>66</v>
      </c>
      <c r="AD12" s="72">
        <f t="shared" ref="AD12:AI12" si="15">$AG12</f>
        <v>0</v>
      </c>
      <c r="AE12" s="72">
        <f t="shared" si="15"/>
        <v>0</v>
      </c>
      <c r="AF12" s="72">
        <f t="shared" si="15"/>
        <v>0</v>
      </c>
      <c r="AG12" s="76">
        <f>H14</f>
        <v>0</v>
      </c>
      <c r="AH12" s="72">
        <f t="shared" si="15"/>
        <v>0</v>
      </c>
      <c r="AI12" s="72">
        <f t="shared" si="15"/>
        <v>0</v>
      </c>
      <c r="AJ12" s="75">
        <f>H32</f>
        <v>0</v>
      </c>
      <c r="AL12" s="71" t="s">
        <v>66</v>
      </c>
      <c r="AM12" s="72">
        <f>$X12</f>
        <v>0</v>
      </c>
      <c r="AN12" s="72">
        <f t="shared" ref="AN12:AR12" si="16">$X12</f>
        <v>0</v>
      </c>
      <c r="AO12" s="72">
        <f t="shared" si="16"/>
        <v>0</v>
      </c>
      <c r="AP12" s="72">
        <f t="shared" si="16"/>
        <v>0</v>
      </c>
      <c r="AQ12" s="72">
        <f t="shared" si="16"/>
        <v>0</v>
      </c>
      <c r="AR12" s="72">
        <f t="shared" si="16"/>
        <v>0</v>
      </c>
      <c r="AS12" s="76">
        <f t="shared" si="12"/>
        <v>0</v>
      </c>
    </row>
    <row r="13" spans="1:45" x14ac:dyDescent="0.35">
      <c r="A13" s="7" t="s">
        <v>63</v>
      </c>
      <c r="B13" s="53"/>
      <c r="C13" s="9" t="s">
        <v>15</v>
      </c>
      <c r="D13" s="65"/>
      <c r="E13" s="12">
        <f t="shared" si="6"/>
        <v>0</v>
      </c>
      <c r="F13" s="14" t="e">
        <f>E13/E$22</f>
        <v>#DIV/0!</v>
      </c>
      <c r="G13" s="65"/>
      <c r="H13" s="67">
        <f t="shared" si="7"/>
        <v>0</v>
      </c>
      <c r="I13" s="14" t="e">
        <f>H13/H$22</f>
        <v>#DIV/0!</v>
      </c>
      <c r="J13" s="114" t="e">
        <f>H13/E13*$B$2</f>
        <v>#DIV/0!</v>
      </c>
      <c r="K13" s="65"/>
      <c r="L13" s="105">
        <f t="shared" ref="L13:L14" si="17">K13*$B13</f>
        <v>0</v>
      </c>
      <c r="M13" s="14" t="e">
        <f>L13/L$22</f>
        <v>#DIV/0!</v>
      </c>
      <c r="O13" s="77" t="s">
        <v>30</v>
      </c>
      <c r="P13" s="78">
        <f>SUM(P5:P7,P12)</f>
        <v>0</v>
      </c>
      <c r="Q13" s="95" t="e">
        <f>SUM(Q8:Q12)</f>
        <v>#VALUE!</v>
      </c>
      <c r="R13" s="70"/>
      <c r="S13" s="77" t="s">
        <v>30</v>
      </c>
      <c r="T13" s="95">
        <f>SUM(T5:T12)</f>
        <v>0</v>
      </c>
      <c r="U13" s="95" t="e">
        <f>SUM(U5:U12)</f>
        <v>#VALUE!</v>
      </c>
      <c r="W13" s="77" t="s">
        <v>30</v>
      </c>
      <c r="X13" s="122"/>
      <c r="Y13" s="122"/>
      <c r="Z13" s="122"/>
      <c r="AA13" s="122"/>
      <c r="AC13" s="77" t="s">
        <v>30</v>
      </c>
      <c r="AD13" s="95"/>
      <c r="AE13" s="95"/>
      <c r="AF13" s="95"/>
      <c r="AG13" s="78"/>
      <c r="AH13" s="95"/>
      <c r="AI13" s="95"/>
      <c r="AJ13" s="95" t="e">
        <f>SUM(AJ5:AJ12)</f>
        <v>#VALUE!</v>
      </c>
      <c r="AL13" s="77" t="s">
        <v>30</v>
      </c>
      <c r="AM13" s="95"/>
      <c r="AN13" s="95"/>
      <c r="AO13" s="95"/>
      <c r="AP13" s="78"/>
      <c r="AQ13" s="95"/>
      <c r="AR13" s="95"/>
      <c r="AS13" s="95" t="e">
        <f>SUM(AS5:AS12)</f>
        <v>#VALUE!</v>
      </c>
    </row>
    <row r="14" spans="1:45" x14ac:dyDescent="0.35">
      <c r="A14" s="7" t="s">
        <v>45</v>
      </c>
      <c r="B14" s="53"/>
      <c r="C14" s="9" t="s">
        <v>36</v>
      </c>
      <c r="D14" s="65"/>
      <c r="E14" s="67">
        <f t="shared" si="6"/>
        <v>0</v>
      </c>
      <c r="F14" s="14" t="e">
        <f>E14/E$22</f>
        <v>#DIV/0!</v>
      </c>
      <c r="G14" s="17"/>
      <c r="H14" s="67">
        <f t="shared" si="7"/>
        <v>0</v>
      </c>
      <c r="I14" s="14" t="e">
        <f>H14/H$22</f>
        <v>#DIV/0!</v>
      </c>
      <c r="J14" s="114" t="e">
        <f>H14/E14*$B$2</f>
        <v>#DIV/0!</v>
      </c>
      <c r="K14" s="17"/>
      <c r="L14" s="105">
        <f t="shared" si="17"/>
        <v>0</v>
      </c>
      <c r="M14" s="14" t="e">
        <f>L14/L$22</f>
        <v>#DIV/0!</v>
      </c>
      <c r="X14" s="124"/>
      <c r="AD14" s="56"/>
      <c r="AE14" s="56"/>
      <c r="AF14" s="56"/>
      <c r="AG14" s="56"/>
      <c r="AH14" s="56"/>
      <c r="AI14" s="56"/>
      <c r="AJ14" s="56"/>
    </row>
    <row r="15" spans="1:45" x14ac:dyDescent="0.35">
      <c r="A15" s="6" t="s">
        <v>5</v>
      </c>
      <c r="B15" s="55"/>
      <c r="C15" s="10"/>
      <c r="D15" s="5"/>
      <c r="E15" s="60"/>
      <c r="F15" s="15"/>
      <c r="G15" s="5"/>
      <c r="H15" s="60"/>
      <c r="I15" s="15"/>
      <c r="J15" s="115"/>
      <c r="K15" s="5"/>
      <c r="L15" s="103"/>
      <c r="M15" s="15"/>
      <c r="AD15" s="56"/>
      <c r="AE15" s="56"/>
      <c r="AF15" s="56"/>
      <c r="AG15" s="56"/>
      <c r="AH15" s="56"/>
      <c r="AI15" s="56"/>
      <c r="AJ15" s="56"/>
    </row>
    <row r="16" spans="1:45" ht="21" x14ac:dyDescent="0.4">
      <c r="A16" s="7" t="s">
        <v>14</v>
      </c>
      <c r="B16" s="53"/>
      <c r="C16" s="9"/>
      <c r="D16" s="3"/>
      <c r="E16" s="61">
        <f t="shared" si="6"/>
        <v>0</v>
      </c>
      <c r="F16" s="14" t="e">
        <f>E16/E$22</f>
        <v>#DIV/0!</v>
      </c>
      <c r="G16" s="3"/>
      <c r="H16" s="61">
        <f t="shared" si="7"/>
        <v>0</v>
      </c>
      <c r="I16" s="14" t="e">
        <f>H16/H$22</f>
        <v>#DIV/0!</v>
      </c>
      <c r="J16" s="114"/>
      <c r="K16" s="3"/>
      <c r="L16" s="106">
        <f t="shared" ref="L16" si="18">K16*$B16</f>
        <v>0</v>
      </c>
      <c r="M16" s="14" t="e">
        <f>L16/L$22</f>
        <v>#DIV/0!</v>
      </c>
      <c r="X16" s="1" t="s">
        <v>70</v>
      </c>
      <c r="AD16" s="56"/>
      <c r="AE16" s="56"/>
      <c r="AF16" s="56"/>
      <c r="AG16" s="56"/>
      <c r="AH16" s="56"/>
      <c r="AI16" s="56"/>
      <c r="AJ16" s="56"/>
    </row>
    <row r="17" spans="1:36" x14ac:dyDescent="0.35">
      <c r="A17" s="6" t="s">
        <v>6</v>
      </c>
      <c r="B17" s="55"/>
      <c r="C17" s="10"/>
      <c r="D17" s="5"/>
      <c r="E17" s="60"/>
      <c r="F17" s="15"/>
      <c r="G17" s="5"/>
      <c r="H17" s="60"/>
      <c r="I17" s="15"/>
      <c r="J17" s="115"/>
      <c r="K17" s="5"/>
      <c r="L17" s="103"/>
      <c r="M17" s="15"/>
      <c r="AD17" s="56"/>
      <c r="AE17" s="56"/>
      <c r="AF17" s="56"/>
      <c r="AG17" s="56"/>
      <c r="AH17" s="56"/>
      <c r="AI17" s="56"/>
      <c r="AJ17" s="56"/>
    </row>
    <row r="18" spans="1:36" x14ac:dyDescent="0.35">
      <c r="A18" s="26" t="s">
        <v>41</v>
      </c>
      <c r="B18" s="54"/>
      <c r="C18" s="9" t="s">
        <v>1</v>
      </c>
      <c r="D18" s="41"/>
      <c r="E18" s="66">
        <f t="shared" si="6"/>
        <v>0</v>
      </c>
      <c r="F18" s="14" t="e">
        <f>E18/E$22</f>
        <v>#DIV/0!</v>
      </c>
      <c r="G18" s="41"/>
      <c r="H18" s="66">
        <f t="shared" si="7"/>
        <v>0</v>
      </c>
      <c r="I18" s="14" t="e">
        <f>H18/H$22</f>
        <v>#DIV/0!</v>
      </c>
      <c r="J18" s="114" t="e">
        <f>H18/E18*$B$2</f>
        <v>#DIV/0!</v>
      </c>
      <c r="K18" s="41"/>
      <c r="L18" s="101">
        <f t="shared" ref="L18:L19" si="19">K18*$B18</f>
        <v>0</v>
      </c>
      <c r="M18" s="14" t="e">
        <f>L18/L$22</f>
        <v>#DIV/0!</v>
      </c>
      <c r="AD18" s="56"/>
      <c r="AE18" s="56"/>
      <c r="AF18" s="56"/>
      <c r="AG18" s="56"/>
      <c r="AH18" s="56"/>
      <c r="AI18" s="56"/>
      <c r="AJ18" s="56"/>
    </row>
    <row r="19" spans="1:36" x14ac:dyDescent="0.35">
      <c r="A19" s="7" t="s">
        <v>42</v>
      </c>
      <c r="B19" s="54"/>
      <c r="C19" s="9" t="s">
        <v>33</v>
      </c>
      <c r="D19" s="41"/>
      <c r="E19" s="12">
        <f t="shared" si="6"/>
        <v>0</v>
      </c>
      <c r="F19" s="14" t="e">
        <f>E19/E$22</f>
        <v>#DIV/0!</v>
      </c>
      <c r="G19" s="41"/>
      <c r="H19" s="67">
        <f t="shared" si="7"/>
        <v>0</v>
      </c>
      <c r="I19" s="14" t="e">
        <f>H19/H$22</f>
        <v>#DIV/0!</v>
      </c>
      <c r="J19" s="114" t="e">
        <f>H19/E19*$B$2</f>
        <v>#DIV/0!</v>
      </c>
      <c r="K19" s="41"/>
      <c r="L19" s="105">
        <f t="shared" si="19"/>
        <v>0</v>
      </c>
      <c r="M19" s="14" t="e">
        <f>L19/L$22</f>
        <v>#DIV/0!</v>
      </c>
      <c r="AD19" s="56"/>
      <c r="AE19" s="56"/>
      <c r="AF19" s="56"/>
      <c r="AG19" s="56"/>
      <c r="AH19" s="56"/>
      <c r="AI19" s="56"/>
      <c r="AJ19" s="56"/>
    </row>
    <row r="20" spans="1:36" x14ac:dyDescent="0.35">
      <c r="A20" s="11" t="s">
        <v>43</v>
      </c>
      <c r="B20" s="54"/>
      <c r="C20" s="9" t="s">
        <v>1</v>
      </c>
      <c r="D20" s="41"/>
      <c r="E20" s="12">
        <f>D20*$B20</f>
        <v>0</v>
      </c>
      <c r="F20" s="14" t="e">
        <f>E20/E$22</f>
        <v>#DIV/0!</v>
      </c>
      <c r="G20" s="41"/>
      <c r="H20" s="12">
        <f>G20*$B20</f>
        <v>0</v>
      </c>
      <c r="I20" s="14" t="e">
        <f>H20/H$22</f>
        <v>#DIV/0!</v>
      </c>
      <c r="J20" s="114" t="e">
        <f>H20/E20*$B$2</f>
        <v>#DIV/0!</v>
      </c>
      <c r="K20" s="41"/>
      <c r="L20" s="107">
        <f>K20*$B20</f>
        <v>0</v>
      </c>
      <c r="M20" s="14" t="e">
        <f>L20/L$22</f>
        <v>#DIV/0!</v>
      </c>
    </row>
    <row r="21" spans="1:36" x14ac:dyDescent="0.35">
      <c r="A21" s="6" t="s">
        <v>7</v>
      </c>
      <c r="B21" s="22"/>
      <c r="C21" s="23"/>
      <c r="D21" s="24"/>
      <c r="E21" s="62"/>
      <c r="F21" s="25"/>
      <c r="G21" s="5"/>
      <c r="H21" s="5"/>
      <c r="I21" s="15"/>
      <c r="J21" s="34"/>
      <c r="K21" s="102"/>
      <c r="L21" s="5"/>
      <c r="M21" s="15"/>
      <c r="AE21" s="1" t="s">
        <v>72</v>
      </c>
    </row>
    <row r="22" spans="1:36" ht="21" x14ac:dyDescent="0.4">
      <c r="A22" s="7" t="s">
        <v>7</v>
      </c>
      <c r="B22" s="3"/>
      <c r="C22" s="40" t="s">
        <v>14</v>
      </c>
      <c r="D22" s="3"/>
      <c r="E22" s="63">
        <f>SUM(E6:E20)</f>
        <v>0</v>
      </c>
      <c r="F22" s="14" t="e">
        <f>E22/E$22</f>
        <v>#DIV/0!</v>
      </c>
      <c r="G22" s="41"/>
      <c r="H22" s="42">
        <f>SUM(H6:H20)</f>
        <v>0</v>
      </c>
      <c r="I22" s="14" t="e">
        <f>H22/H$22</f>
        <v>#DIV/0!</v>
      </c>
      <c r="J22" s="33" t="e">
        <f>H22/E22*$B$2</f>
        <v>#DIV/0!</v>
      </c>
      <c r="K22" s="100"/>
      <c r="L22" s="42">
        <f>SUM(L6:L20)</f>
        <v>0</v>
      </c>
      <c r="M22" s="14" t="e">
        <f>L22/L$22</f>
        <v>#DIV/0!</v>
      </c>
    </row>
    <row r="23" spans="1:36" x14ac:dyDescent="0.35">
      <c r="A23" s="7"/>
      <c r="B23" s="3"/>
      <c r="C23" s="9"/>
      <c r="D23" s="3"/>
      <c r="E23" s="12"/>
      <c r="F23" s="14"/>
      <c r="G23" s="3"/>
      <c r="H23" s="3"/>
      <c r="I23" s="14"/>
      <c r="J23" s="33"/>
      <c r="K23" s="100"/>
      <c r="L23" s="123"/>
      <c r="M23" s="14"/>
    </row>
    <row r="24" spans="1:36" x14ac:dyDescent="0.35">
      <c r="C24" s="3"/>
      <c r="D24" s="3"/>
      <c r="E24" s="64"/>
      <c r="F24" s="3"/>
      <c r="G24" s="3"/>
      <c r="H24" s="3"/>
      <c r="I24" s="3"/>
    </row>
    <row r="25" spans="1:36" ht="61.8" thickBot="1" x14ac:dyDescent="0.4">
      <c r="A25" s="35" t="s">
        <v>74</v>
      </c>
      <c r="B25" s="36" t="s">
        <v>16</v>
      </c>
      <c r="C25" s="37" t="s">
        <v>0</v>
      </c>
      <c r="D25" s="36" t="s">
        <v>4</v>
      </c>
      <c r="E25" s="57" t="s">
        <v>11</v>
      </c>
      <c r="F25" s="38" t="s">
        <v>9</v>
      </c>
      <c r="G25" s="36" t="s">
        <v>20</v>
      </c>
      <c r="H25" s="36" t="s">
        <v>21</v>
      </c>
      <c r="I25" s="38" t="s">
        <v>22</v>
      </c>
      <c r="J25" s="39" t="s">
        <v>12</v>
      </c>
      <c r="K25" s="36" t="s">
        <v>59</v>
      </c>
      <c r="L25" s="36" t="s">
        <v>60</v>
      </c>
      <c r="M25" s="96" t="s">
        <v>61</v>
      </c>
    </row>
    <row r="26" spans="1:36" x14ac:dyDescent="0.35">
      <c r="A26" s="6" t="s">
        <v>3</v>
      </c>
      <c r="B26" s="4"/>
      <c r="C26" s="8"/>
      <c r="D26" s="4"/>
      <c r="E26" s="58"/>
      <c r="F26" s="13"/>
      <c r="G26" s="4"/>
      <c r="H26" s="4"/>
      <c r="I26" s="13"/>
      <c r="J26" s="32"/>
      <c r="K26" s="108"/>
      <c r="L26" s="109"/>
      <c r="M26" s="110"/>
    </row>
    <row r="27" spans="1:36" x14ac:dyDescent="0.35">
      <c r="A27" s="7" t="s">
        <v>34</v>
      </c>
      <c r="B27" s="54" t="s">
        <v>79</v>
      </c>
      <c r="C27" s="9" t="s">
        <v>1</v>
      </c>
      <c r="D27" s="41"/>
      <c r="E27" s="66" t="e">
        <f>D27*$B27</f>
        <v>#VALUE!</v>
      </c>
      <c r="F27" s="14" t="e">
        <f>E27/E$38</f>
        <v>#VALUE!</v>
      </c>
      <c r="G27" s="41"/>
      <c r="H27" s="66" t="e">
        <f>G27*$B27</f>
        <v>#VALUE!</v>
      </c>
      <c r="I27" s="14" t="e">
        <f>H27/H$38</f>
        <v>#VALUE!</v>
      </c>
      <c r="J27" s="33" t="e">
        <f>H27/E27*$B$2</f>
        <v>#VALUE!</v>
      </c>
      <c r="K27" s="100"/>
      <c r="L27" s="66" t="e">
        <f>K27*$B27</f>
        <v>#VALUE!</v>
      </c>
      <c r="M27" s="14" t="e">
        <f>L27/L$38</f>
        <v>#VALUE!</v>
      </c>
    </row>
    <row r="28" spans="1:36" x14ac:dyDescent="0.35">
      <c r="A28" s="6" t="s">
        <v>71</v>
      </c>
      <c r="B28" s="5"/>
      <c r="C28" s="10"/>
      <c r="D28" s="5"/>
      <c r="E28" s="60"/>
      <c r="F28" s="15"/>
      <c r="G28" s="5"/>
      <c r="H28" s="60"/>
      <c r="I28" s="15"/>
      <c r="J28" s="34"/>
      <c r="K28" s="102"/>
      <c r="L28" s="60"/>
      <c r="M28" s="15"/>
    </row>
    <row r="29" spans="1:36" x14ac:dyDescent="0.35">
      <c r="A29" s="7" t="s">
        <v>35</v>
      </c>
      <c r="B29" s="54"/>
      <c r="C29" s="9" t="s">
        <v>1</v>
      </c>
      <c r="D29" s="41"/>
      <c r="E29" s="66">
        <f>D29*$B29</f>
        <v>0</v>
      </c>
      <c r="F29" s="14" t="e">
        <f>E29/E$38</f>
        <v>#VALUE!</v>
      </c>
      <c r="G29" s="3"/>
      <c r="H29" s="66">
        <f>G29*$B29</f>
        <v>0</v>
      </c>
      <c r="I29" s="14" t="e">
        <f>H29/H$38</f>
        <v>#VALUE!</v>
      </c>
      <c r="J29" s="33" t="e">
        <f>H29/E29*$B$2</f>
        <v>#DIV/0!</v>
      </c>
      <c r="K29" s="104"/>
      <c r="L29" s="66">
        <f>K29*$B29</f>
        <v>0</v>
      </c>
      <c r="M29" s="14" t="e">
        <f>L29/L$38</f>
        <v>#VALUE!</v>
      </c>
    </row>
    <row r="30" spans="1:36" x14ac:dyDescent="0.35">
      <c r="A30" s="6" t="s">
        <v>10</v>
      </c>
      <c r="B30" s="5"/>
      <c r="C30" s="10"/>
      <c r="D30" s="5"/>
      <c r="E30" s="60"/>
      <c r="F30" s="15"/>
      <c r="G30" s="5"/>
      <c r="H30" s="60"/>
      <c r="I30" s="15"/>
      <c r="J30" s="34"/>
      <c r="K30" s="102"/>
      <c r="L30" s="60"/>
      <c r="M30" s="15"/>
    </row>
    <row r="31" spans="1:36" x14ac:dyDescent="0.35">
      <c r="A31" s="7" t="s">
        <v>64</v>
      </c>
      <c r="B31" s="53"/>
      <c r="C31" s="9" t="s">
        <v>15</v>
      </c>
      <c r="D31" s="65"/>
      <c r="E31" s="66">
        <f>D31*$B31</f>
        <v>0</v>
      </c>
      <c r="F31" s="14" t="e">
        <f>E31/E$38</f>
        <v>#VALUE!</v>
      </c>
      <c r="G31" s="41"/>
      <c r="H31" s="66">
        <f>G31*$B31</f>
        <v>0</v>
      </c>
      <c r="I31" s="14" t="e">
        <f>H31/H$38</f>
        <v>#VALUE!</v>
      </c>
      <c r="J31" s="33" t="e">
        <f>H31/E31*$B$2</f>
        <v>#DIV/0!</v>
      </c>
      <c r="K31" s="100"/>
      <c r="L31" s="66">
        <f>K31*$B31</f>
        <v>0</v>
      </c>
      <c r="M31" s="14" t="e">
        <f>L31/L$38</f>
        <v>#VALUE!</v>
      </c>
    </row>
    <row r="32" spans="1:36" x14ac:dyDescent="0.35">
      <c r="A32" s="7" t="s">
        <v>45</v>
      </c>
      <c r="B32" s="53"/>
      <c r="C32" s="88" t="s">
        <v>36</v>
      </c>
      <c r="D32" s="91"/>
      <c r="E32" s="66">
        <f>D32*$B32</f>
        <v>0</v>
      </c>
      <c r="F32" s="14" t="e">
        <f>E32/E$38</f>
        <v>#VALUE!</v>
      </c>
      <c r="G32" s="41"/>
      <c r="H32" s="66">
        <f>G32*$B32</f>
        <v>0</v>
      </c>
      <c r="I32" s="14" t="e">
        <f>H32/H$38</f>
        <v>#VALUE!</v>
      </c>
      <c r="J32" s="33" t="e">
        <f>H32/E32*$B$2</f>
        <v>#DIV/0!</v>
      </c>
      <c r="K32" s="100"/>
      <c r="L32" s="66">
        <f>K32*$B32</f>
        <v>0</v>
      </c>
      <c r="M32" s="14" t="e">
        <f>L32/L$38</f>
        <v>#VALUE!</v>
      </c>
    </row>
    <row r="33" spans="1:13" x14ac:dyDescent="0.35">
      <c r="A33" s="6" t="s">
        <v>5</v>
      </c>
      <c r="B33" s="5"/>
      <c r="C33" s="10"/>
      <c r="D33" s="5"/>
      <c r="E33" s="60"/>
      <c r="F33" s="15"/>
      <c r="G33" s="5"/>
      <c r="H33" s="60"/>
      <c r="I33" s="15"/>
      <c r="J33" s="34"/>
      <c r="K33" s="102"/>
      <c r="L33" s="60"/>
      <c r="M33" s="15"/>
    </row>
    <row r="34" spans="1:13" ht="21" x14ac:dyDescent="0.4">
      <c r="A34" s="7" t="s">
        <v>14</v>
      </c>
      <c r="B34" s="53"/>
      <c r="C34" s="9"/>
      <c r="D34" s="3"/>
      <c r="E34" s="61">
        <f t="shared" ref="E34" si="20">D34*$B34</f>
        <v>0</v>
      </c>
      <c r="F34" s="14" t="e">
        <f>E34/E$22</f>
        <v>#DIV/0!</v>
      </c>
      <c r="G34" s="3"/>
      <c r="H34" s="61">
        <f t="shared" ref="H34" si="21">G34*$B34</f>
        <v>0</v>
      </c>
      <c r="I34" s="14" t="e">
        <f>H34/H$22</f>
        <v>#DIV/0!</v>
      </c>
      <c r="J34" s="33"/>
      <c r="K34" s="104"/>
      <c r="L34" s="61">
        <f t="shared" ref="L34" si="22">K34*$B34</f>
        <v>0</v>
      </c>
      <c r="M34" s="14" t="e">
        <f>L34/L$22</f>
        <v>#DIV/0!</v>
      </c>
    </row>
    <row r="35" spans="1:13" x14ac:dyDescent="0.35">
      <c r="A35" s="6" t="s">
        <v>6</v>
      </c>
      <c r="B35" s="5"/>
      <c r="C35" s="10"/>
      <c r="D35" s="5"/>
      <c r="E35" s="60"/>
      <c r="F35" s="15"/>
      <c r="G35" s="5"/>
      <c r="H35" s="60"/>
      <c r="I35" s="15"/>
      <c r="J35" s="34"/>
      <c r="K35" s="102"/>
      <c r="L35" s="60"/>
      <c r="M35" s="15"/>
    </row>
    <row r="36" spans="1:13" x14ac:dyDescent="0.35">
      <c r="A36" s="26" t="s">
        <v>44</v>
      </c>
      <c r="B36" s="54"/>
      <c r="C36" s="9" t="s">
        <v>1</v>
      </c>
      <c r="D36" s="41"/>
      <c r="E36" s="66">
        <f>D36*$B36</f>
        <v>0</v>
      </c>
      <c r="F36" s="69" t="e">
        <f>E36/E$38</f>
        <v>#VALUE!</v>
      </c>
      <c r="G36" s="41"/>
      <c r="H36" s="67">
        <f>G36*$B36</f>
        <v>0</v>
      </c>
      <c r="I36" s="14" t="e">
        <f>H36/H$38</f>
        <v>#VALUE!</v>
      </c>
      <c r="J36" s="33" t="e">
        <f>H36/E36*$B$2</f>
        <v>#DIV/0!</v>
      </c>
      <c r="K36" s="100"/>
      <c r="L36" s="67">
        <f>K36*$B36</f>
        <v>0</v>
      </c>
      <c r="M36" s="14" t="e">
        <f>L36/L$38</f>
        <v>#VALUE!</v>
      </c>
    </row>
    <row r="37" spans="1:13" x14ac:dyDescent="0.35">
      <c r="A37" s="6" t="s">
        <v>7</v>
      </c>
      <c r="B37" s="22"/>
      <c r="C37" s="23"/>
      <c r="D37" s="24"/>
      <c r="E37" s="62"/>
      <c r="F37" s="25"/>
      <c r="G37" s="5"/>
      <c r="H37" s="5"/>
      <c r="I37" s="15"/>
      <c r="J37" s="34"/>
      <c r="K37" s="112"/>
      <c r="L37" s="5"/>
      <c r="M37" s="15"/>
    </row>
    <row r="38" spans="1:13" ht="21" x14ac:dyDescent="0.4">
      <c r="A38" s="7" t="s">
        <v>7</v>
      </c>
      <c r="B38" s="3"/>
      <c r="C38" s="40" t="s">
        <v>14</v>
      </c>
      <c r="D38" s="3"/>
      <c r="E38" s="63" t="e">
        <f>SUM(E27:E36)</f>
        <v>#VALUE!</v>
      </c>
      <c r="F38" s="14" t="e">
        <f>E38/E$38</f>
        <v>#VALUE!</v>
      </c>
      <c r="G38" s="41"/>
      <c r="H38" s="68" t="e">
        <f>SUM(H27:H36)</f>
        <v>#VALUE!</v>
      </c>
      <c r="I38" s="14" t="e">
        <f>H38/H$38</f>
        <v>#VALUE!</v>
      </c>
      <c r="J38" s="33" t="e">
        <f>H38/E38*$B$2</f>
        <v>#VALUE!</v>
      </c>
      <c r="K38" s="111"/>
      <c r="L38" s="68" t="e">
        <f>SUM(L27:L36)</f>
        <v>#VALUE!</v>
      </c>
      <c r="M38" s="14" t="e">
        <f>L38/L$38</f>
        <v>#VALUE!</v>
      </c>
    </row>
    <row r="39" spans="1:13" x14ac:dyDescent="0.35">
      <c r="A39" s="26"/>
      <c r="C39" s="9"/>
      <c r="D39" s="3"/>
      <c r="J39" s="33"/>
      <c r="K39" s="111"/>
      <c r="L39" s="123"/>
      <c r="M39" s="33"/>
    </row>
    <row r="40" spans="1:13" x14ac:dyDescent="0.35">
      <c r="A40" s="26"/>
      <c r="B40" s="125"/>
      <c r="C40" s="9"/>
      <c r="D40" s="3"/>
      <c r="J40" s="33"/>
      <c r="K40" s="111"/>
      <c r="L40" s="123"/>
      <c r="M40" s="33"/>
    </row>
    <row r="41" spans="1:13" ht="52.2" customHeight="1" x14ac:dyDescent="0.4">
      <c r="A41" s="30" t="s">
        <v>17</v>
      </c>
      <c r="B41" s="128"/>
      <c r="C41" s="129"/>
      <c r="D41" s="129"/>
      <c r="E41" s="129"/>
      <c r="F41" s="129"/>
    </row>
    <row r="42" spans="1:13" ht="43.2" customHeight="1" x14ac:dyDescent="0.35">
      <c r="A42" s="31" t="s">
        <v>55</v>
      </c>
      <c r="B42" s="130" t="s">
        <v>76</v>
      </c>
      <c r="C42" s="131"/>
      <c r="D42" s="131"/>
      <c r="E42" s="131"/>
      <c r="F42" s="131"/>
      <c r="G42" s="132"/>
    </row>
    <row r="43" spans="1:13" ht="107.4" customHeight="1" x14ac:dyDescent="0.35">
      <c r="A43" s="31" t="s">
        <v>56</v>
      </c>
      <c r="B43" s="130" t="s">
        <v>77</v>
      </c>
      <c r="C43" s="131"/>
      <c r="D43" s="131"/>
      <c r="E43" s="131"/>
      <c r="F43" s="131"/>
      <c r="G43" s="132"/>
    </row>
    <row r="44" spans="1:13" ht="90" customHeight="1" x14ac:dyDescent="0.35">
      <c r="A44" s="31" t="s">
        <v>18</v>
      </c>
      <c r="B44" s="130" t="s">
        <v>73</v>
      </c>
      <c r="C44" s="131"/>
      <c r="D44" s="131"/>
      <c r="E44" s="131"/>
      <c r="F44" s="131"/>
      <c r="G44" s="132"/>
    </row>
    <row r="45" spans="1:13" x14ac:dyDescent="0.35">
      <c r="A45" s="31" t="s">
        <v>19</v>
      </c>
      <c r="B45" s="130" t="s">
        <v>57</v>
      </c>
      <c r="C45" s="131"/>
      <c r="D45" s="131"/>
      <c r="E45" s="131"/>
      <c r="F45" s="131"/>
      <c r="G45" s="132"/>
    </row>
    <row r="46" spans="1:13" ht="40.799999999999997" x14ac:dyDescent="0.35">
      <c r="A46" s="31" t="s">
        <v>58</v>
      </c>
      <c r="B46" s="130" t="s">
        <v>78</v>
      </c>
      <c r="C46" s="131"/>
      <c r="D46" s="131"/>
      <c r="E46" s="131"/>
      <c r="F46" s="131"/>
      <c r="G46" s="132"/>
    </row>
    <row r="47" spans="1:13" x14ac:dyDescent="0.35">
      <c r="A47" s="29"/>
      <c r="B47" s="126"/>
      <c r="C47" s="127"/>
      <c r="D47" s="127"/>
      <c r="E47" s="127"/>
      <c r="F47" s="127"/>
    </row>
    <row r="49" spans="17:21" x14ac:dyDescent="0.35">
      <c r="Q49" s="4"/>
      <c r="R49" s="4"/>
      <c r="S49" s="4"/>
      <c r="T49" s="4"/>
      <c r="U49" s="4"/>
    </row>
    <row r="50" spans="17:21" x14ac:dyDescent="0.35">
      <c r="Q50" s="65">
        <f>Processes!H54</f>
        <v>0</v>
      </c>
      <c r="R50" s="65"/>
      <c r="S50" s="65"/>
      <c r="T50" s="65"/>
      <c r="U50" s="65"/>
    </row>
    <row r="51" spans="17:21" x14ac:dyDescent="0.35">
      <c r="Q51" s="41">
        <f>Processes!H45</f>
        <v>0</v>
      </c>
      <c r="R51" s="41"/>
      <c r="S51" s="41"/>
      <c r="T51" s="41"/>
      <c r="U51" s="41"/>
    </row>
    <row r="52" spans="17:21" x14ac:dyDescent="0.35">
      <c r="Q52" s="5"/>
      <c r="R52" s="5"/>
      <c r="S52" s="5"/>
      <c r="T52" s="5"/>
      <c r="U52" s="5"/>
    </row>
    <row r="53" spans="17:21" x14ac:dyDescent="0.35">
      <c r="Q53" s="3">
        <v>27.1</v>
      </c>
      <c r="R53" s="3"/>
      <c r="S53" s="3"/>
      <c r="T53" s="3"/>
      <c r="U53" s="3"/>
    </row>
    <row r="54" spans="17:21" x14ac:dyDescent="0.35">
      <c r="Q54" s="5"/>
      <c r="R54" s="5"/>
      <c r="S54" s="5"/>
      <c r="T54" s="5"/>
      <c r="U54" s="5"/>
    </row>
    <row r="55" spans="17:21" x14ac:dyDescent="0.35">
      <c r="Q55" s="65">
        <f>Processes!H53</f>
        <v>0</v>
      </c>
      <c r="R55" s="65"/>
      <c r="S55" s="65"/>
      <c r="T55" s="65"/>
      <c r="U55" s="65"/>
    </row>
    <row r="56" spans="17:21" x14ac:dyDescent="0.35">
      <c r="Q56" s="17">
        <f>Processes!G52</f>
        <v>0</v>
      </c>
      <c r="R56" s="17"/>
      <c r="S56" s="17"/>
      <c r="T56" s="17"/>
      <c r="U56" s="17"/>
    </row>
    <row r="57" spans="17:21" x14ac:dyDescent="0.35">
      <c r="Q57" s="5"/>
      <c r="R57" s="5"/>
      <c r="S57" s="5"/>
      <c r="T57" s="5"/>
      <c r="U57" s="5"/>
    </row>
    <row r="58" spans="17:21" x14ac:dyDescent="0.35">
      <c r="Q58" s="3"/>
      <c r="R58" s="3"/>
      <c r="S58" s="3"/>
      <c r="T58" s="3"/>
      <c r="U58" s="3"/>
    </row>
    <row r="59" spans="17:21" x14ac:dyDescent="0.35">
      <c r="Q59" s="5"/>
      <c r="R59" s="5"/>
      <c r="S59" s="5"/>
      <c r="T59" s="5"/>
      <c r="U59" s="5"/>
    </row>
    <row r="60" spans="17:21" x14ac:dyDescent="0.35">
      <c r="Q60" s="41">
        <f>Processes!H49</f>
        <v>0</v>
      </c>
      <c r="R60" s="41"/>
      <c r="S60" s="41"/>
      <c r="T60" s="41"/>
      <c r="U60" s="41"/>
    </row>
    <row r="61" spans="17:21" x14ac:dyDescent="0.35">
      <c r="Q61" s="41">
        <f>Processes!H50</f>
        <v>0</v>
      </c>
      <c r="R61" s="41"/>
      <c r="S61" s="41"/>
      <c r="T61" s="41"/>
      <c r="U61" s="41"/>
    </row>
    <row r="62" spans="17:21" x14ac:dyDescent="0.35">
      <c r="Q62" s="41">
        <f>Processes!H44</f>
        <v>0</v>
      </c>
      <c r="R62" s="41"/>
      <c r="S62" s="41"/>
      <c r="T62" s="41"/>
      <c r="U62" s="41"/>
    </row>
    <row r="63" spans="17:21" x14ac:dyDescent="0.35">
      <c r="Q63" s="24"/>
      <c r="R63" s="5"/>
      <c r="S63" s="5"/>
      <c r="T63" s="5"/>
      <c r="U63" s="5"/>
    </row>
    <row r="64" spans="17:21" x14ac:dyDescent="0.35">
      <c r="Q64" s="3"/>
      <c r="R64" s="3"/>
      <c r="S64" s="3"/>
      <c r="T64" s="3"/>
      <c r="U64" s="3"/>
    </row>
    <row r="65" spans="17:21" x14ac:dyDescent="0.35">
      <c r="Q65" s="3"/>
      <c r="R65" s="3"/>
      <c r="S65" s="3"/>
      <c r="T65" s="3"/>
      <c r="U65" s="3"/>
    </row>
    <row r="66" spans="17:21" x14ac:dyDescent="0.35">
      <c r="Q66" s="3"/>
      <c r="R66" s="3"/>
      <c r="S66" s="3"/>
      <c r="T66" s="3"/>
      <c r="U66" s="3"/>
    </row>
    <row r="67" spans="17:21" ht="41.4" thickBot="1" x14ac:dyDescent="0.4">
      <c r="Q67" s="36" t="s">
        <v>4</v>
      </c>
      <c r="R67" s="2"/>
      <c r="S67" s="2"/>
      <c r="T67" s="2"/>
      <c r="U67" s="2"/>
    </row>
    <row r="68" spans="17:21" x14ac:dyDescent="0.35">
      <c r="Q68" s="4"/>
      <c r="R68" s="4"/>
      <c r="S68" s="4"/>
      <c r="T68" s="4"/>
      <c r="U68" s="4"/>
    </row>
    <row r="69" spans="17:21" x14ac:dyDescent="0.35">
      <c r="Q69" s="41">
        <f>Processes!H46</f>
        <v>0</v>
      </c>
      <c r="R69" s="41"/>
      <c r="S69" s="41"/>
      <c r="T69" s="41"/>
      <c r="U69" s="41"/>
    </row>
    <row r="70" spans="17:21" x14ac:dyDescent="0.35">
      <c r="Q70" s="41">
        <f>Processes!H47</f>
        <v>0</v>
      </c>
      <c r="R70" s="41"/>
      <c r="S70" s="41"/>
      <c r="T70" s="41"/>
      <c r="U70" s="41"/>
    </row>
    <row r="71" spans="17:21" x14ac:dyDescent="0.35">
      <c r="Q71" s="5"/>
      <c r="R71" s="5"/>
      <c r="S71" s="5"/>
      <c r="T71" s="5"/>
      <c r="U71" s="5"/>
    </row>
    <row r="72" spans="17:21" x14ac:dyDescent="0.35">
      <c r="Q72" s="3">
        <v>27.1</v>
      </c>
      <c r="R72" s="3"/>
      <c r="S72" s="3"/>
      <c r="T72" s="3"/>
      <c r="U72" s="3"/>
    </row>
    <row r="73" spans="17:21" x14ac:dyDescent="0.35">
      <c r="Q73" s="5"/>
      <c r="R73" s="5"/>
      <c r="S73" s="5"/>
      <c r="T73" s="5"/>
      <c r="U73" s="5"/>
    </row>
    <row r="74" spans="17:21" x14ac:dyDescent="0.35">
      <c r="Q74" s="65">
        <f>Processes!H52</f>
        <v>0</v>
      </c>
      <c r="R74" s="65"/>
      <c r="S74" s="65"/>
      <c r="T74" s="65"/>
      <c r="U74" s="65"/>
    </row>
    <row r="75" spans="17:21" x14ac:dyDescent="0.35">
      <c r="Q75" s="5"/>
      <c r="R75" s="5"/>
      <c r="S75" s="5"/>
      <c r="T75" s="5"/>
      <c r="U75" s="5"/>
    </row>
    <row r="76" spans="17:21" x14ac:dyDescent="0.35">
      <c r="Q76" s="41">
        <f>Processes!H44</f>
        <v>0</v>
      </c>
      <c r="R76" s="41"/>
      <c r="S76" s="41"/>
      <c r="T76" s="41"/>
      <c r="U76" s="41"/>
    </row>
    <row r="77" spans="17:21" x14ac:dyDescent="0.35">
      <c r="Q77" s="5"/>
      <c r="R77" s="5"/>
      <c r="S77" s="5"/>
      <c r="T77" s="5"/>
      <c r="U77" s="5"/>
    </row>
    <row r="78" spans="17:21" x14ac:dyDescent="0.35">
      <c r="Q78" s="41">
        <f>Processes!H48</f>
        <v>0</v>
      </c>
      <c r="R78" s="41"/>
      <c r="S78" s="41"/>
      <c r="T78" s="41"/>
      <c r="U78" s="41"/>
    </row>
    <row r="79" spans="17:21" x14ac:dyDescent="0.35">
      <c r="Q79" s="24"/>
      <c r="R79" s="5"/>
      <c r="S79" s="5"/>
      <c r="T79" s="5"/>
      <c r="U79" s="5"/>
    </row>
    <row r="80" spans="17:21" x14ac:dyDescent="0.35">
      <c r="Q80" s="3"/>
      <c r="R80" s="3"/>
      <c r="S80" s="3"/>
      <c r="T80" s="3"/>
      <c r="U80" s="3"/>
    </row>
  </sheetData>
  <mergeCells count="7">
    <mergeCell ref="B47:F47"/>
    <mergeCell ref="B41:F41"/>
    <mergeCell ref="B42:G42"/>
    <mergeCell ref="B43:G43"/>
    <mergeCell ref="B44:G44"/>
    <mergeCell ref="B45:G45"/>
    <mergeCell ref="B46:G46"/>
  </mergeCells>
  <pageMargins left="0.7" right="0.7" top="0.75" bottom="0.75" header="0.3" footer="0.3"/>
  <pageSetup orientation="portrait" horizontalDpi="1200" verticalDpi="1200"/>
  <drawing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topLeftCell="A2" zoomScaleNormal="100" workbookViewId="0">
      <selection activeCell="B27" sqref="B27"/>
    </sheetView>
  </sheetViews>
  <sheetFormatPr defaultRowHeight="14.4" x14ac:dyDescent="0.3"/>
  <cols>
    <col min="2" max="2" width="55.109375" customWidth="1"/>
    <col min="4" max="4" width="47" customWidth="1"/>
    <col min="5" max="5" width="14.6640625" customWidth="1"/>
    <col min="6" max="6" width="13.44140625" customWidth="1"/>
    <col min="8" max="8" width="14.109375" customWidth="1"/>
    <col min="9" max="9" width="13.6640625" customWidth="1"/>
    <col min="12" max="12" width="14.109375" customWidth="1"/>
    <col min="13" max="13" width="20.5546875" customWidth="1"/>
  </cols>
  <sheetData>
    <row r="1" spans="1:13" ht="72" x14ac:dyDescent="0.3">
      <c r="A1" s="47"/>
      <c r="B1" t="s">
        <v>28</v>
      </c>
      <c r="C1">
        <v>1000</v>
      </c>
      <c r="D1" s="47" t="s">
        <v>13</v>
      </c>
      <c r="E1" s="47"/>
      <c r="F1" s="48" t="s">
        <v>23</v>
      </c>
      <c r="G1" s="49" t="s">
        <v>24</v>
      </c>
      <c r="H1" s="50" t="s">
        <v>25</v>
      </c>
      <c r="I1" s="51" t="s">
        <v>26</v>
      </c>
      <c r="J1" s="51"/>
      <c r="K1" s="48" t="s">
        <v>27</v>
      </c>
      <c r="L1" s="50"/>
      <c r="M1" s="50"/>
    </row>
    <row r="2" spans="1:13" x14ac:dyDescent="0.3">
      <c r="A2" s="80"/>
      <c r="B2" s="81"/>
      <c r="C2" s="81"/>
      <c r="D2" s="81"/>
      <c r="E2" s="81"/>
      <c r="F2" s="81"/>
      <c r="G2" s="82"/>
      <c r="H2" s="83"/>
      <c r="I2" s="84"/>
      <c r="J2" s="84"/>
      <c r="K2" s="81"/>
      <c r="L2" s="83"/>
      <c r="M2" s="83"/>
    </row>
    <row r="3" spans="1:13" x14ac:dyDescent="0.3">
      <c r="A3" s="43"/>
      <c r="B3" s="43"/>
      <c r="C3" s="43"/>
      <c r="D3" s="43"/>
      <c r="E3" s="43"/>
      <c r="F3" s="43"/>
      <c r="G3" s="44"/>
      <c r="H3" s="45"/>
      <c r="I3" s="46"/>
      <c r="J3" s="46"/>
      <c r="K3" s="43"/>
      <c r="L3" s="45"/>
      <c r="M3" s="45"/>
    </row>
    <row r="4" spans="1:13" x14ac:dyDescent="0.3">
      <c r="A4" s="81"/>
      <c r="B4" s="81"/>
      <c r="C4" s="81"/>
      <c r="D4" s="81"/>
      <c r="E4" s="81"/>
      <c r="F4" s="81"/>
      <c r="G4" s="82"/>
      <c r="H4" s="83"/>
      <c r="I4" s="84"/>
      <c r="J4" s="84"/>
      <c r="K4" s="81"/>
      <c r="L4" s="83"/>
      <c r="M4" s="83"/>
    </row>
    <row r="5" spans="1:13" x14ac:dyDescent="0.3">
      <c r="A5" s="81"/>
      <c r="B5" s="81"/>
      <c r="C5" s="81"/>
      <c r="D5" s="81"/>
      <c r="E5" s="81"/>
      <c r="F5" s="81"/>
      <c r="G5" s="82"/>
      <c r="H5" s="83"/>
      <c r="I5" s="84"/>
      <c r="J5" s="84"/>
      <c r="K5" s="81"/>
      <c r="L5" s="83"/>
      <c r="M5" s="83"/>
    </row>
    <row r="6" spans="1:13" x14ac:dyDescent="0.3">
      <c r="A6" s="80"/>
      <c r="B6" s="81"/>
      <c r="C6" s="81"/>
      <c r="D6" s="81"/>
      <c r="E6" s="81"/>
      <c r="F6" s="81"/>
      <c r="G6" s="82"/>
      <c r="H6" s="83"/>
      <c r="I6" s="84"/>
      <c r="J6" s="84"/>
      <c r="K6" s="81"/>
      <c r="L6" s="83"/>
      <c r="M6" s="83"/>
    </row>
    <row r="7" spans="1:13" ht="16.95" customHeight="1" x14ac:dyDescent="0.3">
      <c r="A7" s="52"/>
      <c r="B7" s="43"/>
      <c r="C7" s="43"/>
      <c r="D7" s="43"/>
      <c r="E7" s="43"/>
      <c r="F7" s="43"/>
      <c r="G7" s="44"/>
      <c r="H7" s="45"/>
      <c r="I7" s="46"/>
      <c r="J7" s="46"/>
      <c r="K7" s="43"/>
      <c r="L7" s="45"/>
      <c r="M7" s="45"/>
    </row>
    <row r="8" spans="1:13" x14ac:dyDescent="0.3">
      <c r="A8" s="85"/>
      <c r="B8" s="43"/>
      <c r="C8" s="43"/>
      <c r="D8" s="43"/>
      <c r="E8" s="43"/>
      <c r="F8" s="43"/>
      <c r="G8" s="44"/>
      <c r="H8" s="45"/>
      <c r="I8" s="46"/>
      <c r="J8" s="46"/>
      <c r="K8" s="43"/>
      <c r="L8" s="45"/>
      <c r="M8" s="86"/>
    </row>
    <row r="9" spans="1:13" x14ac:dyDescent="0.3">
      <c r="A9" s="52"/>
      <c r="B9" s="43"/>
      <c r="C9" s="43"/>
      <c r="D9" s="43"/>
      <c r="E9" s="43"/>
      <c r="F9" s="43"/>
      <c r="G9" s="44"/>
      <c r="H9" s="45"/>
      <c r="I9" s="46"/>
      <c r="J9" s="46"/>
      <c r="K9" s="43"/>
      <c r="L9" s="45"/>
      <c r="M9" s="45"/>
    </row>
    <row r="10" spans="1:13" x14ac:dyDescent="0.3">
      <c r="A10" s="80"/>
      <c r="B10" s="81"/>
      <c r="C10" s="81"/>
      <c r="D10" s="81"/>
      <c r="E10" s="81"/>
      <c r="F10" s="81"/>
      <c r="G10" s="82"/>
      <c r="H10" s="83"/>
      <c r="I10" s="84"/>
      <c r="J10" s="84"/>
      <c r="K10" s="81"/>
      <c r="L10" s="83"/>
      <c r="M10" s="83"/>
    </row>
    <row r="11" spans="1:13" x14ac:dyDescent="0.3">
      <c r="A11" s="80"/>
      <c r="B11" s="81"/>
      <c r="C11" s="81"/>
      <c r="D11" s="81"/>
      <c r="E11" s="81"/>
      <c r="F11" s="81"/>
      <c r="G11" s="82"/>
      <c r="H11" s="83"/>
      <c r="I11" s="84"/>
      <c r="J11" s="84"/>
      <c r="K11" s="81"/>
      <c r="L11" s="83"/>
      <c r="M11" s="83"/>
    </row>
    <row r="12" spans="1:13" x14ac:dyDescent="0.3">
      <c r="A12" s="43"/>
      <c r="B12" s="43"/>
      <c r="C12" s="43"/>
      <c r="D12" s="43"/>
      <c r="E12" s="43"/>
      <c r="F12" s="43"/>
      <c r="G12" s="44"/>
      <c r="H12" s="45"/>
      <c r="I12" s="46"/>
      <c r="J12" s="46"/>
      <c r="K12" s="43"/>
      <c r="L12" s="45"/>
      <c r="M12" s="45"/>
    </row>
    <row r="13" spans="1:13" x14ac:dyDescent="0.3">
      <c r="A13" s="52"/>
      <c r="B13" s="43"/>
      <c r="C13" s="43"/>
      <c r="D13" s="43"/>
      <c r="E13" s="43"/>
      <c r="F13" s="43"/>
      <c r="G13" s="44"/>
      <c r="H13" s="45"/>
      <c r="I13" s="46"/>
      <c r="J13" s="46"/>
      <c r="K13" s="43"/>
      <c r="L13" s="45"/>
      <c r="M13" s="45"/>
    </row>
  </sheetData>
  <conditionalFormatting sqref="E1">
    <cfRule type="containsText" dxfId="25" priority="28" operator="containsText" text="unit">
      <formula>NOT(ISERROR(SEARCH("unit",E1)))</formula>
    </cfRule>
  </conditionalFormatting>
  <conditionalFormatting sqref="E5">
    <cfRule type="containsText" dxfId="24" priority="11" operator="containsText" text="unit">
      <formula>NOT(ISERROR(SEARCH("unit",E5)))</formula>
    </cfRule>
  </conditionalFormatting>
  <conditionalFormatting sqref="E2">
    <cfRule type="containsText" dxfId="23" priority="14" operator="containsText" text="unit">
      <formula>NOT(ISERROR(SEARCH("unit",E2)))</formula>
    </cfRule>
  </conditionalFormatting>
  <conditionalFormatting sqref="E10">
    <cfRule type="containsText" dxfId="22" priority="13" operator="containsText" text="unit">
      <formula>NOT(ISERROR(SEARCH("unit",E10)))</formula>
    </cfRule>
  </conditionalFormatting>
  <conditionalFormatting sqref="E12">
    <cfRule type="containsText" dxfId="21" priority="3" operator="containsText" text="unit">
      <formula>NOT(ISERROR(SEARCH("unit",E12)))</formula>
    </cfRule>
  </conditionalFormatting>
  <conditionalFormatting sqref="E6">
    <cfRule type="containsText" dxfId="20" priority="10" operator="containsText" text="unit">
      <formula>NOT(ISERROR(SEARCH("unit",E6)))</formula>
    </cfRule>
  </conditionalFormatting>
  <conditionalFormatting sqref="E4">
    <cfRule type="containsText" dxfId="19" priority="9" operator="containsText" text="unit">
      <formula>NOT(ISERROR(SEARCH("unit",E4)))</formula>
    </cfRule>
  </conditionalFormatting>
  <conditionalFormatting sqref="E11">
    <cfRule type="containsText" dxfId="18" priority="8" operator="containsText" text="unit">
      <formula>NOT(ISERROR(SEARCH("unit",E11)))</formula>
    </cfRule>
  </conditionalFormatting>
  <conditionalFormatting sqref="E7">
    <cfRule type="containsText" dxfId="17" priority="6" operator="containsText" text="unit">
      <formula>NOT(ISERROR(SEARCH("unit",E7)))</formula>
    </cfRule>
  </conditionalFormatting>
  <conditionalFormatting sqref="E8">
    <cfRule type="containsText" dxfId="16" priority="5" operator="containsText" text="unit">
      <formula>NOT(ISERROR(SEARCH("unit",E8)))</formula>
    </cfRule>
  </conditionalFormatting>
  <conditionalFormatting sqref="E9">
    <cfRule type="containsText" dxfId="15" priority="4" operator="containsText" text="unit">
      <formula>NOT(ISERROR(SEARCH("unit",E9)))</formula>
    </cfRule>
  </conditionalFormatting>
  <conditionalFormatting sqref="E3">
    <cfRule type="containsText" dxfId="14" priority="2" operator="containsText" text="unit">
      <formula>NOT(ISERROR(SEARCH("unit",E3)))</formula>
    </cfRule>
  </conditionalFormatting>
  <conditionalFormatting sqref="E13">
    <cfRule type="containsText" dxfId="13" priority="1" operator="containsText" text="unit">
      <formula>NOT(ISERROR(SEARCH("unit",E13)))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E87AD8AD2D7E04FA9AB4C9431D6D3A2" ma:contentTypeVersion="10" ma:contentTypeDescription="Opret et nyt dokument." ma:contentTypeScope="" ma:versionID="0d6085ccc12a7587e94968d797bf732a">
  <xsd:schema xmlns:xsd="http://www.w3.org/2001/XMLSchema" xmlns:xs="http://www.w3.org/2001/XMLSchema" xmlns:p="http://schemas.microsoft.com/office/2006/metadata/properties" xmlns:ns3="fb3f01c3-7657-47ac-91fe-aaf76832b51e" targetNamespace="http://schemas.microsoft.com/office/2006/metadata/properties" ma:root="true" ma:fieldsID="3b11d78b17dae0e4bb7b5e466fcad467" ns3:_="">
    <xsd:import namespace="fb3f01c3-7657-47ac-91fe-aaf76832b51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3f01c3-7657-47ac-91fe-aaf76832b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b3f01c3-7657-47ac-91fe-aaf76832b5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6F0C3A-D8F4-4C22-852B-263159BCD2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3f01c3-7657-47ac-91fe-aaf76832b5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C00AE5-FB42-481F-9239-6A21331ABDBA}">
  <ds:schemaRefs>
    <ds:schemaRef ds:uri="http://purl.org/dc/elements/1.1/"/>
    <ds:schemaRef ds:uri="http://schemas.microsoft.com/office/2006/metadata/properties"/>
    <ds:schemaRef ds:uri="fb3f01c3-7657-47ac-91fe-aaf76832b51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8750315B-0A6B-4949-948D-199B208F13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Milk alternatives</vt:lpstr>
      <vt:lpstr>Processes</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Jolliet</dc:creator>
  <cp:lastModifiedBy>Olivier Jolliet</cp:lastModifiedBy>
  <dcterms:created xsi:type="dcterms:W3CDTF">2018-03-14T16:19:16Z</dcterms:created>
  <dcterms:modified xsi:type="dcterms:W3CDTF">2023-03-16T21:03:06Z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0x0101001E87AD8AD2D7E04FA9AB4C9431D6D3A2</vt:lpwstr>
  </property>
</Properties>
</file>