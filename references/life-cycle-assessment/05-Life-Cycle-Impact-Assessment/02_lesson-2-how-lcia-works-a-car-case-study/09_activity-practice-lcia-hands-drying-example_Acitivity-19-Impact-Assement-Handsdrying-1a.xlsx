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mc:AlternateContent xmlns:mc="http://schemas.openxmlformats.org/markup-compatibility/2006">
    <mc:Choice Requires="x15">
      <x15ac:absPath xmlns:x15ac="http://schemas.microsoft.com/office/spreadsheetml/2010/11/ac" url="/Users/ruthle/Downloads/"/>
    </mc:Choice>
  </mc:AlternateContent>
  <xr:revisionPtr revIDLastSave="0" documentId="13_ncr:1_{86967BBB-7B6D-1348-8C8D-5E0CF3FC1B1D}" xr6:coauthVersionLast="47" xr6:coauthVersionMax="47" xr10:uidLastSave="{00000000-0000-0000-0000-000000000000}"/>
  <bookViews>
    <workbookView xWindow="28800" yWindow="500" windowWidth="32000" windowHeight="17500" activeTab="2" xr2:uid="{00000000-000D-0000-FFFF-FFFF00000000}"/>
  </bookViews>
  <sheets>
    <sheet name="Directions" sheetId="3" r:id="rId1"/>
    <sheet name="Impact Assessment" sheetId="1" r:id="rId2"/>
    <sheet name="Calculation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3" i="2" l="1"/>
  <c r="D12" i="2"/>
  <c r="D9" i="2"/>
  <c r="D8" i="2"/>
  <c r="C17" i="2"/>
  <c r="A17" i="2"/>
  <c r="A16" i="2"/>
  <c r="C16" i="2"/>
  <c r="D15" i="2"/>
  <c r="C15" i="2"/>
  <c r="C13" i="2"/>
  <c r="C9" i="2"/>
  <c r="C12" i="2"/>
  <c r="C8" i="2"/>
  <c r="J45" i="1" l="1"/>
  <c r="D11" i="2" s="1"/>
  <c r="D45" i="1"/>
  <c r="C11" i="2" s="1"/>
  <c r="J33" i="1"/>
  <c r="D7" i="2" s="1"/>
  <c r="D33" i="1"/>
  <c r="C7" i="2" s="1"/>
</calcChain>
</file>

<file path=xl/sharedStrings.xml><?xml version="1.0" encoding="utf-8"?>
<sst xmlns="http://schemas.openxmlformats.org/spreadsheetml/2006/main" count="134" uniqueCount="90">
  <si>
    <t>Emission per FU: bi</t>
  </si>
  <si>
    <t>Midpoint score per FU: Sj</t>
  </si>
  <si>
    <t>Respiratory Inorganics</t>
  </si>
  <si>
    <t>[kg/FU]</t>
  </si>
  <si>
    <t>Substance #1: PM10</t>
  </si>
  <si>
    <t>Substance #2: PM2.5</t>
  </si>
  <si>
    <t>Substance #3: NOx</t>
  </si>
  <si>
    <t>Substance #4: SOx</t>
  </si>
  <si>
    <t>Scenarios</t>
  </si>
  <si>
    <t>Air dryer</t>
  </si>
  <si>
    <t>1 pair of hands dried</t>
  </si>
  <si>
    <t>Paper towels</t>
  </si>
  <si>
    <r>
      <t>CO2 [kg</t>
    </r>
    <r>
      <rPr>
        <b/>
        <vertAlign val="subscript"/>
        <sz val="12"/>
        <color rgb="FF01035B"/>
        <rFont val="Arial"/>
        <family val="2"/>
      </rPr>
      <t xml:space="preserve">CO2 </t>
    </r>
    <r>
      <rPr>
        <b/>
        <sz val="12"/>
        <color rgb="FF01035B"/>
        <rFont val="Arial"/>
        <family val="2"/>
      </rPr>
      <t>/unit]</t>
    </r>
  </si>
  <si>
    <r>
      <t>CH</t>
    </r>
    <r>
      <rPr>
        <b/>
        <vertAlign val="subscript"/>
        <sz val="12"/>
        <color rgb="FF01035B"/>
        <rFont val="Arial"/>
        <family val="2"/>
      </rPr>
      <t>4</t>
    </r>
    <r>
      <rPr>
        <b/>
        <sz val="12"/>
        <color rgb="FF01035B"/>
        <rFont val="Arial"/>
        <family val="2"/>
      </rPr>
      <t xml:space="preserve"> [kg</t>
    </r>
    <r>
      <rPr>
        <b/>
        <vertAlign val="subscript"/>
        <sz val="12"/>
        <color rgb="FF01035B"/>
        <rFont val="Arial"/>
        <family val="2"/>
      </rPr>
      <t xml:space="preserve">CH4 </t>
    </r>
    <r>
      <rPr>
        <b/>
        <sz val="12"/>
        <color rgb="FF01035B"/>
        <rFont val="Arial"/>
        <family val="2"/>
      </rPr>
      <t>/unit]</t>
    </r>
  </si>
  <si>
    <r>
      <t>N</t>
    </r>
    <r>
      <rPr>
        <b/>
        <vertAlign val="subscript"/>
        <sz val="12"/>
        <color rgb="FF01035B"/>
        <rFont val="Arial"/>
        <family val="2"/>
      </rPr>
      <t>2</t>
    </r>
    <r>
      <rPr>
        <b/>
        <sz val="12"/>
        <color rgb="FF01035B"/>
        <rFont val="Arial"/>
        <family val="2"/>
      </rPr>
      <t>O [kg</t>
    </r>
    <r>
      <rPr>
        <b/>
        <vertAlign val="subscript"/>
        <sz val="12"/>
        <color rgb="FF01035B"/>
        <rFont val="Arial"/>
        <family val="2"/>
      </rPr>
      <t xml:space="preserve">N20 </t>
    </r>
    <r>
      <rPr>
        <b/>
        <sz val="12"/>
        <color rgb="FF01035B"/>
        <rFont val="Arial"/>
        <family val="2"/>
      </rPr>
      <t>/unit]</t>
    </r>
  </si>
  <si>
    <r>
      <t>PM</t>
    </r>
    <r>
      <rPr>
        <b/>
        <vertAlign val="subscript"/>
        <sz val="12"/>
        <color rgb="FF01035B"/>
        <rFont val="Arial"/>
        <family val="2"/>
      </rPr>
      <t>10</t>
    </r>
    <r>
      <rPr>
        <b/>
        <sz val="12"/>
        <color rgb="FF01035B"/>
        <rFont val="Arial"/>
        <family val="2"/>
      </rPr>
      <t xml:space="preserve"> [kg</t>
    </r>
    <r>
      <rPr>
        <b/>
        <vertAlign val="subscript"/>
        <sz val="12"/>
        <color rgb="FF01035B"/>
        <rFont val="Arial"/>
        <family val="2"/>
      </rPr>
      <t xml:space="preserve">PM10 </t>
    </r>
    <r>
      <rPr>
        <b/>
        <sz val="12"/>
        <color rgb="FF01035B"/>
        <rFont val="Arial"/>
        <family val="2"/>
      </rPr>
      <t>/unit]</t>
    </r>
  </si>
  <si>
    <r>
      <t>PM</t>
    </r>
    <r>
      <rPr>
        <b/>
        <vertAlign val="subscript"/>
        <sz val="12"/>
        <color rgb="FF01035B"/>
        <rFont val="Arial"/>
        <family val="2"/>
      </rPr>
      <t>2.5</t>
    </r>
    <r>
      <rPr>
        <b/>
        <sz val="12"/>
        <color rgb="FF01035B"/>
        <rFont val="Arial"/>
        <family val="2"/>
      </rPr>
      <t xml:space="preserve"> [kg</t>
    </r>
    <r>
      <rPr>
        <b/>
        <vertAlign val="subscript"/>
        <sz val="12"/>
        <color rgb="FF01035B"/>
        <rFont val="Arial"/>
        <family val="2"/>
      </rPr>
      <t xml:space="preserve">PM2.5 </t>
    </r>
    <r>
      <rPr>
        <b/>
        <sz val="12"/>
        <color rgb="FF01035B"/>
        <rFont val="Arial"/>
        <family val="2"/>
      </rPr>
      <t>/unit]</t>
    </r>
  </si>
  <si>
    <r>
      <t>NOx [kg</t>
    </r>
    <r>
      <rPr>
        <b/>
        <vertAlign val="subscript"/>
        <sz val="12"/>
        <color rgb="FF01035B"/>
        <rFont val="Arial"/>
        <family val="2"/>
      </rPr>
      <t xml:space="preserve">NOx </t>
    </r>
    <r>
      <rPr>
        <b/>
        <sz val="12"/>
        <color rgb="FF01035B"/>
        <rFont val="Arial"/>
        <family val="2"/>
      </rPr>
      <t>/unit]</t>
    </r>
  </si>
  <si>
    <r>
      <t>SOx [kg</t>
    </r>
    <r>
      <rPr>
        <b/>
        <vertAlign val="subscript"/>
        <sz val="12"/>
        <color rgb="FF01035B"/>
        <rFont val="Arial"/>
        <family val="2"/>
      </rPr>
      <t>SOx</t>
    </r>
    <r>
      <rPr>
        <b/>
        <sz val="12"/>
        <color rgb="FF01035B"/>
        <rFont val="Arial"/>
        <family val="2"/>
      </rPr>
      <t>/unit]</t>
    </r>
  </si>
  <si>
    <r>
      <t>CO2 [kg</t>
    </r>
    <r>
      <rPr>
        <b/>
        <vertAlign val="subscript"/>
        <sz val="14"/>
        <color rgb="FF01035B"/>
        <rFont val="Arial"/>
        <family val="2"/>
      </rPr>
      <t xml:space="preserve">CO2 </t>
    </r>
    <r>
      <rPr>
        <b/>
        <sz val="14"/>
        <color rgb="FF01035B"/>
        <rFont val="Arial"/>
        <family val="2"/>
      </rPr>
      <t>]</t>
    </r>
  </si>
  <si>
    <r>
      <t>CH</t>
    </r>
    <r>
      <rPr>
        <b/>
        <vertAlign val="subscript"/>
        <sz val="14"/>
        <color rgb="FF01035B"/>
        <rFont val="Arial"/>
        <family val="2"/>
      </rPr>
      <t>4</t>
    </r>
    <r>
      <rPr>
        <b/>
        <sz val="14"/>
        <color rgb="FF01035B"/>
        <rFont val="Arial"/>
        <family val="2"/>
      </rPr>
      <t xml:space="preserve"> [kg</t>
    </r>
    <r>
      <rPr>
        <b/>
        <vertAlign val="subscript"/>
        <sz val="14"/>
        <color rgb="FF01035B"/>
        <rFont val="Arial"/>
        <family val="2"/>
      </rPr>
      <t xml:space="preserve">CH4 </t>
    </r>
    <r>
      <rPr>
        <b/>
        <sz val="14"/>
        <color rgb="FF01035B"/>
        <rFont val="Arial"/>
        <family val="2"/>
      </rPr>
      <t>]</t>
    </r>
  </si>
  <si>
    <r>
      <t>N</t>
    </r>
    <r>
      <rPr>
        <b/>
        <vertAlign val="subscript"/>
        <sz val="14"/>
        <color rgb="FF01035B"/>
        <rFont val="Arial"/>
        <family val="2"/>
      </rPr>
      <t>2</t>
    </r>
    <r>
      <rPr>
        <b/>
        <sz val="14"/>
        <color rgb="FF01035B"/>
        <rFont val="Arial"/>
        <family val="2"/>
      </rPr>
      <t>O [kg</t>
    </r>
    <r>
      <rPr>
        <b/>
        <vertAlign val="subscript"/>
        <sz val="14"/>
        <color rgb="FF01035B"/>
        <rFont val="Arial"/>
        <family val="2"/>
      </rPr>
      <t xml:space="preserve">N20 </t>
    </r>
    <r>
      <rPr>
        <b/>
        <sz val="14"/>
        <color rgb="FF01035B"/>
        <rFont val="Arial"/>
        <family val="2"/>
      </rPr>
      <t>]</t>
    </r>
  </si>
  <si>
    <r>
      <t>PM</t>
    </r>
    <r>
      <rPr>
        <b/>
        <vertAlign val="subscript"/>
        <sz val="14"/>
        <color rgb="FF01035B"/>
        <rFont val="Arial"/>
        <family val="2"/>
      </rPr>
      <t>10</t>
    </r>
    <r>
      <rPr>
        <b/>
        <sz val="14"/>
        <color rgb="FF01035B"/>
        <rFont val="Arial"/>
        <family val="2"/>
      </rPr>
      <t xml:space="preserve"> [kg</t>
    </r>
    <r>
      <rPr>
        <b/>
        <vertAlign val="subscript"/>
        <sz val="14"/>
        <color rgb="FF01035B"/>
        <rFont val="Arial"/>
        <family val="2"/>
      </rPr>
      <t xml:space="preserve">PM10 </t>
    </r>
    <r>
      <rPr>
        <b/>
        <sz val="14"/>
        <color rgb="FF01035B"/>
        <rFont val="Arial"/>
        <family val="2"/>
      </rPr>
      <t>]</t>
    </r>
  </si>
  <si>
    <r>
      <t>PM</t>
    </r>
    <r>
      <rPr>
        <b/>
        <vertAlign val="subscript"/>
        <sz val="14"/>
        <color rgb="FF01035B"/>
        <rFont val="Arial"/>
        <family val="2"/>
      </rPr>
      <t>2.5</t>
    </r>
    <r>
      <rPr>
        <b/>
        <sz val="14"/>
        <color rgb="FF01035B"/>
        <rFont val="Arial"/>
        <family val="2"/>
      </rPr>
      <t xml:space="preserve"> [kg</t>
    </r>
    <r>
      <rPr>
        <b/>
        <vertAlign val="subscript"/>
        <sz val="14"/>
        <color rgb="FF01035B"/>
        <rFont val="Arial"/>
        <family val="2"/>
      </rPr>
      <t xml:space="preserve">PM2.5 </t>
    </r>
    <r>
      <rPr>
        <b/>
        <sz val="14"/>
        <color rgb="FF01035B"/>
        <rFont val="Arial"/>
        <family val="2"/>
      </rPr>
      <t>]</t>
    </r>
  </si>
  <si>
    <r>
      <t>NOx [kg</t>
    </r>
    <r>
      <rPr>
        <b/>
        <vertAlign val="subscript"/>
        <sz val="14"/>
        <color rgb="FF01035B"/>
        <rFont val="Arial"/>
        <family val="2"/>
      </rPr>
      <t xml:space="preserve">NOx </t>
    </r>
    <r>
      <rPr>
        <b/>
        <sz val="14"/>
        <color rgb="FF01035B"/>
        <rFont val="Arial"/>
        <family val="2"/>
      </rPr>
      <t>]</t>
    </r>
  </si>
  <si>
    <r>
      <t>SOx [kg</t>
    </r>
    <r>
      <rPr>
        <b/>
        <vertAlign val="subscript"/>
        <sz val="14"/>
        <color rgb="FF01035B"/>
        <rFont val="Arial"/>
        <family val="2"/>
      </rPr>
      <t>SOx</t>
    </r>
    <r>
      <rPr>
        <b/>
        <sz val="14"/>
        <color rgb="FF01035B"/>
        <rFont val="Arial"/>
        <family val="2"/>
      </rPr>
      <t>]</t>
    </r>
  </si>
  <si>
    <t>Respiratory  Inorganics - Fine Particulate</t>
  </si>
  <si>
    <t>Characterization factor midpoint: CFi</t>
  </si>
  <si>
    <t xml:space="preserve">Midpoint-to-Damage Factor </t>
  </si>
  <si>
    <t>Respiratory</t>
  </si>
  <si>
    <t>Inorganics</t>
  </si>
  <si>
    <r>
      <t>MDF</t>
    </r>
    <r>
      <rPr>
        <vertAlign val="subscript"/>
        <sz val="14"/>
        <color rgb="FF000000"/>
        <rFont val="Arial"/>
        <family val="2"/>
      </rPr>
      <t>jk</t>
    </r>
  </si>
  <si>
    <r>
      <t>8.30 × 10</t>
    </r>
    <r>
      <rPr>
        <vertAlign val="superscript"/>
        <sz val="14"/>
        <color rgb="FF000000"/>
        <rFont val="Arial"/>
        <family val="2"/>
      </rPr>
      <t>–7</t>
    </r>
    <r>
      <rPr>
        <sz val="14"/>
        <color rgb="FF000000"/>
        <rFont val="Arial"/>
        <family val="2"/>
      </rPr>
      <t xml:space="preserve"> </t>
    </r>
  </si>
  <si>
    <t>Global Warming Potential</t>
  </si>
  <si>
    <t xml:space="preserve">Dominant substance to total score: </t>
  </si>
  <si>
    <t>Total endpoint damage [DALY/FU]</t>
  </si>
  <si>
    <t>Air Dryer scenario</t>
  </si>
  <si>
    <t>Paper Towel scenario</t>
  </si>
  <si>
    <t>2. Based on these results, identify  the substance dominating  substances and discuss this at the bottom of each table (e.g. cell B49)</t>
  </si>
  <si>
    <t>the respiratory inorganics (fine particulate) and global warming impacts on human health, first at midpoint level</t>
  </si>
  <si>
    <t xml:space="preserve"> (in kgPM2.5 equivalent/FU for PM and kg CO2 equivalent/FU for Global warming )</t>
  </si>
  <si>
    <t>A. Inventory data</t>
  </si>
  <si>
    <t>B. Impact Assessment Characterization factors</t>
  </si>
  <si>
    <t>C. Midpoint to damage factors</t>
  </si>
  <si>
    <t>Global warming</t>
  </si>
  <si>
    <t>Substance #1: CO2</t>
  </si>
  <si>
    <t>Substance #2: CH4</t>
  </si>
  <si>
    <t>Substance #3: N20</t>
  </si>
  <si>
    <r>
      <t>Emission per FU: b</t>
    </r>
    <r>
      <rPr>
        <vertAlign val="subscript"/>
        <sz val="11"/>
        <rFont val="Arial"/>
        <family val="2"/>
      </rPr>
      <t>i</t>
    </r>
  </si>
  <si>
    <r>
      <t>Characterization factor midpoint CF</t>
    </r>
    <r>
      <rPr>
        <vertAlign val="subscript"/>
        <sz val="11"/>
        <rFont val="Arial"/>
        <family val="2"/>
      </rPr>
      <t>i</t>
    </r>
  </si>
  <si>
    <r>
      <t>Midpoint score per FU: S</t>
    </r>
    <r>
      <rPr>
        <vertAlign val="subscript"/>
        <sz val="11"/>
        <rFont val="Arial"/>
        <family val="2"/>
      </rPr>
      <t>k</t>
    </r>
  </si>
  <si>
    <r>
      <t>[kg</t>
    </r>
    <r>
      <rPr>
        <vertAlign val="subscript"/>
        <sz val="11"/>
        <color theme="1"/>
        <rFont val="Calibri"/>
        <family val="2"/>
        <scheme val="minor"/>
      </rPr>
      <t>PM2.5eq</t>
    </r>
    <r>
      <rPr>
        <sz val="11"/>
        <color theme="1"/>
        <rFont val="Calibri"/>
        <family val="2"/>
        <scheme val="minor"/>
      </rPr>
      <t>/ kg]</t>
    </r>
  </si>
  <si>
    <r>
      <t>Total midpoint damage [kg</t>
    </r>
    <r>
      <rPr>
        <vertAlign val="subscript"/>
        <sz val="11"/>
        <color theme="1"/>
        <rFont val="Calibri"/>
        <family val="2"/>
        <scheme val="minor"/>
      </rPr>
      <t>PM2.5eq</t>
    </r>
    <r>
      <rPr>
        <sz val="11"/>
        <color theme="1"/>
        <rFont val="Calibri"/>
        <family val="2"/>
        <scheme val="minor"/>
      </rPr>
      <t>./FU]</t>
    </r>
  </si>
  <si>
    <r>
      <t>Midpoint to damage factor [DALY/kg</t>
    </r>
    <r>
      <rPr>
        <vertAlign val="subscript"/>
        <sz val="11"/>
        <color theme="1"/>
        <rFont val="Calibri"/>
        <family val="2"/>
        <scheme val="minor"/>
      </rPr>
      <t>PM2.5eq.</t>
    </r>
    <r>
      <rPr>
        <sz val="11"/>
        <color theme="1"/>
        <rFont val="Calibri"/>
        <family val="2"/>
        <scheme val="minor"/>
      </rPr>
      <t>]</t>
    </r>
  </si>
  <si>
    <r>
      <t>[kg</t>
    </r>
    <r>
      <rPr>
        <vertAlign val="subscript"/>
        <sz val="11"/>
        <color theme="1"/>
        <rFont val="Calibri"/>
        <family val="2"/>
        <scheme val="minor"/>
      </rPr>
      <t>eqPM2.5</t>
    </r>
    <r>
      <rPr>
        <sz val="11"/>
        <color theme="1"/>
        <rFont val="Calibri"/>
        <family val="2"/>
        <scheme val="minor"/>
      </rPr>
      <t>/FU]</t>
    </r>
  </si>
  <si>
    <r>
      <t>[kg</t>
    </r>
    <r>
      <rPr>
        <vertAlign val="subscript"/>
        <sz val="11"/>
        <color theme="1"/>
        <rFont val="Calibri"/>
        <family val="2"/>
        <scheme val="minor"/>
      </rPr>
      <t>CO2eq</t>
    </r>
    <r>
      <rPr>
        <sz val="11"/>
        <color theme="1"/>
        <rFont val="Calibri"/>
        <family val="2"/>
        <scheme val="minor"/>
      </rPr>
      <t>./ kg]</t>
    </r>
  </si>
  <si>
    <r>
      <t>[kg</t>
    </r>
    <r>
      <rPr>
        <vertAlign val="subscript"/>
        <sz val="11"/>
        <color theme="1"/>
        <rFont val="Calibri"/>
        <family val="2"/>
        <scheme val="minor"/>
      </rPr>
      <t>CO2eq.</t>
    </r>
    <r>
      <rPr>
        <sz val="11"/>
        <color theme="1"/>
        <rFont val="Calibri"/>
        <family val="2"/>
        <scheme val="minor"/>
      </rPr>
      <t>/FU]</t>
    </r>
  </si>
  <si>
    <r>
      <t>Total midpoint damage [kg</t>
    </r>
    <r>
      <rPr>
        <vertAlign val="subscript"/>
        <sz val="11"/>
        <color theme="1"/>
        <rFont val="Calibri"/>
        <family val="2"/>
        <scheme val="minor"/>
      </rPr>
      <t>CO2eq</t>
    </r>
    <r>
      <rPr>
        <sz val="11"/>
        <color theme="1"/>
        <rFont val="Calibri"/>
        <family val="2"/>
        <scheme val="minor"/>
      </rPr>
      <t>./FU]</t>
    </r>
  </si>
  <si>
    <r>
      <t>Midpoint to damage factor [DALY/kg</t>
    </r>
    <r>
      <rPr>
        <vertAlign val="subscript"/>
        <sz val="11"/>
        <color theme="1"/>
        <rFont val="Calibri"/>
        <family val="2"/>
        <scheme val="minor"/>
      </rPr>
      <t>CO2eq.</t>
    </r>
    <r>
      <rPr>
        <sz val="11"/>
        <color theme="1"/>
        <rFont val="Calibri"/>
        <family val="2"/>
        <scheme val="minor"/>
      </rPr>
      <t>]</t>
    </r>
  </si>
  <si>
    <t xml:space="preserve">Best scenario: </t>
  </si>
  <si>
    <t>Most contributing category to total DALY</t>
  </si>
  <si>
    <t>Endpoint damage [DALY/FU]</t>
  </si>
  <si>
    <t>Total human health impact</t>
  </si>
  <si>
    <t>[DALY/FU]</t>
  </si>
  <si>
    <t>Paper towel</t>
  </si>
  <si>
    <t xml:space="preserve">D. Impact Assessment tables </t>
  </si>
  <si>
    <t>Summary table - HH damage</t>
  </si>
  <si>
    <t xml:space="preserve">4. Based on the midpoint and damage results, fill in the summary table (C66 to D68) linking it to the final results of each table and discuss what is the best of the two scenarios
</t>
  </si>
  <si>
    <t xml:space="preserve"> from a human health perspective (considering these two impact categories) and what is the dominant impact category for each scenario (cells C70 &amp; C71) </t>
  </si>
  <si>
    <t>3. Use the Midpoint to Damage factors to fill-in the bottom of each impact assessment table (e.g cells D45 to D48)  and to calculate damages in DALY/FU</t>
  </si>
  <si>
    <t>Functional Unit</t>
  </si>
  <si>
    <t>Comparable unit</t>
  </si>
  <si>
    <r>
      <t>kg</t>
    </r>
    <r>
      <rPr>
        <b/>
        <vertAlign val="subscript"/>
        <sz val="14"/>
        <color rgb="FF01035B"/>
        <rFont val="Arial"/>
        <family val="2"/>
      </rPr>
      <t>CO2eq</t>
    </r>
  </si>
  <si>
    <r>
      <t>kg</t>
    </r>
    <r>
      <rPr>
        <b/>
        <vertAlign val="subscript"/>
        <sz val="14"/>
        <color rgb="FF01035B"/>
        <rFont val="Arial"/>
        <family val="2"/>
      </rPr>
      <t>PM2.5eq</t>
    </r>
  </si>
  <si>
    <t xml:space="preserve">(DALY/kgPM2.5eq.) </t>
  </si>
  <si>
    <t xml:space="preserve">Global warming (DALY/kgCO2eq.) </t>
  </si>
  <si>
    <t>Summary</t>
  </si>
  <si>
    <t>Air Dryer</t>
  </si>
  <si>
    <t>paper towel</t>
  </si>
  <si>
    <t>Total DALY/FU</t>
  </si>
  <si>
    <t>GW midpoint</t>
  </si>
  <si>
    <t>GW damage</t>
  </si>
  <si>
    <t>Fine particulate midp</t>
  </si>
  <si>
    <t>Fine particulate damaage</t>
  </si>
  <si>
    <t>kg PM2.5</t>
  </si>
  <si>
    <t>Total HH</t>
  </si>
  <si>
    <t xml:space="preserve">1. Use the inventory data and characterization factorsfrom part A to fill in the impact assessment tables below (e.g. cells B41 to D44) to estimate for the two hand dryer scenarios </t>
  </si>
  <si>
    <t xml:space="preserve">Impact Assessment hands drying: Hands-on Learning impact assessment on your own </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</si>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</sst>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b/>
      <sz val="12"/>
      <color rgb="FF01035B"/>
      <name val="Arial"/>
      <family val="2"/>
    </font>
    <font>
      <b/>
      <vertAlign val="subscript"/>
      <sz val="12"/>
      <color rgb="FF01035B"/>
      <name val="Arial"/>
      <family val="2"/>
    </font>
    <font>
      <sz val="12"/>
      <color rgb="FF01035B"/>
      <name val="Arial"/>
      <family val="2"/>
    </font>
    <font>
      <sz val="12"/>
      <color rgb="FF333399"/>
      <name val="Arial"/>
      <family val="2"/>
    </font>
    <font>
      <b/>
      <sz val="14"/>
      <color rgb="FF01035B"/>
      <name val="Arial"/>
      <family val="2"/>
    </font>
    <font>
      <b/>
      <vertAlign val="subscript"/>
      <sz val="14"/>
      <color rgb="FF01035B"/>
      <name val="Arial"/>
      <family val="2"/>
    </font>
    <font>
      <sz val="14"/>
      <color rgb="FF01035B"/>
      <name val="Arial"/>
      <family val="2"/>
    </font>
    <font>
      <sz val="14"/>
      <name val="Arial"/>
      <family val="2"/>
    </font>
    <font>
      <b/>
      <sz val="14"/>
      <color theme="1"/>
      <name val="Calibri"/>
      <family val="2"/>
      <scheme val="minor"/>
    </font>
    <font>
      <sz val="14"/>
      <color rgb="FF000000"/>
      <name val="Arial"/>
      <family val="2"/>
    </font>
    <font>
      <vertAlign val="subscript"/>
      <sz val="14"/>
      <color rgb="FF000000"/>
      <name val="Arial"/>
      <family val="2"/>
    </font>
    <font>
      <vertAlign val="superscript"/>
      <sz val="14"/>
      <color rgb="FF000000"/>
      <name val="Arial"/>
      <family val="2"/>
    </font>
    <font>
      <b/>
      <sz val="14"/>
      <color rgb="FF000000"/>
      <name val="Arial"/>
      <family val="2"/>
    </font>
    <font>
      <b/>
      <sz val="12"/>
      <color rgb="FF000000"/>
      <name val="Arial"/>
      <family val="2"/>
    </font>
    <font>
      <vertAlign val="subscript"/>
      <sz val="11"/>
      <name val="Arial"/>
      <family val="2"/>
    </font>
    <font>
      <vertAlign val="subscript"/>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0" tint="-4.9989318521683403E-2"/>
        <bgColor indexed="64"/>
      </patternFill>
    </fill>
  </fills>
  <borders count="68">
    <border>
      <left/>
      <right/>
      <top/>
      <bottom/>
      <diagonal/>
    </border>
    <border>
      <left style="thick">
        <color rgb="FF000000"/>
      </left>
      <right style="thick">
        <color rgb="FF000000"/>
      </right>
      <top style="thick">
        <color rgb="FF000000"/>
      </top>
      <bottom style="medium">
        <color rgb="FF000000"/>
      </bottom>
      <diagonal/>
    </border>
    <border>
      <left style="thick">
        <color rgb="FF000000"/>
      </left>
      <right style="medium">
        <color rgb="FF000000"/>
      </right>
      <top style="thick">
        <color rgb="FF000000"/>
      </top>
      <bottom/>
      <diagonal/>
    </border>
    <border>
      <left style="thick">
        <color rgb="FF000000"/>
      </left>
      <right style="medium">
        <color rgb="FF000000"/>
      </right>
      <top/>
      <bottom style="thick">
        <color rgb="FF000000"/>
      </bottom>
      <diagonal/>
    </border>
    <border>
      <left style="medium">
        <color rgb="FF000000"/>
      </left>
      <right style="medium">
        <color rgb="FF000000"/>
      </right>
      <top style="thick">
        <color rgb="FF000000"/>
      </top>
      <bottom style="medium">
        <color rgb="FF000000"/>
      </bottom>
      <diagonal/>
    </border>
    <border>
      <left style="thick">
        <color rgb="FF000000"/>
      </left>
      <right style="medium">
        <color rgb="FF000000"/>
      </right>
      <top style="thick">
        <color rgb="FF000000"/>
      </top>
      <bottom style="medium">
        <color rgb="FF000000"/>
      </bottom>
      <diagonal/>
    </border>
    <border>
      <left style="thin">
        <color auto="1"/>
      </left>
      <right style="thin">
        <color auto="1"/>
      </right>
      <top style="thin">
        <color auto="1"/>
      </top>
      <bottom style="thin">
        <color auto="1"/>
      </bottom>
      <diagonal/>
    </border>
    <border>
      <left style="thick">
        <color rgb="FF000000"/>
      </left>
      <right style="thick">
        <color rgb="FF000000"/>
      </right>
      <top/>
      <bottom style="thick">
        <color rgb="FF000000"/>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double">
        <color auto="1"/>
      </bottom>
      <diagonal/>
    </border>
    <border>
      <left style="medium">
        <color auto="1"/>
      </left>
      <right style="double">
        <color auto="1"/>
      </right>
      <top style="thin">
        <color auto="1"/>
      </top>
      <bottom style="double">
        <color auto="1"/>
      </bottom>
      <diagonal/>
    </border>
    <border>
      <left style="thin">
        <color auto="1"/>
      </left>
      <right style="medium">
        <color auto="1"/>
      </right>
      <top style="thin">
        <color auto="1"/>
      </top>
      <bottom style="double">
        <color auto="1"/>
      </bottom>
      <diagonal/>
    </border>
    <border>
      <left style="medium">
        <color auto="1"/>
      </left>
      <right style="double">
        <color auto="1"/>
      </right>
      <top/>
      <bottom style="thin">
        <color auto="1"/>
      </bottom>
      <diagonal/>
    </border>
    <border>
      <left style="thin">
        <color auto="1"/>
      </left>
      <right style="medium">
        <color auto="1"/>
      </right>
      <top/>
      <bottom style="thin">
        <color auto="1"/>
      </bottom>
      <diagonal/>
    </border>
    <border>
      <left style="medium">
        <color auto="1"/>
      </left>
      <right style="double">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double">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style="double">
        <color auto="1"/>
      </left>
      <right style="medium">
        <color auto="1"/>
      </right>
      <top style="medium">
        <color auto="1"/>
      </top>
      <bottom style="thin">
        <color auto="1"/>
      </bottom>
      <diagonal/>
    </border>
    <border>
      <left style="medium">
        <color auto="1"/>
      </left>
      <right/>
      <top/>
      <bottom/>
      <diagonal/>
    </border>
    <border>
      <left style="double">
        <color auto="1"/>
      </left>
      <right style="medium">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style="double">
        <color auto="1"/>
      </left>
      <right style="medium">
        <color auto="1"/>
      </right>
      <top style="thin">
        <color auto="1"/>
      </top>
      <bottom style="medium">
        <color auto="1"/>
      </bottom>
      <diagonal/>
    </border>
    <border>
      <left/>
      <right/>
      <top style="thin">
        <color auto="1"/>
      </top>
      <bottom style="thin">
        <color auto="1"/>
      </bottom>
      <diagonal/>
    </border>
    <border>
      <left style="medium">
        <color auto="1"/>
      </left>
      <right style="double">
        <color auto="1"/>
      </right>
      <top/>
      <bottom style="double">
        <color auto="1"/>
      </bottom>
      <diagonal/>
    </border>
    <border>
      <left style="thin">
        <color auto="1"/>
      </left>
      <right style="double">
        <color auto="1"/>
      </right>
      <top style="double">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thin">
        <color auto="1"/>
      </left>
      <right style="double">
        <color auto="1"/>
      </right>
      <top/>
      <bottom style="medium">
        <color auto="1"/>
      </bottom>
      <diagonal/>
    </border>
    <border>
      <left/>
      <right style="thick">
        <color rgb="FF000000"/>
      </right>
      <top style="thick">
        <color rgb="FF000000"/>
      </top>
      <bottom style="medium">
        <color rgb="FF000000"/>
      </bottom>
      <diagonal/>
    </border>
    <border>
      <left style="medium">
        <color rgb="FF000000"/>
      </left>
      <right/>
      <top style="thick">
        <color rgb="FF000000"/>
      </top>
      <bottom style="medium">
        <color rgb="FF000000"/>
      </bottom>
      <diagonal/>
    </border>
    <border>
      <left/>
      <right style="thick">
        <color rgb="FF000000"/>
      </right>
      <top/>
      <bottom style="thick">
        <color rgb="FF000000"/>
      </bottom>
      <diagonal/>
    </border>
    <border>
      <left style="medium">
        <color rgb="FF000000"/>
      </left>
      <right style="medium">
        <color rgb="FF000000"/>
      </right>
      <top/>
      <bottom style="thick">
        <color rgb="FF000000"/>
      </bottom>
      <diagonal/>
    </border>
    <border>
      <left style="medium">
        <color rgb="FF000000"/>
      </left>
      <right/>
      <top/>
      <bottom style="thick">
        <color rgb="FF000000"/>
      </bottom>
      <diagonal/>
    </border>
    <border>
      <left/>
      <right style="thick">
        <color rgb="FF000000"/>
      </right>
      <top style="medium">
        <color rgb="FF000000"/>
      </top>
      <bottom/>
      <diagonal/>
    </border>
    <border>
      <left style="thick">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ck">
        <color rgb="FF000000"/>
      </left>
      <right/>
      <top style="thick">
        <color rgb="FF000000"/>
      </top>
      <bottom/>
      <diagonal/>
    </border>
    <border>
      <left style="thick">
        <color rgb="FF000000"/>
      </left>
      <right/>
      <top/>
      <bottom/>
      <diagonal/>
    </border>
    <border>
      <left style="thick">
        <color rgb="FF000000"/>
      </left>
      <right/>
      <top/>
      <bottom style="thick">
        <color rgb="FF000000"/>
      </bottom>
      <diagonal/>
    </border>
    <border>
      <left/>
      <right style="thick">
        <color rgb="FF000000"/>
      </right>
      <top style="thick">
        <color rgb="FF000000"/>
      </top>
      <bottom/>
      <diagonal/>
    </border>
    <border>
      <left/>
      <right style="thick">
        <color rgb="FF000000"/>
      </right>
      <top/>
      <bottom/>
      <diagonal/>
    </border>
    <border>
      <left style="thick">
        <color rgb="FF000000"/>
      </left>
      <right style="thick">
        <color rgb="FF000000"/>
      </right>
      <top style="medium">
        <color rgb="FF000000"/>
      </top>
      <bottom/>
      <diagonal/>
    </border>
    <border>
      <left style="thick">
        <color rgb="FF000000"/>
      </left>
      <right style="medium">
        <color rgb="FF000000"/>
      </right>
      <top style="medium">
        <color rgb="FF000000"/>
      </top>
      <bottom/>
      <diagonal/>
    </border>
    <border>
      <left/>
      <right style="thick">
        <color rgb="FF000000"/>
      </right>
      <top/>
      <bottom style="medium">
        <color rgb="FF000000"/>
      </bottom>
      <diagonal/>
    </border>
    <border>
      <left style="thick">
        <color rgb="FF000000"/>
      </left>
      <right/>
      <top/>
      <bottom style="medium">
        <color rgb="FF000000"/>
      </bottom>
      <diagonal/>
    </border>
    <border>
      <left style="thick">
        <color rgb="FF000000"/>
      </left>
      <right/>
      <top style="medium">
        <color rgb="FF000000"/>
      </top>
      <bottom/>
      <diagonal/>
    </border>
    <border>
      <left style="double">
        <color auto="1"/>
      </left>
      <right/>
      <top style="thin">
        <color auto="1"/>
      </top>
      <bottom style="thin">
        <color auto="1"/>
      </bottom>
      <diagonal/>
    </border>
    <border>
      <left style="medium">
        <color auto="1"/>
      </left>
      <right style="double">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bottom style="double">
        <color auto="1"/>
      </bottom>
      <diagonal/>
    </border>
    <border>
      <left/>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style="double">
        <color auto="1"/>
      </right>
      <top/>
      <bottom/>
      <diagonal/>
    </border>
    <border>
      <left style="double">
        <color auto="1"/>
      </left>
      <right/>
      <top style="thin">
        <color auto="1"/>
      </top>
      <bottom/>
      <diagonal/>
    </border>
  </borders>
  <cellStyleXfs count="1">
    <xf numFmtId="0" fontId="0" fillId="0" borderId="0"/>
  </cellStyleXfs>
  <cellXfs count="102">
    <xf numFmtId="0" fontId="0" fillId="0" borderId="0" xfId="0"/>
    <xf numFmtId="11" fontId="4" fillId="0" borderId="4" xfId="0" applyNumberFormat="1" applyFont="1" applyBorder="1" applyAlignment="1">
      <alignment horizontal="center" vertical="center" wrapText="1" readingOrder="1"/>
    </xf>
    <xf numFmtId="0" fontId="6" fillId="0" borderId="1" xfId="0" applyFont="1" applyBorder="1" applyAlignment="1">
      <alignment horizontal="left" vertical="center" wrapText="1" indent="1" readingOrder="1"/>
    </xf>
    <xf numFmtId="0" fontId="8" fillId="0" borderId="5" xfId="0" applyFont="1" applyBorder="1" applyAlignment="1">
      <alignment horizontal="center" vertical="center" wrapText="1" readingOrder="1"/>
    </xf>
    <xf numFmtId="0" fontId="8" fillId="0" borderId="4" xfId="0" applyFont="1" applyBorder="1" applyAlignment="1">
      <alignment horizontal="center" vertical="center" wrapText="1" readingOrder="1"/>
    </xf>
    <xf numFmtId="0" fontId="10" fillId="0" borderId="0" xfId="0" applyFont="1"/>
    <xf numFmtId="0" fontId="0" fillId="0" borderId="0" xfId="0" applyAlignment="1">
      <alignment wrapText="1"/>
    </xf>
    <xf numFmtId="0" fontId="6" fillId="0" borderId="0" xfId="0" applyFont="1" applyBorder="1" applyAlignment="1">
      <alignment horizontal="left" vertical="center" wrapText="1" indent="1" readingOrder="1"/>
    </xf>
    <xf numFmtId="0" fontId="8" fillId="0" borderId="0" xfId="0" applyFont="1" applyBorder="1" applyAlignment="1">
      <alignment horizontal="center" vertical="center" wrapText="1" readingOrder="1"/>
    </xf>
    <xf numFmtId="0" fontId="14" fillId="0" borderId="0" xfId="0" applyFont="1" applyAlignment="1">
      <alignment horizontal="left" vertical="center" readingOrder="1"/>
    </xf>
    <xf numFmtId="0" fontId="0" fillId="0" borderId="0" xfId="0" applyBorder="1" applyAlignment="1">
      <alignment horizontal="right"/>
    </xf>
    <xf numFmtId="0" fontId="0" fillId="0" borderId="8" xfId="0" applyBorder="1"/>
    <xf numFmtId="0" fontId="0" fillId="0" borderId="10" xfId="0" applyBorder="1"/>
    <xf numFmtId="0" fontId="0" fillId="0" borderId="13" xfId="0" applyBorder="1"/>
    <xf numFmtId="0" fontId="0" fillId="0" borderId="12" xfId="0" applyBorder="1"/>
    <xf numFmtId="0" fontId="0" fillId="0" borderId="11" xfId="0" applyBorder="1" applyAlignment="1">
      <alignment wrapText="1"/>
    </xf>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3" xfId="0" applyBorder="1"/>
    <xf numFmtId="0" fontId="0" fillId="0" borderId="24" xfId="0" applyBorder="1"/>
    <xf numFmtId="0" fontId="0" fillId="0" borderId="25" xfId="0" applyBorder="1" applyAlignment="1">
      <alignment horizontal="right"/>
    </xf>
    <xf numFmtId="0" fontId="0" fillId="0" borderId="27" xfId="0" applyBorder="1"/>
    <xf numFmtId="0" fontId="0" fillId="0" borderId="29" xfId="0" applyBorder="1"/>
    <xf numFmtId="0" fontId="0" fillId="0" borderId="30" xfId="0" applyBorder="1" applyAlignment="1">
      <alignment horizontal="right"/>
    </xf>
    <xf numFmtId="0" fontId="15" fillId="0" borderId="0" xfId="0" applyFont="1" applyAlignment="1">
      <alignment horizontal="left" vertical="center" readingOrder="1"/>
    </xf>
    <xf numFmtId="0" fontId="0" fillId="2" borderId="8" xfId="0" applyFill="1" applyBorder="1"/>
    <xf numFmtId="0" fontId="0" fillId="2" borderId="9" xfId="0" applyFill="1" applyBorder="1"/>
    <xf numFmtId="0" fontId="0" fillId="2" borderId="17" xfId="0" applyFill="1" applyBorder="1"/>
    <xf numFmtId="0" fontId="0" fillId="2" borderId="12" xfId="0" applyFill="1" applyBorder="1"/>
    <xf numFmtId="0" fontId="0" fillId="2" borderId="6" xfId="0" applyFill="1" applyBorder="1"/>
    <xf numFmtId="0" fontId="0" fillId="2" borderId="19" xfId="0" applyFill="1" applyBorder="1"/>
    <xf numFmtId="0" fontId="0" fillId="2" borderId="21" xfId="0" applyFill="1" applyBorder="1"/>
    <xf numFmtId="0" fontId="0" fillId="2" borderId="22" xfId="0" applyFill="1" applyBorder="1"/>
    <xf numFmtId="0" fontId="0" fillId="2" borderId="23" xfId="0" applyFill="1" applyBorder="1"/>
    <xf numFmtId="0" fontId="0" fillId="2" borderId="26" xfId="0" applyFill="1" applyBorder="1"/>
    <xf numFmtId="0" fontId="0" fillId="2" borderId="28" xfId="0" applyFill="1" applyBorder="1"/>
    <xf numFmtId="0" fontId="0" fillId="2" borderId="31" xfId="0" applyFill="1" applyBorder="1"/>
    <xf numFmtId="0" fontId="0" fillId="0" borderId="33" xfId="0" applyBorder="1"/>
    <xf numFmtId="0" fontId="1" fillId="0" borderId="33" xfId="0" applyFont="1" applyBorder="1"/>
    <xf numFmtId="0" fontId="6" fillId="0" borderId="0" xfId="0" applyFont="1" applyBorder="1" applyAlignment="1">
      <alignment vertical="center" wrapText="1" readingOrder="1"/>
    </xf>
    <xf numFmtId="0" fontId="0" fillId="0" borderId="34" xfId="0" applyBorder="1" applyAlignment="1">
      <alignment wrapText="1"/>
    </xf>
    <xf numFmtId="0" fontId="0" fillId="0" borderId="35" xfId="0" applyFont="1" applyBorder="1" applyAlignment="1">
      <alignment wrapText="1"/>
    </xf>
    <xf numFmtId="0" fontId="0" fillId="0" borderId="36" xfId="0" applyFont="1" applyBorder="1" applyAlignment="1">
      <alignment wrapText="1"/>
    </xf>
    <xf numFmtId="0" fontId="0" fillId="0" borderId="29" xfId="0" applyFont="1" applyBorder="1" applyAlignment="1">
      <alignment wrapText="1"/>
    </xf>
    <xf numFmtId="0" fontId="0" fillId="0" borderId="37" xfId="0" applyBorder="1" applyAlignment="1">
      <alignment wrapText="1"/>
    </xf>
    <xf numFmtId="0" fontId="0" fillId="2" borderId="32" xfId="0" applyFill="1" applyBorder="1" applyAlignment="1">
      <alignment wrapText="1"/>
    </xf>
    <xf numFmtId="0" fontId="0" fillId="2" borderId="12" xfId="0" applyFill="1" applyBorder="1" applyAlignment="1">
      <alignment wrapText="1"/>
    </xf>
    <xf numFmtId="0" fontId="4" fillId="0" borderId="2" xfId="0" applyFont="1" applyBorder="1" applyAlignment="1">
      <alignment horizontal="center" vertical="center" wrapText="1" readingOrder="1"/>
    </xf>
    <xf numFmtId="0" fontId="18" fillId="0" borderId="0" xfId="0" applyFont="1"/>
    <xf numFmtId="0" fontId="2" fillId="0" borderId="38" xfId="0" applyFont="1" applyBorder="1" applyAlignment="1">
      <alignment horizontal="left" vertical="center" wrapText="1" indent="1" readingOrder="1"/>
    </xf>
    <xf numFmtId="11" fontId="5" fillId="0" borderId="39" xfId="0" applyNumberFormat="1" applyFont="1" applyBorder="1" applyAlignment="1">
      <alignment horizontal="center" vertical="center" wrapText="1" readingOrder="1"/>
    </xf>
    <xf numFmtId="0" fontId="2" fillId="0" borderId="40"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2" fillId="0" borderId="41" xfId="0" applyFont="1" applyBorder="1" applyAlignment="1">
      <alignment horizontal="center" vertical="center" wrapText="1" readingOrder="1"/>
    </xf>
    <xf numFmtId="0" fontId="2" fillId="0" borderId="42" xfId="0" applyFont="1" applyBorder="1" applyAlignment="1">
      <alignment horizontal="center" vertical="center" wrapText="1" readingOrder="1"/>
    </xf>
    <xf numFmtId="0" fontId="2" fillId="0" borderId="43" xfId="0" applyFont="1" applyBorder="1" applyAlignment="1">
      <alignment horizontal="left" vertical="center" wrapText="1" indent="1" readingOrder="1"/>
    </xf>
    <xf numFmtId="0" fontId="4" fillId="0" borderId="44" xfId="0" applyFont="1" applyBorder="1" applyAlignment="1">
      <alignment horizontal="center" vertical="center" wrapText="1" readingOrder="1"/>
    </xf>
    <xf numFmtId="11" fontId="4" fillId="0" borderId="45" xfId="0" applyNumberFormat="1" applyFont="1" applyBorder="1" applyAlignment="1">
      <alignment horizontal="center" vertical="center" wrapText="1" readingOrder="1"/>
    </xf>
    <xf numFmtId="11" fontId="5" fillId="0" borderId="46" xfId="0" applyNumberFormat="1" applyFont="1" applyBorder="1" applyAlignment="1">
      <alignment horizontal="center" vertical="center" wrapText="1" readingOrder="1"/>
    </xf>
    <xf numFmtId="0" fontId="6" fillId="0" borderId="38" xfId="0" applyFont="1" applyBorder="1" applyAlignment="1">
      <alignment horizontal="left" vertical="center" wrapText="1" indent="1" readingOrder="1"/>
    </xf>
    <xf numFmtId="0" fontId="8" fillId="0" borderId="39" xfId="0" applyFont="1" applyBorder="1" applyAlignment="1">
      <alignment horizontal="center" vertical="center" wrapText="1" readingOrder="1"/>
    </xf>
    <xf numFmtId="0" fontId="9" fillId="0" borderId="40" xfId="0" applyFont="1" applyBorder="1" applyAlignment="1">
      <alignment horizontal="center" vertical="center" wrapText="1"/>
    </xf>
    <xf numFmtId="0" fontId="6" fillId="0" borderId="7" xfId="0" applyFont="1" applyBorder="1" applyAlignment="1">
      <alignment horizontal="center" vertical="center" wrapText="1" readingOrder="1"/>
    </xf>
    <xf numFmtId="0" fontId="6" fillId="0" borderId="3" xfId="0" applyFont="1" applyBorder="1" applyAlignment="1">
      <alignment horizontal="center" vertical="center" wrapText="1" readingOrder="1"/>
    </xf>
    <xf numFmtId="0" fontId="6" fillId="0" borderId="41" xfId="0" applyFont="1" applyBorder="1" applyAlignment="1">
      <alignment horizontal="center" vertical="center" wrapText="1" readingOrder="1"/>
    </xf>
    <xf numFmtId="0" fontId="6" fillId="0" borderId="42" xfId="0" applyFont="1" applyBorder="1" applyAlignment="1">
      <alignment horizontal="center" vertical="center" wrapText="1" readingOrder="1"/>
    </xf>
    <xf numFmtId="0" fontId="6" fillId="0" borderId="43" xfId="0" applyFont="1" applyBorder="1" applyAlignment="1">
      <alignment horizontal="left" vertical="center" wrapText="1" indent="1" readingOrder="1"/>
    </xf>
    <xf numFmtId="0" fontId="6" fillId="0" borderId="52" xfId="0" applyFont="1" applyBorder="1" applyAlignment="1">
      <alignment horizontal="left" vertical="center" wrapText="1" indent="1" readingOrder="1"/>
    </xf>
    <xf numFmtId="0" fontId="8" fillId="0" borderId="53" xfId="0" applyFont="1" applyBorder="1" applyAlignment="1">
      <alignment horizontal="center" vertical="center" wrapText="1" readingOrder="1"/>
    </xf>
    <xf numFmtId="0" fontId="8" fillId="0" borderId="45" xfId="0" applyFont="1" applyBorder="1" applyAlignment="1">
      <alignment horizontal="center" vertical="center" wrapText="1" readingOrder="1"/>
    </xf>
    <xf numFmtId="0" fontId="8" fillId="0" borderId="46" xfId="0" applyFont="1" applyBorder="1" applyAlignment="1">
      <alignment horizontal="center" vertical="center" wrapText="1" readingOrder="1"/>
    </xf>
    <xf numFmtId="0" fontId="11" fillId="0" borderId="50" xfId="0" applyFont="1" applyBorder="1" applyAlignment="1">
      <alignment horizontal="left" vertical="center" wrapText="1" indent="1" readingOrder="1"/>
    </xf>
    <xf numFmtId="0" fontId="11" fillId="0" borderId="51" xfId="0" applyFont="1" applyBorder="1" applyAlignment="1">
      <alignment horizontal="left" vertical="center" wrapText="1" indent="1" readingOrder="1"/>
    </xf>
    <xf numFmtId="0" fontId="11" fillId="0" borderId="54" xfId="0" applyFont="1" applyBorder="1" applyAlignment="1">
      <alignment horizontal="left" vertical="center" wrapText="1" indent="1" readingOrder="1"/>
    </xf>
    <xf numFmtId="0" fontId="11" fillId="0" borderId="47" xfId="0" applyFont="1" applyBorder="1" applyAlignment="1">
      <alignment horizontal="center" vertical="center" wrapText="1" readingOrder="1"/>
    </xf>
    <xf numFmtId="0" fontId="11" fillId="0" borderId="49" xfId="0" applyFont="1" applyBorder="1" applyAlignment="1">
      <alignment horizontal="center" vertical="center" wrapText="1" readingOrder="1"/>
    </xf>
    <xf numFmtId="0" fontId="11" fillId="0" borderId="48" xfId="0" applyFont="1" applyBorder="1" applyAlignment="1">
      <alignment horizontal="center" vertical="center" wrapText="1" readingOrder="1"/>
    </xf>
    <xf numFmtId="0" fontId="11" fillId="0" borderId="55" xfId="0" applyFont="1" applyBorder="1" applyAlignment="1">
      <alignment horizontal="center" vertical="center" wrapText="1" readingOrder="1"/>
    </xf>
    <xf numFmtId="0" fontId="9" fillId="0" borderId="51" xfId="0" applyFont="1" applyBorder="1" applyAlignment="1">
      <alignment horizontal="center" vertical="center" wrapText="1"/>
    </xf>
    <xf numFmtId="0" fontId="11" fillId="0" borderId="43" xfId="0" applyFont="1" applyBorder="1" applyAlignment="1">
      <alignment horizontal="left" vertical="center" wrapText="1" indent="1" readingOrder="1"/>
    </xf>
    <xf numFmtId="0" fontId="11" fillId="0" borderId="56" xfId="0" applyFont="1" applyBorder="1" applyAlignment="1">
      <alignment horizontal="center" vertical="center" wrapText="1" readingOrder="1"/>
    </xf>
    <xf numFmtId="0" fontId="1" fillId="0" borderId="58" xfId="0" applyFont="1" applyBorder="1" applyAlignment="1">
      <alignment wrapText="1"/>
    </xf>
    <xf numFmtId="0" fontId="0" fillId="0" borderId="8" xfId="0" applyBorder="1" applyAlignment="1">
      <alignment wrapText="1"/>
    </xf>
    <xf numFmtId="0" fontId="0" fillId="0" borderId="9" xfId="0" applyBorder="1" applyAlignment="1">
      <alignment wrapText="1"/>
    </xf>
    <xf numFmtId="0" fontId="1" fillId="0" borderId="16" xfId="0" applyFont="1" applyBorder="1" applyAlignment="1">
      <alignment wrapText="1"/>
    </xf>
    <xf numFmtId="0" fontId="0" fillId="0" borderId="17" xfId="0" applyBorder="1" applyAlignment="1">
      <alignment wrapText="1"/>
    </xf>
    <xf numFmtId="0" fontId="0" fillId="0" borderId="59" xfId="0" applyBorder="1" applyAlignment="1">
      <alignment wrapText="1"/>
    </xf>
    <xf numFmtId="0" fontId="0" fillId="2" borderId="60" xfId="0" applyFill="1" applyBorder="1" applyAlignment="1">
      <alignment wrapText="1"/>
    </xf>
    <xf numFmtId="0" fontId="0" fillId="2" borderId="61" xfId="0" applyFill="1" applyBorder="1" applyAlignment="1">
      <alignment wrapText="1"/>
    </xf>
    <xf numFmtId="0" fontId="1" fillId="0" borderId="62" xfId="0" applyFont="1" applyBorder="1"/>
    <xf numFmtId="0" fontId="0" fillId="0" borderId="63" xfId="0" applyBorder="1"/>
    <xf numFmtId="0" fontId="0" fillId="0" borderId="64" xfId="0" applyBorder="1"/>
    <xf numFmtId="0" fontId="0" fillId="0" borderId="65" xfId="0" applyBorder="1"/>
    <xf numFmtId="0" fontId="0" fillId="0" borderId="66" xfId="0" applyBorder="1"/>
    <xf numFmtId="0" fontId="0" fillId="2" borderId="57" xfId="0" applyFill="1" applyBorder="1" applyAlignment="1">
      <alignment wrapText="1"/>
    </xf>
    <xf numFmtId="0" fontId="0" fillId="2" borderId="67" xfId="0" applyFill="1" applyBorder="1" applyAlignment="1">
      <alignment wrapText="1"/>
    </xf>
  </cellXfs>
  <cellStyles count="1">
    <cellStyle name="Normal" xfId="0" builtinId="0"/>
  </cellStyles>
  <dxfs count="34">
    <dxf>
      <border outline="0">
        <bottom style="double">
          <color auto="1"/>
        </bottom>
      </border>
    </dxf>
    <dxf>
      <border outline="0">
        <top style="medium">
          <color auto="1"/>
        </top>
        <bottom style="thin">
          <color auto="1"/>
        </bottom>
      </border>
    </dxf>
    <dxf>
      <border outline="0">
        <top style="medium">
          <color auto="1"/>
        </top>
        <bottom style="thin">
          <color auto="1"/>
        </bottom>
      </border>
    </dxf>
    <dxf>
      <border outline="0">
        <top style="medium">
          <color auto="1"/>
        </top>
        <bottom style="thin">
          <color auto="1"/>
        </bottom>
      </border>
    </dxf>
    <dxf>
      <border outline="0">
        <bottom style="thin">
          <color auto="1"/>
        </bottom>
      </border>
    </dxf>
    <dxf>
      <border outline="0">
        <top style="medium">
          <color auto="1"/>
        </top>
        <bottom style="thin">
          <color auto="1"/>
        </bottom>
      </border>
    </dxf>
    <dxf>
      <border outline="0">
        <top style="medium">
          <color auto="1"/>
        </top>
        <bottom style="thin">
          <color auto="1"/>
        </bottom>
      </border>
    </dxf>
    <dxf>
      <border outline="0">
        <left style="thick">
          <color rgb="FF000000"/>
        </left>
        <right style="thick">
          <color rgb="FF000000"/>
        </right>
        <top style="thick">
          <color rgb="FF000000"/>
        </top>
        <bottom style="thick">
          <color rgb="FF000000"/>
        </bottom>
      </border>
    </dxf>
    <dxf>
      <font>
        <b/>
        <i val="0"/>
        <strike val="0"/>
        <condense val="0"/>
        <extend val="0"/>
        <outline val="0"/>
        <shadow val="0"/>
        <u val="none"/>
        <vertAlign val="baseline"/>
        <sz val="14"/>
        <color rgb="FF01035B"/>
        <name val="Arial"/>
        <family val="2"/>
        <scheme val="none"/>
      </font>
      <alignment horizontal="center" vertical="center" textRotation="0" wrapText="1"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14"/>
        <color rgb="FF01035B"/>
        <name val="Arial"/>
        <family val="2"/>
        <scheme val="none"/>
      </font>
      <alignment horizontal="center" vertical="center" textRotation="0" wrapText="1" indent="0" justifyLastLine="0" shrinkToFit="0" readingOrder="1"/>
    </dxf>
    <dxf>
      <font>
        <b val="0"/>
        <i val="0"/>
        <strike val="0"/>
        <condense val="0"/>
        <extend val="0"/>
        <outline val="0"/>
        <shadow val="0"/>
        <u val="none"/>
        <vertAlign val="baseline"/>
        <sz val="14"/>
        <color rgb="FF01035B"/>
        <name val="Arial"/>
        <family val="2"/>
        <scheme val="none"/>
      </font>
      <alignment horizontal="center" vertical="center" textRotation="0" wrapText="1" indent="0" justifyLastLine="0" shrinkToFit="0" readingOrder="1"/>
      <border diagonalUp="0" diagonalDown="0">
        <left style="medium">
          <color rgb="FF000000"/>
        </left>
        <right/>
        <top style="thick">
          <color rgb="FF000000"/>
        </top>
        <bottom style="medium">
          <color rgb="FF000000"/>
        </bottom>
        <vertical/>
        <horizontal/>
      </border>
    </dxf>
    <dxf>
      <font>
        <b val="0"/>
        <i val="0"/>
        <strike val="0"/>
        <condense val="0"/>
        <extend val="0"/>
        <outline val="0"/>
        <shadow val="0"/>
        <u val="none"/>
        <vertAlign val="baseline"/>
        <sz val="14"/>
        <color rgb="FF01035B"/>
        <name val="Arial"/>
        <family val="2"/>
        <scheme val="none"/>
      </font>
      <alignment horizontal="center" vertical="center" textRotation="0" wrapText="1" indent="0" justifyLastLine="0" shrinkToFit="0" readingOrder="1"/>
      <border diagonalUp="0" diagonalDown="0">
        <left style="medium">
          <color rgb="FF000000"/>
        </left>
        <right style="medium">
          <color rgb="FF000000"/>
        </right>
        <top style="thick">
          <color rgb="FF000000"/>
        </top>
        <bottom style="medium">
          <color rgb="FF000000"/>
        </bottom>
        <vertical/>
        <horizontal/>
      </border>
    </dxf>
    <dxf>
      <font>
        <b val="0"/>
        <i val="0"/>
        <strike val="0"/>
        <condense val="0"/>
        <extend val="0"/>
        <outline val="0"/>
        <shadow val="0"/>
        <u val="none"/>
        <vertAlign val="baseline"/>
        <sz val="14"/>
        <color rgb="FF01035B"/>
        <name val="Arial"/>
        <family val="2"/>
        <scheme val="none"/>
      </font>
      <alignment horizontal="center" vertical="center" textRotation="0" wrapText="1" indent="0" justifyLastLine="0" shrinkToFit="0" readingOrder="1"/>
      <border diagonalUp="0" diagonalDown="0">
        <left style="medium">
          <color rgb="FF000000"/>
        </left>
        <right style="medium">
          <color rgb="FF000000"/>
        </right>
        <top style="thick">
          <color rgb="FF000000"/>
        </top>
        <bottom style="medium">
          <color rgb="FF000000"/>
        </bottom>
        <vertical/>
        <horizontal/>
      </border>
    </dxf>
    <dxf>
      <font>
        <b val="0"/>
        <i val="0"/>
        <strike val="0"/>
        <condense val="0"/>
        <extend val="0"/>
        <outline val="0"/>
        <shadow val="0"/>
        <u val="none"/>
        <vertAlign val="baseline"/>
        <sz val="14"/>
        <color rgb="FF01035B"/>
        <name val="Arial"/>
        <family val="2"/>
        <scheme val="none"/>
      </font>
      <alignment horizontal="center" vertical="center" textRotation="0" wrapText="1" indent="0" justifyLastLine="0" shrinkToFit="0" readingOrder="1"/>
      <border diagonalUp="0" diagonalDown="0">
        <left style="medium">
          <color rgb="FF000000"/>
        </left>
        <right style="medium">
          <color rgb="FF000000"/>
        </right>
        <top style="thick">
          <color rgb="FF000000"/>
        </top>
        <bottom style="medium">
          <color rgb="FF000000"/>
        </bottom>
        <vertical/>
        <horizontal/>
      </border>
    </dxf>
    <dxf>
      <font>
        <b val="0"/>
        <i val="0"/>
        <strike val="0"/>
        <condense val="0"/>
        <extend val="0"/>
        <outline val="0"/>
        <shadow val="0"/>
        <u val="none"/>
        <vertAlign val="baseline"/>
        <sz val="14"/>
        <color rgb="FF01035B"/>
        <name val="Arial"/>
        <family val="2"/>
        <scheme val="none"/>
      </font>
      <alignment horizontal="center" vertical="center" textRotation="0" wrapText="1" indent="0" justifyLastLine="0" shrinkToFit="0" readingOrder="1"/>
      <border diagonalUp="0" diagonalDown="0">
        <left style="medium">
          <color rgb="FF000000"/>
        </left>
        <right style="medium">
          <color rgb="FF000000"/>
        </right>
        <top style="thick">
          <color rgb="FF000000"/>
        </top>
        <bottom style="medium">
          <color rgb="FF000000"/>
        </bottom>
        <vertical/>
        <horizontal/>
      </border>
    </dxf>
    <dxf>
      <font>
        <b val="0"/>
        <i val="0"/>
        <strike val="0"/>
        <condense val="0"/>
        <extend val="0"/>
        <outline val="0"/>
        <shadow val="0"/>
        <u val="none"/>
        <vertAlign val="baseline"/>
        <sz val="14"/>
        <color rgb="FF01035B"/>
        <name val="Arial"/>
        <family val="2"/>
        <scheme val="none"/>
      </font>
      <alignment horizontal="center" vertical="center" textRotation="0" wrapText="1" indent="0" justifyLastLine="0" shrinkToFit="0" readingOrder="1"/>
      <border diagonalUp="0" diagonalDown="0">
        <left style="medium">
          <color rgb="FF000000"/>
        </left>
        <right style="medium">
          <color rgb="FF000000"/>
        </right>
        <top style="thick">
          <color rgb="FF000000"/>
        </top>
        <bottom style="medium">
          <color rgb="FF000000"/>
        </bottom>
        <vertical/>
        <horizontal/>
      </border>
    </dxf>
    <dxf>
      <font>
        <b val="0"/>
        <i val="0"/>
        <strike val="0"/>
        <condense val="0"/>
        <extend val="0"/>
        <outline val="0"/>
        <shadow val="0"/>
        <u val="none"/>
        <vertAlign val="baseline"/>
        <sz val="14"/>
        <color rgb="FF01035B"/>
        <name val="Arial"/>
        <family val="2"/>
        <scheme val="none"/>
      </font>
      <alignment horizontal="center" vertical="center" textRotation="0" wrapText="1" indent="0" justifyLastLine="0" shrinkToFit="0" readingOrder="1"/>
      <border diagonalUp="0" diagonalDown="0">
        <left style="thick">
          <color rgb="FF000000"/>
        </left>
        <right style="medium">
          <color rgb="FF000000"/>
        </right>
        <top style="thick">
          <color rgb="FF000000"/>
        </top>
        <bottom style="medium">
          <color rgb="FF000000"/>
        </bottom>
        <vertical/>
        <horizontal/>
      </border>
    </dxf>
    <dxf>
      <font>
        <b/>
        <i val="0"/>
        <strike val="0"/>
        <condense val="0"/>
        <extend val="0"/>
        <outline val="0"/>
        <shadow val="0"/>
        <u val="none"/>
        <vertAlign val="baseline"/>
        <sz val="14"/>
        <color rgb="FF01035B"/>
        <name val="Arial"/>
        <family val="2"/>
        <scheme val="none"/>
      </font>
      <alignment horizontal="left" vertical="center" textRotation="0" wrapText="1" indent="1" justifyLastLine="0" shrinkToFit="0" readingOrder="1"/>
      <border diagonalUp="0" diagonalDown="0">
        <left style="thick">
          <color rgb="FF000000"/>
        </left>
        <right style="thick">
          <color rgb="FF000000"/>
        </right>
        <top style="thick">
          <color rgb="FF000000"/>
        </top>
        <bottom style="medium">
          <color rgb="FF000000"/>
        </bottom>
        <vertical/>
        <horizontal/>
      </border>
    </dxf>
    <dxf>
      <font>
        <b/>
        <i val="0"/>
        <strike val="0"/>
        <condense val="0"/>
        <extend val="0"/>
        <outline val="0"/>
        <shadow val="0"/>
        <u val="none"/>
        <vertAlign val="baseline"/>
        <sz val="14"/>
        <color rgb="FF01035B"/>
        <name val="Arial"/>
        <family val="2"/>
        <scheme val="none"/>
      </font>
      <alignment horizontal="left" vertical="center" textRotation="0" wrapText="1" indent="1" justifyLastLine="0" shrinkToFit="0" readingOrder="1"/>
      <border diagonalUp="0" diagonalDown="0">
        <left/>
        <right style="thick">
          <color rgb="FF000000"/>
        </right>
        <top style="thick">
          <color rgb="FF000000"/>
        </top>
        <bottom style="medium">
          <color rgb="FF000000"/>
        </bottom>
        <vertical/>
        <horizontal/>
      </border>
    </dxf>
    <dxf>
      <border outline="0">
        <bottom style="thick">
          <color rgb="FF000000"/>
        </bottom>
      </border>
    </dxf>
    <dxf>
      <border outline="0">
        <left style="thick">
          <color rgb="FF000000"/>
        </left>
        <right style="thick">
          <color rgb="FF000000"/>
        </right>
        <top style="thick">
          <color rgb="FF000000"/>
        </top>
        <bottom style="thick">
          <color rgb="FF000000"/>
        </bottom>
      </border>
    </dxf>
    <dxf>
      <font>
        <b/>
        <i val="0"/>
        <strike val="0"/>
        <condense val="0"/>
        <extend val="0"/>
        <outline val="0"/>
        <shadow val="0"/>
        <u val="none"/>
        <vertAlign val="baseline"/>
        <sz val="12"/>
        <color rgb="FF01035B"/>
        <name val="Arial"/>
        <family val="2"/>
        <scheme val="none"/>
      </font>
      <alignment horizontal="center" vertical="center" textRotation="0" wrapText="1"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12"/>
        <color rgb="FF01035B"/>
        <name val="Arial"/>
        <family val="2"/>
        <scheme val="none"/>
      </font>
      <alignment horizontal="center" vertical="center" textRotation="0" wrapText="1" indent="0" justifyLastLine="0" shrinkToFit="0" readingOrder="1"/>
    </dxf>
    <dxf>
      <font>
        <b val="0"/>
        <i val="0"/>
        <strike val="0"/>
        <condense val="0"/>
        <extend val="0"/>
        <outline val="0"/>
        <shadow val="0"/>
        <u val="none"/>
        <vertAlign val="baseline"/>
        <sz val="12"/>
        <color rgb="FF333399"/>
        <name val="Arial"/>
        <family val="2"/>
        <scheme val="none"/>
      </font>
      <numFmt numFmtId="15" formatCode="0.00E+00"/>
      <alignment horizontal="center" vertical="center" textRotation="0" wrapText="1" indent="0" justifyLastLine="0" shrinkToFit="0" readingOrder="1"/>
      <border diagonalUp="0" diagonalDown="0">
        <left style="medium">
          <color rgb="FF000000"/>
        </left>
        <right/>
        <top style="thick">
          <color rgb="FF000000"/>
        </top>
        <bottom style="medium">
          <color rgb="FF000000"/>
        </bottom>
        <vertical/>
        <horizontal/>
      </border>
    </dxf>
    <dxf>
      <font>
        <b val="0"/>
        <i val="0"/>
        <strike val="0"/>
        <condense val="0"/>
        <extend val="0"/>
        <outline val="0"/>
        <shadow val="0"/>
        <u val="none"/>
        <vertAlign val="baseline"/>
        <sz val="12"/>
        <color rgb="FF01035B"/>
        <name val="Arial"/>
        <family val="2"/>
        <scheme val="none"/>
      </font>
      <numFmt numFmtId="15" formatCode="0.00E+00"/>
      <alignment horizontal="center" vertical="center" textRotation="0" wrapText="1" indent="0" justifyLastLine="0" shrinkToFit="0" readingOrder="1"/>
      <border diagonalUp="0" diagonalDown="0">
        <left style="medium">
          <color rgb="FF000000"/>
        </left>
        <right style="medium">
          <color rgb="FF000000"/>
        </right>
        <top style="thick">
          <color rgb="FF000000"/>
        </top>
        <bottom style="medium">
          <color rgb="FF000000"/>
        </bottom>
        <vertical/>
        <horizontal/>
      </border>
    </dxf>
    <dxf>
      <font>
        <b val="0"/>
        <i val="0"/>
        <strike val="0"/>
        <condense val="0"/>
        <extend val="0"/>
        <outline val="0"/>
        <shadow val="0"/>
        <u val="none"/>
        <vertAlign val="baseline"/>
        <sz val="12"/>
        <color rgb="FF01035B"/>
        <name val="Arial"/>
        <family val="2"/>
        <scheme val="none"/>
      </font>
      <numFmt numFmtId="15" formatCode="0.00E+00"/>
      <alignment horizontal="center" vertical="center" textRotation="0" wrapText="1" indent="0" justifyLastLine="0" shrinkToFit="0" readingOrder="1"/>
      <border diagonalUp="0" diagonalDown="0">
        <left style="medium">
          <color rgb="FF000000"/>
        </left>
        <right style="medium">
          <color rgb="FF000000"/>
        </right>
        <top style="thick">
          <color rgb="FF000000"/>
        </top>
        <bottom style="medium">
          <color rgb="FF000000"/>
        </bottom>
        <vertical/>
        <horizontal/>
      </border>
    </dxf>
    <dxf>
      <font>
        <b val="0"/>
        <i val="0"/>
        <strike val="0"/>
        <condense val="0"/>
        <extend val="0"/>
        <outline val="0"/>
        <shadow val="0"/>
        <u val="none"/>
        <vertAlign val="baseline"/>
        <sz val="12"/>
        <color rgb="FF01035B"/>
        <name val="Arial"/>
        <family val="2"/>
        <scheme val="none"/>
      </font>
      <numFmt numFmtId="15" formatCode="0.00E+00"/>
      <alignment horizontal="center" vertical="center" textRotation="0" wrapText="1" indent="0" justifyLastLine="0" shrinkToFit="0" readingOrder="1"/>
      <border diagonalUp="0" diagonalDown="0">
        <left style="medium">
          <color rgb="FF000000"/>
        </left>
        <right style="medium">
          <color rgb="FF000000"/>
        </right>
        <top style="thick">
          <color rgb="FF000000"/>
        </top>
        <bottom style="medium">
          <color rgb="FF000000"/>
        </bottom>
        <vertical/>
        <horizontal/>
      </border>
    </dxf>
    <dxf>
      <font>
        <b val="0"/>
        <i val="0"/>
        <strike val="0"/>
        <condense val="0"/>
        <extend val="0"/>
        <outline val="0"/>
        <shadow val="0"/>
        <u val="none"/>
        <vertAlign val="baseline"/>
        <sz val="12"/>
        <color rgb="FF01035B"/>
        <name val="Arial"/>
        <family val="2"/>
        <scheme val="none"/>
      </font>
      <numFmt numFmtId="15" formatCode="0.00E+00"/>
      <alignment horizontal="center" vertical="center" textRotation="0" wrapText="1" indent="0" justifyLastLine="0" shrinkToFit="0" readingOrder="1"/>
      <border diagonalUp="0" diagonalDown="0">
        <left style="medium">
          <color rgb="FF000000"/>
        </left>
        <right style="medium">
          <color rgb="FF000000"/>
        </right>
        <top style="thick">
          <color rgb="FF000000"/>
        </top>
        <bottom style="medium">
          <color rgb="FF000000"/>
        </bottom>
        <vertical/>
        <horizontal/>
      </border>
    </dxf>
    <dxf>
      <font>
        <b val="0"/>
        <i val="0"/>
        <strike val="0"/>
        <condense val="0"/>
        <extend val="0"/>
        <outline val="0"/>
        <shadow val="0"/>
        <u val="none"/>
        <vertAlign val="baseline"/>
        <sz val="12"/>
        <color rgb="FF01035B"/>
        <name val="Arial"/>
        <family val="2"/>
        <scheme val="none"/>
      </font>
      <numFmt numFmtId="15" formatCode="0.00E+00"/>
      <alignment horizontal="center" vertical="center" textRotation="0" wrapText="1" indent="0" justifyLastLine="0" shrinkToFit="0" readingOrder="1"/>
      <border diagonalUp="0" diagonalDown="0">
        <left style="medium">
          <color rgb="FF000000"/>
        </left>
        <right style="medium">
          <color rgb="FF000000"/>
        </right>
        <top style="thick">
          <color rgb="FF000000"/>
        </top>
        <bottom style="medium">
          <color rgb="FF000000"/>
        </bottom>
        <vertical/>
        <horizontal/>
      </border>
    </dxf>
    <dxf>
      <font>
        <b val="0"/>
        <i val="0"/>
        <strike val="0"/>
        <condense val="0"/>
        <extend val="0"/>
        <outline val="0"/>
        <shadow val="0"/>
        <u val="none"/>
        <vertAlign val="baseline"/>
        <sz val="12"/>
        <color rgb="FF01035B"/>
        <name val="Arial"/>
        <family val="2"/>
        <scheme val="none"/>
      </font>
      <numFmt numFmtId="15" formatCode="0.00E+00"/>
      <alignment horizontal="center" vertical="center" textRotation="0" wrapText="1" indent="0" justifyLastLine="0" shrinkToFit="0" readingOrder="1"/>
      <border diagonalUp="0" diagonalDown="0">
        <left style="medium">
          <color rgb="FF000000"/>
        </left>
        <right style="medium">
          <color rgb="FF000000"/>
        </right>
        <top style="thick">
          <color rgb="FF000000"/>
        </top>
        <bottom style="medium">
          <color rgb="FF000000"/>
        </bottom>
        <vertical/>
        <horizontal/>
      </border>
    </dxf>
    <dxf>
      <font>
        <b val="0"/>
        <i val="0"/>
        <strike val="0"/>
        <condense val="0"/>
        <extend val="0"/>
        <outline val="0"/>
        <shadow val="0"/>
        <u val="none"/>
        <vertAlign val="baseline"/>
        <sz val="12"/>
        <color rgb="FF01035B"/>
        <name val="Arial"/>
        <family val="2"/>
        <scheme val="none"/>
      </font>
      <alignment horizontal="center" vertical="center" textRotation="0" wrapText="1" indent="0" justifyLastLine="0" shrinkToFit="0" readingOrder="1"/>
      <border diagonalUp="0" diagonalDown="0">
        <left style="thick">
          <color rgb="FF000000"/>
        </left>
        <right style="medium">
          <color rgb="FF000000"/>
        </right>
        <top style="thick">
          <color rgb="FF000000"/>
        </top>
        <bottom/>
        <vertical/>
        <horizontal/>
      </border>
    </dxf>
    <dxf>
      <font>
        <b/>
        <i val="0"/>
        <strike val="0"/>
        <condense val="0"/>
        <extend val="0"/>
        <outline val="0"/>
        <shadow val="0"/>
        <u val="none"/>
        <vertAlign val="baseline"/>
        <sz val="12"/>
        <color rgb="FF01035B"/>
        <name val="Arial"/>
        <family val="2"/>
        <scheme val="none"/>
      </font>
      <alignment horizontal="left" vertical="center" textRotation="0" wrapText="1" indent="1" justifyLastLine="0" shrinkToFit="0" readingOrder="1"/>
      <border diagonalUp="0" diagonalDown="0">
        <left/>
        <right style="thick">
          <color rgb="FF000000"/>
        </right>
        <top style="thick">
          <color rgb="FF000000"/>
        </top>
        <bottom style="medium">
          <color rgb="FF000000"/>
        </bottom>
        <vertical/>
        <horizontal/>
      </border>
    </dxf>
    <dxf>
      <border outline="0">
        <bottom style="thick">
          <color rgb="FF000000"/>
        </bottom>
      </border>
    </dxf>
    <dxf>
      <border outline="0">
        <left style="thick">
          <color rgb="FF000000"/>
        </left>
        <right style="thick">
          <color rgb="FF000000"/>
        </right>
        <top style="thick">
          <color rgb="FF000000"/>
        </top>
        <bottom style="thick">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204AE9-4236-DB4C-8732-3E94F537BCCF}" name="Inventory_data_airdryer_papertowels" displayName="Inventory_data_airdryer_papertowels" ref="A4:I6" totalsRowShown="0" headerRowDxfId="21" dataDxfId="22" headerRowBorderDxfId="32" tableBorderDxfId="33">
  <autoFilter ref="A4:I6" xr:uid="{A4204AE9-4236-DB4C-8732-3E94F537BCCF}"/>
  <tableColumns count="9">
    <tableColumn id="1" xr3:uid="{D71ADD0A-7FAB-BD4A-BA1D-B33FA6B2FF48}" name="Scenarios" dataDxfId="31"/>
    <tableColumn id="2" xr3:uid="{0523400B-66C6-D04D-A731-B3F3D294FF5F}" name="Functional Unit" dataDxfId="30"/>
    <tableColumn id="3" xr3:uid="{BA6F19E4-A2B6-6B43-9FB8-1BEFE3D15E52}" name="CO2 [kgCO2 /unit]" dataDxfId="29"/>
    <tableColumn id="4" xr3:uid="{3BD09609-F122-3D40-9092-B169602EA410}" name="CH4 [kgCH4 /unit]" dataDxfId="28"/>
    <tableColumn id="5" xr3:uid="{18C4DF34-40C2-7941-AF7E-0F3A97B582CB}" name="N2O [kgN20 /unit]" dataDxfId="27"/>
    <tableColumn id="6" xr3:uid="{037CE4DD-BD32-634E-8CF3-DA36F59FBE61}" name="PM10 [kgPM10 /unit]" dataDxfId="26"/>
    <tableColumn id="7" xr3:uid="{C211D86E-02B0-9143-8931-EEDB621B9096}" name="PM2.5 [kgPM2.5 /unit]" dataDxfId="25"/>
    <tableColumn id="8" xr3:uid="{408D0F79-711A-0745-9EF8-F18E56566165}" name="NOx [kgNOx /unit]" dataDxfId="24"/>
    <tableColumn id="9" xr3:uid="{710CDAD7-7158-8D4E-9E3A-B943C52EF82E}" name="SOx [kgSOx/unit]" dataDxfId="23"/>
  </tableColumns>
  <tableStyleInfo name="TableStyleMedium2" showFirstColumn="0" showLastColumn="0" showRowStripes="1" showColumnStripes="0"/>
  <extLst>
    <ext xmlns:x14="http://schemas.microsoft.com/office/spreadsheetml/2009/9/main" uri="{504A1905-F514-4f6f-8877-14C23A59335A}">
      <x14:table altTextSummary="Inventory data table for air dryer and paper towels_x000a_"/>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246689-E63E-8442-AA2E-881D1933CCB2}" name="Impact_assessment_characterization_factors" displayName="Impact_assessment_characterization_factors" ref="A9:I11" totalsRowShown="0" headerRowDxfId="8" dataDxfId="9" headerRowBorderDxfId="19" tableBorderDxfId="20">
  <autoFilter ref="A9:I11" xr:uid="{E1246689-E63E-8442-AA2E-881D1933CCB2}"/>
  <tableColumns count="9">
    <tableColumn id="1" xr3:uid="{E6D5BA3B-7CAB-6948-9ACC-BF98B415ADB8}" name="Column1" dataDxfId="18"/>
    <tableColumn id="2" xr3:uid="{08F0217A-460C-C14C-ACBD-242F5FB2E363}" name="Comparable unit" dataDxfId="17"/>
    <tableColumn id="3" xr3:uid="{588788F7-A3E9-014A-A62F-D0587E027324}" name="CO2 [kgCO2 ]" dataDxfId="16"/>
    <tableColumn id="4" xr3:uid="{9FFEB5E1-D2ED-3E47-A46C-F19C75778189}" name="CH4 [kgCH4 ]" dataDxfId="15"/>
    <tableColumn id="5" xr3:uid="{F84A33FE-B9D8-7148-932D-D2DBAD265A23}" name="N2O [kgN20 ]" dataDxfId="14"/>
    <tableColumn id="6" xr3:uid="{26F4FDF4-1F0C-4B44-948C-716B3EF03A19}" name="PM10 [kgPM10 ]" dataDxfId="13"/>
    <tableColumn id="7" xr3:uid="{CB238060-8A35-584E-BB93-2349B6A0644B}" name="PM2.5 [kgPM2.5 ]" dataDxfId="12"/>
    <tableColumn id="8" xr3:uid="{C4943CE9-F50A-024A-8B7A-3695F45C58D4}" name="NOx [kgNOx ]" dataDxfId="11"/>
    <tableColumn id="9" xr3:uid="{B2FC5EBF-BFB3-BA4F-8BE5-8852316FAC89}" name="SOx [kgSOx]" dataDxfId="10"/>
  </tableColumns>
  <tableStyleInfo name="TableStyleMedium2" showFirstColumn="0" showLastColumn="0" showRowStripes="1" showColumnStripes="0"/>
  <extLst>
    <ext xmlns:x14="http://schemas.microsoft.com/office/spreadsheetml/2009/9/main" uri="{504A1905-F514-4f6f-8877-14C23A59335A}">
      <x14:table altTextSummary="Impact assessment characterization factors for global warming potential and respiratory inorganic _x000a__x000a_"/>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666740-D754-5C43-9C14-FDE869988573}" name="Midpoint_to_damage_factors" displayName="Midpoint_to_damage_factors" ref="A14:B19" totalsRowShown="0" tableBorderDxfId="7">
  <autoFilter ref="A14:B19" xr:uid="{B0666740-D754-5C43-9C14-FDE869988573}"/>
  <tableColumns count="2">
    <tableColumn id="1" xr3:uid="{B6D9B455-8A23-7C44-9B23-5D08DDF2095A}" name="Column1"/>
    <tableColumn id="2" xr3:uid="{33B9AC99-5823-894D-B459-46E8178F2D69}" name="Midpoint-to-Damage Factor "/>
  </tableColumns>
  <tableStyleInfo name="TableStyleMedium2" showFirstColumn="0" showLastColumn="0" showRowStripes="1" showColumnStripes="0"/>
  <extLst>
    <ext xmlns:x14="http://schemas.microsoft.com/office/spreadsheetml/2009/9/main" uri="{504A1905-F514-4f6f-8877-14C23A59335A}">
      <x14:table altTextSummary="Table on midpoint to damage factors _x000a_"/>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CAD2427-7587-CD45-9AF7-AFBF0074784F}" name="Airdryer_respiratoryinorganics" displayName="Airdryer_respiratoryinorganics" ref="A27:D37" totalsRowShown="0" tableBorderDxfId="6">
  <autoFilter ref="A27:D37" xr:uid="{ECAD2427-7587-CD45-9AF7-AFBF0074784F}"/>
  <tableColumns count="4">
    <tableColumn id="1" xr3:uid="{D7B9A7E6-45C1-254B-91AC-052A400523D2}" name="Respiratory Inorganics"/>
    <tableColumn id="2" xr3:uid="{6EFF90BE-F97B-9540-95E4-1F2FD8D72B0F}" name="Emission per FU: bi"/>
    <tableColumn id="3" xr3:uid="{83C908D0-BF00-6D40-B231-553C6ABDC09C}" name="Characterization factor midpoint: CFi"/>
    <tableColumn id="4" xr3:uid="{8239AA64-3E7E-FB46-9495-F9970FED878F}" name="Midpoint score per FU: Sj"/>
  </tableColumns>
  <tableStyleInfo name="TableStyleMedium2" showFirstColumn="0" showLastColumn="0" showRowStripes="1" showColumnStripes="0"/>
  <extLst>
    <ext xmlns:x14="http://schemas.microsoft.com/office/spreadsheetml/2009/9/main" uri="{504A1905-F514-4f6f-8877-14C23A59335A}">
      <x14:table altTextSummary="Impact assessment tables for air dryer scenario: respiratory inorganic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661D699-E59E-4945-9CFB-A943DBDEEE79}" name="Papertowel_respiratoryinorganics" displayName="Papertowel_respiratoryinorganics" ref="G27:J37" totalsRowShown="0" headerRowBorderDxfId="4" tableBorderDxfId="5">
  <autoFilter ref="G27:J37" xr:uid="{4661D699-E59E-4945-9CFB-A943DBDEEE79}"/>
  <tableColumns count="4">
    <tableColumn id="1" xr3:uid="{5E012FB8-2A62-DB41-A5B4-243A0645001E}" name="Respiratory Inorganics"/>
    <tableColumn id="2" xr3:uid="{1184BE46-F3CA-974D-BE13-B01198055B1C}" name="Emission per FU: bi"/>
    <tableColumn id="3" xr3:uid="{C06D85F2-D353-3541-BC4F-E2FE9EADBD55}" name="Characterization factor midpoint: CFi"/>
    <tableColumn id="4" xr3:uid="{B52C6C33-507C-5442-9A36-08B6AD4F71E9}" name="Midpoint score per FU: Sj"/>
  </tableColumns>
  <tableStyleInfo name="TableStyleMedium2" showFirstColumn="0" showLastColumn="0" showRowStripes="1" showColumnStripes="0"/>
  <extLst>
    <ext xmlns:x14="http://schemas.microsoft.com/office/spreadsheetml/2009/9/main" uri="{504A1905-F514-4f6f-8877-14C23A59335A}">
      <x14:table altTextSummary="Impact assessment tables for paper towel scenario: respiratory inorganic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BA24AF0-D80E-0343-B960-1D6D825F603B}" name="airdryer_global_warming" displayName="airdryer_global_warming" ref="A40:D49" totalsRowShown="0" tableBorderDxfId="3">
  <autoFilter ref="A40:D49" xr:uid="{4BA24AF0-D80E-0343-B960-1D6D825F603B}"/>
  <tableColumns count="4">
    <tableColumn id="1" xr3:uid="{2729AED1-A822-D949-A50E-2BAB3651944E}" name="Global warming"/>
    <tableColumn id="2" xr3:uid="{03167980-536D-2149-8A3C-13FA2EF5D94A}" name="Emission per FU: bi"/>
    <tableColumn id="3" xr3:uid="{07742488-B6A0-904D-9EDE-245881B14A76}" name="Characterization factor midpoint CFi"/>
    <tableColumn id="4" xr3:uid="{364193CC-848B-7E4F-826E-15E629D1DDC5}" name="Midpoint score per FU: Sk"/>
  </tableColumns>
  <tableStyleInfo name="TableStyleMedium2" showFirstColumn="0" showLastColumn="0" showRowStripes="1" showColumnStripes="0"/>
  <extLst>
    <ext xmlns:x14="http://schemas.microsoft.com/office/spreadsheetml/2009/9/main" uri="{504A1905-F514-4f6f-8877-14C23A59335A}">
      <x14:table altTextSummary="Impact assessment tables for air dryer scenario: global warming"/>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1E1466F-E059-5E4D-A95E-6C0D952D5576}" name="Paper_towel_global_warming" displayName="Paper_towel_global_warming" ref="G40:J49" totalsRowShown="0" tableBorderDxfId="2">
  <autoFilter ref="G40:J49" xr:uid="{61E1466F-E059-5E4D-A95E-6C0D952D5576}"/>
  <tableColumns count="4">
    <tableColumn id="1" xr3:uid="{1D77E8A3-8DB2-7945-9A81-718CADBAADA2}" name="Global warming"/>
    <tableColumn id="2" xr3:uid="{0C847F82-1DFB-1748-8F77-8EFEF52A0E32}" name="Emission per FU: bi"/>
    <tableColumn id="3" xr3:uid="{013D3A37-C94A-D84F-BF28-94FFC242F3FE}" name="Characterization factor midpoint CFi"/>
    <tableColumn id="4" xr3:uid="{33ADC4F3-C058-304F-9CB6-23D6FBBD44DE}" name="Midpoint score per FU: Sk"/>
  </tableColumns>
  <tableStyleInfo name="TableStyleMedium2" showFirstColumn="0" showLastColumn="0" showRowStripes="1" showColumnStripes="0"/>
  <extLst>
    <ext xmlns:x14="http://schemas.microsoft.com/office/spreadsheetml/2009/9/main" uri="{504A1905-F514-4f6f-8877-14C23A59335A}">
      <x14:table altTextSummary="Impact assessment tables for paper scenario: global warming"/>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BA705DA-7FBD-A643-8F50-222DED72757C}" name="Summary_table_HH_damage" displayName="Summary_table_HH_damage" ref="A53:D59" totalsRowShown="0" headerRowBorderDxfId="0" tableBorderDxfId="1">
  <autoFilter ref="A53:D59" xr:uid="{DBA705DA-7FBD-A643-8F50-222DED72757C}"/>
  <tableColumns count="4">
    <tableColumn id="1" xr3:uid="{6C32E38B-390F-304B-B066-161DB2128E40}" name="Column1"/>
    <tableColumn id="2" xr3:uid="{12DD3B21-C90B-C54F-B3DB-C6EFE9A33065}" name="Column2"/>
    <tableColumn id="3" xr3:uid="{5C571B88-7C46-4649-9778-CF5A4EA6D1D9}" name="Air dryer"/>
    <tableColumn id="4" xr3:uid="{DE1996B5-C337-E241-B518-747D52AFDE21}" name="Paper towel"/>
  </tableColumns>
  <tableStyleInfo name="TableStyleMedium2" showFirstColumn="0" showLastColumn="0" showRowStripes="1" showColumnStripes="0"/>
  <extLst>
    <ext xmlns:x14="http://schemas.microsoft.com/office/spreadsheetml/2009/9/main" uri="{504A1905-F514-4f6f-8877-14C23A59335A}">
      <x14:table altTextSummary="Summary table of HH damage for both air dryer and paper towel"/>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5300A5E-C5BA-A743-A980-E2E91FBEDAF9}" name="Calculations" displayName="Calculations" ref="A6:D17" totalsRowShown="0">
  <autoFilter ref="A6:D17" xr:uid="{85300A5E-C5BA-A743-A980-E2E91FBEDAF9}"/>
  <tableColumns count="4">
    <tableColumn id="1" xr3:uid="{5E5A484B-A942-3041-A6D0-D27C34D2EB90}" name="Column1"/>
    <tableColumn id="2" xr3:uid="{53B8442D-E337-5842-B774-A857E2309E55}" name="Column2"/>
    <tableColumn id="3" xr3:uid="{8FBA32ED-9398-7A44-88CD-26AE4909B258}" name="Air Dryer"/>
    <tableColumn id="4" xr3:uid="{FCACDE11-A812-7E4D-92AA-8B4D203B0C59}" name="paper towel"/>
  </tableColumns>
  <tableStyleInfo name="TableStyleMedium2" showFirstColumn="0" showLastColumn="0" showRowStripes="1" showColumnStripes="0"/>
  <extLst>
    <ext xmlns:x14="http://schemas.microsoft.com/office/spreadsheetml/2009/9/main" uri="{504A1905-F514-4f6f-8877-14C23A59335A}">
      <x14:table altTextSummary="Table for calculations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3.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7875F-A45D-FC45-AC35-A8D18070FB90}">
  <dimension ref="A1:A12"/>
  <sheetViews>
    <sheetView workbookViewId="0">
      <selection activeCell="C10" sqref="C10"/>
    </sheetView>
  </sheetViews>
  <sheetFormatPr baseColWidth="10" defaultRowHeight="15" x14ac:dyDescent="0.2"/>
  <sheetData>
    <row r="1" spans="1:1" ht="18" x14ac:dyDescent="0.2">
      <c r="A1" s="9" t="s">
        <v>87</v>
      </c>
    </row>
    <row r="2" spans="1:1" x14ac:dyDescent="0.2">
      <c r="A2" s="54"/>
    </row>
    <row r="3" spans="1:1" ht="16" x14ac:dyDescent="0.2">
      <c r="A3" s="30" t="s">
        <v>86</v>
      </c>
    </row>
    <row r="4" spans="1:1" ht="16" x14ac:dyDescent="0.2">
      <c r="A4" s="30" t="s">
        <v>39</v>
      </c>
    </row>
    <row r="5" spans="1:1" ht="16" x14ac:dyDescent="0.2">
      <c r="A5" s="30" t="s">
        <v>40</v>
      </c>
    </row>
    <row r="6" spans="1:1" ht="16" x14ac:dyDescent="0.2">
      <c r="A6" s="30"/>
    </row>
    <row r="7" spans="1:1" ht="16" x14ac:dyDescent="0.2">
      <c r="A7" s="30" t="s">
        <v>38</v>
      </c>
    </row>
    <row r="8" spans="1:1" ht="16" x14ac:dyDescent="0.2">
      <c r="A8" s="30"/>
    </row>
    <row r="9" spans="1:1" ht="16" x14ac:dyDescent="0.2">
      <c r="A9" s="30" t="s">
        <v>69</v>
      </c>
    </row>
    <row r="10" spans="1:1" ht="16" x14ac:dyDescent="0.2">
      <c r="A10" s="30"/>
    </row>
    <row r="11" spans="1:1" ht="16" x14ac:dyDescent="0.2">
      <c r="A11" s="30" t="s">
        <v>67</v>
      </c>
    </row>
    <row r="12" spans="1:1" ht="16" x14ac:dyDescent="0.2">
      <c r="A12" s="30" t="s">
        <v>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J59"/>
  <sheetViews>
    <sheetView topLeftCell="A35" workbookViewId="0">
      <selection activeCell="A54" sqref="A54"/>
    </sheetView>
  </sheetViews>
  <sheetFormatPr baseColWidth="10" defaultColWidth="8.83203125" defaultRowHeight="15" x14ac:dyDescent="0.2"/>
  <cols>
    <col min="1" max="1" width="40.6640625" customWidth="1"/>
    <col min="2" max="2" width="35.5" customWidth="1"/>
    <col min="3" max="3" width="31.6640625" customWidth="1"/>
    <col min="4" max="4" width="23" customWidth="1"/>
    <col min="5" max="5" width="18" customWidth="1"/>
    <col min="6" max="6" width="19.6640625" customWidth="1"/>
    <col min="7" max="7" width="32.5" customWidth="1"/>
    <col min="8" max="8" width="18.83203125" customWidth="1"/>
    <col min="9" max="9" width="31.6640625" customWidth="1"/>
    <col min="10" max="10" width="23" customWidth="1"/>
    <col min="12" max="12" width="20.83203125" customWidth="1"/>
    <col min="13" max="13" width="18" customWidth="1"/>
    <col min="14" max="14" width="26" customWidth="1"/>
    <col min="15" max="15" width="16.6640625" customWidth="1"/>
  </cols>
  <sheetData>
    <row r="3" spans="1:9" ht="19" x14ac:dyDescent="0.25">
      <c r="A3" s="5" t="s">
        <v>41</v>
      </c>
    </row>
    <row r="4" spans="1:9" ht="20" thickBot="1" x14ac:dyDescent="0.25">
      <c r="A4" s="57" t="s">
        <v>8</v>
      </c>
      <c r="B4" s="58" t="s">
        <v>70</v>
      </c>
      <c r="C4" s="59" t="s">
        <v>12</v>
      </c>
      <c r="D4" s="59" t="s">
        <v>13</v>
      </c>
      <c r="E4" s="59" t="s">
        <v>14</v>
      </c>
      <c r="F4" s="59" t="s">
        <v>15</v>
      </c>
      <c r="G4" s="59" t="s">
        <v>16</v>
      </c>
      <c r="H4" s="59" t="s">
        <v>17</v>
      </c>
      <c r="I4" s="60" t="s">
        <v>18</v>
      </c>
    </row>
    <row r="5" spans="1:9" ht="36" thickTop="1" thickBot="1" x14ac:dyDescent="0.25">
      <c r="A5" s="55" t="s">
        <v>9</v>
      </c>
      <c r="B5" s="53" t="s">
        <v>10</v>
      </c>
      <c r="C5" s="1">
        <v>1.0999999999999999E-2</v>
      </c>
      <c r="D5" s="1">
        <v>2.3E-5</v>
      </c>
      <c r="E5" s="1">
        <v>7.1999999999999996E-8</v>
      </c>
      <c r="F5" s="1">
        <v>1.5E-6</v>
      </c>
      <c r="G5" s="1">
        <v>3.6E-10</v>
      </c>
      <c r="H5" s="1">
        <v>1.4E-5</v>
      </c>
      <c r="I5" s="56">
        <v>4.8000000000000001E-5</v>
      </c>
    </row>
    <row r="6" spans="1:9" ht="17" x14ac:dyDescent="0.2">
      <c r="A6" s="61" t="s">
        <v>11</v>
      </c>
      <c r="B6" s="62"/>
      <c r="C6" s="63">
        <v>1E-3</v>
      </c>
      <c r="D6" s="63">
        <v>1.8E-7</v>
      </c>
      <c r="E6" s="63">
        <v>4.0999999999999999E-7</v>
      </c>
      <c r="F6" s="63">
        <v>2.4E-8</v>
      </c>
      <c r="G6" s="63">
        <v>4.1999999999999996E-6</v>
      </c>
      <c r="H6" s="63">
        <v>3.1000000000000001E-5</v>
      </c>
      <c r="I6" s="64">
        <v>3.7E-7</v>
      </c>
    </row>
    <row r="8" spans="1:9" ht="19" x14ac:dyDescent="0.25">
      <c r="A8" s="5" t="s">
        <v>42</v>
      </c>
    </row>
    <row r="9" spans="1:9" ht="22" thickBot="1" x14ac:dyDescent="0.25">
      <c r="A9" s="67" t="s">
        <v>88</v>
      </c>
      <c r="B9" s="68" t="s">
        <v>71</v>
      </c>
      <c r="C9" s="69" t="s">
        <v>19</v>
      </c>
      <c r="D9" s="70" t="s">
        <v>20</v>
      </c>
      <c r="E9" s="70" t="s">
        <v>21</v>
      </c>
      <c r="F9" s="70" t="s">
        <v>22</v>
      </c>
      <c r="G9" s="70" t="s">
        <v>23</v>
      </c>
      <c r="H9" s="70" t="s">
        <v>24</v>
      </c>
      <c r="I9" s="71" t="s">
        <v>25</v>
      </c>
    </row>
    <row r="10" spans="1:9" ht="23" thickTop="1" thickBot="1" x14ac:dyDescent="0.25">
      <c r="A10" s="65" t="s">
        <v>33</v>
      </c>
      <c r="B10" s="2" t="s">
        <v>72</v>
      </c>
      <c r="C10" s="3">
        <v>1</v>
      </c>
      <c r="D10" s="4">
        <v>34</v>
      </c>
      <c r="E10" s="4">
        <v>298</v>
      </c>
      <c r="F10" s="4">
        <v>0</v>
      </c>
      <c r="G10" s="4">
        <v>0</v>
      </c>
      <c r="H10" s="4">
        <v>0</v>
      </c>
      <c r="I10" s="66">
        <v>0</v>
      </c>
    </row>
    <row r="11" spans="1:9" ht="52.75" customHeight="1" x14ac:dyDescent="0.2">
      <c r="A11" s="72" t="s">
        <v>26</v>
      </c>
      <c r="B11" s="73" t="s">
        <v>73</v>
      </c>
      <c r="C11" s="74">
        <v>0</v>
      </c>
      <c r="D11" s="75">
        <v>0</v>
      </c>
      <c r="E11" s="75">
        <v>0</v>
      </c>
      <c r="F11" s="75">
        <v>0.6</v>
      </c>
      <c r="G11" s="75">
        <v>1</v>
      </c>
      <c r="H11" s="75">
        <v>7.7000000000000002E-3</v>
      </c>
      <c r="I11" s="76">
        <v>3.7999999999999999E-2</v>
      </c>
    </row>
    <row r="12" spans="1:9" ht="18.5" customHeight="1" x14ac:dyDescent="0.2">
      <c r="A12" s="7"/>
      <c r="B12" s="7"/>
      <c r="C12" s="8"/>
      <c r="D12" s="8"/>
      <c r="E12" s="8"/>
      <c r="F12" s="8"/>
      <c r="G12" s="8"/>
      <c r="H12" s="8"/>
      <c r="I12" s="8"/>
    </row>
    <row r="13" spans="1:9" ht="18.5" customHeight="1" x14ac:dyDescent="0.2">
      <c r="A13" s="7" t="s">
        <v>43</v>
      </c>
      <c r="B13" s="7"/>
      <c r="C13" s="8"/>
      <c r="D13" s="8"/>
      <c r="E13" s="8"/>
      <c r="F13" s="8"/>
      <c r="G13" s="8"/>
      <c r="H13" s="8"/>
      <c r="I13" s="8"/>
    </row>
    <row r="14" spans="1:9" ht="47.5" customHeight="1" x14ac:dyDescent="0.2">
      <c r="A14" s="84" t="s">
        <v>88</v>
      </c>
      <c r="B14" s="82" t="s">
        <v>28</v>
      </c>
      <c r="C14" s="8"/>
      <c r="D14" s="8"/>
      <c r="E14" s="8"/>
      <c r="F14" s="8"/>
      <c r="G14" s="8"/>
      <c r="H14" s="8"/>
      <c r="I14" s="8"/>
    </row>
    <row r="15" spans="1:9" ht="18.5" customHeight="1" thickBot="1" x14ac:dyDescent="0.25">
      <c r="A15" s="67"/>
      <c r="B15" s="81" t="s">
        <v>31</v>
      </c>
      <c r="C15" s="8"/>
      <c r="D15" s="8"/>
      <c r="E15" s="8"/>
      <c r="F15" s="8"/>
      <c r="G15" s="8"/>
      <c r="H15" s="8"/>
      <c r="I15" s="8"/>
    </row>
    <row r="16" spans="1:9" ht="18.5" customHeight="1" thickTop="1" x14ac:dyDescent="0.2">
      <c r="A16" s="77" t="s">
        <v>29</v>
      </c>
      <c r="B16" s="80">
        <v>8.3000000000000001E-4</v>
      </c>
      <c r="C16" s="8"/>
      <c r="D16" s="8"/>
      <c r="E16" s="8"/>
      <c r="F16" s="8"/>
      <c r="G16" s="8"/>
      <c r="H16" s="8"/>
      <c r="I16" s="8"/>
    </row>
    <row r="17" spans="1:10" ht="18.5" customHeight="1" x14ac:dyDescent="0.2">
      <c r="A17" s="78" t="s">
        <v>30</v>
      </c>
      <c r="B17" s="82"/>
      <c r="C17" s="8"/>
      <c r="D17" s="8"/>
      <c r="E17" s="8"/>
      <c r="F17" s="8"/>
      <c r="G17" s="8"/>
      <c r="H17" s="8"/>
      <c r="I17" s="8"/>
    </row>
    <row r="18" spans="1:10" ht="18.5" customHeight="1" thickBot="1" x14ac:dyDescent="0.25">
      <c r="A18" s="79" t="s">
        <v>74</v>
      </c>
      <c r="B18" s="83"/>
      <c r="C18" s="8"/>
      <c r="D18" s="8"/>
      <c r="E18" s="8"/>
      <c r="F18" s="8"/>
      <c r="G18" s="8"/>
      <c r="H18" s="8"/>
      <c r="I18" s="8"/>
    </row>
    <row r="19" spans="1:10" ht="18.5" customHeight="1" x14ac:dyDescent="0.2">
      <c r="A19" s="85" t="s">
        <v>75</v>
      </c>
      <c r="B19" s="86" t="s">
        <v>32</v>
      </c>
      <c r="C19" s="8"/>
      <c r="D19" s="8"/>
      <c r="E19" s="8"/>
      <c r="F19" s="8"/>
      <c r="G19" s="8"/>
      <c r="H19" s="8"/>
      <c r="I19" s="8"/>
    </row>
    <row r="20" spans="1:10" ht="18.5" customHeight="1" x14ac:dyDescent="0.2">
      <c r="A20" s="7"/>
      <c r="B20" s="7"/>
      <c r="C20" s="8"/>
      <c r="D20" s="8"/>
      <c r="E20" s="8"/>
      <c r="F20" s="8"/>
      <c r="G20" s="8"/>
      <c r="H20" s="8"/>
      <c r="I20" s="8"/>
    </row>
    <row r="21" spans="1:10" ht="18.5" customHeight="1" x14ac:dyDescent="0.2">
      <c r="B21" s="7"/>
      <c r="C21" s="8"/>
      <c r="D21" s="8"/>
      <c r="E21" s="8"/>
      <c r="F21" s="8"/>
      <c r="G21" s="8"/>
      <c r="H21" s="8"/>
      <c r="I21" s="8"/>
    </row>
    <row r="22" spans="1:10" ht="18.5" customHeight="1" x14ac:dyDescent="0.2">
      <c r="B22" s="7"/>
      <c r="C22" s="8"/>
      <c r="D22" s="8"/>
      <c r="E22" s="8"/>
      <c r="F22" s="8"/>
      <c r="G22" s="8"/>
      <c r="H22" s="8"/>
      <c r="I22" s="8"/>
    </row>
    <row r="23" spans="1:10" ht="18.5" customHeight="1" x14ac:dyDescent="0.2">
      <c r="A23" s="7" t="s">
        <v>65</v>
      </c>
      <c r="B23" s="7"/>
      <c r="C23" s="8"/>
      <c r="D23" s="8"/>
      <c r="E23" s="8"/>
      <c r="F23" s="8"/>
      <c r="G23" s="8"/>
      <c r="H23" s="8"/>
      <c r="I23" s="8"/>
    </row>
    <row r="24" spans="1:10" ht="18.5" customHeight="1" x14ac:dyDescent="0.2">
      <c r="A24" s="7"/>
      <c r="B24" s="7"/>
      <c r="C24" s="8"/>
      <c r="D24" s="8"/>
      <c r="E24" s="8"/>
      <c r="F24" s="8"/>
      <c r="G24" s="8"/>
      <c r="H24" s="8"/>
      <c r="I24" s="8"/>
    </row>
    <row r="25" spans="1:10" ht="18.5" customHeight="1" x14ac:dyDescent="0.2">
      <c r="A25" s="7" t="s">
        <v>36</v>
      </c>
      <c r="B25" s="7"/>
      <c r="C25" s="8"/>
      <c r="D25" s="8"/>
      <c r="E25" s="8"/>
      <c r="F25" s="8"/>
      <c r="G25" s="7" t="s">
        <v>37</v>
      </c>
      <c r="H25" s="8"/>
      <c r="I25" s="8"/>
    </row>
    <row r="27" spans="1:10" s="6" customFormat="1" ht="16" x14ac:dyDescent="0.2">
      <c r="A27" s="87" t="s">
        <v>2</v>
      </c>
      <c r="B27" s="88" t="s">
        <v>0</v>
      </c>
      <c r="C27" s="89" t="s">
        <v>27</v>
      </c>
      <c r="D27" s="91" t="s">
        <v>1</v>
      </c>
      <c r="G27" s="90" t="s">
        <v>2</v>
      </c>
      <c r="H27" s="88" t="s">
        <v>0</v>
      </c>
      <c r="I27" s="89" t="s">
        <v>27</v>
      </c>
      <c r="J27" s="91" t="s">
        <v>1</v>
      </c>
    </row>
    <row r="28" spans="1:10" ht="18" thickBot="1" x14ac:dyDescent="0.3">
      <c r="A28" s="43"/>
      <c r="B28" s="13" t="s">
        <v>3</v>
      </c>
      <c r="C28" s="12" t="s">
        <v>51</v>
      </c>
      <c r="D28" s="17" t="s">
        <v>54</v>
      </c>
      <c r="G28" s="16"/>
      <c r="H28" s="13" t="s">
        <v>3</v>
      </c>
      <c r="I28" s="12" t="s">
        <v>51</v>
      </c>
      <c r="J28" s="17" t="s">
        <v>54</v>
      </c>
    </row>
    <row r="29" spans="1:10" ht="16" thickTop="1" x14ac:dyDescent="0.2">
      <c r="A29" s="18" t="s">
        <v>4</v>
      </c>
      <c r="B29" s="31"/>
      <c r="C29" s="32"/>
      <c r="D29" s="33"/>
      <c r="G29" s="18" t="s">
        <v>4</v>
      </c>
      <c r="H29" s="31"/>
      <c r="I29" s="32"/>
      <c r="J29" s="33"/>
    </row>
    <row r="30" spans="1:10" x14ac:dyDescent="0.2">
      <c r="A30" s="20" t="s">
        <v>5</v>
      </c>
      <c r="B30" s="34"/>
      <c r="C30" s="35"/>
      <c r="D30" s="36"/>
      <c r="G30" s="20" t="s">
        <v>5</v>
      </c>
      <c r="H30" s="34"/>
      <c r="I30" s="35"/>
      <c r="J30" s="36"/>
    </row>
    <row r="31" spans="1:10" x14ac:dyDescent="0.2">
      <c r="A31" s="20" t="s">
        <v>6</v>
      </c>
      <c r="B31" s="34"/>
      <c r="C31" s="35"/>
      <c r="D31" s="36"/>
      <c r="G31" s="20" t="s">
        <v>6</v>
      </c>
      <c r="H31" s="34"/>
      <c r="I31" s="35"/>
      <c r="J31" s="36"/>
    </row>
    <row r="32" spans="1:10" ht="16" thickBot="1" x14ac:dyDescent="0.25">
      <c r="A32" s="22" t="s">
        <v>7</v>
      </c>
      <c r="B32" s="37"/>
      <c r="C32" s="38"/>
      <c r="D32" s="39"/>
      <c r="G32" s="22" t="s">
        <v>7</v>
      </c>
      <c r="H32" s="37"/>
      <c r="I32" s="38"/>
      <c r="J32" s="39"/>
    </row>
    <row r="33" spans="1:10" ht="17" x14ac:dyDescent="0.25">
      <c r="B33" s="25"/>
      <c r="C33" s="26" t="s">
        <v>52</v>
      </c>
      <c r="D33" s="40">
        <f>SUM(D29:D32)</f>
        <v>0</v>
      </c>
      <c r="H33" s="25"/>
      <c r="I33" s="26" t="s">
        <v>52</v>
      </c>
      <c r="J33" s="40">
        <f>SUM(J29:J32)</f>
        <v>0</v>
      </c>
    </row>
    <row r="34" spans="1:10" ht="17" x14ac:dyDescent="0.25">
      <c r="B34" s="27"/>
      <c r="C34" s="10" t="s">
        <v>53</v>
      </c>
      <c r="D34" s="41"/>
      <c r="H34" s="27"/>
      <c r="I34" s="10" t="s">
        <v>53</v>
      </c>
      <c r="J34" s="41"/>
    </row>
    <row r="35" spans="1:10" ht="16" thickBot="1" x14ac:dyDescent="0.25">
      <c r="B35" s="28"/>
      <c r="C35" s="29" t="s">
        <v>35</v>
      </c>
      <c r="D35" s="42"/>
      <c r="H35" s="28"/>
      <c r="I35" s="29" t="s">
        <v>35</v>
      </c>
      <c r="J35" s="42"/>
    </row>
    <row r="37" spans="1:10" ht="16" x14ac:dyDescent="0.2">
      <c r="A37" s="92" t="s">
        <v>34</v>
      </c>
      <c r="B37" s="93"/>
      <c r="C37" s="93"/>
      <c r="D37" s="94"/>
      <c r="G37" s="92" t="s">
        <v>34</v>
      </c>
      <c r="H37" s="93"/>
      <c r="I37" s="93"/>
      <c r="J37" s="94"/>
    </row>
    <row r="40" spans="1:10" ht="17" x14ac:dyDescent="0.2">
      <c r="A40" s="87" t="s">
        <v>44</v>
      </c>
      <c r="B40" s="88" t="s">
        <v>48</v>
      </c>
      <c r="C40" s="89" t="s">
        <v>49</v>
      </c>
      <c r="D40" s="91" t="s">
        <v>50</v>
      </c>
      <c r="G40" s="87" t="s">
        <v>44</v>
      </c>
      <c r="H40" s="88" t="s">
        <v>48</v>
      </c>
      <c r="I40" s="89" t="s">
        <v>49</v>
      </c>
      <c r="J40" s="91" t="s">
        <v>50</v>
      </c>
    </row>
    <row r="41" spans="1:10" ht="18" thickBot="1" x14ac:dyDescent="0.3">
      <c r="A41" s="44"/>
      <c r="B41" s="13" t="s">
        <v>3</v>
      </c>
      <c r="C41" s="12" t="s">
        <v>55</v>
      </c>
      <c r="D41" s="17" t="s">
        <v>56</v>
      </c>
      <c r="G41" s="44"/>
      <c r="H41" s="13" t="s">
        <v>3</v>
      </c>
      <c r="I41" s="12" t="s">
        <v>55</v>
      </c>
      <c r="J41" s="17" t="s">
        <v>56</v>
      </c>
    </row>
    <row r="42" spans="1:10" ht="16" thickTop="1" x14ac:dyDescent="0.2">
      <c r="A42" s="18" t="s">
        <v>45</v>
      </c>
      <c r="B42" s="31"/>
      <c r="C42" s="32"/>
      <c r="D42" s="33"/>
      <c r="G42" s="18" t="s">
        <v>45</v>
      </c>
      <c r="H42" s="31"/>
      <c r="I42" s="32"/>
      <c r="J42" s="33"/>
    </row>
    <row r="43" spans="1:10" x14ac:dyDescent="0.2">
      <c r="A43" s="20" t="s">
        <v>46</v>
      </c>
      <c r="B43" s="34"/>
      <c r="C43" s="35"/>
      <c r="D43" s="36"/>
      <c r="G43" s="20" t="s">
        <v>46</v>
      </c>
      <c r="H43" s="34"/>
      <c r="I43" s="35"/>
      <c r="J43" s="36"/>
    </row>
    <row r="44" spans="1:10" ht="16" thickBot="1" x14ac:dyDescent="0.25">
      <c r="A44" s="20" t="s">
        <v>47</v>
      </c>
      <c r="B44" s="34"/>
      <c r="C44" s="35"/>
      <c r="D44" s="36"/>
      <c r="G44" s="20" t="s">
        <v>47</v>
      </c>
      <c r="H44" s="34"/>
      <c r="I44" s="35"/>
      <c r="J44" s="36"/>
    </row>
    <row r="45" spans="1:10" ht="17" x14ac:dyDescent="0.25">
      <c r="B45" s="25"/>
      <c r="C45" s="26" t="s">
        <v>57</v>
      </c>
      <c r="D45" s="40">
        <f>SUM(D42:D44)</f>
        <v>0</v>
      </c>
      <c r="H45" s="25"/>
      <c r="I45" s="26" t="s">
        <v>57</v>
      </c>
      <c r="J45" s="40">
        <f>SUM(J42:J44)</f>
        <v>0</v>
      </c>
    </row>
    <row r="46" spans="1:10" ht="17" x14ac:dyDescent="0.25">
      <c r="B46" s="27"/>
      <c r="C46" s="10" t="s">
        <v>58</v>
      </c>
      <c r="D46" s="41"/>
      <c r="H46" s="27"/>
      <c r="I46" s="10" t="s">
        <v>58</v>
      </c>
      <c r="J46" s="41"/>
    </row>
    <row r="47" spans="1:10" ht="16" thickBot="1" x14ac:dyDescent="0.25">
      <c r="B47" s="28"/>
      <c r="C47" s="29" t="s">
        <v>35</v>
      </c>
      <c r="D47" s="42"/>
      <c r="H47" s="28"/>
      <c r="I47" s="29" t="s">
        <v>35</v>
      </c>
      <c r="J47" s="42"/>
    </row>
    <row r="49" spans="1:10" ht="16" x14ac:dyDescent="0.2">
      <c r="A49" s="92" t="s">
        <v>34</v>
      </c>
      <c r="B49" s="93"/>
      <c r="C49" s="93"/>
      <c r="D49" s="94"/>
      <c r="G49" s="92" t="s">
        <v>34</v>
      </c>
      <c r="H49" s="93"/>
      <c r="I49" s="93"/>
      <c r="J49" s="94"/>
    </row>
    <row r="51" spans="1:10" ht="19" x14ac:dyDescent="0.2">
      <c r="A51" s="45" t="s">
        <v>66</v>
      </c>
    </row>
    <row r="52" spans="1:10" ht="18" x14ac:dyDescent="0.2">
      <c r="A52" s="45"/>
    </row>
    <row r="53" spans="1:10" ht="16" thickBot="1" x14ac:dyDescent="0.25">
      <c r="A53" s="95" t="s">
        <v>88</v>
      </c>
      <c r="B53" s="96" t="s">
        <v>89</v>
      </c>
      <c r="C53" s="97" t="s">
        <v>9</v>
      </c>
      <c r="D53" s="98" t="s">
        <v>64</v>
      </c>
    </row>
    <row r="54" spans="1:10" ht="17" thickTop="1" x14ac:dyDescent="0.2">
      <c r="A54" s="47" t="s">
        <v>2</v>
      </c>
      <c r="B54" s="46" t="s">
        <v>61</v>
      </c>
      <c r="C54" s="11"/>
      <c r="D54" s="19"/>
    </row>
    <row r="55" spans="1:10" ht="16" x14ac:dyDescent="0.2">
      <c r="A55" s="48" t="s">
        <v>44</v>
      </c>
      <c r="B55" s="15" t="s">
        <v>61</v>
      </c>
      <c r="C55" s="14"/>
      <c r="D55" s="21"/>
    </row>
    <row r="56" spans="1:10" ht="17" thickBot="1" x14ac:dyDescent="0.25">
      <c r="A56" s="49" t="s">
        <v>62</v>
      </c>
      <c r="B56" s="50" t="s">
        <v>63</v>
      </c>
      <c r="C56" s="23"/>
      <c r="D56" s="24"/>
    </row>
    <row r="58" spans="1:10" ht="16" x14ac:dyDescent="0.2">
      <c r="A58" s="15" t="s">
        <v>59</v>
      </c>
      <c r="B58" s="100"/>
      <c r="C58" s="51"/>
      <c r="D58" s="52"/>
    </row>
    <row r="59" spans="1:10" x14ac:dyDescent="0.2">
      <c r="A59" s="99" t="s">
        <v>60</v>
      </c>
      <c r="B59" s="101"/>
      <c r="C59" s="93"/>
      <c r="D59" s="94"/>
    </row>
  </sheetData>
  <pageMargins left="0.7" right="0.7" top="0.75" bottom="0.75" header="0.3" footer="0.3"/>
  <pageSetup orientation="portrait" horizontalDpi="1200" verticalDpi="1200" r:id="rId1"/>
  <tableParts count="8">
    <tablePart r:id="rId2"/>
    <tablePart r:id="rId3"/>
    <tablePart r:id="rId4"/>
    <tablePart r:id="rId5"/>
    <tablePart r:id="rId6"/>
    <tablePart r:id="rId7"/>
    <tablePart r:id="rId8"/>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
  <sheetViews>
    <sheetView tabSelected="1" topLeftCell="A5" workbookViewId="0">
      <selection activeCell="B14" sqref="B14"/>
    </sheetView>
  </sheetViews>
  <sheetFormatPr baseColWidth="10" defaultColWidth="8.83203125" defaultRowHeight="15" x14ac:dyDescent="0.2"/>
  <cols>
    <col min="1" max="1" width="35.5" customWidth="1"/>
    <col min="2" max="2" width="19.1640625" customWidth="1"/>
    <col min="3" max="3" width="10.5" customWidth="1"/>
    <col min="4" max="4" width="12.83203125" customWidth="1"/>
  </cols>
  <sheetData>
    <row r="1" spans="1:4" x14ac:dyDescent="0.2">
      <c r="A1" t="s">
        <v>76</v>
      </c>
    </row>
    <row r="6" spans="1:4" x14ac:dyDescent="0.2">
      <c r="A6" t="s">
        <v>88</v>
      </c>
      <c r="B6" t="s">
        <v>89</v>
      </c>
      <c r="C6" t="s">
        <v>77</v>
      </c>
      <c r="D6" t="s">
        <v>78</v>
      </c>
    </row>
    <row r="7" spans="1:4" x14ac:dyDescent="0.2">
      <c r="A7" t="s">
        <v>82</v>
      </c>
      <c r="B7" t="s">
        <v>84</v>
      </c>
      <c r="C7">
        <f>'Impact Assessment'!D33</f>
        <v>0</v>
      </c>
      <c r="D7">
        <f>'Impact Assessment'!J33</f>
        <v>0</v>
      </c>
    </row>
    <row r="8" spans="1:4" x14ac:dyDescent="0.2">
      <c r="A8" t="s">
        <v>83</v>
      </c>
      <c r="B8" t="s">
        <v>79</v>
      </c>
      <c r="C8">
        <f>'Impact Assessment'!D35</f>
        <v>0</v>
      </c>
      <c r="D8">
        <f>'Impact Assessment'!J35</f>
        <v>0</v>
      </c>
    </row>
    <row r="9" spans="1:4" x14ac:dyDescent="0.2">
      <c r="A9" t="s">
        <v>34</v>
      </c>
      <c r="C9">
        <f>'Impact Assessment'!B37</f>
        <v>0</v>
      </c>
      <c r="D9">
        <f>'Impact Assessment'!H37</f>
        <v>0</v>
      </c>
    </row>
    <row r="11" spans="1:4" x14ac:dyDescent="0.2">
      <c r="A11" t="s">
        <v>80</v>
      </c>
      <c r="C11">
        <f>'Impact Assessment'!D45</f>
        <v>0</v>
      </c>
      <c r="D11">
        <f>'Impact Assessment'!J45</f>
        <v>0</v>
      </c>
    </row>
    <row r="12" spans="1:4" x14ac:dyDescent="0.2">
      <c r="A12" t="s">
        <v>81</v>
      </c>
      <c r="B12" t="s">
        <v>79</v>
      </c>
      <c r="C12">
        <f>'Impact Assessment'!D47</f>
        <v>0</v>
      </c>
      <c r="D12">
        <f>'Impact Assessment'!J47</f>
        <v>0</v>
      </c>
    </row>
    <row r="13" spans="1:4" x14ac:dyDescent="0.2">
      <c r="A13" t="s">
        <v>34</v>
      </c>
      <c r="C13">
        <f>'Impact Assessment'!B49</f>
        <v>0</v>
      </c>
      <c r="D13">
        <f>'Impact Assessment'!H49</f>
        <v>0</v>
      </c>
    </row>
    <row r="15" spans="1:4" x14ac:dyDescent="0.2">
      <c r="A15" t="s">
        <v>85</v>
      </c>
      <c r="B15" t="s">
        <v>79</v>
      </c>
      <c r="C15">
        <f>'Impact Assessment'!C56</f>
        <v>0</v>
      </c>
      <c r="D15">
        <f>'Impact Assessment'!D56</f>
        <v>0</v>
      </c>
    </row>
    <row r="16" spans="1:4" x14ac:dyDescent="0.2">
      <c r="A16" t="str">
        <f>'Impact Assessment'!A58</f>
        <v xml:space="preserve">Best scenario: </v>
      </c>
      <c r="C16">
        <f>'Impact Assessment'!B58</f>
        <v>0</v>
      </c>
    </row>
    <row r="17" spans="1:3" x14ac:dyDescent="0.2">
      <c r="A17" t="str">
        <f>'Impact Assessment'!A59</f>
        <v>Most contributing category to total DALY</v>
      </c>
      <c r="C17">
        <f>'Impact Assessment'!B59</f>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Directions</vt:lpstr>
      <vt:lpstr>Impact Assessment</vt:lpstr>
      <vt:lpstr>Calculations</vt:lpstr>
    </vt:vector>
  </TitlesOfParts>
  <Company>University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Olivier Jolliet</dc:creator>
  <cp:lastModifiedBy>Microsoft Office User</cp:lastModifiedBy>
  <dcterms:created xsi:type="dcterms:W3CDTF">2018-10-19T19:46:02Z</dcterms:created>
  <dcterms:modified xsi:type="dcterms:W3CDTF">2022-03-10T17:26:59Z</dcterms:modified>
</cp:coreProperties>
</file>