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x Sync\Jolliet\Teaching\EHS 672 On-line master\Material for AVI\Week 2\"/>
    </mc:Choice>
  </mc:AlternateContent>
  <bookViews>
    <workbookView xWindow="0" yWindow="0" windowWidth="28800" windowHeight="12216"/>
  </bookViews>
  <sheets>
    <sheet name="Find a value in a list" sheetId="2" r:id="rId1"/>
    <sheet name="Find a value in a list filled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2" l="1"/>
  <c r="I16" i="2"/>
  <c r="I15" i="2"/>
  <c r="I7" i="2"/>
  <c r="I6" i="2"/>
  <c r="I5" i="2"/>
  <c r="I20" i="2"/>
  <c r="I19" i="2"/>
  <c r="I18" i="2"/>
  <c r="I10" i="2"/>
  <c r="I9" i="2"/>
  <c r="I8" i="2"/>
  <c r="I20" i="4"/>
  <c r="I19" i="4"/>
  <c r="I18" i="4"/>
  <c r="I17" i="4"/>
  <c r="I16" i="4"/>
  <c r="I15" i="4"/>
  <c r="I21" i="4" s="1"/>
  <c r="I10" i="4"/>
  <c r="I9" i="4"/>
  <c r="I8" i="4"/>
  <c r="I7" i="4"/>
  <c r="I6" i="4"/>
  <c r="I5" i="4"/>
  <c r="H20" i="4"/>
  <c r="H19" i="4"/>
  <c r="H18" i="4"/>
  <c r="H17" i="4"/>
  <c r="H16" i="4"/>
  <c r="H15" i="4"/>
  <c r="H6" i="4"/>
  <c r="H7" i="4"/>
  <c r="H8" i="4"/>
  <c r="H9" i="4"/>
  <c r="H10" i="4"/>
  <c r="H5" i="4"/>
  <c r="D5" i="4"/>
  <c r="I21" i="2" l="1"/>
  <c r="I11" i="2"/>
  <c r="I11" i="4"/>
</calcChain>
</file>

<file path=xl/sharedStrings.xml><?xml version="1.0" encoding="utf-8"?>
<sst xmlns="http://schemas.openxmlformats.org/spreadsheetml/2006/main" count="108" uniqueCount="38">
  <si>
    <t>Total</t>
  </si>
  <si>
    <t>Ingredients</t>
  </si>
  <si>
    <t>Cheese, cheddar</t>
  </si>
  <si>
    <t>Refried beans</t>
  </si>
  <si>
    <t>Added sodium</t>
  </si>
  <si>
    <t>Tortilla</t>
  </si>
  <si>
    <t>Rice, white</t>
  </si>
  <si>
    <t>Ground beef</t>
  </si>
  <si>
    <t>Tortilla, whole wheat</t>
  </si>
  <si>
    <t>Rice, brown</t>
  </si>
  <si>
    <t>Vegetable combination (green beans, broccoli, onions, mushrooms)</t>
  </si>
  <si>
    <t>Use of Index-match to find automatically a cell in a range</t>
  </si>
  <si>
    <t>The combination of the Index and match function in excel is a very powerful way to automatically find values in a reference table, that is not ranked in the same order than the table you are using</t>
  </si>
  <si>
    <t>It is more reliable than the Vlookup or Hlookup functions which do not adapt automatically if you e.g. insert a column in your reference table afterwards</t>
  </si>
  <si>
    <r>
      <t>Index($value_range,n) return the value of the n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cell in $value_range (that must be blocked with $ since you want to keep it fixed when you copy)</t>
    </r>
  </si>
  <si>
    <t xml:space="preserve">Step 2: identify the rank n of this nth cell in the reference table. </t>
  </si>
  <si>
    <t>This is where we use the match function</t>
  </si>
  <si>
    <t>MATCH(lookup_value, $lookup_range,0) returns the relative position of the lookup_value in the $lookup_range</t>
  </si>
  <si>
    <t>Again, you need to block the lookup range with $ so that it does not cheng when you copy it</t>
  </si>
  <si>
    <t xml:space="preserve">You also add " ,0) " at the end of the match function that indicates that you want an exact match </t>
  </si>
  <si>
    <t>When you copy this cell o the other of column D, you get automatically the right values --&gt; saves a lot of times and mistakes with larger tables!</t>
  </si>
  <si>
    <t>and in addition</t>
  </si>
  <si>
    <t>Index can also work with an array instead of a single column range, then using two match function, one to identify the column and one to identify the row</t>
  </si>
  <si>
    <t>Conversion factor [g/kg]</t>
  </si>
  <si>
    <t>Food item</t>
  </si>
  <si>
    <t>Tortilla, Non specific</t>
  </si>
  <si>
    <t>Step 1: return the value at a certain position in a reference table</t>
  </si>
  <si>
    <t>This is used in e.g. cell C7 of the nutritional value , but no need to copy these</t>
  </si>
  <si>
    <t xml:space="preserve">Loss-Adjusted Carbon footprint
</t>
  </si>
  <si>
    <t>carbon footprint from ingredients</t>
  </si>
  <si>
    <r>
      <t>[kg CO2eq/kg</t>
    </r>
    <r>
      <rPr>
        <b/>
        <vertAlign val="subscript"/>
        <sz val="11"/>
        <color theme="1"/>
        <rFont val="Calibri"/>
        <family val="2"/>
        <scheme val="minor"/>
      </rPr>
      <t>ingredient]</t>
    </r>
  </si>
  <si>
    <t>Meat Burrito [140g/serving]</t>
  </si>
  <si>
    <r>
      <t>[g</t>
    </r>
    <r>
      <rPr>
        <b/>
        <vertAlign val="subscript"/>
        <sz val="11"/>
        <color theme="1"/>
        <rFont val="Calibri"/>
        <family val="2"/>
        <scheme val="minor"/>
      </rPr>
      <t>ingredient</t>
    </r>
    <r>
      <rPr>
        <b/>
        <sz val="11"/>
        <color theme="1"/>
        <rFont val="Calibri"/>
        <family val="2"/>
        <scheme val="minor"/>
      </rPr>
      <t>/serving]</t>
    </r>
  </si>
  <si>
    <r>
      <t>[kg</t>
    </r>
    <r>
      <rPr>
        <b/>
        <vertAlign val="subscript"/>
        <sz val="11"/>
        <color theme="1"/>
        <rFont val="Calibri"/>
        <family val="2"/>
        <scheme val="minor"/>
      </rPr>
      <t>CO2 eq</t>
    </r>
    <r>
      <rPr>
        <b/>
        <sz val="11"/>
        <color theme="1"/>
        <rFont val="Calibri"/>
        <family val="2"/>
        <scheme val="minor"/>
      </rPr>
      <t>/kg</t>
    </r>
    <r>
      <rPr>
        <b/>
        <vertAlign val="subscript"/>
        <sz val="11"/>
        <color theme="1"/>
        <rFont val="Calibri"/>
        <family val="2"/>
        <scheme val="minor"/>
      </rPr>
      <t>ingredient</t>
    </r>
    <r>
      <rPr>
        <b/>
        <sz val="11"/>
        <color theme="1"/>
        <rFont val="Calibri"/>
        <family val="2"/>
        <scheme val="minor"/>
      </rPr>
      <t>]</t>
    </r>
  </si>
  <si>
    <r>
      <t>[kg</t>
    </r>
    <r>
      <rPr>
        <b/>
        <vertAlign val="subscript"/>
        <sz val="11"/>
        <color theme="1"/>
        <rFont val="Calibri"/>
        <family val="2"/>
        <scheme val="minor"/>
      </rPr>
      <t>CO2 eq</t>
    </r>
    <r>
      <rPr>
        <b/>
        <sz val="11"/>
        <color theme="1"/>
        <rFont val="Calibri"/>
        <family val="2"/>
        <scheme val="minor"/>
      </rPr>
      <t>/serving]</t>
    </r>
  </si>
  <si>
    <t>Veggie Burrito [140g/serving]</t>
  </si>
  <si>
    <t>Thus =INDEX($B$5:B$14,3) returns the 3rd value in that table , which is 10.33</t>
  </si>
  <si>
    <t>Carbon footprint from 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</si>
</sst>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2" fontId="0" fillId="0" borderId="8" xfId="0" applyNumberFormat="1" applyBorder="1"/>
    <xf numFmtId="0" fontId="0" fillId="0" borderId="9" xfId="0" applyBorder="1"/>
    <xf numFmtId="2" fontId="0" fillId="0" borderId="10" xfId="0" applyNumberFormat="1" applyBorder="1"/>
    <xf numFmtId="0" fontId="2" fillId="0" borderId="2" xfId="0" applyFont="1" applyBorder="1"/>
    <xf numFmtId="2" fontId="0" fillId="0" borderId="11" xfId="0" applyNumberFormat="1" applyBorder="1"/>
    <xf numFmtId="2" fontId="0" fillId="0" borderId="4" xfId="0" applyNumberFormat="1" applyBorder="1"/>
    <xf numFmtId="2" fontId="0" fillId="0" borderId="0" xfId="0" applyNumberFormat="1"/>
    <xf numFmtId="0" fontId="2" fillId="2" borderId="4" xfId="0" applyFont="1" applyFill="1" applyBorder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2" fontId="0" fillId="0" borderId="6" xfId="1" applyNumberFormat="1" applyFont="1" applyBorder="1"/>
    <xf numFmtId="0" fontId="6" fillId="0" borderId="13" xfId="0" applyFont="1" applyFill="1" applyBorder="1" applyAlignment="1">
      <alignment wrapText="1"/>
    </xf>
    <xf numFmtId="2" fontId="0" fillId="0" borderId="14" xfId="0" applyNumberFormat="1" applyBorder="1" applyAlignment="1">
      <alignment horizontal="center" vertical="center"/>
    </xf>
    <xf numFmtId="0" fontId="6" fillId="0" borderId="15" xfId="0" applyFont="1" applyFill="1" applyBorder="1" applyAlignment="1">
      <alignment wrapText="1"/>
    </xf>
    <xf numFmtId="2" fontId="0" fillId="0" borderId="16" xfId="0" applyNumberFormat="1" applyBorder="1" applyAlignment="1">
      <alignment horizontal="center" vertical="center"/>
    </xf>
    <xf numFmtId="0" fontId="6" fillId="0" borderId="17" xfId="0" applyFont="1" applyFill="1" applyBorder="1" applyAlignment="1">
      <alignment wrapText="1"/>
    </xf>
    <xf numFmtId="2" fontId="0" fillId="0" borderId="18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wrapText="1"/>
    </xf>
    <xf numFmtId="0" fontId="2" fillId="3" borderId="19" xfId="0" applyFont="1" applyFill="1" applyBorder="1"/>
    <xf numFmtId="0" fontId="0" fillId="3" borderId="20" xfId="0" applyFill="1" applyBorder="1"/>
    <xf numFmtId="0" fontId="2" fillId="3" borderId="2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2" fontId="0" fillId="0" borderId="0" xfId="0" applyNumberFormat="1" applyBorder="1"/>
    <xf numFmtId="2" fontId="4" fillId="0" borderId="0" xfId="0" applyNumberFormat="1" applyFont="1" applyFill="1" applyBorder="1"/>
    <xf numFmtId="2" fontId="0" fillId="4" borderId="6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164" fontId="0" fillId="0" borderId="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4" fillId="0" borderId="12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B21" sqref="B21"/>
    </sheetView>
  </sheetViews>
  <sheetFormatPr defaultRowHeight="14.4" x14ac:dyDescent="0.3"/>
  <cols>
    <col min="1" max="2" width="30.5546875" customWidth="1"/>
    <col min="4" max="4" width="22.88671875" customWidth="1"/>
    <col min="6" max="6" width="22.33203125" customWidth="1"/>
    <col min="7" max="7" width="17" customWidth="1"/>
    <col min="8" max="8" width="23.109375" style="1" customWidth="1"/>
    <col min="9" max="9" width="23.109375" customWidth="1"/>
  </cols>
  <sheetData>
    <row r="1" spans="1:9" x14ac:dyDescent="0.3">
      <c r="A1" s="13" t="s">
        <v>37</v>
      </c>
      <c r="F1" s="27" t="s">
        <v>23</v>
      </c>
      <c r="G1" s="27">
        <v>1000</v>
      </c>
    </row>
    <row r="2" spans="1:9" ht="15" thickBot="1" x14ac:dyDescent="0.35"/>
    <row r="3" spans="1:9" ht="34.200000000000003" customHeight="1" thickBot="1" x14ac:dyDescent="0.35">
      <c r="A3" s="24" t="s">
        <v>24</v>
      </c>
      <c r="B3" s="23" t="s">
        <v>28</v>
      </c>
      <c r="F3" s="12" t="s">
        <v>31</v>
      </c>
    </row>
    <row r="4" spans="1:9" ht="16.2" thickBot="1" x14ac:dyDescent="0.4">
      <c r="A4" s="25"/>
      <c r="B4" s="26" t="s">
        <v>30</v>
      </c>
      <c r="F4" s="12" t="s">
        <v>1</v>
      </c>
      <c r="G4" s="15" t="s">
        <v>32</v>
      </c>
      <c r="H4" s="14" t="s">
        <v>33</v>
      </c>
      <c r="I4" s="2" t="s">
        <v>34</v>
      </c>
    </row>
    <row r="5" spans="1:9" x14ac:dyDescent="0.3">
      <c r="A5" s="17" t="s">
        <v>5</v>
      </c>
      <c r="B5" s="18">
        <v>0.96411439230794604</v>
      </c>
      <c r="F5" s="3" t="s">
        <v>2</v>
      </c>
      <c r="G5" s="16">
        <v>10</v>
      </c>
      <c r="H5" s="31"/>
      <c r="I5" s="36">
        <f>G5*H5/$G$1</f>
        <v>0</v>
      </c>
    </row>
    <row r="6" spans="1:9" x14ac:dyDescent="0.3">
      <c r="A6" s="17" t="s">
        <v>3</v>
      </c>
      <c r="B6" s="18">
        <v>0.23783443756545733</v>
      </c>
      <c r="F6" s="4" t="s">
        <v>3</v>
      </c>
      <c r="G6" s="5">
        <v>20</v>
      </c>
      <c r="H6" s="32"/>
      <c r="I6" s="37">
        <f t="shared" ref="I6:I10" si="0">G6*H6/$G$1</f>
        <v>0</v>
      </c>
    </row>
    <row r="7" spans="1:9" x14ac:dyDescent="0.3">
      <c r="A7" s="21" t="s">
        <v>2</v>
      </c>
      <c r="B7" s="22">
        <v>10.330300641753979</v>
      </c>
      <c r="F7" s="4" t="s">
        <v>4</v>
      </c>
      <c r="G7" s="5">
        <v>1</v>
      </c>
      <c r="H7" s="32"/>
      <c r="I7" s="37">
        <f t="shared" si="0"/>
        <v>0</v>
      </c>
    </row>
    <row r="8" spans="1:9" x14ac:dyDescent="0.3">
      <c r="A8" s="17" t="s">
        <v>6</v>
      </c>
      <c r="B8" s="18">
        <v>7.7666712895163137</v>
      </c>
      <c r="F8" s="4" t="s">
        <v>5</v>
      </c>
      <c r="G8" s="5">
        <v>50</v>
      </c>
      <c r="H8" s="32"/>
      <c r="I8" s="37">
        <f t="shared" si="0"/>
        <v>0</v>
      </c>
    </row>
    <row r="9" spans="1:9" x14ac:dyDescent="0.3">
      <c r="A9" s="17" t="s">
        <v>4</v>
      </c>
      <c r="B9" s="18">
        <v>0.28905884137545101</v>
      </c>
      <c r="F9" s="4" t="s">
        <v>6</v>
      </c>
      <c r="G9" s="5">
        <v>20</v>
      </c>
      <c r="H9" s="32"/>
      <c r="I9" s="37">
        <f t="shared" si="0"/>
        <v>0</v>
      </c>
    </row>
    <row r="10" spans="1:9" ht="15" thickBot="1" x14ac:dyDescent="0.35">
      <c r="A10" s="17" t="s">
        <v>7</v>
      </c>
      <c r="B10" s="18">
        <v>30.158719699798656</v>
      </c>
      <c r="F10" s="6" t="s">
        <v>7</v>
      </c>
      <c r="G10" s="7">
        <v>39</v>
      </c>
      <c r="H10" s="33"/>
      <c r="I10" s="38">
        <f t="shared" si="0"/>
        <v>0</v>
      </c>
    </row>
    <row r="11" spans="1:9" ht="15" thickBot="1" x14ac:dyDescent="0.35">
      <c r="A11" s="17" t="s">
        <v>9</v>
      </c>
      <c r="B11" s="18">
        <v>6.0214403409881427</v>
      </c>
      <c r="F11" s="8" t="s">
        <v>0</v>
      </c>
      <c r="G11" s="10">
        <v>140</v>
      </c>
      <c r="H11" s="34"/>
      <c r="I11" s="39">
        <f>SUM(I5:I10)</f>
        <v>0</v>
      </c>
    </row>
    <row r="12" spans="1:9" ht="15" thickBot="1" x14ac:dyDescent="0.35">
      <c r="A12" s="17" t="s">
        <v>8</v>
      </c>
      <c r="B12" s="18">
        <v>0.84230776340022206</v>
      </c>
      <c r="G12" s="11"/>
    </row>
    <row r="13" spans="1:9" ht="29.4" thickBot="1" x14ac:dyDescent="0.35">
      <c r="A13" s="17" t="s">
        <v>25</v>
      </c>
      <c r="B13" s="18">
        <v>1.6843266014510929</v>
      </c>
      <c r="F13" s="12" t="s">
        <v>35</v>
      </c>
    </row>
    <row r="14" spans="1:9" ht="30" thickBot="1" x14ac:dyDescent="0.4">
      <c r="A14" s="19" t="s">
        <v>10</v>
      </c>
      <c r="B14" s="20">
        <v>0.90231223302123653</v>
      </c>
      <c r="F14" s="12" t="s">
        <v>1</v>
      </c>
      <c r="G14" s="15" t="s">
        <v>32</v>
      </c>
      <c r="H14" s="14" t="s">
        <v>33</v>
      </c>
      <c r="I14" s="2" t="s">
        <v>34</v>
      </c>
    </row>
    <row r="15" spans="1:9" x14ac:dyDescent="0.3">
      <c r="F15" s="3" t="s">
        <v>2</v>
      </c>
      <c r="G15" s="16">
        <v>10</v>
      </c>
      <c r="H15" s="31"/>
      <c r="I15" s="36">
        <f>G15*H15/$G$1</f>
        <v>0</v>
      </c>
    </row>
    <row r="16" spans="1:9" x14ac:dyDescent="0.3">
      <c r="F16" s="4" t="s">
        <v>3</v>
      </c>
      <c r="G16" s="5">
        <v>20</v>
      </c>
      <c r="H16" s="32"/>
      <c r="I16" s="37">
        <f t="shared" ref="I16:I20" si="1">G16*H16/$G$1</f>
        <v>0</v>
      </c>
    </row>
    <row r="17" spans="1:9" x14ac:dyDescent="0.3">
      <c r="F17" s="4" t="s">
        <v>4</v>
      </c>
      <c r="G17" s="5">
        <v>1</v>
      </c>
      <c r="H17" s="32"/>
      <c r="I17" s="37">
        <f t="shared" si="1"/>
        <v>0</v>
      </c>
    </row>
    <row r="18" spans="1:9" x14ac:dyDescent="0.3">
      <c r="F18" s="4" t="s">
        <v>8</v>
      </c>
      <c r="G18" s="5">
        <v>50</v>
      </c>
      <c r="H18" s="32"/>
      <c r="I18" s="37">
        <f t="shared" si="1"/>
        <v>0</v>
      </c>
    </row>
    <row r="19" spans="1:9" x14ac:dyDescent="0.3">
      <c r="F19" s="4" t="s">
        <v>9</v>
      </c>
      <c r="G19" s="5">
        <v>20</v>
      </c>
      <c r="H19" s="32"/>
      <c r="I19" s="37">
        <f t="shared" si="1"/>
        <v>0</v>
      </c>
    </row>
    <row r="20" spans="1:9" ht="15" thickBot="1" x14ac:dyDescent="0.35">
      <c r="F20" s="6" t="s">
        <v>10</v>
      </c>
      <c r="G20" s="7">
        <v>39</v>
      </c>
      <c r="H20" s="33"/>
      <c r="I20" s="38">
        <f t="shared" si="1"/>
        <v>0</v>
      </c>
    </row>
    <row r="21" spans="1:9" ht="15" thickBot="1" x14ac:dyDescent="0.35">
      <c r="F21" s="8" t="s">
        <v>0</v>
      </c>
      <c r="G21" s="9">
        <v>140</v>
      </c>
      <c r="H21" s="34"/>
      <c r="I21" s="39">
        <f>SUM(I15:I20)</f>
        <v>0</v>
      </c>
    </row>
    <row r="22" spans="1:9" x14ac:dyDescent="0.3">
      <c r="F22" s="28"/>
      <c r="G22" s="29"/>
      <c r="H22" s="29"/>
      <c r="I22" s="30"/>
    </row>
    <row r="23" spans="1:9" ht="78" customHeight="1" x14ac:dyDescent="0.3">
      <c r="H23" s="35"/>
    </row>
    <row r="24" spans="1:9" x14ac:dyDescent="0.3">
      <c r="A24" s="13" t="s">
        <v>11</v>
      </c>
    </row>
    <row r="25" spans="1:9" x14ac:dyDescent="0.3">
      <c r="A25" t="s">
        <v>12</v>
      </c>
    </row>
    <row r="26" spans="1:9" x14ac:dyDescent="0.3">
      <c r="A26" t="s">
        <v>13</v>
      </c>
    </row>
    <row r="28" spans="1:9" x14ac:dyDescent="0.3">
      <c r="A28" s="13" t="s">
        <v>26</v>
      </c>
    </row>
    <row r="29" spans="1:9" ht="16.2" x14ac:dyDescent="0.3">
      <c r="A29" t="s">
        <v>14</v>
      </c>
    </row>
    <row r="31" spans="1:9" x14ac:dyDescent="0.3">
      <c r="A31" s="13" t="s">
        <v>15</v>
      </c>
    </row>
    <row r="32" spans="1:9" x14ac:dyDescent="0.3">
      <c r="A32" t="s">
        <v>16</v>
      </c>
    </row>
    <row r="33" spans="1:1" x14ac:dyDescent="0.3">
      <c r="A33" t="s">
        <v>17</v>
      </c>
    </row>
    <row r="34" spans="1:1" x14ac:dyDescent="0.3">
      <c r="A34" t="s">
        <v>18</v>
      </c>
    </row>
    <row r="35" spans="1:1" x14ac:dyDescent="0.3">
      <c r="A35" t="s">
        <v>19</v>
      </c>
    </row>
    <row r="37" spans="1:1" x14ac:dyDescent="0.3">
      <c r="A37" t="s">
        <v>36</v>
      </c>
    </row>
    <row r="38" spans="1:1" x14ac:dyDescent="0.3">
      <c r="A38" t="s">
        <v>20</v>
      </c>
    </row>
    <row r="40" spans="1:1" x14ac:dyDescent="0.3">
      <c r="A40" s="13" t="s">
        <v>21</v>
      </c>
    </row>
    <row r="41" spans="1:1" x14ac:dyDescent="0.3">
      <c r="A41" t="s">
        <v>22</v>
      </c>
    </row>
    <row r="42" spans="1:1" x14ac:dyDescent="0.3">
      <c r="A4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D5" sqref="D5"/>
    </sheetView>
  </sheetViews>
  <sheetFormatPr defaultRowHeight="14.4" x14ac:dyDescent="0.3"/>
  <cols>
    <col min="1" max="2" width="30.5546875" customWidth="1"/>
    <col min="4" max="4" width="22.88671875" customWidth="1"/>
    <col min="6" max="6" width="22.33203125" customWidth="1"/>
    <col min="7" max="7" width="17" customWidth="1"/>
    <col min="8" max="8" width="23.109375" style="1" customWidth="1"/>
    <col min="9" max="9" width="23.109375" customWidth="1"/>
  </cols>
  <sheetData>
    <row r="1" spans="1:9" x14ac:dyDescent="0.3">
      <c r="A1" s="13" t="s">
        <v>29</v>
      </c>
      <c r="F1" s="27" t="s">
        <v>23</v>
      </c>
      <c r="G1" s="27">
        <v>1000</v>
      </c>
    </row>
    <row r="2" spans="1:9" ht="15" thickBot="1" x14ac:dyDescent="0.35"/>
    <row r="3" spans="1:9" ht="34.200000000000003" customHeight="1" thickBot="1" x14ac:dyDescent="0.35">
      <c r="A3" s="24" t="s">
        <v>24</v>
      </c>
      <c r="B3" s="23" t="s">
        <v>28</v>
      </c>
      <c r="F3" s="12" t="s">
        <v>31</v>
      </c>
    </row>
    <row r="4" spans="1:9" ht="16.2" thickBot="1" x14ac:dyDescent="0.4">
      <c r="A4" s="25"/>
      <c r="B4" s="26" t="s">
        <v>30</v>
      </c>
      <c r="F4" s="12" t="s">
        <v>1</v>
      </c>
      <c r="G4" s="15" t="s">
        <v>32</v>
      </c>
      <c r="H4" s="14" t="s">
        <v>33</v>
      </c>
      <c r="I4" s="2" t="s">
        <v>34</v>
      </c>
    </row>
    <row r="5" spans="1:9" x14ac:dyDescent="0.3">
      <c r="A5" s="17" t="s">
        <v>5</v>
      </c>
      <c r="B5" s="18">
        <v>0.96411439230794604</v>
      </c>
      <c r="D5">
        <f>MATCH(F5,$A$5:$A$14,0)</f>
        <v>3</v>
      </c>
      <c r="F5" s="3" t="s">
        <v>2</v>
      </c>
      <c r="G5" s="16">
        <v>10</v>
      </c>
      <c r="H5" s="31">
        <f>INDEX($B$5:$B$14,MATCH(F5,$A$5:$A$14,0))</f>
        <v>10.330300641753979</v>
      </c>
      <c r="I5" s="36">
        <f>G5*H5/$G$1</f>
        <v>0.1033030064175398</v>
      </c>
    </row>
    <row r="6" spans="1:9" x14ac:dyDescent="0.3">
      <c r="A6" s="17" t="s">
        <v>3</v>
      </c>
      <c r="B6" s="18">
        <v>0.23783443756545733</v>
      </c>
      <c r="F6" s="4" t="s">
        <v>3</v>
      </c>
      <c r="G6" s="5">
        <v>20</v>
      </c>
      <c r="H6" s="32">
        <f t="shared" ref="H6:H10" si="0">INDEX($B$5:$B$14,MATCH(F6,$A$5:$A$14,0))</f>
        <v>0.23783443756545733</v>
      </c>
      <c r="I6" s="37">
        <f t="shared" ref="I6:I10" si="1">G6*H6/$G$1</f>
        <v>4.7566887513091471E-3</v>
      </c>
    </row>
    <row r="7" spans="1:9" x14ac:dyDescent="0.3">
      <c r="A7" s="21" t="s">
        <v>2</v>
      </c>
      <c r="B7" s="22">
        <v>10.330300641753979</v>
      </c>
      <c r="F7" s="4" t="s">
        <v>4</v>
      </c>
      <c r="G7" s="5">
        <v>1</v>
      </c>
      <c r="H7" s="32">
        <f t="shared" si="0"/>
        <v>0.28905884137545101</v>
      </c>
      <c r="I7" s="37">
        <f t="shared" si="1"/>
        <v>2.89058841375451E-4</v>
      </c>
    </row>
    <row r="8" spans="1:9" x14ac:dyDescent="0.3">
      <c r="A8" s="17" t="s">
        <v>6</v>
      </c>
      <c r="B8" s="18">
        <v>7.7666712895163137</v>
      </c>
      <c r="F8" s="4" t="s">
        <v>5</v>
      </c>
      <c r="G8" s="5">
        <v>50</v>
      </c>
      <c r="H8" s="32">
        <f t="shared" si="0"/>
        <v>0.96411439230794604</v>
      </c>
      <c r="I8" s="37">
        <f t="shared" si="1"/>
        <v>4.8205719615397297E-2</v>
      </c>
    </row>
    <row r="9" spans="1:9" x14ac:dyDescent="0.3">
      <c r="A9" s="17" t="s">
        <v>4</v>
      </c>
      <c r="B9" s="18">
        <v>0.28905884137545101</v>
      </c>
      <c r="F9" s="4" t="s">
        <v>6</v>
      </c>
      <c r="G9" s="5">
        <v>20</v>
      </c>
      <c r="H9" s="32">
        <f t="shared" si="0"/>
        <v>7.7666712895163137</v>
      </c>
      <c r="I9" s="37">
        <f t="shared" si="1"/>
        <v>0.15533342579032625</v>
      </c>
    </row>
    <row r="10" spans="1:9" ht="15" thickBot="1" x14ac:dyDescent="0.35">
      <c r="A10" s="17" t="s">
        <v>7</v>
      </c>
      <c r="B10" s="18">
        <v>30.158719699798656</v>
      </c>
      <c r="F10" s="6" t="s">
        <v>7</v>
      </c>
      <c r="G10" s="7">
        <v>39</v>
      </c>
      <c r="H10" s="33">
        <f t="shared" si="0"/>
        <v>30.158719699798656</v>
      </c>
      <c r="I10" s="38">
        <f t="shared" si="1"/>
        <v>1.1761900682921476</v>
      </c>
    </row>
    <row r="11" spans="1:9" ht="15" thickBot="1" x14ac:dyDescent="0.35">
      <c r="A11" s="17" t="s">
        <v>9</v>
      </c>
      <c r="B11" s="18">
        <v>6.0214403409881427</v>
      </c>
      <c r="F11" s="8" t="s">
        <v>0</v>
      </c>
      <c r="G11" s="10">
        <v>140</v>
      </c>
      <c r="H11" s="34"/>
      <c r="I11" s="39">
        <f>SUM(I5:I10)</f>
        <v>1.4880779677080955</v>
      </c>
    </row>
    <row r="12" spans="1:9" ht="15" thickBot="1" x14ac:dyDescent="0.35">
      <c r="A12" s="17" t="s">
        <v>8</v>
      </c>
      <c r="B12" s="18">
        <v>0.84230776340022206</v>
      </c>
      <c r="G12" s="11"/>
    </row>
    <row r="13" spans="1:9" ht="29.4" thickBot="1" x14ac:dyDescent="0.35">
      <c r="A13" s="17" t="s">
        <v>25</v>
      </c>
      <c r="B13" s="18">
        <v>1.6843266014510929</v>
      </c>
      <c r="F13" s="12" t="s">
        <v>35</v>
      </c>
    </row>
    <row r="14" spans="1:9" ht="30" thickBot="1" x14ac:dyDescent="0.4">
      <c r="A14" s="19" t="s">
        <v>10</v>
      </c>
      <c r="B14" s="20">
        <v>0.90231223302123653</v>
      </c>
      <c r="F14" s="12" t="s">
        <v>1</v>
      </c>
      <c r="G14" s="15" t="s">
        <v>32</v>
      </c>
      <c r="H14" s="14" t="s">
        <v>33</v>
      </c>
      <c r="I14" s="2" t="s">
        <v>34</v>
      </c>
    </row>
    <row r="15" spans="1:9" x14ac:dyDescent="0.3">
      <c r="F15" s="3" t="s">
        <v>2</v>
      </c>
      <c r="G15" s="16">
        <v>10</v>
      </c>
      <c r="H15" s="31">
        <f>INDEX($B$5:$B$14,MATCH(F15,$A$5:$A$14,0))</f>
        <v>10.330300641753979</v>
      </c>
      <c r="I15" s="36">
        <f>G15*H15/$G$1</f>
        <v>0.1033030064175398</v>
      </c>
    </row>
    <row r="16" spans="1:9" x14ac:dyDescent="0.3">
      <c r="F16" s="4" t="s">
        <v>3</v>
      </c>
      <c r="G16" s="5">
        <v>20</v>
      </c>
      <c r="H16" s="32">
        <f t="shared" ref="H16:H20" si="2">INDEX($B$5:$B$14,MATCH(F16,$A$5:$A$14,0))</f>
        <v>0.23783443756545733</v>
      </c>
      <c r="I16" s="37">
        <f t="shared" ref="I16:I20" si="3">G16*H16/$G$1</f>
        <v>4.7566887513091471E-3</v>
      </c>
    </row>
    <row r="17" spans="1:9" x14ac:dyDescent="0.3">
      <c r="F17" s="4" t="s">
        <v>4</v>
      </c>
      <c r="G17" s="5">
        <v>1</v>
      </c>
      <c r="H17" s="32">
        <f t="shared" si="2"/>
        <v>0.28905884137545101</v>
      </c>
      <c r="I17" s="37">
        <f t="shared" si="3"/>
        <v>2.89058841375451E-4</v>
      </c>
    </row>
    <row r="18" spans="1:9" x14ac:dyDescent="0.3">
      <c r="F18" s="4" t="s">
        <v>8</v>
      </c>
      <c r="G18" s="5">
        <v>50</v>
      </c>
      <c r="H18" s="32">
        <f t="shared" si="2"/>
        <v>0.84230776340022206</v>
      </c>
      <c r="I18" s="37">
        <f t="shared" si="3"/>
        <v>4.2115388170011099E-2</v>
      </c>
    </row>
    <row r="19" spans="1:9" x14ac:dyDescent="0.3">
      <c r="F19" s="4" t="s">
        <v>9</v>
      </c>
      <c r="G19" s="5">
        <v>20</v>
      </c>
      <c r="H19" s="32">
        <f t="shared" si="2"/>
        <v>6.0214403409881427</v>
      </c>
      <c r="I19" s="37">
        <f t="shared" si="3"/>
        <v>0.12042880681976285</v>
      </c>
    </row>
    <row r="20" spans="1:9" ht="15" thickBot="1" x14ac:dyDescent="0.35">
      <c r="F20" s="6" t="s">
        <v>10</v>
      </c>
      <c r="G20" s="7">
        <v>39</v>
      </c>
      <c r="H20" s="33">
        <f t="shared" si="2"/>
        <v>0.90231223302123653</v>
      </c>
      <c r="I20" s="38">
        <f t="shared" si="3"/>
        <v>3.5190177087828227E-2</v>
      </c>
    </row>
    <row r="21" spans="1:9" ht="15" thickBot="1" x14ac:dyDescent="0.35">
      <c r="F21" s="8" t="s">
        <v>0</v>
      </c>
      <c r="G21" s="9">
        <v>140</v>
      </c>
      <c r="H21" s="34"/>
      <c r="I21" s="39">
        <f>SUM(I15:I20)</f>
        <v>0.30608312608782656</v>
      </c>
    </row>
    <row r="22" spans="1:9" x14ac:dyDescent="0.3">
      <c r="F22" s="28"/>
      <c r="G22" s="29"/>
      <c r="H22" s="29"/>
      <c r="I22" s="30"/>
    </row>
    <row r="23" spans="1:9" ht="78" customHeight="1" x14ac:dyDescent="0.3">
      <c r="H23" s="35"/>
    </row>
    <row r="24" spans="1:9" x14ac:dyDescent="0.3">
      <c r="A24" s="13" t="s">
        <v>11</v>
      </c>
    </row>
    <row r="25" spans="1:9" x14ac:dyDescent="0.3">
      <c r="A25" t="s">
        <v>12</v>
      </c>
    </row>
    <row r="26" spans="1:9" x14ac:dyDescent="0.3">
      <c r="A26" t="s">
        <v>13</v>
      </c>
    </row>
    <row r="28" spans="1:9" x14ac:dyDescent="0.3">
      <c r="A28" s="13" t="s">
        <v>26</v>
      </c>
    </row>
    <row r="29" spans="1:9" ht="16.2" x14ac:dyDescent="0.3">
      <c r="A29" t="s">
        <v>14</v>
      </c>
    </row>
    <row r="31" spans="1:9" x14ac:dyDescent="0.3">
      <c r="A31" s="13" t="s">
        <v>15</v>
      </c>
    </row>
    <row r="32" spans="1:9" x14ac:dyDescent="0.3">
      <c r="A32" t="s">
        <v>16</v>
      </c>
    </row>
    <row r="33" spans="1:1" x14ac:dyDescent="0.3">
      <c r="A33" t="s">
        <v>17</v>
      </c>
    </row>
    <row r="34" spans="1:1" x14ac:dyDescent="0.3">
      <c r="A34" t="s">
        <v>18</v>
      </c>
    </row>
    <row r="35" spans="1:1" x14ac:dyDescent="0.3">
      <c r="A35" t="s">
        <v>19</v>
      </c>
    </row>
    <row r="37" spans="1:1" x14ac:dyDescent="0.3">
      <c r="A37" t="s">
        <v>36</v>
      </c>
    </row>
    <row r="38" spans="1:1" x14ac:dyDescent="0.3">
      <c r="A38" t="s">
        <v>20</v>
      </c>
    </row>
    <row r="40" spans="1:1" x14ac:dyDescent="0.3">
      <c r="A40" s="13" t="s">
        <v>21</v>
      </c>
    </row>
    <row r="41" spans="1:1" x14ac:dyDescent="0.3">
      <c r="A41" t="s">
        <v>22</v>
      </c>
    </row>
    <row r="42" spans="1:1" x14ac:dyDescent="0.3">
      <c r="A4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 a value in a list</vt:lpstr>
      <vt:lpstr>Find a value in a list filled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Jolliet</dc:creator>
  <cp:lastModifiedBy>Olivier Jolliet</cp:lastModifiedBy>
  <dcterms:created xsi:type="dcterms:W3CDTF">2020-09-15T11:44:44Z</dcterms:created>
  <dcterms:modified xsi:type="dcterms:W3CDTF">2020-12-10T05:21:04Z</dcterms:modified>
</cp:coreProperties>
</file>