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ruthle/Downloads/"/>
    </mc:Choice>
  </mc:AlternateContent>
  <xr:revisionPtr revIDLastSave="0" documentId="13_ncr:1_{8744F8FD-40EB-8848-8F19-1C3EDDD8AB56}" xr6:coauthVersionLast="47" xr6:coauthVersionMax="47" xr10:uidLastSave="{00000000-0000-0000-0000-000000000000}"/>
  <bookViews>
    <workbookView xWindow="28800" yWindow="500" windowWidth="32000" windowHeight="15800" tabRatio="500" activeTab="1" xr2:uid="{00000000-000D-0000-FFFF-FFFF00000000}"/>
  </bookViews>
  <sheets>
    <sheet name="Coffee" sheetId="1" state="hidden" r:id="rId1"/>
    <sheet name="Directions" sheetId="2" r:id="rId2"/>
    <sheet name="Q3.Housing sensitivity study&amp;E2"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1" l="1"/>
  <c r="E19" i="1"/>
  <c r="H18" i="1"/>
  <c r="E18" i="1"/>
  <c r="H16" i="1"/>
  <c r="E16" i="1"/>
  <c r="H15" i="1"/>
  <c r="E15" i="1"/>
  <c r="B13" i="1"/>
  <c r="E13" i="1" s="1"/>
  <c r="H12" i="1"/>
  <c r="B12" i="1"/>
  <c r="E12" i="1" s="1"/>
  <c r="B10" i="1"/>
  <c r="E10" i="1" s="1"/>
  <c r="H9" i="1"/>
  <c r="E9" i="1"/>
  <c r="H7" i="1"/>
  <c r="E7" i="1"/>
  <c r="B6" i="1"/>
  <c r="H6" i="1" s="1"/>
  <c r="H5" i="1"/>
  <c r="E5" i="1"/>
  <c r="B5" i="1"/>
  <c r="H4" i="1"/>
  <c r="E4" i="1"/>
  <c r="H3" i="1"/>
  <c r="E3" i="1"/>
  <c r="H10" i="1" l="1"/>
  <c r="E6" i="1"/>
  <c r="H13" i="1"/>
  <c r="E21" i="1"/>
  <c r="F3" i="1" s="1"/>
  <c r="F7" i="1" l="1"/>
  <c r="F5" i="1"/>
  <c r="F18" i="1"/>
  <c r="F16" i="1"/>
  <c r="F9" i="1"/>
  <c r="I10" i="1"/>
  <c r="F19" i="1"/>
  <c r="F15" i="1"/>
  <c r="F12" i="1"/>
  <c r="H21" i="1"/>
  <c r="F6" i="1"/>
  <c r="F13" i="1"/>
  <c r="F10" i="1"/>
  <c r="F4" i="1"/>
  <c r="I9" i="1" l="1"/>
  <c r="I7" i="1"/>
  <c r="I15" i="1"/>
  <c r="I4" i="1"/>
  <c r="I6" i="1"/>
  <c r="I19" i="1"/>
  <c r="I18" i="1"/>
  <c r="I5" i="1"/>
  <c r="I3" i="1"/>
  <c r="I12" i="1"/>
  <c r="I16" i="1"/>
  <c r="I13" i="1"/>
</calcChain>
</file>

<file path=xl/sharedStrings.xml><?xml version="1.0" encoding="utf-8"?>
<sst xmlns="http://schemas.openxmlformats.org/spreadsheetml/2006/main" count="69" uniqueCount="54">
  <si>
    <t>Life Cycle stage</t>
  </si>
  <si>
    <t>Quantity per FU = per cup of cofee of 1dl</t>
  </si>
  <si>
    <t>Unit</t>
  </si>
  <si>
    <t>Energy/Unit  [MJ/Unit]</t>
  </si>
  <si>
    <t>Energy per FU</t>
  </si>
  <si>
    <t>fraction</t>
  </si>
  <si>
    <t>CO2 equiv/Unit [kg/unit]</t>
  </si>
  <si>
    <t>CO2equ/FU</t>
  </si>
  <si>
    <t>Materials</t>
  </si>
  <si>
    <t>Roasted coffee ground (10g)</t>
  </si>
  <si>
    <t>kg</t>
  </si>
  <si>
    <t>Water</t>
  </si>
  <si>
    <t>m3</t>
  </si>
  <si>
    <t>Coffee machine - plastic</t>
  </si>
  <si>
    <t>Paper Cup (8g paper)</t>
  </si>
  <si>
    <t>Packaging (capsule 2g alu)</t>
  </si>
  <si>
    <t>Processing</t>
  </si>
  <si>
    <t>Roasted coffee ground</t>
  </si>
  <si>
    <t>Plastic moulding</t>
  </si>
  <si>
    <t>Transportation</t>
  </si>
  <si>
    <t>Coffe ground cargo transportation</t>
  </si>
  <si>
    <t>t.km</t>
  </si>
  <si>
    <t>Coffe ground road transportation</t>
  </si>
  <si>
    <t>Use phase</t>
  </si>
  <si>
    <t>Electricity hot water (0.12kWh/L)</t>
  </si>
  <si>
    <t>kWh</t>
  </si>
  <si>
    <t>Stand-by (0.028 kWh/cup)</t>
  </si>
  <si>
    <t>Disposal</t>
  </si>
  <si>
    <t>Paper cup</t>
  </si>
  <si>
    <t>Total</t>
  </si>
  <si>
    <t>kg/t conversion factor</t>
  </si>
  <si>
    <t>Directions</t>
  </si>
  <si>
    <t xml:space="preserve">Step 1 </t>
  </si>
  <si>
    <t xml:space="preserve">Step 2 </t>
  </si>
  <si>
    <t>In Q3 Tab "Q3.house sensitivity study &amp; E2", calculate the total cumulative energy used for heating as well as the total cumulative energy including construction (in cells B22 to C23)</t>
  </si>
  <si>
    <t>Then graphically represent on the empty figure Q3.1 in the excel file (Cells G14 to P36) the evolution of the cumulative non renewable primary energy required per ft2 for each of these two scenarios as a function of the time elapsed since initial construction from 0 to 50 years (use brown line for standard house 1, green line for well insulated house 2). Be accurate in drawing your lines</t>
  </si>
  <si>
    <t>Paramaters</t>
  </si>
  <si>
    <t>Values</t>
  </si>
  <si>
    <t>House lifetime  [years]</t>
  </si>
  <si>
    <t>Price of natural gas [$/MJ]</t>
  </si>
  <si>
    <t>Non renewable primary energy</t>
  </si>
  <si>
    <t>1. Standard house</t>
  </si>
  <si>
    <t>2. Well insulated house</t>
  </si>
  <si>
    <t>Annual primary energy consumption for heating [MJ/ft2/year]</t>
  </si>
  <si>
    <t>Energy for construction [MJ/ft2]</t>
  </si>
  <si>
    <t>Cumulative energy for heating over 50 years [MJ/ft2]</t>
  </si>
  <si>
    <t>Cumlative energy construction &amp; use [MJ/ft2]</t>
  </si>
  <si>
    <t>Costs</t>
  </si>
  <si>
    <t>House purchasing price</t>
  </si>
  <si>
    <t>Cost of energy over 50 years [$/ft2]</t>
  </si>
  <si>
    <t>Cumulative costs over 50 years [$/ft2]</t>
  </si>
  <si>
    <t>Figure Q3.1. Cumulative non renewable primary energy as a function of costs</t>
  </si>
  <si>
    <t>Figure Q3.2 Non renewable primary energy versus costs</t>
  </si>
  <si>
    <t>backup copy active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</si>
</sst>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1"/>
      <color rgb="FF000000"/>
      <name val="Calibri"/>
      <family val="2"/>
      <charset val="1"/>
    </font>
    <font>
      <sz val="16"/>
      <color rgb="FF000000"/>
      <name val="Arial"/>
      <family val="2"/>
      <charset val="1"/>
    </font>
    <font>
      <sz val="16"/>
      <color rgb="FFFF0000"/>
      <name val="Arial"/>
      <family val="2"/>
      <charset val="1"/>
    </font>
    <font>
      <b/>
      <sz val="16"/>
      <color rgb="FF000000"/>
      <name val="Arial"/>
      <family val="2"/>
      <charset val="1"/>
    </font>
    <font>
      <b/>
      <sz val="14"/>
      <color rgb="FF000000"/>
      <name val="Calibri"/>
      <family val="2"/>
      <charset val="1"/>
    </font>
    <font>
      <sz val="14"/>
      <color rgb="FF000000"/>
      <name val="Calibri"/>
      <family val="2"/>
      <charset val="1"/>
    </font>
    <font>
      <sz val="11"/>
      <color rgb="FFD9D9D9"/>
      <name val="Calibri"/>
      <family val="2"/>
      <charset val="1"/>
    </font>
  </fonts>
  <fills count="6">
    <fill>
      <patternFill patternType="none"/>
    </fill>
    <fill>
      <patternFill patternType="gray125"/>
    </fill>
    <fill>
      <patternFill patternType="solid">
        <fgColor rgb="FFD0CECE"/>
        <bgColor rgb="FFD9D9D9"/>
      </patternFill>
    </fill>
    <fill>
      <patternFill patternType="solid">
        <fgColor rgb="FFFFFF00"/>
        <bgColor rgb="FFFFFF00"/>
      </patternFill>
    </fill>
    <fill>
      <patternFill patternType="solid">
        <fgColor rgb="FFFFC000"/>
        <bgColor rgb="FFFF9900"/>
      </patternFill>
    </fill>
    <fill>
      <patternFill patternType="solid">
        <fgColor rgb="FFF4B183"/>
        <bgColor rgb="FFFF99CC"/>
      </patternFill>
    </fill>
  </fills>
  <borders count="31">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right style="thin">
        <color auto="1"/>
      </right>
      <top/>
      <bottom/>
      <diagonal/>
    </border>
    <border>
      <left/>
      <right style="medium">
        <color auto="1"/>
      </right>
      <top/>
      <bottom/>
      <diagonal/>
    </border>
    <border>
      <left style="medium">
        <color auto="1"/>
      </left>
      <right style="medium">
        <color auto="1"/>
      </right>
      <top/>
      <bottom style="thin">
        <color auto="1"/>
      </bottom>
      <diagonal/>
    </border>
    <border>
      <left/>
      <right style="thin">
        <color auto="1"/>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thin">
        <color auto="1"/>
      </left>
      <right/>
      <top style="thin">
        <color auto="1"/>
      </top>
      <bottom style="double">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double">
        <color auto="1"/>
      </bottom>
      <diagonal/>
    </border>
    <border>
      <left/>
      <right/>
      <top/>
      <bottom style="double">
        <color auto="1"/>
      </bottom>
      <diagonal/>
    </border>
    <border>
      <left/>
      <right style="double">
        <color auto="1"/>
      </right>
      <top style="thin">
        <color auto="1"/>
      </top>
      <bottom style="thin">
        <color auto="1"/>
      </bottom>
      <diagonal/>
    </border>
    <border>
      <left/>
      <right style="double">
        <color auto="1"/>
      </right>
      <top style="thin">
        <color auto="1"/>
      </top>
      <bottom/>
      <diagonal/>
    </border>
    <border>
      <left/>
      <right/>
      <top style="thin">
        <color auto="1"/>
      </top>
      <bottom/>
      <diagonal/>
    </border>
    <border>
      <left/>
      <right style="double">
        <color auto="1"/>
      </right>
      <top/>
      <bottom style="double">
        <color auto="1"/>
      </bottom>
      <diagonal/>
    </border>
    <border>
      <left style="thin">
        <color auto="1"/>
      </left>
      <right/>
      <top/>
      <bottom style="double">
        <color auto="1"/>
      </bottom>
      <diagonal/>
    </border>
    <border>
      <left/>
      <right style="double">
        <color auto="1"/>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62">
    <xf numFmtId="0" fontId="0" fillId="0" borderId="0" xfId="0"/>
    <xf numFmtId="0" fontId="1" fillId="0" borderId="0" xfId="0" applyFont="1"/>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0" xfId="0" applyFont="1" applyAlignment="1">
      <alignment vertical="top" wrapText="1"/>
    </xf>
    <xf numFmtId="0" fontId="2" fillId="2" borderId="5" xfId="0" applyFont="1" applyFill="1" applyBorder="1"/>
    <xf numFmtId="0" fontId="2" fillId="2" borderId="0" xfId="0" applyFont="1" applyFill="1" applyBorder="1"/>
    <xf numFmtId="0" fontId="2" fillId="2" borderId="6" xfId="0" applyFont="1" applyFill="1" applyBorder="1"/>
    <xf numFmtId="0" fontId="2" fillId="2" borderId="7" xfId="0" applyFont="1" applyFill="1" applyBorder="1"/>
    <xf numFmtId="0" fontId="1" fillId="0" borderId="5" xfId="0" applyFont="1" applyBorder="1"/>
    <xf numFmtId="0" fontId="3" fillId="0" borderId="0" xfId="0" applyFont="1" applyBorder="1" applyAlignment="1">
      <alignment horizontal="center"/>
    </xf>
    <xf numFmtId="0" fontId="1" fillId="0" borderId="6" xfId="0" applyFont="1" applyBorder="1" applyAlignment="1">
      <alignment horizontal="center"/>
    </xf>
    <xf numFmtId="0" fontId="1" fillId="0" borderId="0" xfId="0" applyFont="1" applyBorder="1" applyAlignment="1">
      <alignment horizontal="center"/>
    </xf>
    <xf numFmtId="164" fontId="1" fillId="3" borderId="0" xfId="0" applyNumberFormat="1" applyFont="1" applyFill="1" applyBorder="1" applyAlignment="1">
      <alignment horizontal="center"/>
    </xf>
    <xf numFmtId="0" fontId="1" fillId="0" borderId="7" xfId="0" applyFont="1" applyBorder="1" applyAlignment="1">
      <alignment horizontal="center"/>
    </xf>
    <xf numFmtId="164" fontId="1" fillId="0" borderId="0" xfId="0" applyNumberFormat="1" applyFont="1" applyBorder="1" applyAlignment="1">
      <alignment horizontal="center"/>
    </xf>
    <xf numFmtId="165" fontId="1" fillId="0" borderId="6" xfId="0" applyNumberFormat="1" applyFont="1" applyBorder="1" applyAlignment="1">
      <alignment horizontal="center"/>
    </xf>
    <xf numFmtId="0" fontId="1" fillId="3" borderId="0" xfId="0" applyFont="1" applyFill="1" applyBorder="1" applyAlignment="1">
      <alignment horizontal="center"/>
    </xf>
    <xf numFmtId="0" fontId="1" fillId="2" borderId="0"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0" borderId="8" xfId="0" applyFont="1" applyBorder="1"/>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xf numFmtId="0" fontId="1" fillId="0" borderId="13" xfId="0" applyFont="1" applyBorder="1" applyAlignment="1">
      <alignment horizontal="center"/>
    </xf>
    <xf numFmtId="0" fontId="1" fillId="0" borderId="14" xfId="0" applyFont="1" applyBorder="1" applyAlignment="1">
      <alignment horizontal="center"/>
    </xf>
    <xf numFmtId="2" fontId="1" fillId="0" borderId="14" xfId="0" applyNumberFormat="1" applyFont="1" applyBorder="1" applyAlignment="1">
      <alignment horizontal="center"/>
    </xf>
    <xf numFmtId="2" fontId="1" fillId="0" borderId="13" xfId="0" applyNumberFormat="1" applyFont="1" applyBorder="1" applyAlignment="1">
      <alignment horizontal="center"/>
    </xf>
    <xf numFmtId="2" fontId="1" fillId="0" borderId="15" xfId="0" applyNumberFormat="1" applyFont="1" applyBorder="1" applyAlignment="1">
      <alignment horizontal="center"/>
    </xf>
    <xf numFmtId="0" fontId="1" fillId="0" borderId="0" xfId="0" applyFont="1" applyAlignment="1">
      <alignment horizontal="center"/>
    </xf>
    <xf numFmtId="0" fontId="4" fillId="4" borderId="16" xfId="0" applyFont="1" applyFill="1" applyBorder="1"/>
    <xf numFmtId="0" fontId="4" fillId="0" borderId="0" xfId="0" applyFont="1" applyBorder="1" applyAlignment="1">
      <alignment horizontal="center"/>
    </xf>
    <xf numFmtId="0" fontId="0" fillId="0" borderId="0" xfId="0" applyBorder="1"/>
    <xf numFmtId="0" fontId="5" fillId="0" borderId="0" xfId="0" applyFont="1" applyBorder="1" applyAlignment="1">
      <alignment horizontal="center"/>
    </xf>
    <xf numFmtId="0" fontId="5" fillId="0" borderId="18" xfId="0" applyFont="1" applyBorder="1" applyAlignment="1">
      <alignment wrapText="1"/>
    </xf>
    <xf numFmtId="0" fontId="0" fillId="0" borderId="0" xfId="0" applyBorder="1"/>
    <xf numFmtId="0" fontId="5" fillId="0" borderId="0" xfId="0" applyFont="1"/>
    <xf numFmtId="0" fontId="5" fillId="0" borderId="0" xfId="0" applyFont="1" applyAlignment="1">
      <alignment horizontal="center"/>
    </xf>
    <xf numFmtId="0" fontId="4" fillId="0" borderId="21" xfId="0" applyFont="1" applyBorder="1"/>
    <xf numFmtId="0" fontId="4" fillId="0" borderId="22" xfId="0" applyFont="1" applyBorder="1" applyAlignment="1">
      <alignment horizontal="center"/>
    </xf>
    <xf numFmtId="0" fontId="6" fillId="0" borderId="0" xfId="0" applyFont="1"/>
    <xf numFmtId="0" fontId="5" fillId="0" borderId="23" xfId="0" applyFont="1" applyBorder="1"/>
    <xf numFmtId="0" fontId="5" fillId="0" borderId="19" xfId="0" applyFont="1" applyBorder="1" applyAlignment="1">
      <alignment horizontal="left"/>
    </xf>
    <xf numFmtId="0" fontId="5" fillId="0" borderId="24" xfId="0" applyFont="1" applyBorder="1"/>
    <xf numFmtId="0" fontId="5" fillId="0" borderId="25" xfId="0" applyFont="1" applyBorder="1" applyAlignment="1">
      <alignment horizontal="left"/>
    </xf>
    <xf numFmtId="0" fontId="4" fillId="0" borderId="26" xfId="0" applyFont="1" applyBorder="1"/>
    <xf numFmtId="0" fontId="4" fillId="0" borderId="21" xfId="0" applyFont="1" applyBorder="1" applyAlignment="1">
      <alignment horizontal="center"/>
    </xf>
    <xf numFmtId="0" fontId="4" fillId="0" borderId="27" xfId="0" applyFont="1" applyBorder="1" applyAlignment="1">
      <alignment horizontal="center"/>
    </xf>
    <xf numFmtId="0" fontId="5" fillId="0" borderId="28" xfId="0" applyFont="1" applyBorder="1"/>
    <xf numFmtId="0" fontId="5" fillId="0" borderId="9" xfId="0" applyFont="1" applyBorder="1" applyAlignment="1">
      <alignment horizontal="center"/>
    </xf>
    <xf numFmtId="0" fontId="5" fillId="0" borderId="17" xfId="0" applyFont="1" applyBorder="1" applyAlignment="1">
      <alignment horizontal="center"/>
    </xf>
    <xf numFmtId="0" fontId="5" fillId="0" borderId="20" xfId="0" applyFont="1" applyBorder="1" applyAlignment="1">
      <alignment horizontal="center"/>
    </xf>
    <xf numFmtId="0" fontId="5" fillId="0" borderId="18" xfId="0" applyFont="1" applyBorder="1" applyAlignment="1">
      <alignment horizontal="center"/>
    </xf>
    <xf numFmtId="0" fontId="5" fillId="5" borderId="20" xfId="0" applyFont="1" applyFill="1" applyBorder="1" applyAlignment="1">
      <alignment horizontal="center"/>
    </xf>
    <xf numFmtId="0" fontId="5" fillId="5" borderId="18" xfId="0" applyFont="1" applyFill="1" applyBorder="1" applyAlignment="1">
      <alignment horizontal="center"/>
    </xf>
    <xf numFmtId="0" fontId="5" fillId="5" borderId="29" xfId="0" applyFont="1" applyFill="1" applyBorder="1" applyAlignment="1">
      <alignment horizontal="center"/>
    </xf>
    <xf numFmtId="0" fontId="5" fillId="5" borderId="30" xfId="0" applyFont="1" applyFill="1" applyBorder="1" applyAlignment="1">
      <alignment horizontal="center"/>
    </xf>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4B183"/>
      <rgbColor rgb="FF3366FF"/>
      <rgbColor rgb="FF33CCCC"/>
      <rgbColor rgb="FF99CC00"/>
      <rgbColor rgb="FFFFC000"/>
      <rgbColor rgb="FFFF9900"/>
      <rgbColor rgb="FFED7D31"/>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Cumulative non-renewable primary energy per ft2 over 50 years</a:t>
            </a:r>
          </a:p>
        </c:rich>
      </c:tx>
      <c:overlay val="0"/>
      <c:spPr>
        <a:noFill/>
        <a:ln w="0">
          <a:noFill/>
        </a:ln>
      </c:spPr>
    </c:title>
    <c:autoTitleDeleted val="0"/>
    <c:plotArea>
      <c:layout/>
      <c:scatterChart>
        <c:scatterStyle val="lineMarker"/>
        <c:varyColors val="0"/>
        <c:ser>
          <c:idx val="0"/>
          <c:order val="0"/>
          <c:tx>
            <c:v>House 2</c:v>
          </c:tx>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'Q3.Housing sensitivity study&amp;E2'!$AJ$22:$AL$22</c:f>
              <c:numCache>
                <c:formatCode>General</c:formatCode>
                <c:ptCount val="3"/>
                <c:pt idx="0">
                  <c:v>0</c:v>
                </c:pt>
                <c:pt idx="1">
                  <c:v>0</c:v>
                </c:pt>
                <c:pt idx="2">
                  <c:v>0</c:v>
                </c:pt>
              </c:numCache>
            </c:numRef>
          </c:xVal>
          <c:yVal>
            <c:numRef>
              <c:f>'Q3.Housing sensitivity study&amp;E2'!$AJ$23:$AL$23</c:f>
              <c:numCache>
                <c:formatCode>General</c:formatCode>
                <c:ptCount val="3"/>
                <c:pt idx="0">
                  <c:v>0</c:v>
                </c:pt>
                <c:pt idx="1">
                  <c:v>0</c:v>
                </c:pt>
                <c:pt idx="2">
                  <c:v>0</c:v>
                </c:pt>
              </c:numCache>
            </c:numRef>
          </c:yVal>
          <c:smooth val="0"/>
          <c:extLst>
            <c:ext xmlns:c16="http://schemas.microsoft.com/office/drawing/2014/chart" uri="{C3380CC4-5D6E-409C-BE32-E72D297353CC}">
              <c16:uniqueId val="{00000000-12F7-2941-BBE1-1093EC7DEC4A}"/>
            </c:ext>
          </c:extLst>
        </c:ser>
        <c:dLbls>
          <c:showLegendKey val="0"/>
          <c:showVal val="0"/>
          <c:showCatName val="0"/>
          <c:showSerName val="0"/>
          <c:showPercent val="0"/>
          <c:showBubbleSize val="0"/>
        </c:dLbls>
        <c:axId val="92388635"/>
        <c:axId val="83298503"/>
      </c:scatterChart>
      <c:valAx>
        <c:axId val="92388635"/>
        <c:scaling>
          <c:orientation val="minMax"/>
          <c:max val="240"/>
        </c:scaling>
        <c:delete val="0"/>
        <c:axPos val="b"/>
        <c:majorGridlines>
          <c:spPr>
            <a:ln w="9360">
              <a:solidFill>
                <a:srgbClr val="D9D9D9"/>
              </a:solidFill>
              <a:round/>
            </a:ln>
          </c:spPr>
        </c:majorGridlines>
        <c:title>
          <c:tx>
            <c:rich>
              <a:bodyPr rot="0"/>
              <a:lstStyle/>
              <a:p>
                <a:pPr>
                  <a:defRPr lang="en-US" sz="1000" b="0" strike="noStrike" spc="-1">
                    <a:solidFill>
                      <a:srgbClr val="595959"/>
                    </a:solidFill>
                    <a:latin typeface="Calibri"/>
                  </a:defRPr>
                </a:pPr>
                <a:r>
                  <a:rPr lang="en-US" sz="1000" b="0" strike="noStrike" spc="-1">
                    <a:solidFill>
                      <a:srgbClr val="595959"/>
                    </a:solidFill>
                    <a:latin typeface="Calibri"/>
                  </a:rPr>
                  <a:t>Costs [$/ft2}</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83298503"/>
        <c:crosses val="autoZero"/>
        <c:crossBetween val="midCat"/>
        <c:majorUnit val="20"/>
      </c:valAx>
      <c:valAx>
        <c:axId val="83298503"/>
        <c:scaling>
          <c:orientation val="minMax"/>
          <c:max val="300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Non renewable primary energy per ft2 [MJ/ft2]</a:t>
                </a:r>
              </a:p>
            </c:rich>
          </c:tx>
          <c:layout>
            <c:manualLayout>
              <c:xMode val="edge"/>
              <c:yMode val="edge"/>
              <c:x val="1.0633270321361099E-2"/>
              <c:y val="0.18353333333333299"/>
            </c:manualLayout>
          </c:layout>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92388635"/>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Cumulative non-renewable primary energy per ft2 over 50 years</a:t>
            </a:r>
          </a:p>
        </c:rich>
      </c:tx>
      <c:layout>
        <c:manualLayout>
          <c:xMode val="edge"/>
          <c:yMode val="edge"/>
          <c:x val="0.11082230623818499"/>
          <c:y val="1.4865675621625199E-2"/>
        </c:manualLayout>
      </c:layout>
      <c:overlay val="0"/>
      <c:spPr>
        <a:noFill/>
        <a:ln w="0">
          <a:noFill/>
        </a:ln>
      </c:spPr>
    </c:title>
    <c:autoTitleDeleted val="0"/>
    <c:plotArea>
      <c:layout>
        <c:manualLayout>
          <c:layoutTarget val="inner"/>
          <c:xMode val="edge"/>
          <c:yMode val="edge"/>
          <c:x val="0.109050094517958"/>
          <c:y val="9.1993867075528299E-2"/>
          <c:w val="0.85142958412098302"/>
          <c:h val="0.797813479101393"/>
        </c:manualLayout>
      </c:layout>
      <c:scatterChart>
        <c:scatterStyle val="lineMarker"/>
        <c:varyColors val="0"/>
        <c:ser>
          <c:idx val="0"/>
          <c:order val="0"/>
          <c:spPr>
            <a:ln w="25560">
              <a:noFill/>
            </a:ln>
          </c:spPr>
          <c:marker>
            <c:symbol val="circle"/>
            <c:size val="5"/>
            <c:spPr>
              <a:no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'Q3.Housing sensitivity study&amp;E2'!$AJ$15:$AJ$16</c:f>
              <c:numCache>
                <c:formatCode>General</c:formatCode>
                <c:ptCount val="2"/>
                <c:pt idx="0">
                  <c:v>0</c:v>
                </c:pt>
                <c:pt idx="1">
                  <c:v>0</c:v>
                </c:pt>
              </c:numCache>
            </c:numRef>
          </c:xVal>
          <c:yVal>
            <c:numRef>
              <c:f>'Q3.Housing sensitivity study&amp;E2'!$AK$15:$AK$16</c:f>
              <c:numCache>
                <c:formatCode>General</c:formatCode>
                <c:ptCount val="2"/>
                <c:pt idx="0">
                  <c:v>0</c:v>
                </c:pt>
                <c:pt idx="1">
                  <c:v>0</c:v>
                </c:pt>
              </c:numCache>
            </c:numRef>
          </c:yVal>
          <c:smooth val="0"/>
          <c:extLst>
            <c:ext xmlns:c16="http://schemas.microsoft.com/office/drawing/2014/chart" uri="{C3380CC4-5D6E-409C-BE32-E72D297353CC}">
              <c16:uniqueId val="{00000000-AB88-DB45-8FDE-9798004F6660}"/>
            </c:ext>
          </c:extLst>
        </c:ser>
        <c:dLbls>
          <c:showLegendKey val="0"/>
          <c:showVal val="0"/>
          <c:showCatName val="0"/>
          <c:showSerName val="0"/>
          <c:showPercent val="0"/>
          <c:showBubbleSize val="0"/>
        </c:dLbls>
        <c:axId val="29424456"/>
        <c:axId val="8714998"/>
      </c:scatterChart>
      <c:valAx>
        <c:axId val="29424456"/>
        <c:scaling>
          <c:orientation val="minMax"/>
          <c:max val="50"/>
        </c:scaling>
        <c:delete val="0"/>
        <c:axPos val="b"/>
        <c:majorGridlines>
          <c:spPr>
            <a:ln w="9360">
              <a:solidFill>
                <a:srgbClr val="D9D9D9"/>
              </a:solidFill>
              <a:round/>
            </a:ln>
          </c:spPr>
        </c:majorGridlines>
        <c:title>
          <c:tx>
            <c:rich>
              <a:bodyPr rot="0"/>
              <a:lstStyle/>
              <a:p>
                <a:pPr>
                  <a:defRPr lang="en-US" sz="1000" b="0" strike="noStrike" spc="-1">
                    <a:solidFill>
                      <a:srgbClr val="595959"/>
                    </a:solidFill>
                    <a:latin typeface="Calibri"/>
                  </a:defRPr>
                </a:pPr>
                <a:r>
                  <a:rPr lang="en-US" sz="1000" b="0" strike="noStrike" spc="-1">
                    <a:solidFill>
                      <a:srgbClr val="595959"/>
                    </a:solidFill>
                    <a:latin typeface="Calibri"/>
                  </a:rPr>
                  <a:t>Years from construction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8714998"/>
        <c:crosses val="autoZero"/>
        <c:crossBetween val="midCat"/>
      </c:valAx>
      <c:valAx>
        <c:axId val="8714998"/>
        <c:scaling>
          <c:orientation val="minMax"/>
          <c:max val="300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Calibri"/>
                  </a:defRPr>
                </a:pPr>
                <a:r>
                  <a:rPr lang="en-US" sz="1000" b="0" strike="noStrike" spc="-1">
                    <a:solidFill>
                      <a:srgbClr val="595959"/>
                    </a:solidFill>
                    <a:latin typeface="Calibri"/>
                  </a:rPr>
                  <a:t>Non renewable primary energy per ft2 [MJ/ft2]</a:t>
                </a:r>
              </a:p>
            </c:rich>
          </c:tx>
          <c:layout>
            <c:manualLayout>
              <c:xMode val="edge"/>
              <c:yMode val="edge"/>
              <c:x val="1.0633270321361099E-2"/>
              <c:y val="0.183521098593427"/>
            </c:manualLayout>
          </c:layout>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29424456"/>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wmf"/><Relationship Id="rId1" Type="http://schemas.openxmlformats.org/officeDocument/2006/relationships/image" Target="../media/image1.wmf"/><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15</xdr:col>
      <xdr:colOff>561960</xdr:colOff>
      <xdr:row>14</xdr:row>
      <xdr:rowOff>228600</xdr:rowOff>
    </xdr:from>
    <xdr:to>
      <xdr:col>25</xdr:col>
      <xdr:colOff>447480</xdr:colOff>
      <xdr:row>37</xdr:row>
      <xdr:rowOff>49320</xdr:rowOff>
    </xdr:to>
    <xdr:pic>
      <xdr:nvPicPr>
        <xdr:cNvPr id="2" name="Picture 14" descr="Template for graph that can be used when calculations from the corresponding table.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6044840" y="469800"/>
          <a:ext cx="6114960" cy="5446800"/>
        </a:xfrm>
        <a:prstGeom prst="rect">
          <a:avLst/>
        </a:prstGeom>
        <a:ln w="0">
          <a:noFill/>
        </a:ln>
      </xdr:spPr>
    </xdr:pic>
    <xdr:clientData/>
  </xdr:twoCellAnchor>
  <xdr:twoCellAnchor editAs="oneCell">
    <xdr:from>
      <xdr:col>4</xdr:col>
      <xdr:colOff>523800</xdr:colOff>
      <xdr:row>14</xdr:row>
      <xdr:rowOff>57240</xdr:rowOff>
    </xdr:from>
    <xdr:to>
      <xdr:col>14</xdr:col>
      <xdr:colOff>409320</xdr:colOff>
      <xdr:row>36</xdr:row>
      <xdr:rowOff>110160</xdr:rowOff>
    </xdr:to>
    <xdr:pic>
      <xdr:nvPicPr>
        <xdr:cNvPr id="3" name="Picture 22" descr="Template for graph that can be used when calculations from the corresponding table.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xdr:blipFill>
      <xdr:spPr>
        <a:xfrm>
          <a:off x="9154440" y="298440"/>
          <a:ext cx="6114960" cy="5437800"/>
        </a:xfrm>
        <a:prstGeom prst="rect">
          <a:avLst/>
        </a:prstGeom>
        <a:ln w="0">
          <a:noFill/>
        </a:ln>
      </xdr:spPr>
    </xdr:pic>
    <xdr:clientData/>
  </xdr:twoCellAnchor>
  <xdr:twoCellAnchor>
    <xdr:from>
      <xdr:col>5</xdr:col>
      <xdr:colOff>283680</xdr:colOff>
      <xdr:row>35</xdr:row>
      <xdr:rowOff>133200</xdr:rowOff>
    </xdr:from>
    <xdr:to>
      <xdr:col>13</xdr:col>
      <xdr:colOff>438120</xdr:colOff>
      <xdr:row>35</xdr:row>
      <xdr:rowOff>222840</xdr:rowOff>
    </xdr:to>
    <xdr:sp macro="" textlink="">
      <xdr:nvSpPr>
        <xdr:cNvPr id="4" name="Straight Connector 4">
          <a:extLst>
            <a:ext uri="{FF2B5EF4-FFF2-40B4-BE49-F238E27FC236}">
              <a16:creationId xmlns:a16="http://schemas.microsoft.com/office/drawing/2014/main" id="{00000000-0008-0000-0300-000004000000}"/>
            </a:ext>
          </a:extLst>
        </xdr:cNvPr>
        <xdr:cNvSpPr/>
      </xdr:nvSpPr>
      <xdr:spPr>
        <a:xfrm flipV="1">
          <a:off x="9537480" y="5517720"/>
          <a:ext cx="5137920" cy="89640"/>
        </a:xfrm>
        <a:prstGeom prst="line">
          <a:avLst/>
        </a:prstGeom>
        <a:ln w="19050">
          <a:solidFill>
            <a:srgbClr val="ED7D31">
              <a:lumMod val="75000"/>
            </a:srgbClr>
          </a:solidFill>
        </a:ln>
      </xdr:spPr>
      <xdr:style>
        <a:lnRef idx="1">
          <a:schemeClr val="accent1"/>
        </a:lnRef>
        <a:fillRef idx="0">
          <a:schemeClr val="accent1"/>
        </a:fillRef>
        <a:effectRef idx="0">
          <a:schemeClr val="accent1"/>
        </a:effectRef>
        <a:fontRef idx="minor"/>
      </xdr:style>
    </xdr:sp>
    <xdr:clientData/>
  </xdr:twoCellAnchor>
  <xdr:twoCellAnchor>
    <xdr:from>
      <xdr:col>5</xdr:col>
      <xdr:colOff>236160</xdr:colOff>
      <xdr:row>36</xdr:row>
      <xdr:rowOff>85680</xdr:rowOff>
    </xdr:from>
    <xdr:to>
      <xdr:col>13</xdr:col>
      <xdr:colOff>466560</xdr:colOff>
      <xdr:row>36</xdr:row>
      <xdr:rowOff>159840</xdr:rowOff>
    </xdr:to>
    <xdr:sp macro="" textlink="">
      <xdr:nvSpPr>
        <xdr:cNvPr id="5" name="Straight Connector 5">
          <a:extLst>
            <a:ext uri="{FF2B5EF4-FFF2-40B4-BE49-F238E27FC236}">
              <a16:creationId xmlns:a16="http://schemas.microsoft.com/office/drawing/2014/main" id="{00000000-0008-0000-0300-000005000000}"/>
            </a:ext>
          </a:extLst>
        </xdr:cNvPr>
        <xdr:cNvSpPr/>
      </xdr:nvSpPr>
      <xdr:spPr>
        <a:xfrm flipV="1">
          <a:off x="9489960" y="5711760"/>
          <a:ext cx="5213880" cy="74160"/>
        </a:xfrm>
        <a:prstGeom prst="line">
          <a:avLst/>
        </a:prstGeom>
        <a:ln w="19050">
          <a:solidFill>
            <a:srgbClr val="92D050"/>
          </a:solidFill>
        </a:ln>
      </xdr:spPr>
      <xdr:style>
        <a:lnRef idx="1">
          <a:schemeClr val="accent1"/>
        </a:lnRef>
        <a:fillRef idx="0">
          <a:schemeClr val="accent1"/>
        </a:fillRef>
        <a:effectRef idx="0">
          <a:schemeClr val="accent1"/>
        </a:effectRef>
        <a:fontRef idx="minor"/>
      </xdr:style>
    </xdr:sp>
    <xdr:clientData/>
  </xdr:twoCellAnchor>
  <xdr:twoCellAnchor>
    <xdr:from>
      <xdr:col>1</xdr:col>
      <xdr:colOff>0</xdr:colOff>
      <xdr:row>17</xdr:row>
      <xdr:rowOff>174960</xdr:rowOff>
    </xdr:from>
    <xdr:to>
      <xdr:col>1</xdr:col>
      <xdr:colOff>1440000</xdr:colOff>
      <xdr:row>17</xdr:row>
      <xdr:rowOff>174960</xdr:rowOff>
    </xdr:to>
    <xdr:sp macro="" textlink="">
      <xdr:nvSpPr>
        <xdr:cNvPr id="6" name="Straight Connector 8">
          <a:extLst>
            <a:ext uri="{FF2B5EF4-FFF2-40B4-BE49-F238E27FC236}">
              <a16:creationId xmlns:a16="http://schemas.microsoft.com/office/drawing/2014/main" id="{00000000-0008-0000-0300-000006000000}"/>
            </a:ext>
          </a:extLst>
        </xdr:cNvPr>
        <xdr:cNvSpPr/>
      </xdr:nvSpPr>
      <xdr:spPr>
        <a:xfrm>
          <a:off x="4632840" y="1165320"/>
          <a:ext cx="1440000" cy="0"/>
        </a:xfrm>
        <a:prstGeom prst="line">
          <a:avLst/>
        </a:prstGeom>
        <a:ln w="19050">
          <a:solidFill>
            <a:srgbClr val="ED7D31">
              <a:lumMod val="75000"/>
            </a:srgbClr>
          </a:solidFill>
        </a:ln>
      </xdr:spPr>
      <xdr:style>
        <a:lnRef idx="1">
          <a:schemeClr val="accent1"/>
        </a:lnRef>
        <a:fillRef idx="0">
          <a:schemeClr val="accent1"/>
        </a:fillRef>
        <a:effectRef idx="0">
          <a:schemeClr val="accent1"/>
        </a:effectRef>
        <a:fontRef idx="minor"/>
      </xdr:style>
    </xdr:sp>
    <xdr:clientData/>
  </xdr:twoCellAnchor>
  <xdr:twoCellAnchor>
    <xdr:from>
      <xdr:col>2</xdr:col>
      <xdr:colOff>99000</xdr:colOff>
      <xdr:row>17</xdr:row>
      <xdr:rowOff>167400</xdr:rowOff>
    </xdr:from>
    <xdr:to>
      <xdr:col>2</xdr:col>
      <xdr:colOff>1881360</xdr:colOff>
      <xdr:row>17</xdr:row>
      <xdr:rowOff>167400</xdr:rowOff>
    </xdr:to>
    <xdr:sp macro="" textlink="">
      <xdr:nvSpPr>
        <xdr:cNvPr id="7" name="Straight Connector 9">
          <a:extLst>
            <a:ext uri="{FF2B5EF4-FFF2-40B4-BE49-F238E27FC236}">
              <a16:creationId xmlns:a16="http://schemas.microsoft.com/office/drawing/2014/main" id="{00000000-0008-0000-0300-000007000000}"/>
            </a:ext>
          </a:extLst>
        </xdr:cNvPr>
        <xdr:cNvSpPr/>
      </xdr:nvSpPr>
      <xdr:spPr>
        <a:xfrm>
          <a:off x="6225480" y="1157760"/>
          <a:ext cx="1782360" cy="0"/>
        </a:xfrm>
        <a:prstGeom prst="line">
          <a:avLst/>
        </a:prstGeom>
        <a:ln w="19050">
          <a:solidFill>
            <a:srgbClr val="92D050"/>
          </a:solidFill>
        </a:ln>
      </xdr:spPr>
      <xdr:style>
        <a:lnRef idx="1">
          <a:schemeClr val="accent1"/>
        </a:lnRef>
        <a:fillRef idx="0">
          <a:schemeClr val="accent1"/>
        </a:fillRef>
        <a:effectRef idx="0">
          <a:schemeClr val="accent1"/>
        </a:effectRef>
        <a:fontRef idx="minor"/>
      </xdr:style>
    </xdr:sp>
    <xdr:clientData/>
  </xdr:twoCellAnchor>
  <xdr:twoCellAnchor>
    <xdr:from>
      <xdr:col>5</xdr:col>
      <xdr:colOff>160560</xdr:colOff>
      <xdr:row>31</xdr:row>
      <xdr:rowOff>190440</xdr:rowOff>
    </xdr:from>
    <xdr:to>
      <xdr:col>5</xdr:col>
      <xdr:colOff>160920</xdr:colOff>
      <xdr:row>37</xdr:row>
      <xdr:rowOff>106200</xdr:rowOff>
    </xdr:to>
    <xdr:sp macro="" textlink="">
      <xdr:nvSpPr>
        <xdr:cNvPr id="8" name="Straight Arrow Connector 24">
          <a:extLst>
            <a:ext uri="{FF2B5EF4-FFF2-40B4-BE49-F238E27FC236}">
              <a16:creationId xmlns:a16="http://schemas.microsoft.com/office/drawing/2014/main" id="{00000000-0008-0000-0300-000008000000}"/>
            </a:ext>
          </a:extLst>
        </xdr:cNvPr>
        <xdr:cNvSpPr/>
      </xdr:nvSpPr>
      <xdr:spPr>
        <a:xfrm flipV="1">
          <a:off x="9414000" y="4609800"/>
          <a:ext cx="360" cy="1363680"/>
        </a:xfrm>
        <a:custGeom>
          <a:avLst/>
          <a:gdLst/>
          <a:ahLst/>
          <a:cxnLst/>
          <a:rect l="l" t="t" r="r" b="b"/>
          <a:pathLst>
            <a:path w="21600" h="21600">
              <a:moveTo>
                <a:pt x="0" y="0"/>
              </a:moveTo>
              <a:lnTo>
                <a:pt x="21600" y="21600"/>
              </a:lnTo>
            </a:path>
          </a:pathLst>
        </a:custGeom>
        <a:noFill/>
        <a:ln>
          <a:solidFill>
            <a:srgbClr val="000000"/>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16</xdr:col>
      <xdr:colOff>495000</xdr:colOff>
      <xdr:row>34</xdr:row>
      <xdr:rowOff>182880</xdr:rowOff>
    </xdr:from>
    <xdr:to>
      <xdr:col>18</xdr:col>
      <xdr:colOff>449280</xdr:colOff>
      <xdr:row>37</xdr:row>
      <xdr:rowOff>15120</xdr:rowOff>
    </xdr:to>
    <xdr:sp macro="" textlink="">
      <xdr:nvSpPr>
        <xdr:cNvPr id="9" name="Straight Connector 25">
          <a:extLst>
            <a:ext uri="{FF2B5EF4-FFF2-40B4-BE49-F238E27FC236}">
              <a16:creationId xmlns:a16="http://schemas.microsoft.com/office/drawing/2014/main" id="{00000000-0008-0000-0300-000009000000}"/>
            </a:ext>
          </a:extLst>
        </xdr:cNvPr>
        <xdr:cNvSpPr/>
      </xdr:nvSpPr>
      <xdr:spPr>
        <a:xfrm flipV="1">
          <a:off x="16601040" y="5326200"/>
          <a:ext cx="1200240" cy="556200"/>
        </a:xfrm>
        <a:prstGeom prst="line">
          <a:avLst/>
        </a:prstGeom>
        <a:ln w="19050">
          <a:solidFill>
            <a:srgbClr val="ED7D31">
              <a:lumMod val="75000"/>
            </a:srgbClr>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17</xdr:col>
      <xdr:colOff>472320</xdr:colOff>
      <xdr:row>35</xdr:row>
      <xdr:rowOff>75960</xdr:rowOff>
    </xdr:from>
    <xdr:to>
      <xdr:col>19</xdr:col>
      <xdr:colOff>472320</xdr:colOff>
      <xdr:row>37</xdr:row>
      <xdr:rowOff>159840</xdr:rowOff>
    </xdr:to>
    <xdr:sp macro="" textlink="">
      <xdr:nvSpPr>
        <xdr:cNvPr id="10" name="Straight Connector 26">
          <a:extLst>
            <a:ext uri="{FF2B5EF4-FFF2-40B4-BE49-F238E27FC236}">
              <a16:creationId xmlns:a16="http://schemas.microsoft.com/office/drawing/2014/main" id="{00000000-0008-0000-0300-00000A000000}"/>
            </a:ext>
          </a:extLst>
        </xdr:cNvPr>
        <xdr:cNvSpPr/>
      </xdr:nvSpPr>
      <xdr:spPr>
        <a:xfrm flipV="1">
          <a:off x="17201160" y="5460480"/>
          <a:ext cx="1245960" cy="566640"/>
        </a:xfrm>
        <a:prstGeom prst="line">
          <a:avLst/>
        </a:prstGeom>
        <a:ln w="19050">
          <a:solidFill>
            <a:srgbClr val="92D050"/>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17</xdr:col>
      <xdr:colOff>37800</xdr:colOff>
      <xdr:row>35</xdr:row>
      <xdr:rowOff>106560</xdr:rowOff>
    </xdr:from>
    <xdr:to>
      <xdr:col>18</xdr:col>
      <xdr:colOff>601920</xdr:colOff>
      <xdr:row>37</xdr:row>
      <xdr:rowOff>167400</xdr:rowOff>
    </xdr:to>
    <xdr:sp macro="" textlink="">
      <xdr:nvSpPr>
        <xdr:cNvPr id="11" name="Straight Connector 30">
          <a:extLst>
            <a:ext uri="{FF2B5EF4-FFF2-40B4-BE49-F238E27FC236}">
              <a16:creationId xmlns:a16="http://schemas.microsoft.com/office/drawing/2014/main" id="{00000000-0008-0000-0300-00000B000000}"/>
            </a:ext>
          </a:extLst>
        </xdr:cNvPr>
        <xdr:cNvSpPr/>
      </xdr:nvSpPr>
      <xdr:spPr>
        <a:xfrm flipV="1">
          <a:off x="16766640" y="5491080"/>
          <a:ext cx="1187280" cy="543600"/>
        </a:xfrm>
        <a:prstGeom prst="line">
          <a:avLst/>
        </a:prstGeom>
        <a:ln w="19050">
          <a:solidFill>
            <a:srgbClr val="ED7D31">
              <a:lumMod val="75000"/>
            </a:srgbClr>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18</xdr:col>
      <xdr:colOff>15120</xdr:colOff>
      <xdr:row>36</xdr:row>
      <xdr:rowOff>0</xdr:rowOff>
    </xdr:from>
    <xdr:to>
      <xdr:col>20</xdr:col>
      <xdr:colOff>15120</xdr:colOff>
      <xdr:row>38</xdr:row>
      <xdr:rowOff>83520</xdr:rowOff>
    </xdr:to>
    <xdr:sp macro="" textlink="">
      <xdr:nvSpPr>
        <xdr:cNvPr id="12" name="Straight Connector 31">
          <a:extLst>
            <a:ext uri="{FF2B5EF4-FFF2-40B4-BE49-F238E27FC236}">
              <a16:creationId xmlns:a16="http://schemas.microsoft.com/office/drawing/2014/main" id="{00000000-0008-0000-0300-00000C000000}"/>
            </a:ext>
          </a:extLst>
        </xdr:cNvPr>
        <xdr:cNvSpPr/>
      </xdr:nvSpPr>
      <xdr:spPr>
        <a:xfrm flipV="1">
          <a:off x="17367120" y="5626080"/>
          <a:ext cx="1245600" cy="565920"/>
        </a:xfrm>
        <a:prstGeom prst="line">
          <a:avLst/>
        </a:prstGeom>
        <a:ln w="19050">
          <a:solidFill>
            <a:srgbClr val="92D050"/>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editAs="oneCell">
    <xdr:from>
      <xdr:col>16</xdr:col>
      <xdr:colOff>66600</xdr:colOff>
      <xdr:row>74</xdr:row>
      <xdr:rowOff>9360</xdr:rowOff>
    </xdr:from>
    <xdr:to>
      <xdr:col>25</xdr:col>
      <xdr:colOff>554040</xdr:colOff>
      <xdr:row>96</xdr:row>
      <xdr:rowOff>100440</xdr:rowOff>
    </xdr:to>
    <xdr:graphicFrame macro="">
      <xdr:nvGraphicFramePr>
        <xdr:cNvPr id="13" name="Chart 17">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75</xdr:row>
      <xdr:rowOff>0</xdr:rowOff>
    </xdr:from>
    <xdr:to>
      <xdr:col>14</xdr:col>
      <xdr:colOff>487440</xdr:colOff>
      <xdr:row>97</xdr:row>
      <xdr:rowOff>91080</xdr:rowOff>
    </xdr:to>
    <xdr:graphicFrame macro="">
      <xdr:nvGraphicFramePr>
        <xdr:cNvPr id="14" name="Chart 19">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sts" displayName="Costs" ref="A25:C28" totalsRowShown="0">
  <autoFilter ref="A25:C28" xr:uid="{00000000-0009-0000-0100-000001000000}"/>
  <tableColumns count="3">
    <tableColumn id="1" xr3:uid="{00000000-0010-0000-0100-000001000000}" name="Costs"/>
    <tableColumn id="2" xr3:uid="{00000000-0010-0000-0100-000002000000}" name="1. Standard house"/>
    <tableColumn id="3" xr3:uid="{00000000-0010-0000-0100-000003000000}" name="2. Well insulated hou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on_renewable_primary_energy" displayName="Non_renewable_primary_energy" ref="A19:C23" totalsRowShown="0">
  <autoFilter ref="A19:C23" xr:uid="{00000000-0009-0000-0100-000003000000}"/>
  <tableColumns count="3">
    <tableColumn id="1" xr3:uid="{00000000-0010-0000-0200-000001000000}" name="Non renewable primary energy"/>
    <tableColumn id="2" xr3:uid="{00000000-0010-0000-0200-000002000000}" name="1. Standard house"/>
    <tableColumn id="3" xr3:uid="{00000000-0010-0000-0200-000003000000}" name="2. Well insulated hous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arameters_and_Values" displayName="Parameters_and_Values" ref="A15:B17" totalsRowShown="0">
  <autoFilter ref="A15:B17" xr:uid="{00000000-0009-0000-0100-000004000000}"/>
  <tableColumns count="2">
    <tableColumn id="1" xr3:uid="{00000000-0010-0000-0300-000001000000}" name="Paramaters"/>
    <tableColumn id="2" xr3:uid="{00000000-0010-0000-0300-000002000000}" name="Valu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4"/>
  <sheetViews>
    <sheetView zoomScaleNormal="100" workbookViewId="0">
      <selection activeCell="F18" sqref="F18"/>
    </sheetView>
  </sheetViews>
  <sheetFormatPr baseColWidth="10" defaultColWidth="30.6640625" defaultRowHeight="20" x14ac:dyDescent="0.2"/>
  <cols>
    <col min="1" max="1" width="46.33203125" style="1" customWidth="1"/>
    <col min="2" max="2" width="24.33203125" style="1" customWidth="1"/>
    <col min="3" max="3" width="13.33203125" style="1" customWidth="1"/>
    <col min="4" max="4" width="22.33203125" style="1" customWidth="1"/>
    <col min="5" max="6" width="23.6640625" style="1" customWidth="1"/>
    <col min="7" max="7" width="22.5" style="1" customWidth="1"/>
    <col min="8" max="8" width="25.33203125" style="1" customWidth="1"/>
    <col min="9" max="9" width="23.6640625" style="1" customWidth="1"/>
    <col min="10" max="1024" width="30.6640625" style="1"/>
  </cols>
  <sheetData>
    <row r="1" spans="1:9" s="6" customFormat="1" ht="63" x14ac:dyDescent="0.2">
      <c r="A1" s="2" t="s">
        <v>0</v>
      </c>
      <c r="B1" s="3" t="s">
        <v>1</v>
      </c>
      <c r="C1" s="4" t="s">
        <v>2</v>
      </c>
      <c r="D1" s="3" t="s">
        <v>3</v>
      </c>
      <c r="E1" s="4" t="s">
        <v>4</v>
      </c>
      <c r="F1" s="3" t="s">
        <v>5</v>
      </c>
      <c r="G1" s="3" t="s">
        <v>6</v>
      </c>
      <c r="H1" s="5" t="s">
        <v>7</v>
      </c>
      <c r="I1" s="3" t="s">
        <v>5</v>
      </c>
    </row>
    <row r="2" spans="1:9" x14ac:dyDescent="0.2">
      <c r="A2" s="7" t="s">
        <v>8</v>
      </c>
      <c r="B2" s="8"/>
      <c r="C2" s="9"/>
      <c r="D2" s="8"/>
      <c r="E2" s="9"/>
      <c r="F2" s="8"/>
      <c r="G2" s="8"/>
      <c r="H2" s="10"/>
      <c r="I2" s="8"/>
    </row>
    <row r="3" spans="1:9" x14ac:dyDescent="0.2">
      <c r="A3" s="11" t="s">
        <v>9</v>
      </c>
      <c r="B3" s="12">
        <v>0.01</v>
      </c>
      <c r="C3" s="13" t="s">
        <v>10</v>
      </c>
      <c r="D3" s="14">
        <v>60</v>
      </c>
      <c r="E3" s="13">
        <f>D3*$B3</f>
        <v>0.6</v>
      </c>
      <c r="F3" s="15">
        <f>E3/E$21</f>
        <v>0.35271908566193699</v>
      </c>
      <c r="G3" s="14">
        <v>4</v>
      </c>
      <c r="H3" s="16">
        <f>G3*$B3</f>
        <v>0.04</v>
      </c>
      <c r="I3" s="17">
        <f>H3/H$21</f>
        <v>0.37838146034510456</v>
      </c>
    </row>
    <row r="4" spans="1:9" x14ac:dyDescent="0.2">
      <c r="A4" s="11" t="s">
        <v>11</v>
      </c>
      <c r="B4" s="14">
        <v>1E-4</v>
      </c>
      <c r="C4" s="13" t="s">
        <v>12</v>
      </c>
      <c r="D4" s="14">
        <v>9</v>
      </c>
      <c r="E4" s="13">
        <f>D4*$B4</f>
        <v>9.0000000000000008E-4</v>
      </c>
      <c r="F4" s="17">
        <f>E4/E$21</f>
        <v>5.2907862849290561E-4</v>
      </c>
      <c r="G4" s="14">
        <v>2.1</v>
      </c>
      <c r="H4" s="16">
        <f>G4*$B4</f>
        <v>2.1000000000000001E-4</v>
      </c>
      <c r="I4" s="17">
        <f>H4/H$21</f>
        <v>1.9865026668117992E-3</v>
      </c>
    </row>
    <row r="5" spans="1:9" x14ac:dyDescent="0.2">
      <c r="A5" s="11" t="s">
        <v>13</v>
      </c>
      <c r="B5" s="14">
        <f>2/(2*365*5)</f>
        <v>5.4794520547945202E-4</v>
      </c>
      <c r="C5" s="13" t="s">
        <v>10</v>
      </c>
      <c r="D5" s="14">
        <v>75</v>
      </c>
      <c r="E5" s="18">
        <f>D5*$B5</f>
        <v>4.1095890410958902E-2</v>
      </c>
      <c r="F5" s="17">
        <f>E5/E$21</f>
        <v>2.4158841483694314E-2</v>
      </c>
      <c r="G5" s="14">
        <v>1.9</v>
      </c>
      <c r="H5" s="16">
        <f>G5*$B5</f>
        <v>1.0410958904109589E-3</v>
      </c>
      <c r="I5" s="17">
        <f>H5/H$21</f>
        <v>9.8482845843246396E-3</v>
      </c>
    </row>
    <row r="6" spans="1:9" x14ac:dyDescent="0.2">
      <c r="A6" s="11" t="s">
        <v>14</v>
      </c>
      <c r="B6" s="19">
        <f>0.008/2</f>
        <v>4.0000000000000001E-3</v>
      </c>
      <c r="C6" s="13" t="s">
        <v>10</v>
      </c>
      <c r="D6" s="14">
        <v>20</v>
      </c>
      <c r="E6" s="13">
        <f>D6*$B6</f>
        <v>0.08</v>
      </c>
      <c r="F6" s="17">
        <f>E6/E$21</f>
        <v>4.7029211421591603E-2</v>
      </c>
      <c r="G6" s="14">
        <v>1</v>
      </c>
      <c r="H6" s="16">
        <f>G6*$B6</f>
        <v>4.0000000000000001E-3</v>
      </c>
      <c r="I6" s="17">
        <f>H6/H$21</f>
        <v>3.783814603451046E-2</v>
      </c>
    </row>
    <row r="7" spans="1:9" x14ac:dyDescent="0.2">
      <c r="A7" s="11" t="s">
        <v>15</v>
      </c>
      <c r="B7" s="14">
        <v>2E-3</v>
      </c>
      <c r="C7" s="13" t="s">
        <v>10</v>
      </c>
      <c r="D7" s="14">
        <v>160</v>
      </c>
      <c r="E7" s="13">
        <f>D7*$B7</f>
        <v>0.32</v>
      </c>
      <c r="F7" s="15">
        <f>E7/E$21</f>
        <v>0.18811684568636641</v>
      </c>
      <c r="G7" s="14">
        <v>9.5500000000000007</v>
      </c>
      <c r="H7" s="16">
        <f>G7*$B7</f>
        <v>1.9100000000000002E-2</v>
      </c>
      <c r="I7" s="17">
        <f>H7/H$21</f>
        <v>0.18067714731478746</v>
      </c>
    </row>
    <row r="8" spans="1:9" x14ac:dyDescent="0.2">
      <c r="A8" s="7" t="s">
        <v>16</v>
      </c>
      <c r="B8" s="20"/>
      <c r="C8" s="21"/>
      <c r="D8" s="20"/>
      <c r="E8" s="21"/>
      <c r="F8" s="20"/>
      <c r="G8" s="20"/>
      <c r="H8" s="22"/>
      <c r="I8" s="20"/>
    </row>
    <row r="9" spans="1:9" x14ac:dyDescent="0.2">
      <c r="A9" s="11" t="s">
        <v>17</v>
      </c>
      <c r="B9" s="12">
        <v>0.01</v>
      </c>
      <c r="C9" s="13" t="s">
        <v>10</v>
      </c>
      <c r="D9" s="14">
        <v>6</v>
      </c>
      <c r="E9" s="13">
        <f>D9*$B9</f>
        <v>0.06</v>
      </c>
      <c r="F9" s="17">
        <f>E9/E$21</f>
        <v>3.5271908566193701E-2</v>
      </c>
      <c r="G9" s="14">
        <v>0.3</v>
      </c>
      <c r="H9" s="16">
        <f>G9*$B9</f>
        <v>3.0000000000000001E-3</v>
      </c>
      <c r="I9" s="17">
        <f>H9/H$21</f>
        <v>2.8378609525882843E-2</v>
      </c>
    </row>
    <row r="10" spans="1:9" x14ac:dyDescent="0.2">
      <c r="A10" s="11" t="s">
        <v>18</v>
      </c>
      <c r="B10" s="14">
        <f>2/(2*365*5)</f>
        <v>5.4794520547945202E-4</v>
      </c>
      <c r="C10" s="13" t="s">
        <v>10</v>
      </c>
      <c r="D10" s="14">
        <v>27</v>
      </c>
      <c r="E10" s="18">
        <f>D10*$B10</f>
        <v>1.4794520547945205E-2</v>
      </c>
      <c r="F10" s="17">
        <f>E10/E$21</f>
        <v>8.6971829341299534E-3</v>
      </c>
      <c r="G10" s="14">
        <v>1.3</v>
      </c>
      <c r="H10" s="16">
        <f>G10*$B10</f>
        <v>7.1232876712328766E-4</v>
      </c>
      <c r="I10" s="17">
        <f>H10/H$21</f>
        <v>6.738299978748437E-3</v>
      </c>
    </row>
    <row r="11" spans="1:9" x14ac:dyDescent="0.2">
      <c r="A11" s="7" t="s">
        <v>19</v>
      </c>
      <c r="B11" s="20"/>
      <c r="C11" s="21"/>
      <c r="D11" s="20"/>
      <c r="E11" s="21"/>
      <c r="F11" s="20"/>
      <c r="G11" s="20"/>
      <c r="H11" s="22"/>
      <c r="I11" s="20"/>
    </row>
    <row r="12" spans="1:9" x14ac:dyDescent="0.2">
      <c r="A12" s="11" t="s">
        <v>20</v>
      </c>
      <c r="B12" s="14">
        <f>0.01*4200/B22</f>
        <v>4.2000000000000003E-2</v>
      </c>
      <c r="C12" s="13" t="s">
        <v>21</v>
      </c>
      <c r="D12" s="14">
        <v>0.13</v>
      </c>
      <c r="E12" s="18">
        <f>D12*$B12</f>
        <v>5.4600000000000004E-3</v>
      </c>
      <c r="F12" s="17">
        <f>E12/E$21</f>
        <v>3.2097436795236272E-3</v>
      </c>
      <c r="G12" s="14">
        <v>0.09</v>
      </c>
      <c r="H12" s="16">
        <f>G12*$B12</f>
        <v>3.7799999999999999E-3</v>
      </c>
      <c r="I12" s="17">
        <f>H12/H$21</f>
        <v>3.5757048002612382E-2</v>
      </c>
    </row>
    <row r="13" spans="1:9" x14ac:dyDescent="0.2">
      <c r="A13" s="11" t="s">
        <v>22</v>
      </c>
      <c r="B13" s="14">
        <f>0.01*3500/B22</f>
        <v>3.5000000000000003E-2</v>
      </c>
      <c r="C13" s="13" t="s">
        <v>21</v>
      </c>
      <c r="D13" s="14">
        <v>2.6</v>
      </c>
      <c r="E13" s="18">
        <f>D13*$B13</f>
        <v>9.1000000000000011E-2</v>
      </c>
      <c r="F13" s="17">
        <f>E13/E$21</f>
        <v>5.3495727992060454E-2</v>
      </c>
      <c r="G13" s="14">
        <v>0.15</v>
      </c>
      <c r="H13" s="16">
        <f>G13*$B13</f>
        <v>5.2500000000000003E-3</v>
      </c>
      <c r="I13" s="17">
        <f>H13/H$21</f>
        <v>4.9662566670294978E-2</v>
      </c>
    </row>
    <row r="14" spans="1:9" x14ac:dyDescent="0.2">
      <c r="A14" s="7" t="s">
        <v>23</v>
      </c>
      <c r="B14" s="20"/>
      <c r="C14" s="21"/>
      <c r="D14" s="20"/>
      <c r="E14" s="21"/>
      <c r="F14" s="20"/>
      <c r="G14" s="20"/>
      <c r="H14" s="22"/>
      <c r="I14" s="20"/>
    </row>
    <row r="15" spans="1:9" x14ac:dyDescent="0.2">
      <c r="A15" s="11" t="s">
        <v>24</v>
      </c>
      <c r="B15" s="14">
        <v>1.2E-2</v>
      </c>
      <c r="C15" s="13" t="s">
        <v>25</v>
      </c>
      <c r="D15" s="14">
        <v>12.1</v>
      </c>
      <c r="E15" s="13">
        <f>D15*$B15</f>
        <v>0.1452</v>
      </c>
      <c r="F15" s="15">
        <f>E15/E$21</f>
        <v>8.5358018730188751E-2</v>
      </c>
      <c r="G15" s="14">
        <v>0.71</v>
      </c>
      <c r="H15" s="16">
        <f>G15*$B15</f>
        <v>8.5199999999999998E-3</v>
      </c>
      <c r="I15" s="17">
        <f>H15/H$21</f>
        <v>8.0595251053507275E-2</v>
      </c>
    </row>
    <row r="16" spans="1:9" x14ac:dyDescent="0.2">
      <c r="A16" s="11" t="s">
        <v>26</v>
      </c>
      <c r="B16" s="14">
        <v>2.8000000000000001E-2</v>
      </c>
      <c r="C16" s="13" t="s">
        <v>25</v>
      </c>
      <c r="D16" s="14">
        <v>12.1</v>
      </c>
      <c r="E16" s="13">
        <f>D16*$B16</f>
        <v>0.33879999999999999</v>
      </c>
      <c r="F16" s="15">
        <f>E16/E$21</f>
        <v>0.19916871037044043</v>
      </c>
      <c r="G16" s="14">
        <v>0.71</v>
      </c>
      <c r="H16" s="16">
        <f>G16*$B16</f>
        <v>1.9879999999999998E-2</v>
      </c>
      <c r="I16" s="17">
        <f>H16/H$21</f>
        <v>0.18805558579151696</v>
      </c>
    </row>
    <row r="17" spans="1:9" x14ac:dyDescent="0.2">
      <c r="A17" s="7" t="s">
        <v>27</v>
      </c>
      <c r="B17" s="20"/>
      <c r="C17" s="21"/>
      <c r="D17" s="20"/>
      <c r="E17" s="21"/>
      <c r="F17" s="20"/>
      <c r="G17" s="20"/>
      <c r="H17" s="22"/>
      <c r="I17" s="20"/>
    </row>
    <row r="18" spans="1:9" x14ac:dyDescent="0.2">
      <c r="A18" s="11" t="s">
        <v>28</v>
      </c>
      <c r="B18" s="14">
        <v>8.0000000000000002E-3</v>
      </c>
      <c r="C18" s="13" t="s">
        <v>10</v>
      </c>
      <c r="D18" s="14">
        <v>0.3</v>
      </c>
      <c r="E18" s="13">
        <f>D18*$B18</f>
        <v>2.3999999999999998E-3</v>
      </c>
      <c r="F18" s="17">
        <f>E18/E$21</f>
        <v>1.410876342647748E-3</v>
      </c>
      <c r="G18" s="14">
        <v>0.02</v>
      </c>
      <c r="H18" s="16">
        <f>G18*$B18</f>
        <v>1.6000000000000001E-4</v>
      </c>
      <c r="I18" s="17">
        <f>H18/H$21</f>
        <v>1.5135258413804184E-3</v>
      </c>
    </row>
    <row r="19" spans="1:9" x14ac:dyDescent="0.2">
      <c r="A19" s="23" t="s">
        <v>15</v>
      </c>
      <c r="B19" s="14">
        <v>2E-3</v>
      </c>
      <c r="C19" s="24" t="s">
        <v>10</v>
      </c>
      <c r="D19" s="25">
        <v>0.71</v>
      </c>
      <c r="E19" s="24">
        <f>D19*$B19</f>
        <v>1.42E-3</v>
      </c>
      <c r="F19" s="17">
        <f>E19/E$21</f>
        <v>8.3476850273325092E-4</v>
      </c>
      <c r="G19" s="25">
        <v>0.03</v>
      </c>
      <c r="H19" s="26">
        <f>G19*$B19</f>
        <v>6.0000000000000002E-5</v>
      </c>
      <c r="I19" s="17">
        <f>H19/H$21</f>
        <v>5.675721905176569E-4</v>
      </c>
    </row>
    <row r="20" spans="1:9" x14ac:dyDescent="0.2">
      <c r="A20" s="7" t="s">
        <v>29</v>
      </c>
      <c r="B20" s="20"/>
      <c r="C20" s="21"/>
      <c r="D20" s="20"/>
      <c r="E20" s="21"/>
      <c r="F20" s="20"/>
      <c r="G20" s="20"/>
      <c r="H20" s="22"/>
      <c r="I20" s="20"/>
    </row>
    <row r="21" spans="1:9" x14ac:dyDescent="0.2">
      <c r="A21" s="27" t="s">
        <v>29</v>
      </c>
      <c r="B21" s="28"/>
      <c r="C21" s="29"/>
      <c r="D21" s="28"/>
      <c r="E21" s="30">
        <f>SUM(E3:E19)</f>
        <v>1.7010704109589039</v>
      </c>
      <c r="F21" s="31"/>
      <c r="G21" s="31"/>
      <c r="H21" s="32">
        <f>SUM(H3:H19)</f>
        <v>0.10571342465753426</v>
      </c>
      <c r="I21" s="31"/>
    </row>
    <row r="22" spans="1:9" x14ac:dyDescent="0.2">
      <c r="A22" s="1" t="s">
        <v>30</v>
      </c>
      <c r="B22" s="33">
        <v>1000</v>
      </c>
      <c r="C22" s="33"/>
      <c r="D22" s="33"/>
      <c r="E22" s="33"/>
      <c r="F22" s="33"/>
      <c r="G22" s="33"/>
      <c r="H22" s="33"/>
      <c r="I22" s="33"/>
    </row>
    <row r="23" spans="1:9" x14ac:dyDescent="0.2">
      <c r="B23" s="33"/>
      <c r="C23" s="33"/>
      <c r="D23" s="33"/>
      <c r="E23" s="33"/>
      <c r="F23" s="33"/>
      <c r="G23" s="33"/>
      <c r="H23" s="33"/>
      <c r="I23" s="33"/>
    </row>
    <row r="24" spans="1:9" x14ac:dyDescent="0.2">
      <c r="B24" s="33"/>
      <c r="C24" s="33"/>
      <c r="D24" s="33"/>
      <c r="E24" s="33"/>
      <c r="F24" s="33"/>
      <c r="G24" s="33"/>
      <c r="H24" s="33"/>
      <c r="I24" s="33"/>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tabSelected="1" zoomScaleNormal="100" workbookViewId="0">
      <selection activeCell="A18" sqref="A18"/>
    </sheetView>
  </sheetViews>
  <sheetFormatPr baseColWidth="10" defaultColWidth="10.5" defaultRowHeight="15" x14ac:dyDescent="0.2"/>
  <cols>
    <col min="1" max="1" width="85.33203125" customWidth="1"/>
  </cols>
  <sheetData>
    <row r="1" spans="1:5" x14ac:dyDescent="0.2">
      <c r="A1" t="s">
        <v>31</v>
      </c>
    </row>
    <row r="2" spans="1:5" ht="19" x14ac:dyDescent="0.25">
      <c r="A2" s="34" t="s">
        <v>32</v>
      </c>
      <c r="B2" s="35"/>
      <c r="C2" s="35"/>
      <c r="D2" s="36"/>
      <c r="E2" s="36"/>
    </row>
    <row r="3" spans="1:5" ht="60" x14ac:dyDescent="0.25">
      <c r="A3" s="38" t="s">
        <v>34</v>
      </c>
      <c r="B3" s="37"/>
      <c r="C3" s="37"/>
      <c r="D3" s="36"/>
    </row>
    <row r="4" spans="1:5" ht="19" x14ac:dyDescent="0.25">
      <c r="A4" s="34" t="s">
        <v>33</v>
      </c>
      <c r="B4" s="37"/>
      <c r="C4" s="37"/>
      <c r="D4" s="36"/>
    </row>
    <row r="5" spans="1:5" ht="100" x14ac:dyDescent="0.25">
      <c r="A5" s="38" t="s">
        <v>35</v>
      </c>
      <c r="B5" s="37"/>
      <c r="C5" s="37"/>
      <c r="D5" s="36"/>
    </row>
    <row r="6" spans="1:5" ht="19" x14ac:dyDescent="0.25">
      <c r="B6" s="37"/>
      <c r="C6" s="37"/>
      <c r="D6" s="36"/>
    </row>
    <row r="7" spans="1:5" x14ac:dyDescent="0.2">
      <c r="B7" s="39"/>
      <c r="C7" s="39"/>
      <c r="D7" s="36"/>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topLeftCell="A14" zoomScale="80" zoomScaleNormal="80" workbookViewId="0">
      <selection activeCell="P28" sqref="P28"/>
    </sheetView>
  </sheetViews>
  <sheetFormatPr baseColWidth="10" defaultColWidth="8.83203125" defaultRowHeight="19" x14ac:dyDescent="0.25"/>
  <cols>
    <col min="1" max="1" width="65.6640625" style="40" customWidth="1"/>
    <col min="2" max="2" width="21.1640625" style="41" customWidth="1"/>
    <col min="3" max="3" width="26.6640625" style="41" customWidth="1"/>
  </cols>
  <sheetData>
    <row r="1" spans="1:38" hidden="1" x14ac:dyDescent="0.25"/>
    <row r="2" spans="1:38" hidden="1" x14ac:dyDescent="0.25"/>
    <row r="3" spans="1:38" hidden="1" x14ac:dyDescent="0.25"/>
    <row r="4" spans="1:38" hidden="1" x14ac:dyDescent="0.25"/>
    <row r="5" spans="1:38" hidden="1" x14ac:dyDescent="0.25"/>
    <row r="6" spans="1:38" hidden="1" x14ac:dyDescent="0.25"/>
    <row r="7" spans="1:38" hidden="1" x14ac:dyDescent="0.25"/>
    <row r="8" spans="1:38" hidden="1" x14ac:dyDescent="0.25"/>
    <row r="9" spans="1:38" hidden="1" x14ac:dyDescent="0.25"/>
    <row r="10" spans="1:38" hidden="1" x14ac:dyDescent="0.25"/>
    <row r="11" spans="1:38" hidden="1" x14ac:dyDescent="0.25"/>
    <row r="12" spans="1:38" hidden="1" x14ac:dyDescent="0.25"/>
    <row r="13" spans="1:38" hidden="1" x14ac:dyDescent="0.25"/>
    <row r="15" spans="1:38" x14ac:dyDescent="0.25">
      <c r="A15" s="42" t="s">
        <v>36</v>
      </c>
      <c r="B15" s="43" t="s">
        <v>37</v>
      </c>
      <c r="AJ15" s="44">
        <v>0</v>
      </c>
      <c r="AK15" s="44">
        <v>0</v>
      </c>
      <c r="AL15" s="44">
        <v>0</v>
      </c>
    </row>
    <row r="16" spans="1:38" x14ac:dyDescent="0.25">
      <c r="A16" s="45" t="s">
        <v>38</v>
      </c>
      <c r="B16" s="46">
        <v>50</v>
      </c>
      <c r="AJ16" s="44">
        <v>0</v>
      </c>
      <c r="AK16" s="44">
        <v>0</v>
      </c>
      <c r="AL16" s="44">
        <v>0</v>
      </c>
    </row>
    <row r="17" spans="1:38" x14ac:dyDescent="0.25">
      <c r="A17" s="47" t="s">
        <v>39</v>
      </c>
      <c r="B17" s="48">
        <v>0.01</v>
      </c>
      <c r="AJ17" s="44"/>
      <c r="AK17" s="44"/>
      <c r="AL17" s="44"/>
    </row>
    <row r="18" spans="1:38" x14ac:dyDescent="0.25">
      <c r="AJ18" s="44">
        <v>0</v>
      </c>
      <c r="AK18" s="44">
        <v>0</v>
      </c>
      <c r="AL18" s="44">
        <v>0</v>
      </c>
    </row>
    <row r="19" spans="1:38" x14ac:dyDescent="0.25">
      <c r="A19" s="49" t="s">
        <v>40</v>
      </c>
      <c r="B19" s="50" t="s">
        <v>41</v>
      </c>
      <c r="C19" s="51" t="s">
        <v>42</v>
      </c>
      <c r="AJ19" s="44">
        <v>0</v>
      </c>
      <c r="AK19" s="44">
        <v>0</v>
      </c>
      <c r="AL19" s="44">
        <v>0</v>
      </c>
    </row>
    <row r="20" spans="1:38" x14ac:dyDescent="0.25">
      <c r="A20" s="52" t="s">
        <v>43</v>
      </c>
      <c r="B20" s="53">
        <v>50</v>
      </c>
      <c r="C20" s="54">
        <v>20</v>
      </c>
      <c r="AJ20" s="44"/>
      <c r="AK20" s="44"/>
      <c r="AL20" s="44"/>
    </row>
    <row r="21" spans="1:38" x14ac:dyDescent="0.25">
      <c r="A21" s="45" t="s">
        <v>44</v>
      </c>
      <c r="B21" s="55">
        <v>400</v>
      </c>
      <c r="C21" s="56">
        <v>800</v>
      </c>
      <c r="AJ21" s="44"/>
      <c r="AK21" s="44"/>
      <c r="AL21" s="44"/>
    </row>
    <row r="22" spans="1:38" x14ac:dyDescent="0.25">
      <c r="A22" s="45" t="s">
        <v>45</v>
      </c>
      <c r="B22" s="57"/>
      <c r="C22" s="58"/>
      <c r="AJ22" s="44">
        <v>0</v>
      </c>
      <c r="AK22" s="44">
        <v>0</v>
      </c>
      <c r="AL22" s="44">
        <v>0</v>
      </c>
    </row>
    <row r="23" spans="1:38" x14ac:dyDescent="0.25">
      <c r="A23" s="47" t="s">
        <v>46</v>
      </c>
      <c r="B23" s="59"/>
      <c r="C23" s="60"/>
      <c r="AJ23" s="44">
        <v>0</v>
      </c>
      <c r="AK23" s="44">
        <v>0</v>
      </c>
      <c r="AL23" s="44">
        <v>0</v>
      </c>
    </row>
    <row r="25" spans="1:38" x14ac:dyDescent="0.25">
      <c r="A25" s="49" t="s">
        <v>47</v>
      </c>
      <c r="B25" s="50" t="s">
        <v>41</v>
      </c>
      <c r="C25" s="51" t="s">
        <v>42</v>
      </c>
    </row>
    <row r="26" spans="1:38" x14ac:dyDescent="0.25">
      <c r="A26" s="52" t="s">
        <v>48</v>
      </c>
      <c r="B26" s="53">
        <v>200</v>
      </c>
      <c r="C26" s="54">
        <v>210</v>
      </c>
    </row>
    <row r="27" spans="1:38" x14ac:dyDescent="0.25">
      <c r="A27" s="45" t="s">
        <v>49</v>
      </c>
      <c r="B27" s="57"/>
      <c r="C27" s="58"/>
    </row>
    <row r="28" spans="1:38" x14ac:dyDescent="0.25">
      <c r="A28" s="47" t="s">
        <v>50</v>
      </c>
      <c r="B28" s="59"/>
      <c r="C28" s="60"/>
    </row>
    <row r="40" spans="7:18" x14ac:dyDescent="0.25">
      <c r="G40" s="61" t="s">
        <v>51</v>
      </c>
      <c r="R40" s="61" t="s">
        <v>52</v>
      </c>
    </row>
    <row r="73" spans="7:17" x14ac:dyDescent="0.25">
      <c r="Q73" t="s">
        <v>53</v>
      </c>
    </row>
    <row r="74" spans="7:17" x14ac:dyDescent="0.25">
      <c r="G74" t="s">
        <v>53</v>
      </c>
    </row>
  </sheetData>
  <pageMargins left="0.7" right="0.7" top="0.75" bottom="0.75" header="0.511811023622047" footer="0.511811023622047"/>
  <pageSetup orientation="portrait" horizontalDpi="300" verticalDpi="300"/>
  <drawing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Coffee</vt:lpstr>
      <vt:lpstr>Directions</vt:lpstr>
      <vt:lpstr>Q3.Housing sensitivity study&amp;E2</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Jolliet</dc:creator>
  <dc:description/>
  <cp:lastModifiedBy>Microsoft Office User</cp:lastModifiedBy>
  <cp:revision>0</cp:revision>
  <dcterms:created xsi:type="dcterms:W3CDTF">2018-03-14T16:19:16Z</dcterms:created>
  <dcterms:modified xsi:type="dcterms:W3CDTF">2022-03-14T20:58:30Z</dcterms:modified>
  <dc:language>en-US</dc:language>
</cp:coreProperties>
</file>