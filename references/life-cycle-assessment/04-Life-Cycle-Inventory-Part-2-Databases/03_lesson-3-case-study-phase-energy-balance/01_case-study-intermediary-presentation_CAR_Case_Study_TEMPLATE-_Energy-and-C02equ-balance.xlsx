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comments1.xml" ContentType="application/vnd.openxmlformats-officedocument.spreadsheetml.comments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xl/comments2.xml" ContentType="application/vnd.openxmlformats-officedocument.spreadsheetml.comment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4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ojolliet\OneDrive - Danmarks Tekniske Universitet\Jolliet UM\Teaching\MOOCs serie\Course 3 material\Case studies material\Electric versus hybrid car\"/>
    </mc:Choice>
  </mc:AlternateContent>
  <bookViews>
    <workbookView xWindow="0" yWindow="-3372" windowWidth="23040" windowHeight="15732" activeTab="2"/>
  </bookViews>
  <sheets>
    <sheet name="Gasoline and electric vehicles" sheetId="1" r:id="rId1"/>
    <sheet name="Processes" sheetId="2" r:id="rId2"/>
    <sheet name="Input for Students" sheetId="5" r:id="rId3"/>
  </sheets>
  <calcPr calcId="162913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AL3" i="1" l="1"/>
  <c r="L71" i="1"/>
  <c r="AL12" i="1" s="1"/>
  <c r="H71" i="1"/>
  <c r="AA12" i="1" s="1"/>
  <c r="E71" i="1"/>
  <c r="T12" i="1" s="1"/>
  <c r="J71" i="1" l="1"/>
  <c r="AV6" i="1"/>
  <c r="AV7" i="1"/>
  <c r="AV8" i="1"/>
  <c r="AV9" i="1"/>
  <c r="AV10" i="1"/>
  <c r="AV11" i="1"/>
  <c r="AV12" i="1"/>
  <c r="AV13" i="1"/>
  <c r="AV14" i="1"/>
  <c r="AV15" i="1"/>
  <c r="AV16" i="1"/>
  <c r="AV17" i="1"/>
  <c r="AV18" i="1"/>
  <c r="AV19" i="1"/>
  <c r="AV20" i="1"/>
  <c r="AV21" i="1"/>
  <c r="AV22" i="1"/>
  <c r="AV23" i="1"/>
  <c r="AV24" i="1"/>
  <c r="AV25" i="1"/>
  <c r="AV26" i="1"/>
  <c r="AV27" i="1"/>
  <c r="AV28" i="1"/>
  <c r="AV29" i="1"/>
  <c r="AV30" i="1"/>
  <c r="AV31" i="1"/>
  <c r="AV32" i="1"/>
  <c r="AV33" i="1"/>
  <c r="AV34" i="1"/>
  <c r="AV35" i="1"/>
  <c r="AV36" i="1"/>
  <c r="AV37" i="1"/>
  <c r="AV38" i="1"/>
  <c r="AV39" i="1"/>
  <c r="AV40" i="1"/>
  <c r="AV41" i="1"/>
  <c r="AV42" i="1"/>
  <c r="AV43" i="1"/>
  <c r="AV44" i="1"/>
  <c r="AV45" i="1"/>
  <c r="AH3" i="1" l="1"/>
  <c r="AJ3" i="1"/>
  <c r="AF3" i="1"/>
  <c r="L72" i="1"/>
  <c r="L79" i="1"/>
  <c r="L70" i="1"/>
  <c r="L69" i="1"/>
  <c r="AH10" i="1" s="1"/>
  <c r="L68" i="1"/>
  <c r="AF9" i="1" l="1"/>
  <c r="AJ11" i="1"/>
  <c r="L35" i="1" l="1"/>
  <c r="L34" i="1"/>
  <c r="AD8" i="1" s="1"/>
  <c r="H35" i="1" l="1"/>
  <c r="T16" i="1"/>
  <c r="E35" i="1"/>
  <c r="H70" i="1" l="1"/>
  <c r="H69" i="1"/>
  <c r="H68" i="1"/>
  <c r="Y10" i="1" l="1"/>
  <c r="Z11" i="1"/>
  <c r="Q106" i="1"/>
  <c r="E70" i="1"/>
  <c r="E69" i="1"/>
  <c r="E68" i="1"/>
  <c r="L56" i="1"/>
  <c r="H34" i="1"/>
  <c r="W8" i="1" s="1"/>
  <c r="L39" i="1"/>
  <c r="E34" i="1"/>
  <c r="L28" i="1"/>
  <c r="H56" i="1" l="1"/>
  <c r="H66" i="1"/>
  <c r="L66" i="1"/>
  <c r="H49" i="1"/>
  <c r="L49" i="1"/>
  <c r="H58" i="1"/>
  <c r="L58" i="1"/>
  <c r="H50" i="1"/>
  <c r="L50" i="1"/>
  <c r="H51" i="1"/>
  <c r="L51" i="1"/>
  <c r="H59" i="1"/>
  <c r="L59" i="1"/>
  <c r="H52" i="1"/>
  <c r="L52" i="1"/>
  <c r="H60" i="1"/>
  <c r="L60" i="1"/>
  <c r="H55" i="1"/>
  <c r="L55" i="1"/>
  <c r="Q9" i="1"/>
  <c r="H53" i="1"/>
  <c r="L53" i="1"/>
  <c r="H61" i="1"/>
  <c r="L61" i="1"/>
  <c r="H73" i="1"/>
  <c r="L73" i="1"/>
  <c r="L78" i="1"/>
  <c r="L57" i="1"/>
  <c r="H64" i="1"/>
  <c r="AA6" i="1" s="1"/>
  <c r="L64" i="1"/>
  <c r="H54" i="1"/>
  <c r="L54" i="1"/>
  <c r="H62" i="1"/>
  <c r="L62" i="1"/>
  <c r="H65" i="1"/>
  <c r="L65" i="1"/>
  <c r="H57" i="1"/>
  <c r="E54" i="1"/>
  <c r="P8" i="1"/>
  <c r="J35" i="1"/>
  <c r="E53" i="1"/>
  <c r="J69" i="1"/>
  <c r="R10" i="1"/>
  <c r="J70" i="1"/>
  <c r="S11" i="1"/>
  <c r="E78" i="1"/>
  <c r="E60" i="1"/>
  <c r="E62" i="1"/>
  <c r="E49" i="1"/>
  <c r="E51" i="1"/>
  <c r="E52" i="1"/>
  <c r="E61" i="1"/>
  <c r="E50" i="1"/>
  <c r="E58" i="1"/>
  <c r="E66" i="1"/>
  <c r="E55" i="1"/>
  <c r="E57" i="1"/>
  <c r="E64" i="1"/>
  <c r="E59" i="1"/>
  <c r="E65" i="1"/>
  <c r="E56" i="1"/>
  <c r="E73" i="1"/>
  <c r="J34" i="1"/>
  <c r="E39" i="1"/>
  <c r="AL6" i="1" l="1"/>
  <c r="AL5" i="1"/>
  <c r="AT5" i="1" s="1"/>
  <c r="BA5" i="1" s="1"/>
  <c r="AA5" i="1"/>
  <c r="T6" i="1"/>
  <c r="T5" i="1"/>
  <c r="H78" i="1"/>
  <c r="J78" i="1" s="1"/>
  <c r="AH5" i="1"/>
  <c r="AJ5" i="1"/>
  <c r="AF5" i="1"/>
  <c r="J53" i="1"/>
  <c r="AJ6" i="1"/>
  <c r="AH6" i="1"/>
  <c r="AF6" i="1"/>
  <c r="J58" i="1"/>
  <c r="H77" i="1"/>
  <c r="L77" i="1"/>
  <c r="H76" i="1"/>
  <c r="L76" i="1"/>
  <c r="H75" i="1"/>
  <c r="L75" i="1"/>
  <c r="J62" i="1"/>
  <c r="J50" i="1"/>
  <c r="J61" i="1"/>
  <c r="J59" i="1"/>
  <c r="J52" i="1"/>
  <c r="J51" i="1"/>
  <c r="H74" i="1"/>
  <c r="L74" i="1"/>
  <c r="E77" i="1"/>
  <c r="E74" i="1"/>
  <c r="X5" i="1"/>
  <c r="Z5" i="1"/>
  <c r="Y5" i="1"/>
  <c r="Y6" i="1"/>
  <c r="Z6" i="1"/>
  <c r="X6" i="1"/>
  <c r="S6" i="1"/>
  <c r="Q6" i="1"/>
  <c r="R6" i="1"/>
  <c r="J73" i="1"/>
  <c r="E75" i="1"/>
  <c r="E76" i="1"/>
  <c r="J57" i="1"/>
  <c r="J56" i="1"/>
  <c r="J60" i="1"/>
  <c r="J55" i="1"/>
  <c r="J66" i="1"/>
  <c r="J49" i="1"/>
  <c r="J65" i="1"/>
  <c r="J64" i="1"/>
  <c r="AT7" i="1" l="1"/>
  <c r="BA7" i="1" s="1"/>
  <c r="AT15" i="1"/>
  <c r="BA15" i="1" s="1"/>
  <c r="AT23" i="1"/>
  <c r="BA23" i="1" s="1"/>
  <c r="AT31" i="1"/>
  <c r="BA31" i="1" s="1"/>
  <c r="AT39" i="1"/>
  <c r="BA39" i="1" s="1"/>
  <c r="AT8" i="1"/>
  <c r="BA8" i="1" s="1"/>
  <c r="AT16" i="1"/>
  <c r="BA16" i="1" s="1"/>
  <c r="AT24" i="1"/>
  <c r="BA24" i="1" s="1"/>
  <c r="AT32" i="1"/>
  <c r="BA32" i="1" s="1"/>
  <c r="AT40" i="1"/>
  <c r="BA40" i="1" s="1"/>
  <c r="AT27" i="1"/>
  <c r="BA27" i="1" s="1"/>
  <c r="AT20" i="1"/>
  <c r="BA20" i="1" s="1"/>
  <c r="AT13" i="1"/>
  <c r="BA13" i="1" s="1"/>
  <c r="AT37" i="1"/>
  <c r="BA37" i="1" s="1"/>
  <c r="AT22" i="1"/>
  <c r="BA22" i="1" s="1"/>
  <c r="AT38" i="1"/>
  <c r="BA38" i="1" s="1"/>
  <c r="AT9" i="1"/>
  <c r="BA9" i="1" s="1"/>
  <c r="AT17" i="1"/>
  <c r="BA17" i="1" s="1"/>
  <c r="AT25" i="1"/>
  <c r="BA25" i="1" s="1"/>
  <c r="AT33" i="1"/>
  <c r="BA33" i="1" s="1"/>
  <c r="AT41" i="1"/>
  <c r="BA41" i="1" s="1"/>
  <c r="AT19" i="1"/>
  <c r="BA19" i="1" s="1"/>
  <c r="AT35" i="1"/>
  <c r="BA35" i="1" s="1"/>
  <c r="AT28" i="1"/>
  <c r="BA28" i="1" s="1"/>
  <c r="AT44" i="1"/>
  <c r="BA44" i="1" s="1"/>
  <c r="AT21" i="1"/>
  <c r="BA21" i="1" s="1"/>
  <c r="AT14" i="1"/>
  <c r="BA14" i="1" s="1"/>
  <c r="AT6" i="1"/>
  <c r="BA6" i="1" s="1"/>
  <c r="AT10" i="1"/>
  <c r="BA10" i="1" s="1"/>
  <c r="AT18" i="1"/>
  <c r="BA18" i="1" s="1"/>
  <c r="AT26" i="1"/>
  <c r="BA26" i="1" s="1"/>
  <c r="AT34" i="1"/>
  <c r="BA34" i="1" s="1"/>
  <c r="AT42" i="1"/>
  <c r="BA42" i="1" s="1"/>
  <c r="AT11" i="1"/>
  <c r="BA11" i="1" s="1"/>
  <c r="AT43" i="1"/>
  <c r="BA43" i="1" s="1"/>
  <c r="AT12" i="1"/>
  <c r="BA12" i="1" s="1"/>
  <c r="AT36" i="1"/>
  <c r="BA36" i="1" s="1"/>
  <c r="AT29" i="1"/>
  <c r="BA29" i="1" s="1"/>
  <c r="AT45" i="1"/>
  <c r="BA45" i="1" s="1"/>
  <c r="AT30" i="1"/>
  <c r="BA30" i="1" s="1"/>
  <c r="AL7" i="1"/>
  <c r="AL13" i="1" s="1"/>
  <c r="AA7" i="1"/>
  <c r="AA13" i="1" s="1"/>
  <c r="L81" i="1"/>
  <c r="E83" i="1"/>
  <c r="F71" i="1" s="1"/>
  <c r="T7" i="1"/>
  <c r="T13" i="1" s="1"/>
  <c r="H83" i="1"/>
  <c r="L82" i="1"/>
  <c r="L83" i="1"/>
  <c r="L80" i="1"/>
  <c r="M69" i="1" s="1"/>
  <c r="AH7" i="1"/>
  <c r="AH13" i="1" s="1"/>
  <c r="AR5" i="1"/>
  <c r="X7" i="1"/>
  <c r="J76" i="1"/>
  <c r="J77" i="1"/>
  <c r="H81" i="1"/>
  <c r="I69" i="1" s="1"/>
  <c r="AF7" i="1"/>
  <c r="AF13" i="1" s="1"/>
  <c r="AQ5" i="1"/>
  <c r="Z7" i="1"/>
  <c r="Z13" i="1" s="1"/>
  <c r="J75" i="1"/>
  <c r="Y7" i="1"/>
  <c r="Y13" i="1" s="1"/>
  <c r="H82" i="1"/>
  <c r="I70" i="1" s="1"/>
  <c r="AJ7" i="1"/>
  <c r="AJ13" i="1" s="1"/>
  <c r="AS5" i="1"/>
  <c r="E82" i="1"/>
  <c r="F70" i="1" s="1"/>
  <c r="E80" i="1"/>
  <c r="F75" i="1" s="1"/>
  <c r="E81" i="1"/>
  <c r="F69" i="1" s="1"/>
  <c r="S7" i="1"/>
  <c r="R7" i="1"/>
  <c r="J74" i="1"/>
  <c r="Q7" i="1"/>
  <c r="F83" i="1" l="1"/>
  <c r="J83" i="1"/>
  <c r="I71" i="1"/>
  <c r="M66" i="1"/>
  <c r="M49" i="1"/>
  <c r="M73" i="1"/>
  <c r="M58" i="1"/>
  <c r="M56" i="1"/>
  <c r="M83" i="1"/>
  <c r="M64" i="1"/>
  <c r="M50" i="1"/>
  <c r="M74" i="1"/>
  <c r="M76" i="1"/>
  <c r="M62" i="1"/>
  <c r="M68" i="1"/>
  <c r="M55" i="1"/>
  <c r="M70" i="1"/>
  <c r="M75" i="1"/>
  <c r="M51" i="1"/>
  <c r="M60" i="1"/>
  <c r="M71" i="1"/>
  <c r="M65" i="1"/>
  <c r="M54" i="1"/>
  <c r="M59" i="1"/>
  <c r="M77" i="1"/>
  <c r="M78" i="1"/>
  <c r="M61" i="1"/>
  <c r="M81" i="1"/>
  <c r="M53" i="1"/>
  <c r="M57" i="1"/>
  <c r="M82" i="1"/>
  <c r="M52" i="1"/>
  <c r="F74" i="1"/>
  <c r="F77" i="1"/>
  <c r="F68" i="1"/>
  <c r="F49" i="1"/>
  <c r="F56" i="1"/>
  <c r="F51" i="1"/>
  <c r="F65" i="1"/>
  <c r="F58" i="1"/>
  <c r="F73" i="1"/>
  <c r="F66" i="1"/>
  <c r="F55" i="1"/>
  <c r="F57" i="1"/>
  <c r="F54" i="1"/>
  <c r="F53" i="1"/>
  <c r="F50" i="1"/>
  <c r="F59" i="1"/>
  <c r="F52" i="1"/>
  <c r="F78" i="1"/>
  <c r="F62" i="1"/>
  <c r="F64" i="1"/>
  <c r="F61" i="1"/>
  <c r="F60" i="1"/>
  <c r="F76" i="1"/>
  <c r="AZ5" i="1"/>
  <c r="AS9" i="1"/>
  <c r="AZ9" i="1" s="1"/>
  <c r="AS17" i="1"/>
  <c r="AZ17" i="1" s="1"/>
  <c r="AS25" i="1"/>
  <c r="AZ25" i="1" s="1"/>
  <c r="AS33" i="1"/>
  <c r="AZ33" i="1" s="1"/>
  <c r="AS41" i="1"/>
  <c r="AZ41" i="1" s="1"/>
  <c r="AS27" i="1"/>
  <c r="AZ27" i="1" s="1"/>
  <c r="AS12" i="1"/>
  <c r="AZ12" i="1" s="1"/>
  <c r="AS20" i="1"/>
  <c r="AZ20" i="1" s="1"/>
  <c r="AS28" i="1"/>
  <c r="AZ28" i="1" s="1"/>
  <c r="AS36" i="1"/>
  <c r="AZ36" i="1" s="1"/>
  <c r="AS44" i="1"/>
  <c r="AZ44" i="1" s="1"/>
  <c r="AS43" i="1"/>
  <c r="AZ43" i="1" s="1"/>
  <c r="AS7" i="1"/>
  <c r="AZ7" i="1" s="1"/>
  <c r="AS15" i="1"/>
  <c r="AZ15" i="1" s="1"/>
  <c r="AS23" i="1"/>
  <c r="AZ23" i="1" s="1"/>
  <c r="AS31" i="1"/>
  <c r="AZ31" i="1" s="1"/>
  <c r="AS39" i="1"/>
  <c r="AZ39" i="1" s="1"/>
  <c r="AS10" i="1"/>
  <c r="AZ10" i="1" s="1"/>
  <c r="AS18" i="1"/>
  <c r="AZ18" i="1" s="1"/>
  <c r="AS26" i="1"/>
  <c r="AZ26" i="1" s="1"/>
  <c r="AS34" i="1"/>
  <c r="AZ34" i="1" s="1"/>
  <c r="AS42" i="1"/>
  <c r="AZ42" i="1" s="1"/>
  <c r="AS11" i="1"/>
  <c r="AZ11" i="1" s="1"/>
  <c r="AS35" i="1"/>
  <c r="AZ35" i="1" s="1"/>
  <c r="AS13" i="1"/>
  <c r="AZ13" i="1" s="1"/>
  <c r="AS21" i="1"/>
  <c r="AZ21" i="1" s="1"/>
  <c r="AS29" i="1"/>
  <c r="AZ29" i="1" s="1"/>
  <c r="AS37" i="1"/>
  <c r="AZ37" i="1" s="1"/>
  <c r="AS45" i="1"/>
  <c r="AZ45" i="1" s="1"/>
  <c r="AS8" i="1"/>
  <c r="AZ8" i="1" s="1"/>
  <c r="AS16" i="1"/>
  <c r="AZ16" i="1" s="1"/>
  <c r="AS24" i="1"/>
  <c r="AZ24" i="1" s="1"/>
  <c r="AS32" i="1"/>
  <c r="AZ32" i="1" s="1"/>
  <c r="AS40" i="1"/>
  <c r="AZ40" i="1" s="1"/>
  <c r="AS6" i="1"/>
  <c r="AZ6" i="1" s="1"/>
  <c r="AS19" i="1"/>
  <c r="AZ19" i="1" s="1"/>
  <c r="AS14" i="1"/>
  <c r="AZ14" i="1" s="1"/>
  <c r="AS22" i="1"/>
  <c r="AZ22" i="1" s="1"/>
  <c r="AS30" i="1"/>
  <c r="AZ30" i="1" s="1"/>
  <c r="AS38" i="1"/>
  <c r="AZ38" i="1" s="1"/>
  <c r="AX5" i="1"/>
  <c r="AQ7" i="1"/>
  <c r="AX7" i="1" s="1"/>
  <c r="AQ15" i="1"/>
  <c r="AX15" i="1" s="1"/>
  <c r="AQ23" i="1"/>
  <c r="AX23" i="1" s="1"/>
  <c r="AQ31" i="1"/>
  <c r="AX31" i="1" s="1"/>
  <c r="AQ39" i="1"/>
  <c r="AX39" i="1" s="1"/>
  <c r="AQ10" i="1"/>
  <c r="AX10" i="1" s="1"/>
  <c r="AQ18" i="1"/>
  <c r="AX18" i="1" s="1"/>
  <c r="AQ26" i="1"/>
  <c r="AX26" i="1" s="1"/>
  <c r="AQ34" i="1"/>
  <c r="AX34" i="1" s="1"/>
  <c r="AQ42" i="1"/>
  <c r="AX42" i="1" s="1"/>
  <c r="AQ9" i="1"/>
  <c r="AX9" i="1" s="1"/>
  <c r="AQ25" i="1"/>
  <c r="AX25" i="1" s="1"/>
  <c r="AQ13" i="1"/>
  <c r="AX13" i="1" s="1"/>
  <c r="AQ21" i="1"/>
  <c r="AX21" i="1" s="1"/>
  <c r="AQ29" i="1"/>
  <c r="AX29" i="1" s="1"/>
  <c r="AQ37" i="1"/>
  <c r="AX37" i="1" s="1"/>
  <c r="AQ45" i="1"/>
  <c r="AX45" i="1" s="1"/>
  <c r="AQ17" i="1"/>
  <c r="AX17" i="1" s="1"/>
  <c r="AQ8" i="1"/>
  <c r="AX8" i="1" s="1"/>
  <c r="AQ16" i="1"/>
  <c r="AX16" i="1" s="1"/>
  <c r="AQ24" i="1"/>
  <c r="AX24" i="1" s="1"/>
  <c r="AQ32" i="1"/>
  <c r="AX32" i="1" s="1"/>
  <c r="AQ40" i="1"/>
  <c r="AX40" i="1" s="1"/>
  <c r="AQ41" i="1"/>
  <c r="AX41" i="1" s="1"/>
  <c r="AQ11" i="1"/>
  <c r="AX11" i="1" s="1"/>
  <c r="AQ19" i="1"/>
  <c r="AX19" i="1" s="1"/>
  <c r="AQ27" i="1"/>
  <c r="AX27" i="1" s="1"/>
  <c r="AQ35" i="1"/>
  <c r="AX35" i="1" s="1"/>
  <c r="AQ43" i="1"/>
  <c r="AX43" i="1" s="1"/>
  <c r="AQ14" i="1"/>
  <c r="AX14" i="1" s="1"/>
  <c r="AQ22" i="1"/>
  <c r="AX22" i="1" s="1"/>
  <c r="AQ30" i="1"/>
  <c r="AX30" i="1" s="1"/>
  <c r="AQ38" i="1"/>
  <c r="AX38" i="1" s="1"/>
  <c r="AQ12" i="1"/>
  <c r="AX12" i="1" s="1"/>
  <c r="AQ20" i="1"/>
  <c r="AX20" i="1" s="1"/>
  <c r="AQ28" i="1"/>
  <c r="AX28" i="1" s="1"/>
  <c r="AQ36" i="1"/>
  <c r="AX36" i="1" s="1"/>
  <c r="AQ44" i="1"/>
  <c r="AX44" i="1" s="1"/>
  <c r="AQ6" i="1"/>
  <c r="AX6" i="1" s="1"/>
  <c r="AQ33" i="1"/>
  <c r="AX33" i="1" s="1"/>
  <c r="AY5" i="1"/>
  <c r="AR12" i="1"/>
  <c r="AY12" i="1" s="1"/>
  <c r="AR20" i="1"/>
  <c r="AY20" i="1" s="1"/>
  <c r="AR28" i="1"/>
  <c r="AY28" i="1" s="1"/>
  <c r="AR36" i="1"/>
  <c r="AY36" i="1" s="1"/>
  <c r="AR44" i="1"/>
  <c r="AY44" i="1" s="1"/>
  <c r="AR7" i="1"/>
  <c r="AY7" i="1" s="1"/>
  <c r="AR15" i="1"/>
  <c r="AY15" i="1" s="1"/>
  <c r="AR23" i="1"/>
  <c r="AY23" i="1" s="1"/>
  <c r="AR31" i="1"/>
  <c r="AY31" i="1" s="1"/>
  <c r="AR39" i="1"/>
  <c r="AY39" i="1" s="1"/>
  <c r="AR30" i="1"/>
  <c r="AY30" i="1" s="1"/>
  <c r="AR38" i="1"/>
  <c r="AY38" i="1" s="1"/>
  <c r="AR10" i="1"/>
  <c r="AY10" i="1" s="1"/>
  <c r="AR18" i="1"/>
  <c r="AY18" i="1" s="1"/>
  <c r="AR26" i="1"/>
  <c r="AY26" i="1" s="1"/>
  <c r="AR34" i="1"/>
  <c r="AY34" i="1" s="1"/>
  <c r="AR42" i="1"/>
  <c r="AY42" i="1" s="1"/>
  <c r="AR13" i="1"/>
  <c r="AY13" i="1" s="1"/>
  <c r="AR21" i="1"/>
  <c r="AY21" i="1" s="1"/>
  <c r="AR29" i="1"/>
  <c r="AY29" i="1" s="1"/>
  <c r="AR37" i="1"/>
  <c r="AY37" i="1" s="1"/>
  <c r="AR45" i="1"/>
  <c r="AY45" i="1" s="1"/>
  <c r="AR22" i="1"/>
  <c r="AY22" i="1" s="1"/>
  <c r="AR8" i="1"/>
  <c r="AY8" i="1" s="1"/>
  <c r="AR16" i="1"/>
  <c r="AY16" i="1" s="1"/>
  <c r="AR24" i="1"/>
  <c r="AY24" i="1" s="1"/>
  <c r="AR32" i="1"/>
  <c r="AY32" i="1" s="1"/>
  <c r="AR40" i="1"/>
  <c r="AY40" i="1" s="1"/>
  <c r="AR14" i="1"/>
  <c r="AY14" i="1" s="1"/>
  <c r="AR6" i="1"/>
  <c r="AY6" i="1" s="1"/>
  <c r="AR11" i="1"/>
  <c r="AY11" i="1" s="1"/>
  <c r="AR19" i="1"/>
  <c r="AY19" i="1" s="1"/>
  <c r="AR27" i="1"/>
  <c r="AY27" i="1" s="1"/>
  <c r="AR35" i="1"/>
  <c r="AY35" i="1" s="1"/>
  <c r="AR43" i="1"/>
  <c r="AY43" i="1" s="1"/>
  <c r="AR9" i="1"/>
  <c r="AY9" i="1" s="1"/>
  <c r="AR17" i="1"/>
  <c r="AY17" i="1" s="1"/>
  <c r="AR25" i="1"/>
  <c r="AY25" i="1" s="1"/>
  <c r="AR33" i="1"/>
  <c r="AY33" i="1" s="1"/>
  <c r="AR41" i="1"/>
  <c r="AY41" i="1" s="1"/>
  <c r="L31" i="1"/>
  <c r="L30" i="1"/>
  <c r="E32" i="1" l="1"/>
  <c r="L32" i="1"/>
  <c r="AD6" i="1" s="1"/>
  <c r="H31" i="1"/>
  <c r="E31" i="1"/>
  <c r="L26" i="1"/>
  <c r="L25" i="1"/>
  <c r="L24" i="1"/>
  <c r="L23" i="1"/>
  <c r="L22" i="1"/>
  <c r="L21" i="1"/>
  <c r="L20" i="1"/>
  <c r="L19" i="1"/>
  <c r="L18" i="1"/>
  <c r="L17" i="1"/>
  <c r="L16" i="1"/>
  <c r="L15" i="1"/>
  <c r="L14" i="1"/>
  <c r="L12" i="1"/>
  <c r="L11" i="1"/>
  <c r="L10" i="1"/>
  <c r="L9" i="1"/>
  <c r="L8" i="1"/>
  <c r="L7" i="1"/>
  <c r="L27" i="1" l="1"/>
  <c r="L37" i="1"/>
  <c r="L6" i="1"/>
  <c r="L38" i="1"/>
  <c r="L13" i="1"/>
  <c r="H37" i="1"/>
  <c r="J31" i="1"/>
  <c r="H8" i="1"/>
  <c r="H7" i="1"/>
  <c r="H9" i="1"/>
  <c r="H10" i="1"/>
  <c r="H11" i="1"/>
  <c r="H12" i="1"/>
  <c r="H13" i="1"/>
  <c r="H14" i="1"/>
  <c r="H15" i="1"/>
  <c r="H16" i="1"/>
  <c r="H17" i="1"/>
  <c r="H18" i="1"/>
  <c r="H19" i="1"/>
  <c r="H20" i="1"/>
  <c r="H21" i="1"/>
  <c r="H22" i="1"/>
  <c r="H23" i="1"/>
  <c r="H24" i="1"/>
  <c r="H25" i="1"/>
  <c r="H26" i="1"/>
  <c r="H27" i="1"/>
  <c r="H28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AD5" i="1" l="1"/>
  <c r="H38" i="1"/>
  <c r="E38" i="1"/>
  <c r="E37" i="1"/>
  <c r="J37" i="1" s="1"/>
  <c r="E40" i="1"/>
  <c r="L40" i="1"/>
  <c r="E41" i="1"/>
  <c r="L41" i="1"/>
  <c r="J22" i="1"/>
  <c r="J21" i="1"/>
  <c r="J18" i="1"/>
  <c r="J16" i="1"/>
  <c r="J12" i="1"/>
  <c r="J19" i="1"/>
  <c r="J11" i="1"/>
  <c r="J8" i="1"/>
  <c r="J20" i="1"/>
  <c r="J17" i="1"/>
  <c r="J14" i="1"/>
  <c r="J28" i="1"/>
  <c r="J27" i="1"/>
  <c r="J26" i="1"/>
  <c r="J10" i="1"/>
  <c r="J9" i="1"/>
  <c r="J23" i="1"/>
  <c r="J15" i="1"/>
  <c r="J13" i="1"/>
  <c r="J25" i="1"/>
  <c r="J24" i="1"/>
  <c r="J7" i="1"/>
  <c r="Q97" i="1"/>
  <c r="J38" i="1" l="1"/>
  <c r="AD7" i="1"/>
  <c r="AD13" i="1" s="1"/>
  <c r="AP5" i="1"/>
  <c r="P7" i="1"/>
  <c r="L43" i="1"/>
  <c r="Q124" i="1"/>
  <c r="Q122" i="1"/>
  <c r="Q120" i="1"/>
  <c r="Q116" i="1"/>
  <c r="Q115" i="1"/>
  <c r="Q108" i="1"/>
  <c r="Q107" i="1"/>
  <c r="Q102" i="1"/>
  <c r="Q101" i="1"/>
  <c r="Q96" i="1"/>
  <c r="AW5" i="1" l="1"/>
  <c r="AP7" i="1"/>
  <c r="AW7" i="1" s="1"/>
  <c r="AP15" i="1"/>
  <c r="AW15" i="1" s="1"/>
  <c r="AP23" i="1"/>
  <c r="AW23" i="1" s="1"/>
  <c r="AP31" i="1"/>
  <c r="AW31" i="1" s="1"/>
  <c r="AP39" i="1"/>
  <c r="AW39" i="1" s="1"/>
  <c r="AP45" i="1"/>
  <c r="AW45" i="1" s="1"/>
  <c r="AP8" i="1"/>
  <c r="AW8" i="1" s="1"/>
  <c r="AP16" i="1"/>
  <c r="AW16" i="1" s="1"/>
  <c r="AP24" i="1"/>
  <c r="AW24" i="1" s="1"/>
  <c r="AP32" i="1"/>
  <c r="AW32" i="1" s="1"/>
  <c r="AP40" i="1"/>
  <c r="AW40" i="1" s="1"/>
  <c r="AP29" i="1"/>
  <c r="AW29" i="1" s="1"/>
  <c r="AP9" i="1"/>
  <c r="AW9" i="1" s="1"/>
  <c r="AP17" i="1"/>
  <c r="AW17" i="1" s="1"/>
  <c r="AP25" i="1"/>
  <c r="AW25" i="1" s="1"/>
  <c r="AP33" i="1"/>
  <c r="AW33" i="1" s="1"/>
  <c r="AP41" i="1"/>
  <c r="AW41" i="1" s="1"/>
  <c r="AP21" i="1"/>
  <c r="AW21" i="1" s="1"/>
  <c r="AP10" i="1"/>
  <c r="AW10" i="1" s="1"/>
  <c r="AP18" i="1"/>
  <c r="AW18" i="1" s="1"/>
  <c r="AP26" i="1"/>
  <c r="AW26" i="1" s="1"/>
  <c r="AP34" i="1"/>
  <c r="AW34" i="1" s="1"/>
  <c r="AP42" i="1"/>
  <c r="AW42" i="1" s="1"/>
  <c r="AP13" i="1"/>
  <c r="AW13" i="1" s="1"/>
  <c r="AP11" i="1"/>
  <c r="AW11" i="1" s="1"/>
  <c r="AP19" i="1"/>
  <c r="AW19" i="1" s="1"/>
  <c r="AP27" i="1"/>
  <c r="AW27" i="1" s="1"/>
  <c r="AP35" i="1"/>
  <c r="AW35" i="1" s="1"/>
  <c r="AP43" i="1"/>
  <c r="AW43" i="1" s="1"/>
  <c r="AP12" i="1"/>
  <c r="AW12" i="1" s="1"/>
  <c r="AP20" i="1"/>
  <c r="AW20" i="1" s="1"/>
  <c r="AP28" i="1"/>
  <c r="AW28" i="1" s="1"/>
  <c r="AP36" i="1"/>
  <c r="AW36" i="1" s="1"/>
  <c r="AP44" i="1"/>
  <c r="AW44" i="1" s="1"/>
  <c r="AP37" i="1"/>
  <c r="AW37" i="1" s="1"/>
  <c r="AP14" i="1"/>
  <c r="AW14" i="1" s="1"/>
  <c r="AP22" i="1"/>
  <c r="AW22" i="1" s="1"/>
  <c r="AP30" i="1"/>
  <c r="AW30" i="1" s="1"/>
  <c r="AP38" i="1"/>
  <c r="AW38" i="1" s="1"/>
  <c r="AP6" i="1"/>
  <c r="AW6" i="1" s="1"/>
  <c r="L44" i="1"/>
  <c r="M79" i="1"/>
  <c r="M80" i="1"/>
  <c r="M35" i="1"/>
  <c r="M34" i="1"/>
  <c r="M43" i="1"/>
  <c r="M28" i="1"/>
  <c r="M39" i="1"/>
  <c r="M31" i="1"/>
  <c r="M30" i="1"/>
  <c r="M10" i="1"/>
  <c r="M21" i="1"/>
  <c r="M11" i="1"/>
  <c r="M17" i="1"/>
  <c r="M20" i="1"/>
  <c r="M14" i="1"/>
  <c r="M23" i="1"/>
  <c r="M12" i="1"/>
  <c r="M18" i="1"/>
  <c r="M25" i="1"/>
  <c r="M7" i="1"/>
  <c r="M24" i="1"/>
  <c r="M19" i="1"/>
  <c r="M22" i="1"/>
  <c r="M15" i="1"/>
  <c r="M26" i="1"/>
  <c r="M9" i="1"/>
  <c r="M8" i="1"/>
  <c r="M16" i="1"/>
  <c r="M32" i="1"/>
  <c r="M27" i="1"/>
  <c r="M13" i="1"/>
  <c r="M6" i="1"/>
  <c r="M38" i="1"/>
  <c r="M37" i="1"/>
  <c r="M41" i="1"/>
  <c r="M40" i="1"/>
  <c r="E6" i="1"/>
  <c r="H80" i="1"/>
  <c r="I83" i="1" s="1"/>
  <c r="H32" i="1"/>
  <c r="H40" i="1"/>
  <c r="J40" i="1" s="1"/>
  <c r="H6" i="1"/>
  <c r="W5" i="1" s="1"/>
  <c r="H41" i="1"/>
  <c r="J41" i="1" s="1"/>
  <c r="H39" i="1"/>
  <c r="H30" i="1"/>
  <c r="I56" i="1" l="1"/>
  <c r="I53" i="1"/>
  <c r="I57" i="1"/>
  <c r="I73" i="1"/>
  <c r="I64" i="1"/>
  <c r="I51" i="1"/>
  <c r="I54" i="1"/>
  <c r="I50" i="1"/>
  <c r="I55" i="1"/>
  <c r="I62" i="1"/>
  <c r="I66" i="1"/>
  <c r="I58" i="1"/>
  <c r="I78" i="1"/>
  <c r="I65" i="1"/>
  <c r="I52" i="1"/>
  <c r="I61" i="1"/>
  <c r="I59" i="1"/>
  <c r="I60" i="1"/>
  <c r="I77" i="1"/>
  <c r="I76" i="1"/>
  <c r="I75" i="1"/>
  <c r="I74" i="1"/>
  <c r="P5" i="1"/>
  <c r="W6" i="1"/>
  <c r="I82" i="1"/>
  <c r="I81" i="1"/>
  <c r="X9" i="1"/>
  <c r="X13" i="1" s="1"/>
  <c r="J39" i="1"/>
  <c r="W7" i="1"/>
  <c r="J32" i="1"/>
  <c r="E30" i="1"/>
  <c r="P6" i="1" s="1"/>
  <c r="J68" i="1"/>
  <c r="W13" i="1" l="1"/>
  <c r="P13" i="1"/>
  <c r="J6" i="1"/>
  <c r="I80" i="1" l="1"/>
  <c r="I68" i="1"/>
  <c r="J30" i="1"/>
  <c r="H43" i="1" l="1"/>
  <c r="E43" i="1"/>
  <c r="F6" i="1" s="1"/>
  <c r="F35" i="1" l="1"/>
  <c r="I35" i="1"/>
  <c r="I49" i="1"/>
  <c r="I39" i="1"/>
  <c r="I31" i="1"/>
  <c r="I38" i="1"/>
  <c r="I37" i="1"/>
  <c r="I15" i="1"/>
  <c r="I21" i="1"/>
  <c r="I17" i="1"/>
  <c r="I24" i="1"/>
  <c r="I19" i="1"/>
  <c r="I14" i="1"/>
  <c r="I13" i="1"/>
  <c r="I27" i="1"/>
  <c r="I18" i="1"/>
  <c r="I25" i="1"/>
  <c r="I12" i="1"/>
  <c r="I26" i="1"/>
  <c r="I20" i="1"/>
  <c r="I28" i="1"/>
  <c r="I16" i="1"/>
  <c r="I22" i="1"/>
  <c r="I7" i="1"/>
  <c r="I23" i="1"/>
  <c r="I11" i="1"/>
  <c r="I10" i="1"/>
  <c r="I9" i="1"/>
  <c r="I8" i="1"/>
  <c r="I32" i="1"/>
  <c r="F37" i="1"/>
  <c r="F31" i="1"/>
  <c r="F38" i="1"/>
  <c r="F16" i="1"/>
  <c r="F17" i="1"/>
  <c r="F18" i="1"/>
  <c r="F19" i="1"/>
  <c r="F24" i="1"/>
  <c r="F10" i="1"/>
  <c r="F12" i="1"/>
  <c r="F13" i="1"/>
  <c r="F15" i="1"/>
  <c r="F20" i="1"/>
  <c r="F21" i="1"/>
  <c r="F8" i="1"/>
  <c r="F26" i="1"/>
  <c r="F28" i="1"/>
  <c r="F22" i="1"/>
  <c r="F7" i="1"/>
  <c r="F23" i="1"/>
  <c r="F25" i="1"/>
  <c r="F11" i="1"/>
  <c r="F27" i="1"/>
  <c r="F14" i="1"/>
  <c r="F9" i="1"/>
  <c r="F43" i="1"/>
  <c r="I43" i="1"/>
  <c r="F32" i="1"/>
  <c r="F39" i="1"/>
  <c r="J43" i="1"/>
  <c r="I40" i="1"/>
  <c r="I41" i="1"/>
  <c r="I34" i="1"/>
  <c r="I6" i="1"/>
  <c r="I30" i="1"/>
  <c r="F34" i="1"/>
  <c r="F30" i="1"/>
  <c r="F41" i="1"/>
  <c r="F40" i="1"/>
  <c r="J81" i="1" l="1"/>
  <c r="J54" i="1"/>
  <c r="R5" i="1"/>
  <c r="R13" i="1" s="1"/>
  <c r="J82" i="1"/>
  <c r="Q5" i="1"/>
  <c r="Q13" i="1" s="1"/>
  <c r="S5" i="1"/>
  <c r="S13" i="1" s="1"/>
  <c r="F82" i="1" l="1"/>
  <c r="F80" i="1"/>
  <c r="J80" i="1"/>
  <c r="F81" i="1"/>
</calcChain>
</file>

<file path=xl/comments1.xml><?xml version="1.0" encoding="utf-8"?>
<comments xmlns="http://schemas.openxmlformats.org/spreadsheetml/2006/main">
  <authors>
    <author>Neil</author>
  </authors>
  <commentList>
    <comment ref="B30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These do not add up to the exact manufacturing amounts, but are kept consistent for comparison. </t>
        </r>
      </text>
    </comment>
    <comment ref="A63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These do not add up to the exact manufacturing amounts, but are kept consistent for comparison. </t>
        </r>
      </text>
    </comment>
    <comment ref="B64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These do not add up to the exact manufacturing amounts, but are kept consistent for comparison. </t>
        </r>
      </text>
    </comment>
    <comment ref="A69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Sensitibity Analyses with sustainable sources of energy</t>
        </r>
      </text>
    </comment>
    <comment ref="B73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Steel + small amount of iron scrap</t>
        </r>
      </text>
    </comment>
  </commentList>
</comments>
</file>

<file path=xl/comments2.xml><?xml version="1.0" encoding="utf-8"?>
<comments xmlns="http://schemas.openxmlformats.org/spreadsheetml/2006/main">
  <authors>
    <author>Neil</author>
  </authors>
  <commentList>
    <comment ref="A29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 xml:space="preserve">*Note: Directly use these amounts adapted from Ecovinent. For comparison, we assume the same weight and distances divided by a different lifespan. The exact numbers calculated would be different for transportation. </t>
        </r>
      </text>
    </comment>
    <comment ref="B30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These do not add up to the exact manufacturing amounts, but are kept consistent for comparison. </t>
        </r>
      </text>
    </comment>
    <comment ref="A33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*Note: Directly use these amounts adapted from Ecovinent. </t>
        </r>
      </text>
    </comment>
    <comment ref="A59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8"/>
            <color indexed="81"/>
            <rFont val="Tahoma"/>
            <family val="2"/>
          </rPr>
          <t xml:space="preserve">*Note: Directly use these amounts adapted from Ecovinent. For comparison, we assume the same weight and distances divided by a different lifespan. The exact numbers calculated would be different for transportation. </t>
        </r>
      </text>
    </comment>
    <comment ref="B60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These do not add up to the exact manufacturing amounts, but are kept consistent for comparison. </t>
        </r>
      </text>
    </comment>
    <comment ref="A63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</t>
        </r>
        <r>
          <rPr>
            <sz val="16"/>
            <color indexed="81"/>
            <rFont val="Tahoma"/>
            <family val="2"/>
          </rPr>
          <t xml:space="preserve">*Note: Directly use these amounts adapted from Ecovinent. </t>
        </r>
      </text>
    </comment>
    <comment ref="A66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Sensitibity Analyses with sustainable sources of energy</t>
        </r>
      </text>
    </comment>
    <comment ref="B70" authorId="0" shapeId="0">
      <text>
        <r>
          <rPr>
            <b/>
            <sz val="9"/>
            <color indexed="81"/>
            <rFont val="Tahoma"/>
            <family val="2"/>
          </rPr>
          <t>Neil:</t>
        </r>
        <r>
          <rPr>
            <sz val="9"/>
            <color indexed="81"/>
            <rFont val="Tahoma"/>
            <family val="2"/>
          </rPr>
          <t xml:space="preserve">
Steel + small amount of iron scrap</t>
        </r>
      </text>
    </comment>
  </commentList>
</comments>
</file>

<file path=xl/sharedStrings.xml><?xml version="1.0" encoding="utf-8"?>
<sst xmlns="http://schemas.openxmlformats.org/spreadsheetml/2006/main" count="335" uniqueCount="139">
  <si>
    <t>Unit</t>
  </si>
  <si>
    <t>kg</t>
  </si>
  <si>
    <t>kWh</t>
  </si>
  <si>
    <t>Energy/Unit  [MJ/Unit]</t>
  </si>
  <si>
    <t>Use phase</t>
  </si>
  <si>
    <t>Disposal</t>
  </si>
  <si>
    <t>Total</t>
  </si>
  <si>
    <t>kg/t conversion factor</t>
  </si>
  <si>
    <t>fraction</t>
  </si>
  <si>
    <t>Transportation</t>
  </si>
  <si>
    <t>Energy per FU [MJ/FU]</t>
  </si>
  <si>
    <t>Check g CO2/MJ</t>
  </si>
  <si>
    <t>g/kg</t>
  </si>
  <si>
    <t>-</t>
  </si>
  <si>
    <t>t-km</t>
  </si>
  <si>
    <t>Quantity per FU</t>
  </si>
  <si>
    <t xml:space="preserve">Result discussion </t>
  </si>
  <si>
    <t>3c. Comparison between scenarios</t>
  </si>
  <si>
    <t xml:space="preserve">4. Interpretation of ratios gCO2/MJ </t>
  </si>
  <si>
    <t>CO2/Unit [kg/unit]</t>
  </si>
  <si>
    <t>CO2/FU</t>
  </si>
  <si>
    <t>fraction2</t>
  </si>
  <si>
    <t>Reference Product Name</t>
  </si>
  <si>
    <t>Reference Product Unit</t>
  </si>
  <si>
    <t>polypropylene, granulate</t>
  </si>
  <si>
    <t>CO2 fossil/FU</t>
  </si>
  <si>
    <t>Net value</t>
  </si>
  <si>
    <t>Fossil CO2
 kgCO2/FU</t>
  </si>
  <si>
    <t>Energy
MJ/FU</t>
  </si>
  <si>
    <t>alkyd paint, white, without solvent, in 60% solution state</t>
  </si>
  <si>
    <t>aluminium, primary, ingot</t>
  </si>
  <si>
    <t>chromium oxide, flakes</t>
  </si>
  <si>
    <t>sheet rolling, copper</t>
  </si>
  <si>
    <t>electronics, for control units</t>
  </si>
  <si>
    <t>ethylene</t>
  </si>
  <si>
    <t>ethylene glycol</t>
  </si>
  <si>
    <t>flat glass, uncoated</t>
  </si>
  <si>
    <t>heat, district or industrial, natural gas</t>
  </si>
  <si>
    <t>MJ</t>
  </si>
  <si>
    <t>lead</t>
  </si>
  <si>
    <t>nickel, class 1</t>
  </si>
  <si>
    <t>polyethylene, high density, granulate</t>
  </si>
  <si>
    <t>polyvinylchloride, suspension polymerised</t>
  </si>
  <si>
    <t>section bar rolling, steel</t>
  </si>
  <si>
    <t>sheet rolling, steel</t>
  </si>
  <si>
    <t>steel, low-alloyed, hot rolled</t>
  </si>
  <si>
    <t>sulfuric acid</t>
  </si>
  <si>
    <t>synthetic rubber</t>
  </si>
  <si>
    <t>tap water</t>
  </si>
  <si>
    <t>transport, freight train</t>
  </si>
  <si>
    <t>transport, freight, sea, container ship</t>
  </si>
  <si>
    <t>zinc</t>
  </si>
  <si>
    <t>Light fuel oil, burned in furnace 1MW of greenhouse/MJ - RER</t>
  </si>
  <si>
    <t>electricity, medium voltage</t>
  </si>
  <si>
    <t>Manufacturing (Materials + Processing)</t>
  </si>
  <si>
    <t>lubricating oil</t>
  </si>
  <si>
    <t>waste polyurethane foam</t>
  </si>
  <si>
    <t>transport, freight, lorry 16-32 metric ton</t>
  </si>
  <si>
    <t>aluminium recycling</t>
  </si>
  <si>
    <t>emulsion paint incineration</t>
  </si>
  <si>
    <t>glass incineration</t>
  </si>
  <si>
    <t>plastic mixture incineration</t>
  </si>
  <si>
    <t>zinc in car shredder residue incineration</t>
  </si>
  <si>
    <t>Battery, Li-ion, rechargeable, prismatic</t>
  </si>
  <si>
    <t>Copper</t>
  </si>
  <si>
    <t>Electronics, for control units</t>
  </si>
  <si>
    <t>extruded and thermoformed plastic sheets</t>
  </si>
  <si>
    <t>Metal working, average for aluminium product manufacturing</t>
  </si>
  <si>
    <t>Metal working, average for steel product manufacturing</t>
  </si>
  <si>
    <t>Polypropylene, granulate</t>
  </si>
  <si>
    <t>Polyurethane, rigid foam</t>
  </si>
  <si>
    <t>Recyling of iron and mixed metal scrap</t>
  </si>
  <si>
    <t>glass at landfill</t>
  </si>
  <si>
    <t>mineral oil incineration</t>
  </si>
  <si>
    <t>plastic, mixture at landfill</t>
  </si>
  <si>
    <t>electricity, wind, 1-3MW turbine, onshore</t>
  </si>
  <si>
    <t>electricity, photovoltaic, 
570kWp open ground installation</t>
  </si>
  <si>
    <t>Transportation by Gas Vehicle
FU= 1 vehicle km
Life Cycle stage  (150,000 km lifespan)</t>
  </si>
  <si>
    <t>Transportation by Electric Vehicle
FU= 1 vehicle km
Life Cycle stage (225,000 km lifespan)</t>
  </si>
  <si>
    <t>Gas Vehicle</t>
  </si>
  <si>
    <t>Electric Vehicle</t>
  </si>
  <si>
    <t>Car manufacturing</t>
  </si>
  <si>
    <t>Car transportation</t>
  </si>
  <si>
    <t>Car disposal</t>
  </si>
  <si>
    <t xml:space="preserve">Petrol gas </t>
  </si>
  <si>
    <t>Electric charging - photovoltaic</t>
  </si>
  <si>
    <t>Electric charging - wind</t>
  </si>
  <si>
    <t>Electric Vehicle - Wind</t>
  </si>
  <si>
    <t>Electric Vehicle - Photovoltaic</t>
  </si>
  <si>
    <t xml:space="preserve">3a. Gas vehicle - dominant contributions </t>
  </si>
  <si>
    <t>3b.Electric vehicle- dominant contributions</t>
  </si>
  <si>
    <t>5. Importance of wind and photovolatic sourcing and electricity substitution related to use phase</t>
  </si>
  <si>
    <t>Supply chain petrol, low-sulfur</t>
  </si>
  <si>
    <t>Total EU electricity grid</t>
  </si>
  <si>
    <t>Electric charging - RER</t>
  </si>
  <si>
    <t>Total EU electricity wind</t>
  </si>
  <si>
    <t>Total EU electricity photovoltaic</t>
  </si>
  <si>
    <t>Direct combustion</t>
  </si>
  <si>
    <t>electricity, medium voltage RER</t>
  </si>
  <si>
    <t>CO2equ/Unit [kg/unit]2</t>
  </si>
  <si>
    <t>CO2equ./FU</t>
  </si>
  <si>
    <t>fraction3</t>
  </si>
  <si>
    <t>DALY/kgCO2e</t>
  </si>
  <si>
    <t>DALY/FU</t>
  </si>
  <si>
    <t>GHG CO2equ.
 kgCO2equ/FU</t>
  </si>
  <si>
    <t>Lifetime distance km</t>
  </si>
  <si>
    <t>Cumulative graph</t>
  </si>
  <si>
    <t>Graph per FU</t>
  </si>
  <si>
    <t>Distance over Lifetime</t>
  </si>
  <si>
    <t>GHG CO2equ.
 kgCO2equ over lifetime</t>
  </si>
  <si>
    <t>from open LCA in kgCO2equ short per FU</t>
  </si>
  <si>
    <t>Gas Vehicle spreadsheet calculations</t>
  </si>
  <si>
    <t>Gas Vehicle Open LCA</t>
  </si>
  <si>
    <t>Electric Vehicle spreadsheet calculations</t>
  </si>
  <si>
    <t>Electric Vehicle - Wind  spreadsheet calculations</t>
  </si>
  <si>
    <t>Electric Vehicle - Photovoltaic  spreadsheet calculations</t>
  </si>
  <si>
    <t>Electric Vehicle Open LCA</t>
  </si>
  <si>
    <t>Electric Vehicle-Wind Open LCA</t>
  </si>
  <si>
    <t>Electric Vehicle  - Photovoltaic Open LCA</t>
  </si>
  <si>
    <t>Climate change, short term - Open LCA</t>
  </si>
  <si>
    <t>electricity, hard coal</t>
  </si>
  <si>
    <t>Total EU electricity hard coal</t>
  </si>
  <si>
    <t>Electric Vehicle - 
hard coal</t>
  </si>
  <si>
    <t>Electric charging - hard coal</t>
  </si>
  <si>
    <t>Electric Vehicle - Hard coal  spreadsheet calculations</t>
  </si>
  <si>
    <t>Electric Vehicle - Hard coal</t>
  </si>
  <si>
    <t>Electric Vehicle - EU mix</t>
  </si>
  <si>
    <t>Transportation
*Please see note in top-corner*</t>
  </si>
  <si>
    <t>Directly Use Numbers Below</t>
  </si>
  <si>
    <t>Use phase
*Please see note in top-corner*</t>
  </si>
  <si>
    <t>Determine using given information</t>
  </si>
  <si>
    <t xml:space="preserve">For use phase sensitivity analyses: </t>
  </si>
  <si>
    <r>
      <t xml:space="preserve">Disposal
</t>
    </r>
    <r>
      <rPr>
        <b/>
        <sz val="14"/>
        <rFont val="Arial"/>
        <family val="2"/>
      </rPr>
      <t>Determine using given information</t>
    </r>
  </si>
  <si>
    <t>Transportation by Electric Vehicle</t>
  </si>
  <si>
    <t>Transportation by Gas Vehicle</t>
  </si>
  <si>
    <t>v</t>
  </si>
  <si>
    <r>
      <t xml:space="preserve">Manufacturing (Materials + Processing) </t>
    </r>
    <r>
      <rPr>
        <b/>
        <sz val="16"/>
        <color rgb="FFFF0000"/>
        <rFont val="Arial"/>
        <family val="2"/>
      </rPr>
      <t>per Vehicule</t>
    </r>
  </si>
  <si>
    <r>
      <t>Transportation</t>
    </r>
    <r>
      <rPr>
        <b/>
        <sz val="16"/>
        <color rgb="FFFF0000"/>
        <rFont val="Arial"/>
        <family val="2"/>
      </rPr>
      <t xml:space="preserve"> per vehicle</t>
    </r>
    <r>
      <rPr>
        <sz val="16"/>
        <color rgb="FFFF0000"/>
        <rFont val="Arial"/>
        <family val="2"/>
      </rPr>
      <t xml:space="preserve">
*Please see note in top-corner*</t>
    </r>
  </si>
  <si>
    <r>
      <t xml:space="preserve">Use phase </t>
    </r>
    <r>
      <rPr>
        <b/>
        <sz val="16"/>
        <color rgb="FFFF0000"/>
        <rFont val="Arial"/>
        <family val="2"/>
      </rPr>
      <t xml:space="preserve"> per  Vehicle-km</t>
    </r>
    <r>
      <rPr>
        <sz val="16"/>
        <color rgb="FFFF0000"/>
        <rFont val="Arial"/>
        <family val="2"/>
      </rPr>
      <t>)
*Please see note in top-corner*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</si>
</sst>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7">
    <numFmt numFmtId="164" formatCode="0.000"/>
    <numFmt numFmtId="165" formatCode="0.0%"/>
    <numFmt numFmtId="166" formatCode="0.0"/>
    <numFmt numFmtId="167" formatCode="0.00000"/>
    <numFmt numFmtId="168" formatCode="_ &quot;CHF&quot;\ * #,##0.00_ ;_ &quot;CHF&quot;\ * \-#,##0.00_ ;_ &quot;CHF&quot;\ * &quot;-&quot;??_ ;_ @_ "/>
    <numFmt numFmtId="169" formatCode="0.0000"/>
    <numFmt numFmtId="170" formatCode="0.000%"/>
  </numFmts>
  <fonts count="15">
    <font>
      <sz val="11"/>
      <color theme="1"/>
      <name val="Calibri"/>
      <family val="2"/>
      <scheme val="minor"/>
    </font>
    <font>
      <sz val="16"/>
      <color theme="1"/>
      <name val="Arial"/>
      <family val="2"/>
    </font>
    <font>
      <sz val="16"/>
      <color rgb="FFFF0000"/>
      <name val="Arial"/>
      <family val="2"/>
    </font>
    <font>
      <b/>
      <sz val="16"/>
      <color theme="1"/>
      <name val="Arial"/>
      <family val="2"/>
    </font>
    <font>
      <b/>
      <sz val="9"/>
      <color indexed="81"/>
      <name val="Tahoma"/>
      <family val="2"/>
    </font>
    <font>
      <sz val="9"/>
      <color indexed="81"/>
      <name val="Tahoma"/>
      <family val="2"/>
    </font>
    <font>
      <u/>
      <sz val="11"/>
      <color theme="10"/>
      <name val="Calibri"/>
      <family val="2"/>
    </font>
    <font>
      <sz val="11"/>
      <color theme="1"/>
      <name val="Helvetica LT Pro"/>
      <family val="2"/>
    </font>
    <font>
      <sz val="16"/>
      <color theme="1"/>
      <name val="Arial"/>
      <family val="2"/>
    </font>
    <font>
      <sz val="16"/>
      <color theme="1"/>
      <name val="Arial"/>
      <family val="2"/>
    </font>
    <font>
      <sz val="16"/>
      <color indexed="81"/>
      <name val="Tahoma"/>
      <family val="2"/>
    </font>
    <font>
      <sz val="18"/>
      <color indexed="81"/>
      <name val="Tahoma"/>
      <family val="2"/>
    </font>
    <font>
      <b/>
      <sz val="14"/>
      <color theme="1"/>
      <name val="Arial"/>
      <family val="2"/>
    </font>
    <font>
      <b/>
      <sz val="14"/>
      <name val="Arial"/>
      <family val="2"/>
    </font>
    <font>
      <b/>
      <sz val="16"/>
      <color rgb="FFFF000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theme="2" tint="-9.9978637043366805E-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7" tint="0.7999816888943144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0" tint="-0.14999847407452621"/>
        <bgColor indexed="64"/>
      </patternFill>
    </fill>
  </fills>
  <borders count="53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/>
      <diagonal/>
    </border>
    <border>
      <left style="medium">
        <color auto="1"/>
      </left>
      <right style="medium">
        <color auto="1"/>
      </right>
      <top/>
      <bottom style="medium">
        <color auto="1"/>
      </bottom>
      <diagonal/>
    </border>
    <border>
      <left/>
      <right style="thin">
        <color auto="1"/>
      </right>
      <top/>
      <bottom/>
      <diagonal/>
    </border>
    <border>
      <left/>
      <right style="thin">
        <color auto="1"/>
      </right>
      <top/>
      <bottom style="medium">
        <color auto="1"/>
      </bottom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medium">
        <color auto="1"/>
      </right>
      <top/>
      <bottom/>
      <diagonal/>
    </border>
    <border>
      <left style="thin">
        <color auto="1"/>
      </left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 style="thin">
        <color auto="1"/>
      </left>
      <right style="medium">
        <color auto="1"/>
      </right>
      <top style="thin">
        <color auto="1"/>
      </top>
      <bottom/>
      <diagonal/>
    </border>
    <border>
      <left/>
      <right style="medium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/>
      <top/>
      <bottom/>
      <diagonal/>
    </border>
    <border>
      <left style="thin">
        <color auto="1"/>
      </left>
      <right/>
      <top/>
      <bottom style="medium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medium">
        <color indexed="64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medium">
        <color indexed="64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medium">
        <color indexed="64"/>
      </top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/>
      <bottom style="thin">
        <color auto="1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medium">
        <color indexed="64"/>
      </bottom>
      <diagonal/>
    </border>
    <border>
      <left style="thin">
        <color auto="1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/>
      <bottom style="medium">
        <color indexed="64"/>
      </bottom>
      <diagonal/>
    </border>
    <border>
      <left style="medium">
        <color indexed="64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medium">
        <color indexed="64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medium">
        <color indexed="64"/>
      </right>
      <top style="thin">
        <color auto="1"/>
      </top>
      <bottom style="medium">
        <color indexed="64"/>
      </bottom>
      <diagonal/>
    </border>
    <border>
      <left style="medium">
        <color auto="1"/>
      </left>
      <right/>
      <top/>
      <bottom/>
      <diagonal/>
    </border>
    <border>
      <left/>
      <right style="thin">
        <color indexed="64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/>
      <top style="medium">
        <color auto="1"/>
      </top>
      <bottom/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 style="thin">
        <color auto="1"/>
      </right>
      <top style="medium">
        <color auto="1"/>
      </top>
      <bottom style="medium">
        <color auto="1"/>
      </bottom>
      <diagonal/>
    </border>
    <border>
      <left style="thin">
        <color auto="1"/>
      </left>
      <right style="medium">
        <color auto="1"/>
      </right>
      <top style="medium">
        <color auto="1"/>
      </top>
      <bottom style="medium">
        <color auto="1"/>
      </bottom>
      <diagonal/>
    </border>
    <border>
      <left/>
      <right style="medium">
        <color auto="1"/>
      </right>
      <top/>
      <bottom style="medium">
        <color auto="1"/>
      </bottom>
      <diagonal/>
    </border>
    <border>
      <left style="medium">
        <color auto="1"/>
      </left>
      <right style="medium">
        <color auto="1"/>
      </right>
      <top/>
      <bottom style="thin">
        <color auto="1"/>
      </bottom>
      <diagonal/>
    </border>
    <border>
      <left style="medium">
        <color auto="1"/>
      </left>
      <right style="medium">
        <color auto="1"/>
      </right>
      <top style="medium">
        <color auto="1"/>
      </top>
      <bottom/>
      <diagonal/>
    </border>
    <border>
      <left/>
      <right style="thin">
        <color auto="1"/>
      </right>
      <top style="medium">
        <color auto="1"/>
      </top>
      <bottom/>
      <diagonal/>
    </border>
    <border>
      <left style="thin">
        <color auto="1"/>
      </left>
      <right style="medium">
        <color auto="1"/>
      </right>
      <top style="medium">
        <color auto="1"/>
      </top>
      <bottom/>
      <diagonal/>
    </border>
    <border>
      <left style="thin">
        <color auto="1"/>
      </left>
      <right/>
      <top style="medium">
        <color auto="1"/>
      </top>
      <bottom/>
      <diagonal/>
    </border>
    <border>
      <left style="medium">
        <color auto="1"/>
      </left>
      <right/>
      <top/>
      <bottom style="medium">
        <color auto="1"/>
      </bottom>
      <diagonal/>
    </border>
    <border>
      <left style="medium">
        <color auto="1"/>
      </left>
      <right/>
      <top style="medium">
        <color auto="1"/>
      </top>
      <bottom/>
      <diagonal/>
    </border>
    <border>
      <left/>
      <right/>
      <top style="thin">
        <color indexed="64"/>
      </top>
      <bottom style="medium">
        <color auto="1"/>
      </bottom>
      <diagonal/>
    </border>
    <border>
      <left/>
      <right style="thin">
        <color indexed="64"/>
      </right>
      <top style="thin">
        <color indexed="64"/>
      </top>
      <bottom style="medium">
        <color auto="1"/>
      </bottom>
      <diagonal/>
    </border>
  </borders>
  <cellStyleXfs count="3">
    <xf numFmtId="0" fontId="0" fillId="0" borderId="0"/>
    <xf numFmtId="0" fontId="6" fillId="0" borderId="0" applyNumberFormat="0" applyFill="0" applyBorder="0" applyAlignment="0" applyProtection="0">
      <alignment vertical="top"/>
      <protection locked="0"/>
    </xf>
    <xf numFmtId="168" fontId="7" fillId="0" borderId="0"/>
  </cellStyleXfs>
  <cellXfs count="209">
    <xf numFmtId="0" fontId="0" fillId="0" borderId="0" xfId="0"/>
    <xf numFmtId="0" fontId="1" fillId="0" borderId="0" xfId="0" applyFont="1"/>
    <xf numFmtId="0" fontId="1" fillId="0" borderId="0" xfId="0" applyFont="1" applyAlignment="1">
      <alignment vertical="top" wrapText="1"/>
    </xf>
    <xf numFmtId="0" fontId="1" fillId="0" borderId="0" xfId="0" applyFont="1" applyAlignment="1">
      <alignment horizontal="center"/>
    </xf>
    <xf numFmtId="0" fontId="2" fillId="2" borderId="0" xfId="0" applyFont="1" applyFill="1"/>
    <xf numFmtId="0" fontId="1" fillId="2" borderId="0" xfId="0" applyFont="1" applyFill="1" applyAlignment="1">
      <alignment horizontal="center"/>
    </xf>
    <xf numFmtId="0" fontId="2" fillId="2" borderId="2" xfId="0" applyFont="1" applyFill="1" applyBorder="1"/>
    <xf numFmtId="0" fontId="1" fillId="0" borderId="2" xfId="0" applyFont="1" applyBorder="1"/>
    <xf numFmtId="0" fontId="2" fillId="2" borderId="4" xfId="0" applyFont="1" applyFill="1" applyBorder="1"/>
    <xf numFmtId="0" fontId="1" fillId="0" borderId="4" xfId="0" applyFont="1" applyBorder="1" applyAlignment="1">
      <alignment horizontal="center"/>
    </xf>
    <xf numFmtId="0" fontId="1" fillId="2" borderId="4" xfId="0" applyFont="1" applyFill="1" applyBorder="1" applyAlignment="1">
      <alignment horizontal="center"/>
    </xf>
    <xf numFmtId="164" fontId="1" fillId="0" borderId="4" xfId="0" applyNumberFormat="1" applyFont="1" applyBorder="1" applyAlignment="1">
      <alignment horizontal="center"/>
    </xf>
    <xf numFmtId="0" fontId="2" fillId="2" borderId="7" xfId="0" applyFont="1" applyFill="1" applyBorder="1"/>
    <xf numFmtId="165" fontId="1" fillId="0" borderId="7" xfId="0" applyNumberFormat="1" applyFont="1" applyBorder="1" applyAlignment="1">
      <alignment horizontal="center"/>
    </xf>
    <xf numFmtId="0" fontId="1" fillId="2" borderId="7" xfId="0" applyFont="1" applyFill="1" applyBorder="1" applyAlignment="1">
      <alignment horizontal="center"/>
    </xf>
    <xf numFmtId="1" fontId="1" fillId="0" borderId="0" xfId="0" applyNumberFormat="1" applyFont="1"/>
    <xf numFmtId="0" fontId="1" fillId="3" borderId="0" xfId="0" applyFont="1" applyFill="1" applyAlignment="1">
      <alignment horizontal="center"/>
    </xf>
    <xf numFmtId="0" fontId="1" fillId="2" borderId="9" xfId="0" applyFont="1" applyFill="1" applyBorder="1" applyAlignment="1">
      <alignment horizontal="center"/>
    </xf>
    <xf numFmtId="0" fontId="1" fillId="2" borderId="10" xfId="0" applyFont="1" applyFill="1" applyBorder="1" applyAlignment="1">
      <alignment horizontal="center"/>
    </xf>
    <xf numFmtId="0" fontId="1" fillId="2" borderId="11" xfId="0" applyFont="1" applyFill="1" applyBorder="1" applyAlignment="1">
      <alignment horizontal="center"/>
    </xf>
    <xf numFmtId="0" fontId="1" fillId="2" borderId="12" xfId="0" applyFont="1" applyFill="1" applyBorder="1" applyAlignment="1">
      <alignment horizontal="center"/>
    </xf>
    <xf numFmtId="0" fontId="1" fillId="0" borderId="13" xfId="0" applyFont="1" applyBorder="1"/>
    <xf numFmtId="0" fontId="1" fillId="0" borderId="14" xfId="0" applyFont="1" applyBorder="1"/>
    <xf numFmtId="0" fontId="1" fillId="0" borderId="14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3" fillId="0" borderId="0" xfId="0" applyFont="1"/>
    <xf numFmtId="0" fontId="1" fillId="0" borderId="14" xfId="0" applyFont="1" applyBorder="1" applyAlignment="1">
      <alignment wrapText="1"/>
    </xf>
    <xf numFmtId="1" fontId="2" fillId="2" borderId="15" xfId="0" applyNumberFormat="1" applyFont="1" applyFill="1" applyBorder="1"/>
    <xf numFmtId="1" fontId="1" fillId="0" borderId="15" xfId="0" applyNumberFormat="1" applyFont="1" applyBorder="1" applyAlignment="1">
      <alignment horizontal="center"/>
    </xf>
    <xf numFmtId="1" fontId="1" fillId="2" borderId="15" xfId="0" applyNumberFormat="1" applyFont="1" applyFill="1" applyBorder="1" applyAlignment="1">
      <alignment horizontal="center"/>
    </xf>
    <xf numFmtId="0" fontId="1" fillId="0" borderId="3" xfId="0" applyFont="1" applyBorder="1" applyAlignment="1">
      <alignment vertical="top" wrapText="1"/>
    </xf>
    <xf numFmtId="0" fontId="1" fillId="0" borderId="1" xfId="0" applyFont="1" applyBorder="1" applyAlignment="1">
      <alignment vertical="top" wrapText="1"/>
    </xf>
    <xf numFmtId="0" fontId="1" fillId="0" borderId="5" xfId="0" applyFont="1" applyBorder="1" applyAlignment="1">
      <alignment vertical="top" wrapText="1"/>
    </xf>
    <xf numFmtId="0" fontId="1" fillId="0" borderId="8" xfId="0" applyFont="1" applyBorder="1" applyAlignment="1">
      <alignment vertical="top" wrapText="1"/>
    </xf>
    <xf numFmtId="1" fontId="1" fillId="0" borderId="16" xfId="0" applyNumberFormat="1" applyFont="1" applyBorder="1" applyAlignment="1">
      <alignment vertical="top" wrapText="1"/>
    </xf>
    <xf numFmtId="0" fontId="1" fillId="0" borderId="4" xfId="0" quotePrefix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1" fontId="1" fillId="0" borderId="0" xfId="0" applyNumberFormat="1" applyFont="1" applyAlignment="1">
      <alignment horizontal="center"/>
    </xf>
    <xf numFmtId="11" fontId="1" fillId="2" borderId="0" xfId="0" applyNumberFormat="1" applyFont="1" applyFill="1" applyAlignment="1">
      <alignment horizontal="center"/>
    </xf>
    <xf numFmtId="164" fontId="1" fillId="0" borderId="0" xfId="0" applyNumberFormat="1" applyFont="1"/>
    <xf numFmtId="164" fontId="1" fillId="0" borderId="5" xfId="0" applyNumberFormat="1" applyFont="1" applyBorder="1" applyAlignment="1">
      <alignment vertical="top" wrapText="1"/>
    </xf>
    <xf numFmtId="164" fontId="2" fillId="2" borderId="4" xfId="0" applyNumberFormat="1" applyFont="1" applyFill="1" applyBorder="1"/>
    <xf numFmtId="164" fontId="1" fillId="2" borderId="4" xfId="0" applyNumberFormat="1" applyFont="1" applyFill="1" applyBorder="1" applyAlignment="1">
      <alignment horizontal="center"/>
    </xf>
    <xf numFmtId="164" fontId="1" fillId="2" borderId="10" xfId="0" applyNumberFormat="1" applyFont="1" applyFill="1" applyBorder="1" applyAlignment="1">
      <alignment horizontal="center"/>
    </xf>
    <xf numFmtId="164" fontId="3" fillId="0" borderId="4" xfId="0" applyNumberFormat="1" applyFont="1" applyBorder="1" applyAlignment="1">
      <alignment horizontal="center"/>
    </xf>
    <xf numFmtId="164" fontId="1" fillId="0" borderId="0" xfId="0" applyNumberFormat="1" applyFont="1" applyAlignment="1">
      <alignment horizontal="center"/>
    </xf>
    <xf numFmtId="2" fontId="1" fillId="3" borderId="0" xfId="0" applyNumberFormat="1" applyFont="1" applyFill="1" applyAlignment="1">
      <alignment horizontal="center"/>
    </xf>
    <xf numFmtId="167" fontId="1" fillId="0" borderId="0" xfId="0" applyNumberFormat="1" applyFont="1"/>
    <xf numFmtId="0" fontId="1" fillId="0" borderId="21" xfId="0" applyFont="1" applyBorder="1"/>
    <xf numFmtId="0" fontId="1" fillId="3" borderId="21" xfId="0" applyFont="1" applyFill="1" applyBorder="1"/>
    <xf numFmtId="164" fontId="1" fillId="3" borderId="21" xfId="0" applyNumberFormat="1" applyFont="1" applyFill="1" applyBorder="1"/>
    <xf numFmtId="167" fontId="1" fillId="0" borderId="21" xfId="0" applyNumberFormat="1" applyFont="1" applyBorder="1"/>
    <xf numFmtId="164" fontId="1" fillId="0" borderId="21" xfId="0" applyNumberFormat="1" applyFont="1" applyBorder="1"/>
    <xf numFmtId="0" fontId="1" fillId="0" borderId="20" xfId="0" applyFont="1" applyBorder="1"/>
    <xf numFmtId="0" fontId="1" fillId="0" borderId="14" xfId="0" applyFont="1" applyBorder="1" applyAlignment="1">
      <alignment vertical="top" wrapText="1"/>
    </xf>
    <xf numFmtId="0" fontId="0" fillId="0" borderId="0" xfId="0" applyAlignment="1">
      <alignment wrapText="1"/>
    </xf>
    <xf numFmtId="0" fontId="0" fillId="0" borderId="14" xfId="0" applyBorder="1"/>
    <xf numFmtId="2" fontId="0" fillId="0" borderId="20" xfId="0" applyNumberFormat="1" applyBorder="1"/>
    <xf numFmtId="2" fontId="0" fillId="0" borderId="14" xfId="0" applyNumberFormat="1" applyBorder="1"/>
    <xf numFmtId="166" fontId="0" fillId="0" borderId="20" xfId="0" applyNumberFormat="1" applyBorder="1"/>
    <xf numFmtId="166" fontId="0" fillId="0" borderId="14" xfId="0" applyNumberFormat="1" applyBorder="1"/>
    <xf numFmtId="164" fontId="0" fillId="0" borderId="14" xfId="0" applyNumberFormat="1" applyBorder="1"/>
    <xf numFmtId="0" fontId="0" fillId="0" borderId="23" xfId="0" applyBorder="1"/>
    <xf numFmtId="0" fontId="0" fillId="0" borderId="24" xfId="0" applyBorder="1"/>
    <xf numFmtId="164" fontId="0" fillId="0" borderId="24" xfId="0" applyNumberFormat="1" applyBorder="1"/>
    <xf numFmtId="2" fontId="0" fillId="0" borderId="24" xfId="0" applyNumberFormat="1" applyBorder="1"/>
    <xf numFmtId="166" fontId="0" fillId="0" borderId="24" xfId="0" applyNumberFormat="1" applyBorder="1"/>
    <xf numFmtId="2" fontId="0" fillId="0" borderId="25" xfId="0" applyNumberFormat="1" applyBorder="1"/>
    <xf numFmtId="0" fontId="0" fillId="0" borderId="26" xfId="0" applyBorder="1"/>
    <xf numFmtId="2" fontId="0" fillId="0" borderId="27" xfId="0" applyNumberFormat="1" applyBorder="1"/>
    <xf numFmtId="0" fontId="0" fillId="0" borderId="28" xfId="0" applyBorder="1"/>
    <xf numFmtId="0" fontId="0" fillId="0" borderId="30" xfId="0" applyBorder="1"/>
    <xf numFmtId="164" fontId="0" fillId="0" borderId="30" xfId="0" applyNumberFormat="1" applyBorder="1"/>
    <xf numFmtId="2" fontId="0" fillId="0" borderId="31" xfId="0" applyNumberFormat="1" applyBorder="1"/>
    <xf numFmtId="166" fontId="0" fillId="0" borderId="31" xfId="0" applyNumberFormat="1" applyBorder="1"/>
    <xf numFmtId="2" fontId="0" fillId="0" borderId="8" xfId="0" applyNumberFormat="1" applyBorder="1"/>
    <xf numFmtId="0" fontId="0" fillId="0" borderId="32" xfId="0" applyBorder="1"/>
    <xf numFmtId="0" fontId="0" fillId="5" borderId="14" xfId="0" applyFill="1" applyBorder="1"/>
    <xf numFmtId="164" fontId="0" fillId="5" borderId="14" xfId="0" applyNumberFormat="1" applyFill="1" applyBorder="1"/>
    <xf numFmtId="0" fontId="0" fillId="5" borderId="22" xfId="0" applyFill="1" applyBorder="1"/>
    <xf numFmtId="164" fontId="0" fillId="5" borderId="22" xfId="0" applyNumberFormat="1" applyFill="1" applyBorder="1"/>
    <xf numFmtId="0" fontId="0" fillId="6" borderId="14" xfId="0" applyFill="1" applyBorder="1"/>
    <xf numFmtId="164" fontId="0" fillId="6" borderId="14" xfId="0" applyNumberFormat="1" applyFill="1" applyBorder="1"/>
    <xf numFmtId="0" fontId="0" fillId="5" borderId="26" xfId="0" applyFill="1" applyBorder="1"/>
    <xf numFmtId="0" fontId="0" fillId="6" borderId="26" xfId="0" applyFill="1" applyBorder="1"/>
    <xf numFmtId="0" fontId="0" fillId="4" borderId="30" xfId="0" applyFill="1" applyBorder="1"/>
    <xf numFmtId="164" fontId="0" fillId="4" borderId="30" xfId="0" applyNumberFormat="1" applyFill="1" applyBorder="1"/>
    <xf numFmtId="2" fontId="0" fillId="5" borderId="14" xfId="0" applyNumberFormat="1" applyFill="1" applyBorder="1"/>
    <xf numFmtId="166" fontId="0" fillId="5" borderId="14" xfId="0" applyNumberFormat="1" applyFill="1" applyBorder="1"/>
    <xf numFmtId="2" fontId="0" fillId="6" borderId="14" xfId="0" applyNumberFormat="1" applyFill="1" applyBorder="1"/>
    <xf numFmtId="166" fontId="0" fillId="6" borderId="14" xfId="0" applyNumberFormat="1" applyFill="1" applyBorder="1"/>
    <xf numFmtId="2" fontId="0" fillId="0" borderId="34" xfId="0" applyNumberFormat="1" applyBorder="1"/>
    <xf numFmtId="2" fontId="0" fillId="5" borderId="34" xfId="0" applyNumberFormat="1" applyFill="1" applyBorder="1"/>
    <xf numFmtId="2" fontId="0" fillId="6" borderId="34" xfId="0" applyNumberFormat="1" applyFill="1" applyBorder="1"/>
    <xf numFmtId="0" fontId="0" fillId="4" borderId="29" xfId="0" applyFill="1" applyBorder="1"/>
    <xf numFmtId="2" fontId="0" fillId="4" borderId="30" xfId="0" applyNumberFormat="1" applyFill="1" applyBorder="1"/>
    <xf numFmtId="166" fontId="0" fillId="4" borderId="30" xfId="0" applyNumberFormat="1" applyFill="1" applyBorder="1"/>
    <xf numFmtId="2" fontId="0" fillId="4" borderId="35" xfId="0" applyNumberFormat="1" applyFill="1" applyBorder="1"/>
    <xf numFmtId="0" fontId="0" fillId="5" borderId="33" xfId="0" applyFill="1" applyBorder="1"/>
    <xf numFmtId="2" fontId="0" fillId="5" borderId="22" xfId="0" applyNumberFormat="1" applyFill="1" applyBorder="1"/>
    <xf numFmtId="166" fontId="0" fillId="5" borderId="22" xfId="0" applyNumberFormat="1" applyFill="1" applyBorder="1"/>
    <xf numFmtId="2" fontId="0" fillId="5" borderId="12" xfId="0" applyNumberFormat="1" applyFill="1" applyBorder="1"/>
    <xf numFmtId="11" fontId="8" fillId="0" borderId="0" xfId="0" applyNumberFormat="1" applyFont="1" applyAlignment="1">
      <alignment horizontal="center"/>
    </xf>
    <xf numFmtId="2" fontId="8" fillId="0" borderId="0" xfId="0" applyNumberFormat="1" applyFont="1" applyAlignment="1">
      <alignment horizontal="center"/>
    </xf>
    <xf numFmtId="165" fontId="8" fillId="0" borderId="7" xfId="0" applyNumberFormat="1" applyFont="1" applyBorder="1" applyAlignment="1">
      <alignment horizontal="center"/>
    </xf>
    <xf numFmtId="11" fontId="1" fillId="0" borderId="4" xfId="0" applyNumberFormat="1" applyFont="1" applyBorder="1" applyAlignment="1">
      <alignment horizontal="center"/>
    </xf>
    <xf numFmtId="2" fontId="8" fillId="0" borderId="36" xfId="0" applyNumberFormat="1" applyFont="1" applyBorder="1" applyAlignment="1">
      <alignment horizontal="center"/>
    </xf>
    <xf numFmtId="0" fontId="1" fillId="2" borderId="36" xfId="0" applyFont="1" applyFill="1" applyBorder="1" applyAlignment="1">
      <alignment horizontal="center"/>
    </xf>
    <xf numFmtId="2" fontId="1" fillId="0" borderId="21" xfId="0" applyNumberFormat="1" applyFont="1" applyBorder="1" applyAlignment="1">
      <alignment horizontal="center"/>
    </xf>
    <xf numFmtId="10" fontId="1" fillId="0" borderId="15" xfId="0" applyNumberFormat="1" applyFont="1" applyBorder="1" applyAlignment="1">
      <alignment horizontal="center"/>
    </xf>
    <xf numFmtId="2" fontId="1" fillId="0" borderId="15" xfId="0" applyNumberFormat="1" applyFont="1" applyBorder="1" applyAlignment="1">
      <alignment horizontal="center"/>
    </xf>
    <xf numFmtId="2" fontId="1" fillId="0" borderId="36" xfId="0" applyNumberFormat="1" applyFont="1" applyBorder="1" applyAlignment="1">
      <alignment horizontal="center"/>
    </xf>
    <xf numFmtId="1" fontId="1" fillId="0" borderId="4" xfId="0" applyNumberFormat="1" applyFont="1" applyBorder="1" applyAlignment="1">
      <alignment horizontal="center"/>
    </xf>
    <xf numFmtId="1" fontId="1" fillId="0" borderId="2" xfId="0" applyNumberFormat="1" applyFont="1" applyBorder="1" applyAlignment="1">
      <alignment horizontal="center"/>
    </xf>
    <xf numFmtId="2" fontId="0" fillId="5" borderId="20" xfId="0" applyNumberFormat="1" applyFill="1" applyBorder="1"/>
    <xf numFmtId="166" fontId="0" fillId="5" borderId="20" xfId="0" applyNumberFormat="1" applyFill="1" applyBorder="1"/>
    <xf numFmtId="11" fontId="1" fillId="0" borderId="37" xfId="0" applyNumberFormat="1" applyFont="1" applyBorder="1" applyAlignment="1">
      <alignment horizontal="center"/>
    </xf>
    <xf numFmtId="164" fontId="1" fillId="0" borderId="21" xfId="0" applyNumberFormat="1" applyFont="1" applyBorder="1" applyAlignment="1">
      <alignment horizontal="center"/>
    </xf>
    <xf numFmtId="164" fontId="3" fillId="0" borderId="21" xfId="0" applyNumberFormat="1" applyFont="1" applyBorder="1" applyAlignment="1">
      <alignment horizontal="center"/>
    </xf>
    <xf numFmtId="11" fontId="1" fillId="0" borderId="21" xfId="0" applyNumberFormat="1" applyFont="1" applyBorder="1" applyAlignment="1">
      <alignment horizontal="center"/>
    </xf>
    <xf numFmtId="11" fontId="1" fillId="2" borderId="4" xfId="0" applyNumberFormat="1" applyFont="1" applyFill="1" applyBorder="1" applyAlignment="1">
      <alignment horizontal="center"/>
    </xf>
    <xf numFmtId="11" fontId="1" fillId="3" borderId="21" xfId="0" applyNumberFormat="1" applyFont="1" applyFill="1" applyBorder="1"/>
    <xf numFmtId="11" fontId="1" fillId="0" borderId="21" xfId="0" applyNumberFormat="1" applyFont="1" applyBorder="1"/>
    <xf numFmtId="2" fontId="1" fillId="0" borderId="20" xfId="0" applyNumberFormat="1" applyFont="1" applyBorder="1"/>
    <xf numFmtId="2" fontId="1" fillId="0" borderId="21" xfId="0" applyNumberFormat="1" applyFont="1" applyBorder="1"/>
    <xf numFmtId="169" fontId="1" fillId="0" borderId="21" xfId="0" applyNumberFormat="1" applyFont="1" applyBorder="1"/>
    <xf numFmtId="165" fontId="1" fillId="0" borderId="0" xfId="0" applyNumberFormat="1" applyFont="1"/>
    <xf numFmtId="0" fontId="1" fillId="0" borderId="44" xfId="0" applyFont="1" applyBorder="1"/>
    <xf numFmtId="164" fontId="3" fillId="0" borderId="0" xfId="0" applyNumberFormat="1" applyFont="1" applyAlignment="1">
      <alignment horizontal="center"/>
    </xf>
    <xf numFmtId="1" fontId="1" fillId="0" borderId="0" xfId="0" applyNumberFormat="1" applyFont="1" applyAlignment="1">
      <alignment horizontal="center"/>
    </xf>
    <xf numFmtId="0" fontId="1" fillId="0" borderId="3" xfId="0" applyFont="1" applyBorder="1"/>
    <xf numFmtId="0" fontId="1" fillId="0" borderId="1" xfId="0" applyFont="1" applyBorder="1" applyAlignment="1">
      <alignment horizontal="center"/>
    </xf>
    <xf numFmtId="0" fontId="1" fillId="0" borderId="5" xfId="0" quotePrefix="1" applyFont="1" applyBorder="1" applyAlignment="1">
      <alignment horizontal="center"/>
    </xf>
    <xf numFmtId="165" fontId="1" fillId="0" borderId="8" xfId="0" applyNumberFormat="1" applyFont="1" applyBorder="1" applyAlignment="1">
      <alignment horizontal="center"/>
    </xf>
    <xf numFmtId="2" fontId="1" fillId="0" borderId="1" xfId="0" applyNumberFormat="1" applyFont="1" applyBorder="1" applyAlignment="1">
      <alignment horizontal="center"/>
    </xf>
    <xf numFmtId="1" fontId="1" fillId="0" borderId="8" xfId="0" applyNumberFormat="1" applyFont="1" applyBorder="1" applyAlignment="1">
      <alignment horizontal="center"/>
    </xf>
    <xf numFmtId="0" fontId="1" fillId="0" borderId="38" xfId="0" applyFont="1" applyBorder="1"/>
    <xf numFmtId="0" fontId="1" fillId="0" borderId="40" xfId="0" applyFont="1" applyBorder="1" applyAlignment="1">
      <alignment horizontal="center"/>
    </xf>
    <xf numFmtId="0" fontId="1" fillId="0" borderId="41" xfId="0" quotePrefix="1" applyFont="1" applyBorder="1" applyAlignment="1">
      <alignment horizontal="center"/>
    </xf>
    <xf numFmtId="164" fontId="3" fillId="0" borderId="41" xfId="0" applyNumberFormat="1" applyFont="1" applyBorder="1" applyAlignment="1">
      <alignment horizontal="center"/>
    </xf>
    <xf numFmtId="165" fontId="1" fillId="0" borderId="42" xfId="0" applyNumberFormat="1" applyFont="1" applyBorder="1" applyAlignment="1">
      <alignment horizontal="center"/>
    </xf>
    <xf numFmtId="2" fontId="1" fillId="0" borderId="40" xfId="0" applyNumberFormat="1" applyFont="1" applyBorder="1" applyAlignment="1">
      <alignment horizontal="center"/>
    </xf>
    <xf numFmtId="1" fontId="1" fillId="0" borderId="42" xfId="0" applyNumberFormat="1" applyFont="1" applyBorder="1" applyAlignment="1">
      <alignment horizontal="center"/>
    </xf>
    <xf numFmtId="0" fontId="1" fillId="0" borderId="45" xfId="0" applyFont="1" applyBorder="1"/>
    <xf numFmtId="0" fontId="1" fillId="0" borderId="39" xfId="0" applyFont="1" applyBorder="1" applyAlignment="1">
      <alignment horizontal="center"/>
    </xf>
    <xf numFmtId="0" fontId="1" fillId="0" borderId="46" xfId="0" quotePrefix="1" applyFont="1" applyBorder="1" applyAlignment="1">
      <alignment horizontal="center"/>
    </xf>
    <xf numFmtId="164" fontId="3" fillId="0" borderId="46" xfId="0" applyNumberFormat="1" applyFont="1" applyBorder="1" applyAlignment="1">
      <alignment horizontal="center"/>
    </xf>
    <xf numFmtId="165" fontId="1" fillId="0" borderId="47" xfId="0" applyNumberFormat="1" applyFont="1" applyBorder="1" applyAlignment="1">
      <alignment horizontal="center"/>
    </xf>
    <xf numFmtId="2" fontId="1" fillId="0" borderId="39" xfId="0" applyNumberFormat="1" applyFont="1" applyBorder="1" applyAlignment="1">
      <alignment horizontal="center"/>
    </xf>
    <xf numFmtId="1" fontId="1" fillId="7" borderId="4" xfId="0" applyNumberFormat="1" applyFont="1" applyFill="1" applyBorder="1" applyAlignment="1">
      <alignment horizontal="center"/>
    </xf>
    <xf numFmtId="164" fontId="3" fillId="7" borderId="21" xfId="0" applyNumberFormat="1" applyFont="1" applyFill="1" applyBorder="1" applyAlignment="1">
      <alignment horizontal="center"/>
    </xf>
    <xf numFmtId="0" fontId="9" fillId="0" borderId="4" xfId="0" applyFont="1" applyBorder="1" applyAlignment="1">
      <alignment horizontal="center"/>
    </xf>
    <xf numFmtId="164" fontId="9" fillId="0" borderId="4" xfId="0" applyNumberFormat="1" applyFont="1" applyBorder="1" applyAlignment="1">
      <alignment horizontal="center"/>
    </xf>
    <xf numFmtId="165" fontId="9" fillId="0" borderId="7" xfId="0" applyNumberFormat="1" applyFont="1" applyBorder="1" applyAlignment="1">
      <alignment horizontal="center"/>
    </xf>
    <xf numFmtId="1" fontId="9" fillId="0" borderId="15" xfId="0" applyNumberFormat="1" applyFont="1" applyBorder="1" applyAlignment="1">
      <alignment horizontal="center"/>
    </xf>
    <xf numFmtId="0" fontId="9" fillId="0" borderId="2" xfId="0" applyFont="1" applyBorder="1"/>
    <xf numFmtId="0" fontId="9" fillId="0" borderId="0" xfId="0" applyFont="1" applyAlignment="1">
      <alignment horizontal="center"/>
    </xf>
    <xf numFmtId="11" fontId="9" fillId="0" borderId="0" xfId="0" applyNumberFormat="1" applyFont="1" applyAlignment="1">
      <alignment horizontal="center"/>
    </xf>
    <xf numFmtId="1" fontId="1" fillId="2" borderId="0" xfId="0" applyNumberFormat="1" applyFont="1" applyFill="1" applyAlignment="1">
      <alignment horizontal="center"/>
    </xf>
    <xf numFmtId="1" fontId="9" fillId="0" borderId="0" xfId="0" applyNumberFormat="1" applyFont="1" applyAlignment="1">
      <alignment horizontal="center"/>
    </xf>
    <xf numFmtId="0" fontId="1" fillId="0" borderId="43" xfId="0" applyFont="1" applyBorder="1" applyAlignment="1">
      <alignment vertical="top" wrapText="1"/>
    </xf>
    <xf numFmtId="11" fontId="1" fillId="7" borderId="0" xfId="0" applyNumberFormat="1" applyFont="1" applyFill="1" applyAlignment="1">
      <alignment horizontal="center"/>
    </xf>
    <xf numFmtId="170" fontId="1" fillId="0" borderId="7" xfId="0" applyNumberFormat="1" applyFont="1" applyBorder="1" applyAlignment="1">
      <alignment horizontal="center"/>
    </xf>
    <xf numFmtId="1" fontId="2" fillId="2" borderId="46" xfId="0" applyNumberFormat="1" applyFont="1" applyFill="1" applyBorder="1"/>
    <xf numFmtId="1" fontId="2" fillId="2" borderId="48" xfId="0" applyNumberFormat="1" applyFont="1" applyFill="1" applyBorder="1"/>
    <xf numFmtId="1" fontId="1" fillId="2" borderId="4" xfId="0" applyNumberFormat="1" applyFont="1" applyFill="1" applyBorder="1" applyAlignment="1">
      <alignment horizontal="center"/>
    </xf>
    <xf numFmtId="165" fontId="1" fillId="2" borderId="15" xfId="0" applyNumberFormat="1" applyFont="1" applyFill="1" applyBorder="1" applyAlignment="1">
      <alignment horizontal="center"/>
    </xf>
    <xf numFmtId="1" fontId="1" fillId="2" borderId="5" xfId="0" applyNumberFormat="1" applyFont="1" applyFill="1" applyBorder="1" applyAlignment="1">
      <alignment horizontal="center"/>
    </xf>
    <xf numFmtId="1" fontId="1" fillId="2" borderId="16" xfId="0" applyNumberFormat="1" applyFont="1" applyFill="1" applyBorder="1" applyAlignment="1">
      <alignment horizontal="center"/>
    </xf>
    <xf numFmtId="0" fontId="1" fillId="2" borderId="49" xfId="0" applyFont="1" applyFill="1" applyBorder="1" applyAlignment="1">
      <alignment horizontal="center"/>
    </xf>
    <xf numFmtId="1" fontId="2" fillId="2" borderId="50" xfId="0" applyNumberFormat="1" applyFont="1" applyFill="1" applyBorder="1"/>
    <xf numFmtId="0" fontId="1" fillId="0" borderId="22" xfId="0" applyFont="1" applyBorder="1"/>
    <xf numFmtId="11" fontId="1" fillId="0" borderId="20" xfId="0" applyNumberFormat="1" applyFont="1" applyBorder="1"/>
    <xf numFmtId="164" fontId="1" fillId="0" borderId="20" xfId="0" applyNumberFormat="1" applyFont="1" applyBorder="1"/>
    <xf numFmtId="11" fontId="1" fillId="3" borderId="0" xfId="0" applyNumberFormat="1" applyFont="1" applyFill="1"/>
    <xf numFmtId="11" fontId="1" fillId="0" borderId="0" xfId="0" applyNumberFormat="1" applyFont="1"/>
    <xf numFmtId="2" fontId="1" fillId="0" borderId="0" xfId="0" applyNumberFormat="1" applyFont="1"/>
    <xf numFmtId="0" fontId="0" fillId="8" borderId="29" xfId="0" applyFill="1" applyBorder="1"/>
    <xf numFmtId="0" fontId="0" fillId="8" borderId="30" xfId="0" applyFill="1" applyBorder="1"/>
    <xf numFmtId="164" fontId="0" fillId="8" borderId="30" xfId="0" applyNumberFormat="1" applyFill="1" applyBorder="1"/>
    <xf numFmtId="2" fontId="0" fillId="8" borderId="30" xfId="0" applyNumberFormat="1" applyFill="1" applyBorder="1"/>
    <xf numFmtId="166" fontId="0" fillId="8" borderId="30" xfId="0" applyNumberFormat="1" applyFill="1" applyBorder="1"/>
    <xf numFmtId="2" fontId="0" fillId="8" borderId="35" xfId="0" applyNumberFormat="1" applyFill="1" applyBorder="1"/>
    <xf numFmtId="0" fontId="1" fillId="0" borderId="13" xfId="0" applyFont="1" applyBorder="1" applyAlignment="1">
      <alignment wrapText="1"/>
    </xf>
    <xf numFmtId="1" fontId="1" fillId="0" borderId="45" xfId="0" applyNumberFormat="1" applyFont="1" applyBorder="1" applyAlignment="1">
      <alignment horizontal="center"/>
    </xf>
    <xf numFmtId="11" fontId="12" fillId="2" borderId="0" xfId="0" applyNumberFormat="1" applyFont="1" applyFill="1" applyAlignment="1">
      <alignment horizontal="center" wrapText="1"/>
    </xf>
    <xf numFmtId="0" fontId="1" fillId="0" borderId="2" xfId="0" applyFont="1" applyBorder="1" applyAlignment="1">
      <alignment vertical="top" wrapText="1"/>
    </xf>
    <xf numFmtId="0" fontId="1" fillId="0" borderId="4" xfId="0" applyFont="1" applyBorder="1" applyAlignment="1">
      <alignment vertical="top" wrapText="1"/>
    </xf>
    <xf numFmtId="0" fontId="2" fillId="2" borderId="12" xfId="0" applyFont="1" applyFill="1" applyBorder="1"/>
    <xf numFmtId="0" fontId="2" fillId="2" borderId="11" xfId="0" applyFont="1" applyFill="1" applyBorder="1"/>
    <xf numFmtId="0" fontId="2" fillId="2" borderId="10" xfId="0" applyFont="1" applyFill="1" applyBorder="1"/>
    <xf numFmtId="0" fontId="1" fillId="0" borderId="7" xfId="0" applyFont="1" applyBorder="1"/>
    <xf numFmtId="0" fontId="1" fillId="0" borderId="27" xfId="0" applyFont="1" applyBorder="1"/>
    <xf numFmtId="11" fontId="1" fillId="0" borderId="6" xfId="0" applyNumberFormat="1" applyFont="1" applyBorder="1" applyAlignment="1">
      <alignment horizontal="center"/>
    </xf>
    <xf numFmtId="0" fontId="2" fillId="2" borderId="12" xfId="0" applyFont="1" applyFill="1" applyBorder="1" applyAlignment="1">
      <alignment wrapText="1"/>
    </xf>
    <xf numFmtId="11" fontId="12" fillId="2" borderId="11" xfId="0" applyNumberFormat="1" applyFont="1" applyFill="1" applyBorder="1" applyAlignment="1">
      <alignment horizontal="center" wrapText="1"/>
    </xf>
    <xf numFmtId="0" fontId="1" fillId="0" borderId="37" xfId="0" applyFont="1" applyBorder="1" applyAlignment="1">
      <alignment horizontal="center"/>
    </xf>
    <xf numFmtId="0" fontId="1" fillId="0" borderId="35" xfId="0" applyFont="1" applyBorder="1" applyAlignment="1">
      <alignment vertical="top" wrapText="1"/>
    </xf>
    <xf numFmtId="0" fontId="1" fillId="0" borderId="51" xfId="0" applyFont="1" applyBorder="1" applyAlignment="1">
      <alignment vertical="top" wrapText="1"/>
    </xf>
    <xf numFmtId="0" fontId="1" fillId="0" borderId="52" xfId="0" applyFont="1" applyBorder="1" applyAlignment="1">
      <alignment vertical="top" wrapText="1"/>
    </xf>
    <xf numFmtId="0" fontId="1" fillId="0" borderId="27" xfId="0" applyFont="1" applyBorder="1" applyAlignment="1">
      <alignment wrapText="1"/>
    </xf>
    <xf numFmtId="0" fontId="1" fillId="0" borderId="6" xfId="0" applyFont="1" applyBorder="1" applyAlignment="1">
      <alignment horizontal="center"/>
    </xf>
    <xf numFmtId="0" fontId="1" fillId="0" borderId="0" xfId="0" applyFont="1" applyAlignment="1">
      <alignment wrapText="1"/>
    </xf>
    <xf numFmtId="0" fontId="0" fillId="0" borderId="0" xfId="0" applyAlignment="1">
      <alignment wrapText="1"/>
    </xf>
    <xf numFmtId="0" fontId="1" fillId="0" borderId="6" xfId="0" applyFont="1" applyBorder="1"/>
    <xf numFmtId="0" fontId="0" fillId="0" borderId="6" xfId="0" applyBorder="1"/>
    <xf numFmtId="0" fontId="1" fillId="0" borderId="17" xfId="0" applyFont="1" applyBorder="1" applyAlignment="1">
      <alignment wrapText="1"/>
    </xf>
    <xf numFmtId="0" fontId="0" fillId="0" borderId="18" xfId="0" applyBorder="1" applyAlignment="1">
      <alignment wrapText="1"/>
    </xf>
    <xf numFmtId="0" fontId="0" fillId="0" borderId="19" xfId="0" applyBorder="1" applyAlignment="1">
      <alignment wrapText="1"/>
    </xf>
  </cellXfs>
  <cellStyles count="3">
    <cellStyle name="ecoinvent 1" xfId="2"/>
    <cellStyle name="Hyperlink 2" xfId="1"/>
    <cellStyle name="Normal" xfId="0" builtinId="0"/>
  </cellStyles>
  <dxfs count="70"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border diagonalUp="0" diagonalDown="0">
        <left style="medium">
          <color auto="1"/>
        </left>
        <right style="medium">
          <color auto="1"/>
        </right>
        <top/>
        <bottom style="thin">
          <color auto="1"/>
        </bottom>
        <vertical/>
        <horizontal/>
      </border>
    </dxf>
    <dxf>
      <border outline="0">
        <bottom style="medium">
          <color auto="1"/>
        </bottom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9C0006"/>
      </font>
      <fill>
        <patternFill>
          <bgColor rgb="FFFFC7CE"/>
        </patternFill>
      </fill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border diagonalUp="0" diagonalDown="0">
        <left/>
        <right style="medium">
          <color auto="1"/>
        </right>
        <top/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0.0%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5" formatCode="0.00E+0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numFmt numFmtId="164" formatCode="0.00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border diagonalUp="0" diagonalDown="0">
        <left/>
        <right style="medium">
          <color auto="1"/>
        </right>
        <top/>
        <bottom/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" formatCode="0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/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/>
        <top/>
        <bottom style="thin">
          <color auto="1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5" formatCode="0.0%"/>
      <alignment horizontal="center" vertical="bottom" textRotation="0" wrapText="0" indent="0" justifyLastLine="0" shrinkToFit="0" readingOrder="0"/>
      <border diagonalUp="0" diagonalDown="0">
        <left style="thin">
          <color auto="1"/>
        </left>
        <right style="medium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numFmt numFmtId="164" formatCode="0.000"/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  <border diagonalUp="0" diagonalDown="0">
        <left/>
        <right style="thin">
          <color auto="1"/>
        </right>
        <top/>
        <bottom/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6"/>
        <color theme="1"/>
        <name val="Arial"/>
        <scheme val="none"/>
      </font>
      <border diagonalUp="0" diagonalDown="0">
        <left style="medium">
          <color auto="1"/>
        </left>
        <right style="medium">
          <color auto="1"/>
        </right>
        <top/>
        <bottom style="thin">
          <color auto="1"/>
        </bottom>
        <vertical/>
        <horizontal/>
      </border>
    </dxf>
    <dxf>
      <border outline="0">
        <right style="medium">
          <color auto="1"/>
        </right>
        <top style="medium">
          <color auto="1"/>
        </top>
        <bottom style="medium">
          <color auto="1"/>
        </bottom>
      </border>
    </dxf>
    <dxf>
      <border outline="0">
        <bottom style="medium">
          <color auto="1"/>
        </bottom>
      </border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1.xml"/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10" Type="http://schemas.openxmlformats.org/officeDocument/2006/relationships/customXml" Target="../customXml/item3.xml"/><Relationship Id="rId4" Type="http://schemas.openxmlformats.org/officeDocument/2006/relationships/theme" Target="theme/theme1.xml"/><Relationship Id="rId9" Type="http://schemas.openxmlformats.org/officeDocument/2006/relationships/customXml" Target="../customXml/item2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non-renewable primary energy</a:t>
            </a:r>
          </a:p>
        </c:rich>
      </c:tx>
      <c:layout>
        <c:manualLayout>
          <c:xMode val="edge"/>
          <c:yMode val="edge"/>
          <c:x val="0.3459255439011083"/>
          <c:y val="2.68207377833639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6191226096737907"/>
          <c:y val="8.5538003514023561E-2"/>
          <c:w val="0.8049463067116609"/>
          <c:h val="0.62405090634331861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'Gasoline and electric vehicles'!$O$5</c:f>
              <c:strCache>
                <c:ptCount val="1"/>
                <c:pt idx="0">
                  <c:v>Car manufacturing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vehicles'!$P$5:$T$5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F-4665-AB87-81CDB0B17A30}"/>
            </c:ext>
          </c:extLst>
        </c:ser>
        <c:ser>
          <c:idx val="1"/>
          <c:order val="1"/>
          <c:tx>
            <c:strRef>
              <c:f>'Gasoline and electric vehicles'!$O$6</c:f>
              <c:strCache>
                <c:ptCount val="1"/>
                <c:pt idx="0">
                  <c:v>Car 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vehicles'!$P$6:$T$6</c:f>
              <c:numCache>
                <c:formatCode>0.000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F-4665-AB87-81CDB0B17A30}"/>
            </c:ext>
          </c:extLst>
        </c:ser>
        <c:ser>
          <c:idx val="2"/>
          <c:order val="2"/>
          <c:tx>
            <c:strRef>
              <c:f>'Gasoline and electric vehicles'!$O$7</c:f>
              <c:strCache>
                <c:ptCount val="1"/>
                <c:pt idx="0">
                  <c:v>Car 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vehicles'!$P$7:$T$7</c:f>
              <c:numCache>
                <c:formatCode>0.0000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F-4665-AB87-81CDB0B17A30}"/>
            </c:ext>
          </c:extLst>
        </c:ser>
        <c:ser>
          <c:idx val="5"/>
          <c:order val="3"/>
          <c:tx>
            <c:strRef>
              <c:f>'Gasoline and electric vehicles'!$O$8</c:f>
              <c:strCache>
                <c:ptCount val="1"/>
                <c:pt idx="0">
                  <c:v>Petrol gas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vehicles'!$P$8:$T$8</c:f>
              <c:numCache>
                <c:formatCode>0.000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F-4665-AB87-81CDB0B17A30}"/>
            </c:ext>
          </c:extLst>
        </c:ser>
        <c:ser>
          <c:idx val="6"/>
          <c:order val="4"/>
          <c:tx>
            <c:strRef>
              <c:f>'Gasoline and electric vehicles'!$O$9</c:f>
              <c:strCache>
                <c:ptCount val="1"/>
                <c:pt idx="0">
                  <c:v>Electric charging - 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vehicles'!$P$9:$T$9</c:f>
              <c:numCache>
                <c:formatCode>0.00</c:formatCode>
                <c:ptCount val="5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F-4665-AB87-81CDB0B17A30}"/>
            </c:ext>
          </c:extLst>
        </c:ser>
        <c:ser>
          <c:idx val="7"/>
          <c:order val="5"/>
          <c:tx>
            <c:strRef>
              <c:f>'Gasoline and electric vehicles'!$O$10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vehicles'!$P$10:$T$10</c:f>
              <c:numCache>
                <c:formatCode>0.00</c:formatCode>
                <c:ptCount val="5"/>
                <c:pt idx="2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9F-4665-AB87-81CDB0B17A30}"/>
            </c:ext>
          </c:extLst>
        </c:ser>
        <c:ser>
          <c:idx val="3"/>
          <c:order val="6"/>
          <c:tx>
            <c:strRef>
              <c:f>'Gasoline and electric vehicles'!$O$11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vehicles'!$P$11:$T$11</c:f>
              <c:numCache>
                <c:formatCode>0.00</c:formatCode>
                <c:ptCount val="5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BF2F-46D5-91B2-6E9DC20E9263}"/>
            </c:ext>
          </c:extLst>
        </c:ser>
        <c:ser>
          <c:idx val="4"/>
          <c:order val="7"/>
          <c:tx>
            <c:strRef>
              <c:f>'Gasoline and electric vehicles'!$O$12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'Gasoline and electric vehicles'!$P$4:$T$4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vehicles'!$P$12:$T$12</c:f>
              <c:numCache>
                <c:formatCode>0.00</c:formatCode>
                <c:ptCount val="5"/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427-4B0B-B78C-E1CE8C9FDE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003427504"/>
        <c:axId val="1272768928"/>
      </c:barChart>
      <c:catAx>
        <c:axId val="100342750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928"/>
        <c:crossesAt val="-5.000000000000001E-2"/>
        <c:auto val="1"/>
        <c:lblAlgn val="ctr"/>
        <c:lblOffset val="100"/>
        <c:noMultiLvlLbl val="0"/>
      </c:catAx>
      <c:valAx>
        <c:axId val="127276892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primary energy [MJ/FU]</a:t>
                </a:r>
              </a:p>
            </c:rich>
          </c:tx>
          <c:layout>
            <c:manualLayout>
              <c:xMode val="edge"/>
              <c:yMode val="edge"/>
              <c:x val="2.903989501312336E-2"/>
              <c:y val="0.25130619003203114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00342750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5841065300416785"/>
          <c:y val="0.81904920335662268"/>
          <c:w val="0.75075511497941483"/>
          <c:h val="0.1572584090134273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5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fossil CO2</a:t>
            </a:r>
          </a:p>
        </c:rich>
      </c:tx>
      <c:layout>
        <c:manualLayout>
          <c:xMode val="edge"/>
          <c:yMode val="edge"/>
          <c:x val="0.3994698717728693"/>
          <c:y val="3.2296899548504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17602071176274534"/>
          <c:y val="9.1387917297558213E-2"/>
          <c:w val="0.77970455119221105"/>
          <c:h val="0.61863963424651325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'Gasoline and electric vehicles'!$V$5</c:f>
              <c:strCache>
                <c:ptCount val="1"/>
                <c:pt idx="0">
                  <c:v>Car manufacturing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vehicles'!$W$5:$AA$5</c:f>
              <c:numCache>
                <c:formatCode>0.00E+00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E99F-4665-AB87-81CDB0B17A30}"/>
            </c:ext>
          </c:extLst>
        </c:ser>
        <c:ser>
          <c:idx val="1"/>
          <c:order val="1"/>
          <c:tx>
            <c:strRef>
              <c:f>'Gasoline and electric vehicles'!$V$6</c:f>
              <c:strCache>
                <c:ptCount val="1"/>
                <c:pt idx="0">
                  <c:v>Car 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vehicles'!$W$6:$AA$6</c:f>
              <c:numCache>
                <c:formatCode>0.00E+00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E99F-4665-AB87-81CDB0B17A30}"/>
            </c:ext>
          </c:extLst>
        </c:ser>
        <c:ser>
          <c:idx val="2"/>
          <c:order val="2"/>
          <c:tx>
            <c:strRef>
              <c:f>'Gasoline and electric vehicles'!$V$7</c:f>
              <c:strCache>
                <c:ptCount val="1"/>
                <c:pt idx="0">
                  <c:v>Car 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vehicles'!$W$7:$AA$7</c:f>
              <c:numCache>
                <c:formatCode>0.00E+00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E99F-4665-AB87-81CDB0B17A30}"/>
            </c:ext>
          </c:extLst>
        </c:ser>
        <c:ser>
          <c:idx val="5"/>
          <c:order val="3"/>
          <c:tx>
            <c:strRef>
              <c:f>'Gasoline and electric vehicles'!$V$8</c:f>
              <c:strCache>
                <c:ptCount val="1"/>
                <c:pt idx="0">
                  <c:v>Petrol gas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vehicles'!$W$8:$AA$8</c:f>
              <c:numCache>
                <c:formatCode>0.00000</c:formatCode>
                <c:ptCount val="5"/>
                <c:pt idx="0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E99F-4665-AB87-81CDB0B17A30}"/>
            </c:ext>
          </c:extLst>
        </c:ser>
        <c:ser>
          <c:idx val="6"/>
          <c:order val="4"/>
          <c:tx>
            <c:strRef>
              <c:f>'Gasoline and electric vehicles'!$V$9</c:f>
              <c:strCache>
                <c:ptCount val="1"/>
                <c:pt idx="0">
                  <c:v>Electric charging - 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vehicles'!$W$9:$AA$9</c:f>
              <c:numCache>
                <c:formatCode>0.000</c:formatCode>
                <c:ptCount val="5"/>
                <c:pt idx="1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E99F-4665-AB87-81CDB0B17A30}"/>
            </c:ext>
          </c:extLst>
        </c:ser>
        <c:ser>
          <c:idx val="3"/>
          <c:order val="6"/>
          <c:tx>
            <c:strRef>
              <c:f>'Gasoline and electric vehicles'!$V$11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 w="25400"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vehicles'!$W$11:$AA$11</c:f>
              <c:numCache>
                <c:formatCode>0.000</c:formatCode>
                <c:ptCount val="5"/>
                <c:pt idx="3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FCBA-47DC-8880-7D3C9DD5C64C}"/>
            </c:ext>
          </c:extLst>
        </c:ser>
        <c:ser>
          <c:idx val="7"/>
          <c:order val="5"/>
          <c:tx>
            <c:strRef>
              <c:f>'Gasoline and electric vehicles'!$V$10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 w="25400"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vehicles'!$W$10:$AA$10</c:f>
              <c:numCache>
                <c:formatCode>0.000</c:formatCode>
                <c:ptCount val="5"/>
                <c:pt idx="2" formatCode="0.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7-E99F-4665-AB87-81CDB0B17A30}"/>
            </c:ext>
          </c:extLst>
        </c:ser>
        <c:ser>
          <c:idx val="4"/>
          <c:order val="7"/>
          <c:tx>
            <c:strRef>
              <c:f>'Gasoline and electric vehicles'!$V$12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'Gasoline and electric vehicles'!$W$4:$AA$4</c:f>
              <c:strCache>
                <c:ptCount val="5"/>
                <c:pt idx="0">
                  <c:v>Gas Vehicle</c:v>
                </c:pt>
                <c:pt idx="1">
                  <c:v>Electric Vehicle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f>'Gasoline and electric vehicles'!$W$12:$AA$12</c:f>
              <c:numCache>
                <c:formatCode>0.000</c:formatCode>
                <c:ptCount val="5"/>
                <c:pt idx="4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1-FCBA-47DC-8880-7D3C9DD5C64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2768384"/>
        <c:axId val="1272761856"/>
        <c:extLst/>
      </c:barChart>
      <c:catAx>
        <c:axId val="1272768384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1856"/>
        <c:crossesAt val="-5.000000000000001E-2"/>
        <c:auto val="1"/>
        <c:lblAlgn val="ctr"/>
        <c:lblOffset val="100"/>
        <c:noMultiLvlLbl val="0"/>
      </c:catAx>
      <c:valAx>
        <c:axId val="1272761856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Fossi CO2[kg</a:t>
                </a:r>
                <a:r>
                  <a:rPr lang="en-US" sz="2400" baseline="-25000"/>
                  <a:t>CO2</a:t>
                </a:r>
                <a:r>
                  <a:rPr lang="en-US" sz="2400"/>
                  <a:t>/FU]</a:t>
                </a:r>
              </a:p>
            </c:rich>
          </c:tx>
          <c:layout>
            <c:manualLayout>
              <c:xMode val="edge"/>
              <c:yMode val="edge"/>
              <c:x val="3.3485796791450716E-2"/>
              <c:y val="0.2260459490787246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8384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040438386661653E-2"/>
          <c:y val="0.81023175949948456"/>
          <c:w val="0.84653634542946776"/>
          <c:h val="0.153450351527592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Comparison of Global Warming</a:t>
            </a:r>
            <a:r>
              <a:rPr lang="en-US" baseline="0"/>
              <a:t> score kgCO2equ</a:t>
            </a:r>
            <a:endParaRPr lang="en-US"/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328673973390214"/>
          <c:y val="0.13793833666559704"/>
          <c:w val="0.69516983218493889"/>
          <c:h val="0.52304079763048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'Gasoline and electric vehicles'!$AC$5</c:f>
              <c:strCache>
                <c:ptCount val="1"/>
                <c:pt idx="0">
                  <c:v>Car manufacturing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vehicles'!$AD$5:$AL$5</c15:sqref>
                  </c15:fullRef>
                </c:ext>
              </c:extLst>
              <c:f>('Gasoline and electric vehicles'!$AD$5,'Gasoline and electric vehicles'!$AF$5,'Gasoline and electric vehicles'!$AH$5,'Gasoline and electric vehicles'!$AJ$5,'Gasoline and electric vehicles'!$AL$5)</c:f>
              <c:numCache>
                <c:formatCode>0.00E+00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2B8-45B8-A831-F3402C69166D}"/>
            </c:ext>
          </c:extLst>
        </c:ser>
        <c:ser>
          <c:idx val="1"/>
          <c:order val="1"/>
          <c:tx>
            <c:strRef>
              <c:f>'Gasoline and electric vehicles'!$AC$6</c:f>
              <c:strCache>
                <c:ptCount val="1"/>
                <c:pt idx="0">
                  <c:v>Car 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vehicles'!$AD$6:$AL$6</c15:sqref>
                  </c15:fullRef>
                </c:ext>
              </c:extLst>
              <c:f>('Gasoline and electric vehicles'!$AD$6,'Gasoline and electric vehicles'!$AF$6,'Gasoline and electric vehicles'!$AH$6,'Gasoline and electric vehicles'!$AJ$6,'Gasoline and electric vehicles'!$AL$6)</c:f>
              <c:numCache>
                <c:formatCode>0.00E+00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2B8-45B8-A831-F3402C69166D}"/>
            </c:ext>
          </c:extLst>
        </c:ser>
        <c:ser>
          <c:idx val="2"/>
          <c:order val="2"/>
          <c:tx>
            <c:strRef>
              <c:f>'Gasoline and electric vehicles'!$AC$7</c:f>
              <c:strCache>
                <c:ptCount val="1"/>
                <c:pt idx="0">
                  <c:v>Car 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vehicles'!$AD$7:$AL$7</c15:sqref>
                  </c15:fullRef>
                </c:ext>
              </c:extLst>
              <c:f>('Gasoline and electric vehicles'!$AD$7,'Gasoline and electric vehicles'!$AF$7,'Gasoline and electric vehicles'!$AH$7,'Gasoline and electric vehicles'!$AJ$7,'Gasoline and electric vehicles'!$AL$7)</c:f>
              <c:numCache>
                <c:formatCode>0.00E+00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C2B8-45B8-A831-F3402C69166D}"/>
            </c:ext>
          </c:extLst>
        </c:ser>
        <c:ser>
          <c:idx val="5"/>
          <c:order val="3"/>
          <c:tx>
            <c:strRef>
              <c:f>'Gasoline and electric vehicles'!$AC$8</c:f>
              <c:strCache>
                <c:ptCount val="1"/>
                <c:pt idx="0">
                  <c:v>Petrol gas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vehicles'!$AD$8:$AL$8</c15:sqref>
                  </c15:fullRef>
                </c:ext>
              </c:extLst>
              <c:f>('Gasoline and electric vehicles'!$AD$8,'Gasoline and electric vehicles'!$AF$8,'Gasoline and electric vehicles'!$AH$8,'Gasoline and electric vehicles'!$AJ$8,'Gasoline and electric vehicles'!$AL$8)</c:f>
              <c:numCache>
                <c:formatCode>0.000</c:formatCode>
                <c:ptCount val="5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C2B8-45B8-A831-F3402C69166D}"/>
            </c:ext>
          </c:extLst>
        </c:ser>
        <c:ser>
          <c:idx val="6"/>
          <c:order val="4"/>
          <c:tx>
            <c:strRef>
              <c:f>'Gasoline and electric vehicles'!$AC$9</c:f>
              <c:strCache>
                <c:ptCount val="1"/>
                <c:pt idx="0">
                  <c:v>Electric charging - 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vehicles'!$AD$9:$AL$9</c15:sqref>
                  </c15:fullRef>
                </c:ext>
              </c:extLst>
              <c:f>('Gasoline and electric vehicles'!$AD$9,'Gasoline and electric vehicles'!$AF$9,'Gasoline and electric vehicles'!$AH$9,'Gasoline and electric vehicles'!$AJ$9,'Gasoline and electric vehicles'!$AL$9)</c:f>
              <c:numCache>
                <c:formatCode>General</c:formatCode>
                <c:ptCount val="5"/>
                <c:pt idx="1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C2B8-45B8-A831-F3402C69166D}"/>
            </c:ext>
          </c:extLst>
        </c:ser>
        <c:ser>
          <c:idx val="3"/>
          <c:order val="6"/>
          <c:tx>
            <c:strRef>
              <c:f>'Gasoline and electric vehicles'!$AC$11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vehicles'!$AD$11:$AL$11</c15:sqref>
                  </c15:fullRef>
                </c:ext>
              </c:extLst>
              <c:f>('Gasoline and electric vehicles'!$AD$11,'Gasoline and electric vehicles'!$AF$11,'Gasoline and electric vehicles'!$AH$11,'Gasoline and electric vehicles'!$AJ$11,'Gasoline and electric vehicles'!$AL$11)</c:f>
              <c:numCache>
                <c:formatCode>General</c:formatCode>
                <c:ptCount val="5"/>
                <c:pt idx="3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C2B8-45B8-A831-F3402C69166D}"/>
            </c:ext>
          </c:extLst>
        </c:ser>
        <c:ser>
          <c:idx val="7"/>
          <c:order val="5"/>
          <c:tx>
            <c:strRef>
              <c:f>'Gasoline and electric vehicles'!$AC$10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vehicles'!$AD$10:$AL$10</c15:sqref>
                  </c15:fullRef>
                </c:ext>
              </c:extLst>
              <c:f>('Gasoline and electric vehicles'!$AD$10,'Gasoline and electric vehicles'!$AF$10,'Gasoline and electric vehicles'!$AH$10,'Gasoline and electric vehicles'!$AJ$10,'Gasoline and electric vehicles'!$AL$10)</c:f>
              <c:numCache>
                <c:formatCode>General</c:formatCode>
                <c:ptCount val="5"/>
                <c:pt idx="2" formatCode="0.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C2B8-45B8-A831-F3402C69166D}"/>
            </c:ext>
          </c:extLst>
        </c:ser>
        <c:ser>
          <c:idx val="4"/>
          <c:order val="7"/>
          <c:tx>
            <c:strRef>
              <c:f>'Gasoline and electric vehicles'!$AC$12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extLst>
                <c:ext xmlns:c15="http://schemas.microsoft.com/office/drawing/2012/chart" uri="{02D57815-91ED-43cb-92C2-25804820EDAC}">
                  <c15:fullRef>
                    <c15:sqref>'Gasoline and electric vehicles'!$AD$4:$AL$4</c15:sqref>
                  </c15:fullRef>
                </c:ext>
              </c:extLst>
              <c:f>('Gasoline and electric vehicles'!$AD$4,'Gasoline and electric vehicles'!$AF$4,'Gasoline and electric vehicles'!$AH$4,'Gasoline and electric vehicles'!$AJ$4,'Gasoline and electric vehicles'!$AL$4)</c:f>
              <c:strCache>
                <c:ptCount val="5"/>
                <c:pt idx="0">
                  <c:v>Gas Vehicle</c:v>
                </c:pt>
                <c:pt idx="1">
                  <c:v>Electric Vehicle - EU mix</c:v>
                </c:pt>
                <c:pt idx="2">
                  <c:v>Electric Vehicle - Wind</c:v>
                </c:pt>
                <c:pt idx="3">
                  <c:v>Electric Vehicle - Photovoltaic</c:v>
                </c:pt>
                <c:pt idx="4">
                  <c:v>Electric Vehicle - 
hard coal</c:v>
                </c:pt>
              </c:strCache>
            </c:strRef>
          </c:cat>
          <c:val>
            <c:numRef>
              <c:extLst>
                <c:ext xmlns:c15="http://schemas.microsoft.com/office/drawing/2012/chart" uri="{02D57815-91ED-43cb-92C2-25804820EDAC}">
                  <c15:fullRef>
                    <c15:sqref>'Gasoline and electric vehicles'!$AD$12:$AL$12</c15:sqref>
                  </c15:fullRef>
                </c:ext>
              </c:extLst>
              <c:f>('Gasoline and electric vehicles'!$AD$12,'Gasoline and electric vehicles'!$AF$12,'Gasoline and electric vehicles'!$AH$12,'Gasoline and electric vehicles'!$AJ$12,'Gasoline and electric vehicles'!$AL$12)</c:f>
              <c:numCache>
                <c:formatCode>General</c:formatCode>
                <c:ptCount val="5"/>
                <c:pt idx="4" formatCode="0.00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C2B8-45B8-A831-F3402C69166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2758048"/>
        <c:axId val="1272771648"/>
        <c:extLst/>
      </c:barChart>
      <c:catAx>
        <c:axId val="127275804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71648"/>
        <c:crossesAt val="-5.000000000000001E-2"/>
        <c:auto val="1"/>
        <c:lblAlgn val="ctr"/>
        <c:lblOffset val="100"/>
        <c:noMultiLvlLbl val="0"/>
      </c:catAx>
      <c:valAx>
        <c:axId val="1272771648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GW score [kg</a:t>
                </a:r>
                <a:r>
                  <a:rPr lang="en-US" sz="2400" baseline="-25000"/>
                  <a:t>CO2equ</a:t>
                </a:r>
                <a:r>
                  <a:rPr lang="en-US" sz="2400"/>
                  <a:t>/FU]</a:t>
                </a:r>
              </a:p>
            </c:rich>
          </c:tx>
          <c:layout>
            <c:manualLayout>
              <c:xMode val="edge"/>
              <c:yMode val="edge"/>
              <c:x val="6.0985032850096509E-2"/>
              <c:y val="0.2273378248101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8048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040438386661653E-2"/>
          <c:y val="0.75080550110631161"/>
          <c:w val="0.84653634542946776"/>
          <c:h val="0.21287665742943351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global warming score over vehicle lifetime</a:t>
            </a:r>
          </a:p>
        </c:rich>
      </c:tx>
      <c:layout>
        <c:manualLayout>
          <c:xMode val="edge"/>
          <c:yMode val="edge"/>
          <c:x val="0.34256317712965184"/>
          <c:y val="1.9223375624759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'Gasoline and electric vehicles'!$AP$4</c:f>
              <c:strCache>
                <c:ptCount val="1"/>
                <c:pt idx="0">
                  <c:v>Gas Vehicle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vehicles'!$AP$5:$AP$45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E-4537-9DCE-049604E25E6A}"/>
            </c:ext>
          </c:extLst>
        </c:ser>
        <c:ser>
          <c:idx val="1"/>
          <c:order val="1"/>
          <c:tx>
            <c:strRef>
              <c:f>'Gasoline and electric vehicles'!$AQ$4</c:f>
              <c:strCache>
                <c:ptCount val="1"/>
                <c:pt idx="0">
                  <c:v>Electric Vehicle - EU mix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vehicles'!$AQ$5:$AQ$45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E-4537-9DCE-049604E25E6A}"/>
            </c:ext>
          </c:extLst>
        </c:ser>
        <c:ser>
          <c:idx val="2"/>
          <c:order val="2"/>
          <c:tx>
            <c:strRef>
              <c:f>'Gasoline and electric vehicles'!$AR$4</c:f>
              <c:strCache>
                <c:ptCount val="1"/>
                <c:pt idx="0">
                  <c:v>Electric Vehicle - Wind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vehicles'!$AR$5:$AR$45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E-4537-9DCE-049604E25E6A}"/>
            </c:ext>
          </c:extLst>
        </c:ser>
        <c:ser>
          <c:idx val="3"/>
          <c:order val="3"/>
          <c:tx>
            <c:strRef>
              <c:f>'Gasoline and electric vehicles'!$AS$4</c:f>
              <c:strCache>
                <c:ptCount val="1"/>
                <c:pt idx="0">
                  <c:v>Electric Vehicle - Photovoltaic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vehicles'!$AS$5:$AS$45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0E-4537-9DCE-049604E25E6A}"/>
            </c:ext>
          </c:extLst>
        </c:ser>
        <c:ser>
          <c:idx val="4"/>
          <c:order val="4"/>
          <c:tx>
            <c:strRef>
              <c:f>'Gasoline and electric vehicles'!$AT$4</c:f>
              <c:strCache>
                <c:ptCount val="1"/>
                <c:pt idx="0">
                  <c:v>Electric Vehicle - Hard coal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vehicles'!$AT$5:$AT$45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2-4599-8961-F4F24CC3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758592"/>
        <c:axId val="1272767840"/>
      </c:scatterChart>
      <c:valAx>
        <c:axId val="1272758592"/>
        <c:scaling>
          <c:orientation val="minMax"/>
          <c:max val="3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over car lifetime</a:t>
                </a:r>
              </a:p>
            </c:rich>
          </c:tx>
          <c:layout>
            <c:manualLayout>
              <c:xMode val="edge"/>
              <c:yMode val="edge"/>
              <c:x val="0.45093736964314057"/>
              <c:y val="0.8869628680554990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7840"/>
        <c:crosses val="autoZero"/>
        <c:crossBetween val="midCat"/>
      </c:valAx>
      <c:valAx>
        <c:axId val="1272767840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warming score [kgCO2equ]</a:t>
                </a:r>
              </a:p>
              <a:p>
                <a:pPr>
                  <a:defRPr/>
                </a:pPr>
                <a:endParaRPr lang="en-US"/>
              </a:p>
            </c:rich>
          </c:tx>
          <c:layout/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8592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Sensitivity study: kgfossil</a:t>
            </a:r>
            <a:r>
              <a:rPr lang="en-US" baseline="0"/>
              <a:t> </a:t>
            </a:r>
            <a:r>
              <a:rPr lang="en-US"/>
              <a:t>CO2/V-km </a:t>
            </a:r>
          </a:p>
        </c:rich>
      </c:tx>
      <c:layout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7.0170635145426971E-2"/>
          <c:y val="7.1348083369278101E-2"/>
          <c:w val="0.88598286724950748"/>
          <c:h val="0.7541721403995485"/>
        </c:manualLayout>
      </c:layout>
      <c:scatterChart>
        <c:scatterStyle val="lineMarker"/>
        <c:varyColors val="0"/>
        <c:ser>
          <c:idx val="0"/>
          <c:order val="0"/>
          <c:tx>
            <c:strRef>
              <c:f>'Gasoline and electric vehicles'!$AW$4</c:f>
              <c:strCache>
                <c:ptCount val="1"/>
                <c:pt idx="0">
                  <c:v>Gas Vehicle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'Gasoline and electric vehicles'!$AV$5:$AV$45</c:f>
              <c:numCache>
                <c:formatCode>General</c:formatCode>
                <c:ptCount val="41"/>
                <c:pt idx="0">
                  <c:v>0.01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vehicles'!$AW$5:$AW$45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2A5C-44D5-8C79-0C27195B01DE}"/>
            </c:ext>
          </c:extLst>
        </c:ser>
        <c:ser>
          <c:idx val="1"/>
          <c:order val="1"/>
          <c:tx>
            <c:strRef>
              <c:f>'Gasoline and electric vehicles'!$AX$4</c:f>
              <c:strCache>
                <c:ptCount val="1"/>
                <c:pt idx="0">
                  <c:v>Electric Vehicle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'Gasoline and electric vehicles'!$AV$5:$AV$45</c:f>
              <c:numCache>
                <c:formatCode>General</c:formatCode>
                <c:ptCount val="41"/>
                <c:pt idx="0">
                  <c:v>0.01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vehicles'!$AX$5:$AX$45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2A5C-44D5-8C79-0C27195B01DE}"/>
            </c:ext>
          </c:extLst>
        </c:ser>
        <c:ser>
          <c:idx val="2"/>
          <c:order val="2"/>
          <c:tx>
            <c:strRef>
              <c:f>'Gasoline and electric vehicles'!$AY$4</c:f>
              <c:strCache>
                <c:ptCount val="1"/>
                <c:pt idx="0">
                  <c:v>Electric Vehicle - Wind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'Gasoline and electric vehicles'!$AV$5:$AV$45</c:f>
              <c:numCache>
                <c:formatCode>General</c:formatCode>
                <c:ptCount val="41"/>
                <c:pt idx="0">
                  <c:v>0.01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vehicles'!$AY$5:$AY$45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2A5C-44D5-8C79-0C27195B01DE}"/>
            </c:ext>
          </c:extLst>
        </c:ser>
        <c:ser>
          <c:idx val="3"/>
          <c:order val="3"/>
          <c:tx>
            <c:strRef>
              <c:f>'Gasoline and electric vehicles'!$AZ$4</c:f>
              <c:strCache>
                <c:ptCount val="1"/>
                <c:pt idx="0">
                  <c:v>Electric Vehicle - Photovoltaic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'Gasoline and electric vehicles'!$AV$5:$AV$45</c:f>
              <c:numCache>
                <c:formatCode>General</c:formatCode>
                <c:ptCount val="41"/>
                <c:pt idx="0">
                  <c:v>0.01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vehicles'!$AZ$5:$AZ$45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2A5C-44D5-8C79-0C27195B01DE}"/>
            </c:ext>
          </c:extLst>
        </c:ser>
        <c:ser>
          <c:idx val="4"/>
          <c:order val="4"/>
          <c:tx>
            <c:strRef>
              <c:f>'Gasoline and electric vehicles'!$BA$4</c:f>
              <c:strCache>
                <c:ptCount val="1"/>
                <c:pt idx="0">
                  <c:v>Electric Vehicle - Hard coal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'Gasoline and electric vehicles'!$AV$5:$AV$45</c:f>
              <c:numCache>
                <c:formatCode>General</c:formatCode>
                <c:ptCount val="41"/>
                <c:pt idx="0">
                  <c:v>0.01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vehicles'!$BA$5:$BA$45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5B6F-44A5-8132-C6EE024945D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765120"/>
        <c:axId val="1272756960"/>
      </c:scatterChart>
      <c:valAx>
        <c:axId val="1272765120"/>
        <c:scaling>
          <c:orientation val="minMax"/>
          <c:max val="35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over car lifetime</a:t>
                </a:r>
              </a:p>
            </c:rich>
          </c:tx>
          <c:layout>
            <c:manualLayout>
              <c:xMode val="edge"/>
              <c:yMode val="edge"/>
              <c:x val="0.46655525309712603"/>
              <c:y val="0.8857994369874749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6960"/>
        <c:crosses val="autoZero"/>
        <c:crossBetween val="midCat"/>
      </c:valAx>
      <c:valAx>
        <c:axId val="1272756960"/>
        <c:scaling>
          <c:orientation val="minMax"/>
          <c:max val="3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 b="0" i="0" u="none" strike="noStrike" kern="1200" baseline="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1800" b="0" i="0" baseline="0">
                    <a:effectLst/>
                  </a:rPr>
                  <a:t>kg fossil CO2/V-km </a:t>
                </a:r>
                <a:endParaRPr lang="en-US" sz="2000">
                  <a:effectLst/>
                </a:endParaRPr>
              </a:p>
              <a:p>
                <a:pPr marL="0" marR="0" lvl="0" indent="0" algn="ctr" defTabSz="914400" rtl="0" eaLnBrk="1" fontAlgn="auto" latinLnBrk="0" hangingPunct="1">
                  <a:lnSpc>
                    <a:spcPct val="100000"/>
                  </a:lnSpc>
                  <a:spcBef>
                    <a:spcPts val="0"/>
                  </a:spcBef>
                  <a:spcAft>
                    <a:spcPts val="0"/>
                  </a:spcAft>
                  <a:buClrTx/>
                  <a:buSzTx/>
                  <a:buFontTx/>
                  <a:buNone/>
                  <a:tabLst/>
                  <a:defRPr sz="2000">
                    <a:solidFill>
                      <a:sysClr val="windowText" lastClr="000000">
                        <a:lumMod val="65000"/>
                        <a:lumOff val="35000"/>
                      </a:sysClr>
                    </a:solidFill>
                  </a:defRPr>
                </a:pPr>
                <a:endParaRPr lang="en-US" sz="2000"/>
              </a:p>
            </c:rich>
          </c:tx>
          <c:layout>
            <c:manualLayout>
              <c:xMode val="edge"/>
              <c:yMode val="edge"/>
              <c:x val="7.9936051159072742E-3"/>
              <c:y val="0.3539004256592278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 marL="0" marR="0" lvl="0" indent="0" algn="ctr" defTabSz="914400" rtl="0" eaLnBrk="1" fontAlgn="auto" latinLnBrk="0" hangingPunct="1">
                <a:lnSpc>
                  <a:spcPct val="100000"/>
                </a:lnSpc>
                <a:spcBef>
                  <a:spcPts val="0"/>
                </a:spcBef>
                <a:spcAft>
                  <a:spcPts val="0"/>
                </a:spcAft>
                <a:buClrTx/>
                <a:buSzTx/>
                <a:buFontTx/>
                <a:buNone/>
                <a:tabLst/>
                <a:defRPr sz="2000" b="0" i="0" u="none" strike="noStrike" kern="1200" baseline="0">
                  <a:solidFill>
                    <a:sysClr val="windowText" lastClr="000000">
                      <a:lumMod val="65000"/>
                      <a:lumOff val="35000"/>
                    </a:sys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512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0.11251546794060814"/>
          <c:y val="0.94070009383542075"/>
          <c:w val="0.77337028015382969"/>
          <c:h val="4.89372118640610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 sz="2400"/>
              <a:t>Comparison of Global Warming</a:t>
            </a:r>
            <a:r>
              <a:rPr lang="en-US" sz="2400" baseline="0"/>
              <a:t> score kgCO2equ</a:t>
            </a:r>
            <a:endParaRPr lang="en-US" sz="2400"/>
          </a:p>
        </c:rich>
      </c:tx>
      <c:layout>
        <c:manualLayout>
          <c:xMode val="edge"/>
          <c:yMode val="edge"/>
          <c:x val="0.3803448450824381"/>
          <c:y val="3.1758130081300816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>
        <c:manualLayout>
          <c:layoutTarget val="inner"/>
          <c:xMode val="edge"/>
          <c:yMode val="edge"/>
          <c:x val="0.21268636914319852"/>
          <c:y val="0.13401987353206865"/>
          <c:w val="0.69516983218493889"/>
          <c:h val="0.52304079763048894"/>
        </c:manualLayout>
      </c:layout>
      <c:barChart>
        <c:barDir val="col"/>
        <c:grouping val="stacked"/>
        <c:varyColors val="0"/>
        <c:ser>
          <c:idx val="0"/>
          <c:order val="0"/>
          <c:tx>
            <c:strRef>
              <c:f>'Gasoline and electric vehicles'!$AC$5</c:f>
              <c:strCache>
                <c:ptCount val="1"/>
                <c:pt idx="0">
                  <c:v>Car manufacturing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vehicles'!$AD$5:$AL$5</c:f>
              <c:numCache>
                <c:formatCode>0.00E+00</c:formatCode>
                <c:ptCount val="9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87DB-4523-B1A5-3177614F0D97}"/>
            </c:ext>
          </c:extLst>
        </c:ser>
        <c:ser>
          <c:idx val="1"/>
          <c:order val="1"/>
          <c:tx>
            <c:strRef>
              <c:f>'Gasoline and electric vehicles'!$AC$6</c:f>
              <c:strCache>
                <c:ptCount val="1"/>
                <c:pt idx="0">
                  <c:v>Car transportation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vehicles'!$AD$6:$AL$6</c:f>
              <c:numCache>
                <c:formatCode>0.00E+00</c:formatCode>
                <c:ptCount val="9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87DB-4523-B1A5-3177614F0D97}"/>
            </c:ext>
          </c:extLst>
        </c:ser>
        <c:ser>
          <c:idx val="2"/>
          <c:order val="2"/>
          <c:tx>
            <c:strRef>
              <c:f>'Gasoline and electric vehicles'!$AC$7</c:f>
              <c:strCache>
                <c:ptCount val="1"/>
                <c:pt idx="0">
                  <c:v>Car disposal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vehicles'!$AD$7:$AL$7</c:f>
              <c:numCache>
                <c:formatCode>0.00E+00</c:formatCode>
                <c:ptCount val="9"/>
                <c:pt idx="0">
                  <c:v>0</c:v>
                </c:pt>
                <c:pt idx="2">
                  <c:v>0</c:v>
                </c:pt>
                <c:pt idx="4">
                  <c:v>0</c:v>
                </c:pt>
                <c:pt idx="6">
                  <c:v>0</c:v>
                </c:pt>
                <c:pt idx="8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87DB-4523-B1A5-3177614F0D97}"/>
            </c:ext>
          </c:extLst>
        </c:ser>
        <c:ser>
          <c:idx val="5"/>
          <c:order val="3"/>
          <c:tx>
            <c:strRef>
              <c:f>'Gasoline and electric vehicles'!$AC$8</c:f>
              <c:strCache>
                <c:ptCount val="1"/>
                <c:pt idx="0">
                  <c:v>Petrol gas </c:v>
                </c:pt>
              </c:strCache>
            </c:strRef>
          </c:tx>
          <c:spPr>
            <a:solidFill>
              <a:schemeClr val="accent6"/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vehicles'!$AD$8:$AL$8</c:f>
              <c:numCache>
                <c:formatCode>0.000</c:formatCode>
                <c:ptCount val="9"/>
                <c:pt idx="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87DB-4523-B1A5-3177614F0D97}"/>
            </c:ext>
          </c:extLst>
        </c:ser>
        <c:ser>
          <c:idx val="6"/>
          <c:order val="4"/>
          <c:tx>
            <c:strRef>
              <c:f>'Gasoline and electric vehicles'!$AC$9</c:f>
              <c:strCache>
                <c:ptCount val="1"/>
                <c:pt idx="0">
                  <c:v>Electric charging - RER</c:v>
                </c:pt>
              </c:strCache>
            </c:strRef>
          </c:tx>
          <c:spPr>
            <a:solidFill>
              <a:schemeClr val="accent1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vehicles'!$AD$9:$AL$9</c:f>
              <c:numCache>
                <c:formatCode>General</c:formatCode>
                <c:ptCount val="9"/>
                <c:pt idx="2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4-87DB-4523-B1A5-3177614F0D97}"/>
            </c:ext>
          </c:extLst>
        </c:ser>
        <c:ser>
          <c:idx val="3"/>
          <c:order val="6"/>
          <c:tx>
            <c:strRef>
              <c:f>'Gasoline and electric vehicles'!$AC$11</c:f>
              <c:strCache>
                <c:ptCount val="1"/>
                <c:pt idx="0">
                  <c:v>Electric charging - photovoltaic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vehicles'!$AD$11:$AL$11</c:f>
              <c:numCache>
                <c:formatCode>General</c:formatCode>
                <c:ptCount val="9"/>
                <c:pt idx="6" formatCode="0.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87DB-4523-B1A5-3177614F0D97}"/>
            </c:ext>
          </c:extLst>
        </c:ser>
        <c:ser>
          <c:idx val="7"/>
          <c:order val="5"/>
          <c:tx>
            <c:strRef>
              <c:f>'Gasoline and electric vehicles'!$AC$10</c:f>
              <c:strCache>
                <c:ptCount val="1"/>
                <c:pt idx="0">
                  <c:v>Electric charging - wind</c:v>
                </c:pt>
              </c:strCache>
            </c:strRef>
          </c:tx>
          <c:spPr>
            <a:solidFill>
              <a:schemeClr val="accent2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vehicles'!$AD$10:$AL$10</c:f>
              <c:numCache>
                <c:formatCode>General</c:formatCode>
                <c:ptCount val="9"/>
                <c:pt idx="4" formatCode="0.0000">
                  <c:v>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6-87DB-4523-B1A5-3177614F0D97}"/>
            </c:ext>
          </c:extLst>
        </c:ser>
        <c:ser>
          <c:idx val="4"/>
          <c:order val="7"/>
          <c:tx>
            <c:strRef>
              <c:f>'Gasoline and electric vehicles'!$AC$12</c:f>
              <c:strCache>
                <c:ptCount val="1"/>
                <c:pt idx="0">
                  <c:v>Electric charging - hard coal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vehicles'!$AD$12:$AL$12</c:f>
              <c:numCache>
                <c:formatCode>General</c:formatCode>
                <c:ptCount val="9"/>
                <c:pt idx="8" formatCode="0.000">
                  <c:v>0</c:v>
                </c:pt>
              </c:numCache>
            </c:numRef>
          </c:val>
          <c:extLst xmlns:c15="http://schemas.microsoft.com/office/drawing/2012/chart">
            <c:ext xmlns:c16="http://schemas.microsoft.com/office/drawing/2014/chart" uri="{C3380CC4-5D6E-409C-BE32-E72D297353CC}">
              <c16:uniqueId val="{00000007-87DB-4523-B1A5-3177614F0D97}"/>
            </c:ext>
          </c:extLst>
        </c:ser>
        <c:ser>
          <c:idx val="9"/>
          <c:order val="9"/>
          <c:tx>
            <c:strRef>
              <c:f>'Gasoline and electric vehicles'!$AC$14</c:f>
              <c:strCache>
                <c:ptCount val="1"/>
                <c:pt idx="0">
                  <c:v>Climate change, short term - Open LCA</c:v>
                </c:pt>
              </c:strCache>
            </c:strRef>
          </c:tx>
          <c:spPr>
            <a:solidFill>
              <a:schemeClr val="accent4">
                <a:lumMod val="60000"/>
              </a:schemeClr>
            </a:solidFill>
            <a:ln>
              <a:noFill/>
            </a:ln>
            <a:effectLst/>
          </c:spPr>
          <c:invertIfNegative val="0"/>
          <c:cat>
            <c:strRef>
              <c:f>'Gasoline and electric vehicles'!$AD$4:$AL$4</c:f>
              <c:strCache>
                <c:ptCount val="9"/>
                <c:pt idx="0">
                  <c:v>Gas Vehicle</c:v>
                </c:pt>
                <c:pt idx="2">
                  <c:v>Electric Vehicle - EU mix</c:v>
                </c:pt>
                <c:pt idx="4">
                  <c:v>Electric Vehicle - Wind</c:v>
                </c:pt>
                <c:pt idx="6">
                  <c:v>Electric Vehicle - Photovoltaic</c:v>
                </c:pt>
                <c:pt idx="8">
                  <c:v>Electric Vehicle - 
hard coal</c:v>
                </c:pt>
              </c:strCache>
            </c:strRef>
          </c:cat>
          <c:val>
            <c:numRef>
              <c:f>'Gasoline and electric vehicles'!$AD$14:$AL$14</c:f>
              <c:numCache>
                <c:formatCode>0.000</c:formatCode>
                <c:ptCount val="9"/>
              </c:numCache>
            </c:numRef>
          </c:val>
          <c:extLst>
            <c:ext xmlns:c16="http://schemas.microsoft.com/office/drawing/2014/chart" uri="{C3380CC4-5D6E-409C-BE32-E72D297353CC}">
              <c16:uniqueId val="{00000000-EB6B-42AB-95AD-D0CA61FF4B0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1272769472"/>
        <c:axId val="1272761312"/>
        <c:extLst>
          <c:ext xmlns:c15="http://schemas.microsoft.com/office/drawing/2012/chart" uri="{02D57815-91ED-43cb-92C2-25804820EDAC}">
            <c15:filteredBarSeries>
              <c15:ser>
                <c:idx val="8"/>
                <c:order val="8"/>
                <c:tx>
                  <c:strRef>
                    <c:extLst>
                      <c:ext uri="{02D57815-91ED-43cb-92C2-25804820EDAC}">
                        <c15:formulaRef>
                          <c15:sqref>'Gasoline and electric vehicles'!$AC$13</c15:sqref>
                        </c15:formulaRef>
                      </c:ext>
                    </c:extLst>
                    <c:strCache>
                      <c:ptCount val="1"/>
                      <c:pt idx="0">
                        <c:v>Net value</c:v>
                      </c:pt>
                    </c:strCache>
                  </c:strRef>
                </c:tx>
                <c:spPr>
                  <a:solidFill>
                    <a:schemeClr val="accent3">
                      <a:lumMod val="60000"/>
                    </a:schemeClr>
                  </a:solidFill>
                  <a:ln>
                    <a:noFill/>
                  </a:ln>
                  <a:effectLst/>
                </c:spPr>
                <c:invertIfNegative val="0"/>
                <c:cat>
                  <c:strRef>
                    <c:extLst>
                      <c:ext uri="{02D57815-91ED-43cb-92C2-25804820EDAC}">
                        <c15:formulaRef>
                          <c15:sqref>'Gasoline and electric vehicles'!$AD$4:$AL$4</c15:sqref>
                        </c15:formulaRef>
                      </c:ext>
                    </c:extLst>
                    <c:strCache>
                      <c:ptCount val="9"/>
                      <c:pt idx="0">
                        <c:v>Gas Vehicle</c:v>
                      </c:pt>
                      <c:pt idx="2">
                        <c:v>Electric Vehicle - EU mix</c:v>
                      </c:pt>
                      <c:pt idx="4">
                        <c:v>Electric Vehicle - Wind</c:v>
                      </c:pt>
                      <c:pt idx="6">
                        <c:v>Electric Vehicle - Photovoltaic</c:v>
                      </c:pt>
                      <c:pt idx="8">
                        <c:v>Electric Vehicle - 
hard coal</c:v>
                      </c:pt>
                    </c:strCache>
                  </c:strRef>
                </c:cat>
                <c:val>
                  <c:numRef>
                    <c:extLst>
                      <c:ext uri="{02D57815-91ED-43cb-92C2-25804820EDAC}">
                        <c15:formulaRef>
                          <c15:sqref>'Gasoline and electric vehicles'!$AD$13:$AL$13</c15:sqref>
                        </c15:formulaRef>
                      </c:ext>
                    </c:extLst>
                    <c:numCache>
                      <c:formatCode>0.000</c:formatCode>
                      <c:ptCount val="9"/>
                      <c:pt idx="0">
                        <c:v>0</c:v>
                      </c:pt>
                      <c:pt idx="2">
                        <c:v>0</c:v>
                      </c:pt>
                      <c:pt idx="4">
                        <c:v>0</c:v>
                      </c:pt>
                      <c:pt idx="6">
                        <c:v>0</c:v>
                      </c:pt>
                      <c:pt idx="8">
                        <c:v>0</c:v>
                      </c:pt>
                    </c:numCache>
                  </c:numRef>
                </c:val>
                <c:extLst>
                  <c:ext xmlns:c16="http://schemas.microsoft.com/office/drawing/2014/chart" uri="{C3380CC4-5D6E-409C-BE32-E72D297353CC}">
                    <c16:uniqueId val="{00000008-87DB-4523-B1A5-3177614F0D97}"/>
                  </c:ext>
                </c:extLst>
              </c15:ser>
            </c15:filteredBarSeries>
          </c:ext>
        </c:extLst>
      </c:barChart>
      <c:catAx>
        <c:axId val="1272769472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0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1312"/>
        <c:crossesAt val="-5.000000000000001E-2"/>
        <c:auto val="1"/>
        <c:lblAlgn val="ctr"/>
        <c:lblOffset val="100"/>
        <c:noMultiLvlLbl val="0"/>
      </c:catAx>
      <c:valAx>
        <c:axId val="1272761312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24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 sz="2400"/>
                  <a:t>GW score [kg</a:t>
                </a:r>
                <a:r>
                  <a:rPr lang="en-US" sz="2400" baseline="-25000"/>
                  <a:t>CO2equ</a:t>
                </a:r>
                <a:r>
                  <a:rPr lang="en-US" sz="2400"/>
                  <a:t>/FU]</a:t>
                </a:r>
              </a:p>
            </c:rich>
          </c:tx>
          <c:layout>
            <c:manualLayout>
              <c:xMode val="edge"/>
              <c:yMode val="edge"/>
              <c:x val="6.0985032850096509E-2"/>
              <c:y val="0.2273378248101153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24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0.000" sourceLinked="0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24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9472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8.1040438386661653E-2"/>
          <c:y val="0.75080550110631161"/>
          <c:w val="0.66383706050505153"/>
          <c:h val="0.13148646053389668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4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216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Cumulative global warming score over vehicle lifetime</a:t>
            </a:r>
          </a:p>
        </c:rich>
      </c:tx>
      <c:layout>
        <c:manualLayout>
          <c:xMode val="edge"/>
          <c:yMode val="edge"/>
          <c:x val="0.34256317712965184"/>
          <c:y val="1.9223375624759707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216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scatterChart>
        <c:scatterStyle val="lineMarker"/>
        <c:varyColors val="0"/>
        <c:ser>
          <c:idx val="0"/>
          <c:order val="0"/>
          <c:tx>
            <c:strRef>
              <c:f>'Gasoline and electric vehicles'!$AP$4</c:f>
              <c:strCache>
                <c:ptCount val="1"/>
                <c:pt idx="0">
                  <c:v>Gas Vehicle</c:v>
                </c:pt>
              </c:strCache>
            </c:strRef>
          </c:tx>
          <c:spPr>
            <a:ln w="19050" cap="rnd">
              <a:solidFill>
                <a:schemeClr val="accent1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1"/>
              </a:solidFill>
              <a:ln w="9525">
                <a:solidFill>
                  <a:schemeClr val="accent1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vehicles'!$AP$5:$AP$45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C80E-4537-9DCE-049604E25E6A}"/>
            </c:ext>
          </c:extLst>
        </c:ser>
        <c:ser>
          <c:idx val="1"/>
          <c:order val="1"/>
          <c:tx>
            <c:strRef>
              <c:f>'Gasoline and electric vehicles'!$AQ$4</c:f>
              <c:strCache>
                <c:ptCount val="1"/>
                <c:pt idx="0">
                  <c:v>Electric Vehicle - EU mix</c:v>
                </c:pt>
              </c:strCache>
            </c:strRef>
          </c:tx>
          <c:spPr>
            <a:ln w="19050" cap="rnd">
              <a:solidFill>
                <a:schemeClr val="accent2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2"/>
              </a:solidFill>
              <a:ln w="9525">
                <a:solidFill>
                  <a:schemeClr val="accent2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vehicles'!$AQ$5:$AQ$45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1-C80E-4537-9DCE-049604E25E6A}"/>
            </c:ext>
          </c:extLst>
        </c:ser>
        <c:ser>
          <c:idx val="2"/>
          <c:order val="2"/>
          <c:tx>
            <c:strRef>
              <c:f>'Gasoline and electric vehicles'!$AR$4</c:f>
              <c:strCache>
                <c:ptCount val="1"/>
                <c:pt idx="0">
                  <c:v>Electric Vehicle - Wind</c:v>
                </c:pt>
              </c:strCache>
            </c:strRef>
          </c:tx>
          <c:spPr>
            <a:ln w="19050" cap="rnd">
              <a:solidFill>
                <a:schemeClr val="accent3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3"/>
              </a:solidFill>
              <a:ln w="9525">
                <a:solidFill>
                  <a:schemeClr val="accent3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vehicles'!$AR$5:$AR$45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2-C80E-4537-9DCE-049604E25E6A}"/>
            </c:ext>
          </c:extLst>
        </c:ser>
        <c:ser>
          <c:idx val="3"/>
          <c:order val="3"/>
          <c:tx>
            <c:strRef>
              <c:f>'Gasoline and electric vehicles'!$AS$4</c:f>
              <c:strCache>
                <c:ptCount val="1"/>
                <c:pt idx="0">
                  <c:v>Electric Vehicle - Photovoltaic</c:v>
                </c:pt>
              </c:strCache>
            </c:strRef>
          </c:tx>
          <c:spPr>
            <a:ln w="19050" cap="rnd">
              <a:solidFill>
                <a:schemeClr val="accent4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4"/>
              </a:solidFill>
              <a:ln w="9525">
                <a:solidFill>
                  <a:schemeClr val="accent4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vehicles'!$AS$5:$AS$45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3-C80E-4537-9DCE-049604E25E6A}"/>
            </c:ext>
          </c:extLst>
        </c:ser>
        <c:ser>
          <c:idx val="4"/>
          <c:order val="4"/>
          <c:tx>
            <c:strRef>
              <c:f>'Gasoline and electric vehicles'!$AT$4</c:f>
              <c:strCache>
                <c:ptCount val="1"/>
                <c:pt idx="0">
                  <c:v>Electric Vehicle - Hard coal</c:v>
                </c:pt>
              </c:strCache>
            </c:strRef>
          </c:tx>
          <c:spPr>
            <a:ln w="19050" cap="rnd">
              <a:solidFill>
                <a:schemeClr val="accent5"/>
              </a:solidFill>
              <a:round/>
            </a:ln>
            <a:effectLst/>
          </c:spPr>
          <c:marker>
            <c:symbol val="circle"/>
            <c:size val="5"/>
            <c:spPr>
              <a:solidFill>
                <a:schemeClr val="accent5"/>
              </a:solidFill>
              <a:ln w="9525">
                <a:solidFill>
                  <a:schemeClr val="accent5"/>
                </a:solidFill>
              </a:ln>
              <a:effectLst/>
            </c:spPr>
          </c:marker>
          <c:xVal>
            <c:numRef>
              <c:f>'Gasoline and electric vehicles'!$AO$5:$AO$45</c:f>
              <c:numCache>
                <c:formatCode>General</c:formatCode>
                <c:ptCount val="41"/>
                <c:pt idx="0">
                  <c:v>0</c:v>
                </c:pt>
                <c:pt idx="1">
                  <c:v>1000</c:v>
                </c:pt>
                <c:pt idx="2">
                  <c:v>2000</c:v>
                </c:pt>
                <c:pt idx="3">
                  <c:v>3000</c:v>
                </c:pt>
                <c:pt idx="4">
                  <c:v>5000</c:v>
                </c:pt>
                <c:pt idx="5">
                  <c:v>7000</c:v>
                </c:pt>
                <c:pt idx="6">
                  <c:v>10000</c:v>
                </c:pt>
                <c:pt idx="7">
                  <c:v>20000</c:v>
                </c:pt>
                <c:pt idx="8">
                  <c:v>30000</c:v>
                </c:pt>
                <c:pt idx="9">
                  <c:v>40000</c:v>
                </c:pt>
                <c:pt idx="10">
                  <c:v>50000</c:v>
                </c:pt>
                <c:pt idx="11">
                  <c:v>60000</c:v>
                </c:pt>
                <c:pt idx="12">
                  <c:v>70000</c:v>
                </c:pt>
                <c:pt idx="13">
                  <c:v>80000</c:v>
                </c:pt>
                <c:pt idx="14">
                  <c:v>90000</c:v>
                </c:pt>
                <c:pt idx="15">
                  <c:v>100000</c:v>
                </c:pt>
                <c:pt idx="16">
                  <c:v>110000</c:v>
                </c:pt>
                <c:pt idx="17">
                  <c:v>120000</c:v>
                </c:pt>
                <c:pt idx="18">
                  <c:v>130000</c:v>
                </c:pt>
                <c:pt idx="19">
                  <c:v>140000</c:v>
                </c:pt>
                <c:pt idx="20">
                  <c:v>150000</c:v>
                </c:pt>
                <c:pt idx="21">
                  <c:v>160000</c:v>
                </c:pt>
                <c:pt idx="22">
                  <c:v>170000</c:v>
                </c:pt>
                <c:pt idx="23">
                  <c:v>180000</c:v>
                </c:pt>
                <c:pt idx="24">
                  <c:v>190000</c:v>
                </c:pt>
                <c:pt idx="25">
                  <c:v>200000</c:v>
                </c:pt>
                <c:pt idx="26">
                  <c:v>210000</c:v>
                </c:pt>
                <c:pt idx="27">
                  <c:v>220000</c:v>
                </c:pt>
                <c:pt idx="28">
                  <c:v>230000</c:v>
                </c:pt>
                <c:pt idx="29">
                  <c:v>240000</c:v>
                </c:pt>
                <c:pt idx="30">
                  <c:v>250000</c:v>
                </c:pt>
                <c:pt idx="31">
                  <c:v>260000</c:v>
                </c:pt>
                <c:pt idx="32">
                  <c:v>270000</c:v>
                </c:pt>
                <c:pt idx="33">
                  <c:v>280000</c:v>
                </c:pt>
                <c:pt idx="34">
                  <c:v>290000</c:v>
                </c:pt>
                <c:pt idx="35">
                  <c:v>300000</c:v>
                </c:pt>
                <c:pt idx="36">
                  <c:v>310000</c:v>
                </c:pt>
                <c:pt idx="37">
                  <c:v>320000</c:v>
                </c:pt>
                <c:pt idx="38">
                  <c:v>330000</c:v>
                </c:pt>
                <c:pt idx="39">
                  <c:v>340000</c:v>
                </c:pt>
                <c:pt idx="40">
                  <c:v>350000</c:v>
                </c:pt>
              </c:numCache>
            </c:numRef>
          </c:xVal>
          <c:yVal>
            <c:numRef>
              <c:f>'Gasoline and electric vehicles'!$AT$5:$AT$45</c:f>
              <c:numCache>
                <c:formatCode>0.00E+00</c:formatCode>
                <c:ptCount val="41"/>
                <c:pt idx="0" formatCode="General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  <c:pt idx="5">
                  <c:v>0</c:v>
                </c:pt>
                <c:pt idx="6">
                  <c:v>0</c:v>
                </c:pt>
                <c:pt idx="7">
                  <c:v>0</c:v>
                </c:pt>
                <c:pt idx="8">
                  <c:v>0</c:v>
                </c:pt>
                <c:pt idx="9">
                  <c:v>0</c:v>
                </c:pt>
                <c:pt idx="10">
                  <c:v>0</c:v>
                </c:pt>
                <c:pt idx="11">
                  <c:v>0</c:v>
                </c:pt>
                <c:pt idx="12">
                  <c:v>0</c:v>
                </c:pt>
                <c:pt idx="13">
                  <c:v>0</c:v>
                </c:pt>
                <c:pt idx="14">
                  <c:v>0</c:v>
                </c:pt>
                <c:pt idx="15">
                  <c:v>0</c:v>
                </c:pt>
                <c:pt idx="16">
                  <c:v>0</c:v>
                </c:pt>
                <c:pt idx="17">
                  <c:v>0</c:v>
                </c:pt>
                <c:pt idx="18">
                  <c:v>0</c:v>
                </c:pt>
                <c:pt idx="19">
                  <c:v>0</c:v>
                </c:pt>
                <c:pt idx="20">
                  <c:v>0</c:v>
                </c:pt>
                <c:pt idx="21">
                  <c:v>0</c:v>
                </c:pt>
                <c:pt idx="22">
                  <c:v>0</c:v>
                </c:pt>
                <c:pt idx="23">
                  <c:v>0</c:v>
                </c:pt>
                <c:pt idx="24">
                  <c:v>0</c:v>
                </c:pt>
                <c:pt idx="25">
                  <c:v>0</c:v>
                </c:pt>
                <c:pt idx="26">
                  <c:v>0</c:v>
                </c:pt>
                <c:pt idx="27">
                  <c:v>0</c:v>
                </c:pt>
                <c:pt idx="28">
                  <c:v>0</c:v>
                </c:pt>
                <c:pt idx="29">
                  <c:v>0</c:v>
                </c:pt>
                <c:pt idx="30">
                  <c:v>0</c:v>
                </c:pt>
                <c:pt idx="31">
                  <c:v>0</c:v>
                </c:pt>
                <c:pt idx="32">
                  <c:v>0</c:v>
                </c:pt>
                <c:pt idx="33">
                  <c:v>0</c:v>
                </c:pt>
                <c:pt idx="34">
                  <c:v>0</c:v>
                </c:pt>
                <c:pt idx="35">
                  <c:v>0</c:v>
                </c:pt>
                <c:pt idx="36">
                  <c:v>0</c:v>
                </c:pt>
                <c:pt idx="37">
                  <c:v>0</c:v>
                </c:pt>
                <c:pt idx="38">
                  <c:v>0</c:v>
                </c:pt>
                <c:pt idx="39">
                  <c:v>0</c:v>
                </c:pt>
                <c:pt idx="40">
                  <c:v>0</c:v>
                </c:pt>
              </c:numCache>
            </c:numRef>
          </c:yVal>
          <c:smooth val="0"/>
          <c:extLst>
            <c:ext xmlns:c16="http://schemas.microsoft.com/office/drawing/2014/chart" uri="{C3380CC4-5D6E-409C-BE32-E72D297353CC}">
              <c16:uniqueId val="{00000000-3F92-4599-8961-F4F24CC36D5B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axId val="1272762400"/>
        <c:axId val="1272759136"/>
      </c:scatterChart>
      <c:valAx>
        <c:axId val="1272762400"/>
        <c:scaling>
          <c:orientation val="minMax"/>
          <c:max val="20000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Distance over car lifetime</a:t>
                </a:r>
              </a:p>
            </c:rich>
          </c:tx>
          <c:layout>
            <c:manualLayout>
              <c:xMode val="edge"/>
              <c:yMode val="edge"/>
              <c:x val="0.44772213158039931"/>
              <c:y val="0.80972290925014379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out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59136"/>
        <c:crosses val="autoZero"/>
        <c:crossBetween val="midCat"/>
      </c:valAx>
      <c:valAx>
        <c:axId val="1272759136"/>
        <c:scaling>
          <c:orientation val="minMax"/>
          <c:max val="12000"/>
          <c:min val="0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8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Global warming score [kgCO2equ]</a:t>
                </a:r>
              </a:p>
              <a:p>
                <a:pPr>
                  <a:defRPr/>
                </a:pPr>
                <a:endParaRPr lang="en-US"/>
              </a:p>
            </c:rich>
          </c:tx>
          <c:layout>
            <c:manualLayout>
              <c:xMode val="edge"/>
              <c:yMode val="edge"/>
              <c:x val="1.6266266266266267E-2"/>
              <c:y val="0.24266132541877167"/>
            </c:manualLayout>
          </c:layout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8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25000"/>
                <a:lumOff val="7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18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272762400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9.357073609042113E-2"/>
          <c:y val="0.86067749512773306"/>
          <c:w val="0.88668235164298159"/>
          <c:h val="0.12902384369821945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 sz="1800"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40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19050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25000"/>
            <a:lumOff val="75000"/>
          </a:schemeClr>
        </a:solidFill>
        <a:round/>
      </a:ln>
    </cs:spPr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7" Type="http://schemas.openxmlformats.org/officeDocument/2006/relationships/chart" Target="../charts/chart7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Relationship Id="rId6" Type="http://schemas.openxmlformats.org/officeDocument/2006/relationships/chart" Target="../charts/chart6.xml"/><Relationship Id="rId5" Type="http://schemas.openxmlformats.org/officeDocument/2006/relationships/chart" Target="../charts/chart5.xml"/><Relationship Id="rId4" Type="http://schemas.openxmlformats.org/officeDocument/2006/relationships/chart" Target="../charts/chart4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13</xdr:col>
      <xdr:colOff>1432560</xdr:colOff>
      <xdr:row>19</xdr:row>
      <xdr:rowOff>137160</xdr:rowOff>
    </xdr:from>
    <xdr:to>
      <xdr:col>19</xdr:col>
      <xdr:colOff>396240</xdr:colOff>
      <xdr:row>54</xdr:row>
      <xdr:rowOff>228600</xdr:rowOff>
    </xdr:to>
    <xdr:graphicFrame macro="">
      <xdr:nvGraphicFramePr>
        <xdr:cNvPr id="3" name="Chart 2">
          <a:extLst>
            <a:ext uri="{FF2B5EF4-FFF2-40B4-BE49-F238E27FC236}">
              <a16:creationId xmlns:a16="http://schemas.microsoft.com/office/drawing/2014/main" id="{00000000-0008-0000-0000-000003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19</xdr:col>
      <xdr:colOff>377884</xdr:colOff>
      <xdr:row>19</xdr:row>
      <xdr:rowOff>96118</xdr:rowOff>
    </xdr:from>
    <xdr:to>
      <xdr:col>24</xdr:col>
      <xdr:colOff>2072640</xdr:colOff>
      <xdr:row>55</xdr:row>
      <xdr:rowOff>20783</xdr:rowOff>
    </xdr:to>
    <xdr:graphicFrame macro="">
      <xdr:nvGraphicFramePr>
        <xdr:cNvPr id="6" name="Chart 5">
          <a:extLst>
            <a:ext uri="{FF2B5EF4-FFF2-40B4-BE49-F238E27FC236}">
              <a16:creationId xmlns:a16="http://schemas.microsoft.com/office/drawing/2014/main" id="{00000000-0008-0000-0000-000006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27</xdr:col>
      <xdr:colOff>1264920</xdr:colOff>
      <xdr:row>18</xdr:row>
      <xdr:rowOff>121921</xdr:rowOff>
    </xdr:from>
    <xdr:to>
      <xdr:col>35</xdr:col>
      <xdr:colOff>1021080</xdr:colOff>
      <xdr:row>53</xdr:row>
      <xdr:rowOff>106680</xdr:rowOff>
    </xdr:to>
    <xdr:graphicFrame macro="">
      <xdr:nvGraphicFramePr>
        <xdr:cNvPr id="4" name="Chart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39</xdr:col>
      <xdr:colOff>167640</xdr:colOff>
      <xdr:row>47</xdr:row>
      <xdr:rowOff>129540</xdr:rowOff>
    </xdr:from>
    <xdr:to>
      <xdr:col>45</xdr:col>
      <xdr:colOff>1524000</xdr:colOff>
      <xdr:row>76</xdr:row>
      <xdr:rowOff>15240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46</xdr:col>
      <xdr:colOff>22860</xdr:colOff>
      <xdr:row>48</xdr:row>
      <xdr:rowOff>22860</xdr:rowOff>
    </xdr:from>
    <xdr:to>
      <xdr:col>53</xdr:col>
      <xdr:colOff>487680</xdr:colOff>
      <xdr:row>76</xdr:row>
      <xdr:rowOff>121920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00000000-0008-0000-0000-000007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26</xdr:col>
      <xdr:colOff>1143000</xdr:colOff>
      <xdr:row>55</xdr:row>
      <xdr:rowOff>0</xdr:rowOff>
    </xdr:from>
    <xdr:to>
      <xdr:col>36</xdr:col>
      <xdr:colOff>1539240</xdr:colOff>
      <xdr:row>86</xdr:row>
      <xdr:rowOff>1173480</xdr:rowOff>
    </xdr:to>
    <xdr:graphicFrame macro="">
      <xdr:nvGraphicFramePr>
        <xdr:cNvPr id="8" name="Chart 7">
          <a:extLst>
            <a:ext uri="{FF2B5EF4-FFF2-40B4-BE49-F238E27FC236}">
              <a16:creationId xmlns:a16="http://schemas.microsoft.com/office/drawing/2014/main" id="{00000000-0008-0000-0000-00000800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38</xdr:col>
      <xdr:colOff>1859280</xdr:colOff>
      <xdr:row>78</xdr:row>
      <xdr:rowOff>190500</xdr:rowOff>
    </xdr:from>
    <xdr:to>
      <xdr:col>43</xdr:col>
      <xdr:colOff>1493520</xdr:colOff>
      <xdr:row>91</xdr:row>
      <xdr:rowOff>121920</xdr:rowOff>
    </xdr:to>
    <xdr:graphicFrame macro="">
      <xdr:nvGraphicFramePr>
        <xdr:cNvPr id="9" name="Chart 8">
          <a:extLst>
            <a:ext uri="{FF2B5EF4-FFF2-40B4-BE49-F238E27FC236}">
              <a16:creationId xmlns:a16="http://schemas.microsoft.com/office/drawing/2014/main" id="{00000000-0008-0000-0000-000009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id="1" name="Towel_hand_drying_cycle_stage" displayName="Towel_hand_drying_cycle_stage" ref="A4:M45" totalsRowShown="0" headerRowBorderDxfId="69" tableBorderDxfId="68">
  <autoFilter ref="A4:M45"/>
  <tableColumns count="13">
    <tableColumn id="1" name="Transportation by Gas Vehicle_x000a_FU= 1 vehicle km_x000a_Life Cycle stage  (150,000 km lifespan)" dataDxfId="67"/>
    <tableColumn id="2" name="Quantity per FU" dataDxfId="66"/>
    <tableColumn id="3" name="Unit" dataDxfId="65"/>
    <tableColumn id="4" name="Energy/Unit  [MJ/Unit]" dataDxfId="64"/>
    <tableColumn id="5" name="Energy per FU [MJ/FU]" dataDxfId="63"/>
    <tableColumn id="6" name="fraction" dataDxfId="62">
      <calculatedColumnFormula>E5/E$43</calculatedColumnFormula>
    </tableColumn>
    <tableColumn id="7" name="CO2/Unit [kg/unit]" dataDxfId="61"/>
    <tableColumn id="8" name="CO2 fossil/FU" dataDxfId="60"/>
    <tableColumn id="9" name="fraction2" dataDxfId="59"/>
    <tableColumn id="10" name="Check g CO2/MJ" dataDxfId="58"/>
    <tableColumn id="12" name="CO2equ/Unit [kg/unit]2" dataDxfId="57"/>
    <tableColumn id="13" name="CO2equ./FU" dataDxfId="56"/>
    <tableColumn id="14" name="fraction3" dataDxfId="55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his table provides learners with an opportunity to fill in the template for Energy and Carbon Dioxide balance for hands drying with towels. _x000a_"/>
    </ext>
  </extLst>
</table>
</file>

<file path=xl/tables/table2.xml><?xml version="1.0" encoding="utf-8"?>
<table xmlns="http://schemas.openxmlformats.org/spreadsheetml/2006/main" id="2" name="electric_hand_drying_cycle_stage" displayName="electric_hand_drying_cycle_stage" ref="A47:M80" totalsRowShown="0" headerRowBorderDxfId="54" tableBorderDxfId="53">
  <autoFilter ref="A47:M80"/>
  <tableColumns count="13">
    <tableColumn id="1" name="Transportation by Electric Vehicle_x000a_FU= 1 vehicle km_x000a_Life Cycle stage (225,000 km lifespan)" dataDxfId="52"/>
    <tableColumn id="2" name="Quantity per FU"/>
    <tableColumn id="3" name="Unit" dataDxfId="51"/>
    <tableColumn id="4" name="Energy/Unit  [MJ/Unit]" dataDxfId="50"/>
    <tableColumn id="5" name="Energy per FU [MJ/FU]" dataDxfId="49"/>
    <tableColumn id="6" name="fraction"/>
    <tableColumn id="7" name="CO2/Unit [kg/unit]"/>
    <tableColumn id="8" name="CO2/FU"/>
    <tableColumn id="9" name="fraction2"/>
    <tableColumn id="10" name="Check g CO2/MJ" dataDxfId="48"/>
    <tableColumn id="11" name="CO2equ/Unit [kg/unit]2" dataDxfId="47"/>
    <tableColumn id="12" name="CO2equ./FU" dataDxfId="46">
      <calculatedColumnFormula>K48*$B48</calculatedColumnFormula>
    </tableColumn>
    <tableColumn id="13" name="fraction3" dataDxfId="45">
      <calculatedColumnFormula>L48/L$43</calculatedColumnFormula>
    </tableColumn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his table provides learners with an opportunity to fill in the template for Energy and Carbon Dioxide balance for electric air appliances. "/>
    </ext>
  </extLst>
</table>
</file>

<file path=xl/tables/table3.xml><?xml version="1.0" encoding="utf-8"?>
<table xmlns="http://schemas.openxmlformats.org/spreadsheetml/2006/main" id="3" name="Towel_hand_drying_cycle_stage4" displayName="Towel_hand_drying_cycle_stage4" ref="A4:C41" totalsRowShown="0" headerRowBorderDxfId="3" tableBorderDxfId="4">
  <autoFilter ref="A4:C41"/>
  <tableColumns count="3">
    <tableColumn id="1" name="Transportation by Gas Vehicle" dataDxfId="2"/>
    <tableColumn id="2" name="Reference Product Name" dataDxfId="1"/>
    <tableColumn id="3" name="Reference Product Unit" dataDxfId="0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his table provides learners with an opportunity to fill in the template for Energy and Carbon Dioxide balance for hands drying with towels. _x000a_"/>
    </ext>
  </extLst>
</table>
</file>

<file path=xl/tables/table4.xml><?xml version="1.0" encoding="utf-8"?>
<table xmlns="http://schemas.openxmlformats.org/spreadsheetml/2006/main" id="4" name="electric_hand_drying_cycle_stage5" displayName="electric_hand_drying_cycle_stage5" ref="A43:C76" totalsRowShown="0" headerRowBorderDxfId="44" tableBorderDxfId="43">
  <autoFilter ref="A43:C76"/>
  <tableColumns count="3">
    <tableColumn id="1" name="Transportation by Electric Vehicle" dataDxfId="42"/>
    <tableColumn id="2" name="Reference Product Name"/>
    <tableColumn id="3" name="Reference Product Unit" dataDxfId="41"/>
  </tableColumns>
  <tableStyleInfo showFirstColumn="0" showLastColumn="0" showRowStripes="1" showColumnStripes="0"/>
  <extLst>
    <ext xmlns:x14="http://schemas.microsoft.com/office/spreadsheetml/2009/9/main" uri="{504A1905-F514-4f6f-8877-14C23A59335A}">
      <x14:table altTextSummary="This table provides learners with an opportunity to fill in the template for Energy and Carbon Dioxide balance for electric air appliances. "/>
    </ext>
  </extLst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table" Target="../tables/table1.xml"/><Relationship Id="rId2" Type="http://schemas.openxmlformats.org/officeDocument/2006/relationships/vmlDrawing" Target="../drawings/vmlDrawing1.vml"/><Relationship Id="rId1" Type="http://schemas.openxmlformats.org/officeDocument/2006/relationships/drawing" Target="../drawings/drawing1.xml"/><Relationship Id="rId5" Type="http://schemas.openxmlformats.org/officeDocument/2006/relationships/comments" Target="../comments1.xml"/><Relationship Id="rId4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table" Target="../tables/table4.xml"/><Relationship Id="rId2" Type="http://schemas.openxmlformats.org/officeDocument/2006/relationships/table" Target="../tables/table3.xml"/><Relationship Id="rId1" Type="http://schemas.openxmlformats.org/officeDocument/2006/relationships/vmlDrawing" Target="../drawings/vmlDrawing2.vml"/><Relationship Id="rId4" Type="http://schemas.openxmlformats.org/officeDocument/2006/relationships/comments" Target="../comments2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BA139"/>
  <sheetViews>
    <sheetView zoomScale="50" zoomScaleNormal="50" workbookViewId="0">
      <selection activeCell="A2" sqref="A2"/>
    </sheetView>
  </sheetViews>
  <sheetFormatPr defaultColWidth="30.6640625" defaultRowHeight="20.399999999999999"/>
  <cols>
    <col min="1" max="1" width="60.5546875" style="1" customWidth="1"/>
    <col min="2" max="2" width="24.33203125" style="1" customWidth="1"/>
    <col min="3" max="3" width="13.33203125" style="1" customWidth="1"/>
    <col min="4" max="4" width="16.109375" style="1" customWidth="1"/>
    <col min="5" max="5" width="16.109375" style="39" customWidth="1"/>
    <col min="6" max="6" width="23.6640625" style="1" customWidth="1"/>
    <col min="7" max="7" width="19.44140625" style="1" customWidth="1"/>
    <col min="8" max="8" width="14.6640625" style="1" customWidth="1"/>
    <col min="9" max="9" width="23.6640625" style="1" customWidth="1"/>
    <col min="10" max="13" width="30.6640625" style="15"/>
    <col min="14" max="14" width="30.6640625" style="1"/>
    <col min="15" max="15" width="42.44140625" style="1" customWidth="1"/>
    <col min="16" max="21" width="30.6640625" style="1"/>
    <col min="22" max="22" width="34.44140625" style="1" customWidth="1"/>
    <col min="23" max="28" width="30.6640625" style="1"/>
    <col min="29" max="29" width="57.33203125" style="1" customWidth="1"/>
    <col min="30" max="16384" width="30.6640625" style="1"/>
  </cols>
  <sheetData>
    <row r="1" spans="1:53">
      <c r="A1" s="22" t="s">
        <v>7</v>
      </c>
      <c r="B1" s="23">
        <v>1000</v>
      </c>
    </row>
    <row r="2" spans="1:53" ht="81.599999999999994">
      <c r="A2" s="22" t="s">
        <v>12</v>
      </c>
      <c r="B2" s="23">
        <v>1000</v>
      </c>
      <c r="AD2" s="54" t="s">
        <v>111</v>
      </c>
      <c r="AE2" s="54" t="s">
        <v>112</v>
      </c>
      <c r="AF2" s="54" t="s">
        <v>113</v>
      </c>
      <c r="AG2" s="54" t="s">
        <v>116</v>
      </c>
      <c r="AH2" s="54" t="s">
        <v>114</v>
      </c>
      <c r="AI2" s="54" t="s">
        <v>117</v>
      </c>
      <c r="AJ2" s="54" t="s">
        <v>115</v>
      </c>
      <c r="AK2" s="54" t="s">
        <v>118</v>
      </c>
      <c r="AL2" s="54" t="s">
        <v>124</v>
      </c>
      <c r="AM2" s="2"/>
      <c r="AO2" s="54" t="s">
        <v>109</v>
      </c>
      <c r="AP2" s="1" t="s">
        <v>106</v>
      </c>
      <c r="AV2" s="54" t="s">
        <v>104</v>
      </c>
      <c r="AW2" s="1" t="s">
        <v>107</v>
      </c>
    </row>
    <row r="3" spans="1:53">
      <c r="AC3" s="54" t="s">
        <v>105</v>
      </c>
      <c r="AD3" s="54">
        <v>150000</v>
      </c>
      <c r="AE3" s="54"/>
      <c r="AF3" s="54">
        <f>1.5*$AD3</f>
        <v>225000</v>
      </c>
      <c r="AG3" s="54"/>
      <c r="AH3" s="54">
        <f t="shared" ref="AH3:AL3" si="0">1.5*$AD3</f>
        <v>225000</v>
      </c>
      <c r="AI3" s="54"/>
      <c r="AJ3" s="54">
        <f t="shared" si="0"/>
        <v>225000</v>
      </c>
      <c r="AK3" s="54"/>
      <c r="AL3" s="54">
        <f t="shared" si="0"/>
        <v>225000</v>
      </c>
      <c r="AM3" s="2"/>
    </row>
    <row r="4" spans="1:53" s="2" customFormat="1" ht="63" customHeight="1" thickBot="1">
      <c r="A4" s="30" t="s">
        <v>77</v>
      </c>
      <c r="B4" s="31" t="s">
        <v>15</v>
      </c>
      <c r="C4" s="32" t="s">
        <v>0</v>
      </c>
      <c r="D4" s="31" t="s">
        <v>3</v>
      </c>
      <c r="E4" s="40" t="s">
        <v>10</v>
      </c>
      <c r="F4" s="33" t="s">
        <v>8</v>
      </c>
      <c r="G4" s="31" t="s">
        <v>19</v>
      </c>
      <c r="H4" s="31" t="s">
        <v>25</v>
      </c>
      <c r="I4" s="33" t="s">
        <v>21</v>
      </c>
      <c r="J4" s="34" t="s">
        <v>11</v>
      </c>
      <c r="K4" s="31" t="s">
        <v>99</v>
      </c>
      <c r="L4" s="31" t="s">
        <v>100</v>
      </c>
      <c r="M4" s="160" t="s">
        <v>101</v>
      </c>
      <c r="O4" s="54" t="s">
        <v>28</v>
      </c>
      <c r="P4" s="54" t="s">
        <v>79</v>
      </c>
      <c r="Q4" s="54" t="s">
        <v>80</v>
      </c>
      <c r="R4" s="54" t="s">
        <v>87</v>
      </c>
      <c r="S4" s="54" t="s">
        <v>88</v>
      </c>
      <c r="T4" s="54" t="s">
        <v>122</v>
      </c>
      <c r="V4" s="54" t="s">
        <v>27</v>
      </c>
      <c r="W4" s="54" t="s">
        <v>79</v>
      </c>
      <c r="X4" s="54" t="s">
        <v>80</v>
      </c>
      <c r="Y4" s="54" t="s">
        <v>87</v>
      </c>
      <c r="Z4" s="54" t="s">
        <v>88</v>
      </c>
      <c r="AA4" s="54" t="s">
        <v>122</v>
      </c>
      <c r="AB4" s="1"/>
      <c r="AC4" s="54" t="s">
        <v>104</v>
      </c>
      <c r="AD4" s="54" t="s">
        <v>79</v>
      </c>
      <c r="AE4" s="54"/>
      <c r="AF4" s="54" t="s">
        <v>126</v>
      </c>
      <c r="AG4" s="54"/>
      <c r="AH4" s="54" t="s">
        <v>87</v>
      </c>
      <c r="AI4" s="54"/>
      <c r="AJ4" s="54" t="s">
        <v>88</v>
      </c>
      <c r="AK4" s="54"/>
      <c r="AL4" s="54" t="s">
        <v>122</v>
      </c>
      <c r="AO4" s="54" t="s">
        <v>108</v>
      </c>
      <c r="AP4" s="54" t="s">
        <v>79</v>
      </c>
      <c r="AQ4" s="54" t="s">
        <v>126</v>
      </c>
      <c r="AR4" s="54" t="s">
        <v>87</v>
      </c>
      <c r="AS4" s="54" t="s">
        <v>88</v>
      </c>
      <c r="AT4" s="54" t="s">
        <v>125</v>
      </c>
      <c r="AU4" s="54"/>
      <c r="AV4" s="54" t="s">
        <v>108</v>
      </c>
      <c r="AW4" s="54" t="s">
        <v>79</v>
      </c>
      <c r="AX4" s="54" t="s">
        <v>80</v>
      </c>
      <c r="AY4" s="54" t="s">
        <v>87</v>
      </c>
      <c r="AZ4" s="54" t="s">
        <v>88</v>
      </c>
      <c r="BA4" s="54" t="s">
        <v>125</v>
      </c>
    </row>
    <row r="5" spans="1:53">
      <c r="A5" s="6" t="s">
        <v>54</v>
      </c>
      <c r="B5" s="4"/>
      <c r="C5" s="8"/>
      <c r="D5" s="4"/>
      <c r="E5" s="41"/>
      <c r="F5" s="12"/>
      <c r="G5" s="4"/>
      <c r="H5" s="4"/>
      <c r="I5" s="12"/>
      <c r="J5" s="27"/>
      <c r="K5" s="4"/>
      <c r="L5" s="4"/>
      <c r="M5" s="12"/>
      <c r="O5" s="48" t="s">
        <v>81</v>
      </c>
      <c r="P5" s="50">
        <f>SUM(E6:E28)</f>
        <v>0</v>
      </c>
      <c r="Q5" s="50">
        <f>SUM($E$49:$E$62)</f>
        <v>0</v>
      </c>
      <c r="R5" s="50">
        <f>SUM($E$49:$E$62)</f>
        <v>0</v>
      </c>
      <c r="S5" s="50">
        <f>SUM($E$49:$E$62)</f>
        <v>0</v>
      </c>
      <c r="T5" s="50">
        <f>SUM($E$49:$E$62)</f>
        <v>0</v>
      </c>
      <c r="V5" s="48" t="s">
        <v>81</v>
      </c>
      <c r="W5" s="121">
        <f>SUM(H6:H28)</f>
        <v>0</v>
      </c>
      <c r="X5" s="121">
        <f>SUM($H$49:$H$62)</f>
        <v>0</v>
      </c>
      <c r="Y5" s="121">
        <f>SUM($H$49:$H$62)</f>
        <v>0</v>
      </c>
      <c r="Z5" s="121">
        <f>SUM($H$49:$H$62)</f>
        <v>0</v>
      </c>
      <c r="AA5" s="121">
        <f>SUM($H$49:$H$62)</f>
        <v>0</v>
      </c>
      <c r="AC5" s="48" t="s">
        <v>81</v>
      </c>
      <c r="AD5" s="121">
        <f>SUM(L6:L28)</f>
        <v>0</v>
      </c>
      <c r="AE5" s="121"/>
      <c r="AF5" s="121">
        <f>SUM($L$49:$L$62)</f>
        <v>0</v>
      </c>
      <c r="AG5" s="121"/>
      <c r="AH5" s="121">
        <f>SUM($L$49:$L$62)</f>
        <v>0</v>
      </c>
      <c r="AI5" s="121"/>
      <c r="AJ5" s="121">
        <f>SUM($L$49:$L$62)</f>
        <v>0</v>
      </c>
      <c r="AK5" s="121"/>
      <c r="AL5" s="121">
        <f>SUM($L$49:$L$62)</f>
        <v>0</v>
      </c>
      <c r="AM5" s="174"/>
      <c r="AO5" s="171">
        <v>0</v>
      </c>
      <c r="AP5" s="171">
        <f>SUM(AD5:AD6)*AD3</f>
        <v>0</v>
      </c>
      <c r="AQ5" s="171">
        <f>SUM(AF5:AF6)*AF3</f>
        <v>0</v>
      </c>
      <c r="AR5" s="171">
        <f>SUM(AH5:AH6)*AH3</f>
        <v>0</v>
      </c>
      <c r="AS5" s="171">
        <f>SUM(AJ5:AJ6)*AJ3</f>
        <v>0</v>
      </c>
      <c r="AT5" s="171">
        <f>SUM(AL5:AL6)*AL3</f>
        <v>0</v>
      </c>
      <c r="AU5" s="171"/>
      <c r="AV5" s="171">
        <v>0.01</v>
      </c>
      <c r="AW5" s="171">
        <f t="shared" ref="AW5:AW45" si="1">AP5/$AV5</f>
        <v>0</v>
      </c>
      <c r="AX5" s="171">
        <f t="shared" ref="AX5:AX45" si="2">AQ5/$AV5</f>
        <v>0</v>
      </c>
      <c r="AY5" s="171">
        <f t="shared" ref="AY5:AY45" si="3">AR5/$AV5</f>
        <v>0</v>
      </c>
      <c r="AZ5" s="171">
        <f t="shared" ref="AZ5:AZ45" si="4">AS5/$AV5</f>
        <v>0</v>
      </c>
      <c r="BA5" s="171">
        <f t="shared" ref="BA5:BA45" si="5">AT5/$AV5</f>
        <v>0</v>
      </c>
    </row>
    <row r="6" spans="1:53">
      <c r="A6" s="7"/>
      <c r="B6" s="37"/>
      <c r="C6" s="37" t="s">
        <v>1</v>
      </c>
      <c r="D6" s="108"/>
      <c r="E6" s="37">
        <f t="shared" ref="E6:E32" si="6">D6*$B6</f>
        <v>0</v>
      </c>
      <c r="F6" s="162" t="e">
        <f>E6/E$43</f>
        <v>#DIV/0!</v>
      </c>
      <c r="G6" s="36"/>
      <c r="H6" s="37">
        <f t="shared" ref="H6:H39" si="7">G6*$B6</f>
        <v>0</v>
      </c>
      <c r="I6" s="162" t="e">
        <f>H6/H$43</f>
        <v>#DIV/0!</v>
      </c>
      <c r="J6" s="113" t="e">
        <f>H6/E6*$B$2</f>
        <v>#DIV/0!</v>
      </c>
      <c r="K6" s="36"/>
      <c r="L6" s="37">
        <f>K6*$B6</f>
        <v>0</v>
      </c>
      <c r="M6" s="162" t="e">
        <f>L6/L$43</f>
        <v>#DIV/0!</v>
      </c>
      <c r="O6" s="49" t="s">
        <v>82</v>
      </c>
      <c r="P6" s="50">
        <f>SUM(E30:E32)</f>
        <v>0</v>
      </c>
      <c r="Q6" s="52">
        <f>SUM($E$64:$E$66)</f>
        <v>0</v>
      </c>
      <c r="R6" s="52">
        <f>SUM($E$64:$E$66)</f>
        <v>0</v>
      </c>
      <c r="S6" s="52">
        <f>SUM($E$64:$E$66)</f>
        <v>0</v>
      </c>
      <c r="T6" s="52">
        <f>SUM($E$64:$E$66)</f>
        <v>0</v>
      </c>
      <c r="V6" s="49" t="s">
        <v>82</v>
      </c>
      <c r="W6" s="121">
        <f>SUM(H30:H32)</f>
        <v>0</v>
      </c>
      <c r="X6" s="122">
        <f>SUM($H$64:$H$66)</f>
        <v>0</v>
      </c>
      <c r="Y6" s="122">
        <f>SUM($H$64:$H$66)</f>
        <v>0</v>
      </c>
      <c r="Z6" s="122">
        <f>SUM($H$64:$H$66)</f>
        <v>0</v>
      </c>
      <c r="AA6" s="122">
        <f>SUM($H$64:$H$66)</f>
        <v>0</v>
      </c>
      <c r="AC6" s="49" t="s">
        <v>82</v>
      </c>
      <c r="AD6" s="121">
        <f>SUM(L30:L32)</f>
        <v>0</v>
      </c>
      <c r="AE6" s="121"/>
      <c r="AF6" s="122">
        <f>SUM($L$64:$L$66)</f>
        <v>0</v>
      </c>
      <c r="AG6" s="122"/>
      <c r="AH6" s="122">
        <f>SUM($L$64:$L$66)</f>
        <v>0</v>
      </c>
      <c r="AI6" s="122"/>
      <c r="AJ6" s="122">
        <f>SUM($L$64:$L$66)</f>
        <v>0</v>
      </c>
      <c r="AK6" s="122"/>
      <c r="AL6" s="122">
        <f>SUM($L$64:$L$66)</f>
        <v>0</v>
      </c>
      <c r="AM6" s="175"/>
      <c r="AO6" s="48">
        <v>1000</v>
      </c>
      <c r="AP6" s="122">
        <f>AP$5+AD$8*$AO6</f>
        <v>0</v>
      </c>
      <c r="AQ6" s="122">
        <f>AQ$5+AF$9*$AO6</f>
        <v>0</v>
      </c>
      <c r="AR6" s="122">
        <f>AR$5+AH$10*$AO6</f>
        <v>0</v>
      </c>
      <c r="AS6" s="122">
        <f>AS$5+AJ$11*$AO6</f>
        <v>0</v>
      </c>
      <c r="AT6" s="122">
        <f t="shared" ref="AT6:AT45" si="8">AT$5+AL$12*$AO6</f>
        <v>0</v>
      </c>
      <c r="AU6" s="122"/>
      <c r="AV6" s="48">
        <f t="shared" ref="AV6:AV45" si="9">AO6</f>
        <v>1000</v>
      </c>
      <c r="AW6" s="122">
        <f t="shared" si="1"/>
        <v>0</v>
      </c>
      <c r="AX6" s="122">
        <f t="shared" si="2"/>
        <v>0</v>
      </c>
      <c r="AY6" s="122">
        <f t="shared" si="3"/>
        <v>0</v>
      </c>
      <c r="AZ6" s="122">
        <f t="shared" si="4"/>
        <v>0</v>
      </c>
      <c r="BA6" s="122">
        <f t="shared" si="5"/>
        <v>0</v>
      </c>
    </row>
    <row r="7" spans="1:53">
      <c r="A7" s="7"/>
      <c r="B7" s="37"/>
      <c r="C7" s="37" t="s">
        <v>1</v>
      </c>
      <c r="D7" s="108"/>
      <c r="E7" s="37">
        <f t="shared" si="6"/>
        <v>0</v>
      </c>
      <c r="F7" s="13" t="e">
        <f t="shared" ref="F7:F28" si="10">E7/E$43</f>
        <v>#DIV/0!</v>
      </c>
      <c r="G7" s="36"/>
      <c r="H7" s="37">
        <f t="shared" si="7"/>
        <v>0</v>
      </c>
      <c r="I7" s="13" t="e">
        <f t="shared" ref="I7:I28" si="11">H7/H$43</f>
        <v>#DIV/0!</v>
      </c>
      <c r="J7" s="113" t="e">
        <f t="shared" ref="J7:J28" si="12">H7/E7*$B$2</f>
        <v>#DIV/0!</v>
      </c>
      <c r="K7" s="36"/>
      <c r="L7" s="37">
        <f t="shared" ref="L7:L28" si="13">K7*$B7</f>
        <v>0</v>
      </c>
      <c r="M7" s="13" t="e">
        <f t="shared" ref="M7:M28" si="14">L7/L$43</f>
        <v>#DIV/0!</v>
      </c>
      <c r="O7" s="48" t="s">
        <v>83</v>
      </c>
      <c r="P7" s="125">
        <f>SUM(E37:E41)</f>
        <v>0</v>
      </c>
      <c r="Q7" s="125">
        <f>SUM($E$73:$E$78)</f>
        <v>0</v>
      </c>
      <c r="R7" s="125">
        <f>SUM($E$73:$E$78)</f>
        <v>0</v>
      </c>
      <c r="S7" s="125">
        <f>SUM($E$73:$E$78)</f>
        <v>0</v>
      </c>
      <c r="T7" s="125">
        <f>SUM($E$73:$E$78)</f>
        <v>0</v>
      </c>
      <c r="V7" s="48" t="s">
        <v>83</v>
      </c>
      <c r="W7" s="122">
        <f>SUM(H37:H41)</f>
        <v>0</v>
      </c>
      <c r="X7" s="122">
        <f>SUM($H$73:$H$78)</f>
        <v>0</v>
      </c>
      <c r="Y7" s="122">
        <f>SUM($H$73:$H$78)</f>
        <v>0</v>
      </c>
      <c r="Z7" s="122">
        <f>SUM($H$73:$H$78)</f>
        <v>0</v>
      </c>
      <c r="AA7" s="122">
        <f>SUM($H$73:$H$78)</f>
        <v>0</v>
      </c>
      <c r="AC7" s="48" t="s">
        <v>83</v>
      </c>
      <c r="AD7" s="122">
        <f>SUM(L37:L41)</f>
        <v>0</v>
      </c>
      <c r="AE7" s="122"/>
      <c r="AF7" s="122">
        <f>SUM($L$73:$L$78)</f>
        <v>0</v>
      </c>
      <c r="AG7" s="122"/>
      <c r="AH7" s="122">
        <f>SUM($L$73:$L$78)</f>
        <v>0</v>
      </c>
      <c r="AI7" s="122"/>
      <c r="AJ7" s="122">
        <f>SUM($L$73:$L$78)</f>
        <v>0</v>
      </c>
      <c r="AK7" s="122"/>
      <c r="AL7" s="122">
        <f>SUM($L$73:$L$78)</f>
        <v>0</v>
      </c>
      <c r="AM7" s="175"/>
      <c r="AO7" s="48">
        <v>2000</v>
      </c>
      <c r="AP7" s="122">
        <f t="shared" ref="AP7:AP45" si="15">AP$5+AD$8*$AO7</f>
        <v>0</v>
      </c>
      <c r="AQ7" s="122">
        <f t="shared" ref="AQ7:AQ45" si="16">AQ$5+AF$9*$AO7</f>
        <v>0</v>
      </c>
      <c r="AR7" s="122">
        <f t="shared" ref="AR7:AR45" si="17">AR$5+AH$10*$AO7</f>
        <v>0</v>
      </c>
      <c r="AS7" s="122">
        <f t="shared" ref="AS7:AS45" si="18">AS$5+AJ$11*$AO7</f>
        <v>0</v>
      </c>
      <c r="AT7" s="122">
        <f t="shared" si="8"/>
        <v>0</v>
      </c>
      <c r="AU7" s="122"/>
      <c r="AV7" s="48">
        <f t="shared" si="9"/>
        <v>2000</v>
      </c>
      <c r="AW7" s="122">
        <f t="shared" si="1"/>
        <v>0</v>
      </c>
      <c r="AX7" s="122">
        <f t="shared" si="2"/>
        <v>0</v>
      </c>
      <c r="AY7" s="122">
        <f t="shared" si="3"/>
        <v>0</v>
      </c>
      <c r="AZ7" s="122">
        <f t="shared" si="4"/>
        <v>0</v>
      </c>
      <c r="BA7" s="122">
        <f t="shared" si="5"/>
        <v>0</v>
      </c>
    </row>
    <row r="8" spans="1:53">
      <c r="A8" s="7"/>
      <c r="B8" s="37"/>
      <c r="C8" s="37" t="s">
        <v>1</v>
      </c>
      <c r="D8" s="108"/>
      <c r="E8" s="37">
        <f t="shared" si="6"/>
        <v>0</v>
      </c>
      <c r="F8" s="13" t="e">
        <f t="shared" si="10"/>
        <v>#DIV/0!</v>
      </c>
      <c r="G8" s="36"/>
      <c r="H8" s="37">
        <f t="shared" si="7"/>
        <v>0</v>
      </c>
      <c r="I8" s="13" t="e">
        <f t="shared" si="11"/>
        <v>#DIV/0!</v>
      </c>
      <c r="J8" s="113" t="e">
        <f t="shared" si="12"/>
        <v>#DIV/0!</v>
      </c>
      <c r="K8" s="36"/>
      <c r="L8" s="37">
        <f t="shared" si="13"/>
        <v>0</v>
      </c>
      <c r="M8" s="13" t="e">
        <f t="shared" si="14"/>
        <v>#DIV/0!</v>
      </c>
      <c r="O8" s="48" t="s">
        <v>84</v>
      </c>
      <c r="P8" s="52">
        <f>E34</f>
        <v>0</v>
      </c>
      <c r="Q8" s="52"/>
      <c r="R8" s="52"/>
      <c r="S8" s="52"/>
      <c r="T8" s="52"/>
      <c r="U8" s="47"/>
      <c r="V8" s="48" t="s">
        <v>84</v>
      </c>
      <c r="W8" s="52">
        <f>H34+H35</f>
        <v>0</v>
      </c>
      <c r="X8" s="51"/>
      <c r="Y8" s="52"/>
      <c r="Z8" s="52"/>
      <c r="AA8" s="52"/>
      <c r="AC8" s="48" t="s">
        <v>84</v>
      </c>
      <c r="AD8" s="52">
        <f>L34+L35</f>
        <v>0</v>
      </c>
      <c r="AE8" s="52"/>
      <c r="AF8" s="51"/>
      <c r="AG8" s="51"/>
      <c r="AH8" s="52"/>
      <c r="AI8" s="52"/>
      <c r="AJ8" s="52"/>
      <c r="AK8" s="52"/>
      <c r="AL8" s="52"/>
      <c r="AM8" s="39"/>
      <c r="AO8" s="48">
        <v>3000</v>
      </c>
      <c r="AP8" s="122">
        <f t="shared" si="15"/>
        <v>0</v>
      </c>
      <c r="AQ8" s="122">
        <f t="shared" si="16"/>
        <v>0</v>
      </c>
      <c r="AR8" s="122">
        <f t="shared" si="17"/>
        <v>0</v>
      </c>
      <c r="AS8" s="122">
        <f t="shared" si="18"/>
        <v>0</v>
      </c>
      <c r="AT8" s="122">
        <f t="shared" si="8"/>
        <v>0</v>
      </c>
      <c r="AU8" s="122"/>
      <c r="AV8" s="48">
        <f t="shared" si="9"/>
        <v>3000</v>
      </c>
      <c r="AW8" s="122">
        <f t="shared" si="1"/>
        <v>0</v>
      </c>
      <c r="AX8" s="122">
        <f t="shared" si="2"/>
        <v>0</v>
      </c>
      <c r="AY8" s="122">
        <f t="shared" si="3"/>
        <v>0</v>
      </c>
      <c r="AZ8" s="122">
        <f t="shared" si="4"/>
        <v>0</v>
      </c>
      <c r="BA8" s="122">
        <f t="shared" si="5"/>
        <v>0</v>
      </c>
    </row>
    <row r="9" spans="1:53">
      <c r="A9" s="7"/>
      <c r="B9" s="37"/>
      <c r="C9" s="37" t="s">
        <v>1</v>
      </c>
      <c r="D9" s="108"/>
      <c r="E9" s="37">
        <f t="shared" si="6"/>
        <v>0</v>
      </c>
      <c r="F9" s="13" t="e">
        <f t="shared" si="10"/>
        <v>#DIV/0!</v>
      </c>
      <c r="G9" s="36"/>
      <c r="H9" s="37">
        <f t="shared" si="7"/>
        <v>0</v>
      </c>
      <c r="I9" s="13" t="e">
        <f t="shared" si="11"/>
        <v>#DIV/0!</v>
      </c>
      <c r="J9" s="113" t="e">
        <f t="shared" si="12"/>
        <v>#DIV/0!</v>
      </c>
      <c r="K9" s="36"/>
      <c r="L9" s="37">
        <f t="shared" si="13"/>
        <v>0</v>
      </c>
      <c r="M9" s="13" t="e">
        <f t="shared" si="14"/>
        <v>#DIV/0!</v>
      </c>
      <c r="O9" s="48" t="s">
        <v>94</v>
      </c>
      <c r="P9" s="124"/>
      <c r="Q9" s="124">
        <f>E68</f>
        <v>0</v>
      </c>
      <c r="R9" s="124"/>
      <c r="S9" s="124"/>
      <c r="T9" s="124"/>
      <c r="U9" s="39"/>
      <c r="V9" s="48" t="s">
        <v>94</v>
      </c>
      <c r="W9" s="48"/>
      <c r="X9" s="52">
        <f>H68</f>
        <v>0</v>
      </c>
      <c r="Y9" s="124"/>
      <c r="Z9" s="124"/>
      <c r="AA9" s="124"/>
      <c r="AC9" s="48" t="s">
        <v>94</v>
      </c>
      <c r="AD9" s="48"/>
      <c r="AE9" s="48"/>
      <c r="AF9" s="52">
        <f>L68</f>
        <v>0</v>
      </c>
      <c r="AG9" s="52"/>
      <c r="AH9" s="124"/>
      <c r="AI9" s="124"/>
      <c r="AJ9" s="124"/>
      <c r="AK9" s="124"/>
      <c r="AL9" s="124"/>
      <c r="AM9" s="176"/>
      <c r="AO9" s="48">
        <v>5000</v>
      </c>
      <c r="AP9" s="122">
        <f t="shared" si="15"/>
        <v>0</v>
      </c>
      <c r="AQ9" s="122">
        <f t="shared" si="16"/>
        <v>0</v>
      </c>
      <c r="AR9" s="122">
        <f t="shared" si="17"/>
        <v>0</v>
      </c>
      <c r="AS9" s="122">
        <f t="shared" si="18"/>
        <v>0</v>
      </c>
      <c r="AT9" s="122">
        <f t="shared" si="8"/>
        <v>0</v>
      </c>
      <c r="AU9" s="122"/>
      <c r="AV9" s="48">
        <f t="shared" si="9"/>
        <v>5000</v>
      </c>
      <c r="AW9" s="122">
        <f t="shared" si="1"/>
        <v>0</v>
      </c>
      <c r="AX9" s="122">
        <f t="shared" si="2"/>
        <v>0</v>
      </c>
      <c r="AY9" s="122">
        <f t="shared" si="3"/>
        <v>0</v>
      </c>
      <c r="AZ9" s="122">
        <f t="shared" si="4"/>
        <v>0</v>
      </c>
      <c r="BA9" s="122">
        <f t="shared" si="5"/>
        <v>0</v>
      </c>
    </row>
    <row r="10" spans="1:53">
      <c r="A10" s="7"/>
      <c r="B10" s="37"/>
      <c r="C10" s="37" t="s">
        <v>1</v>
      </c>
      <c r="D10" s="108"/>
      <c r="E10" s="37">
        <f t="shared" si="6"/>
        <v>0</v>
      </c>
      <c r="F10" s="13" t="e">
        <f t="shared" si="10"/>
        <v>#DIV/0!</v>
      </c>
      <c r="G10" s="36"/>
      <c r="H10" s="37">
        <f t="shared" si="7"/>
        <v>0</v>
      </c>
      <c r="I10" s="13" t="e">
        <f t="shared" si="11"/>
        <v>#DIV/0!</v>
      </c>
      <c r="J10" s="113" t="e">
        <f t="shared" si="12"/>
        <v>#DIV/0!</v>
      </c>
      <c r="K10" s="36"/>
      <c r="L10" s="37">
        <f t="shared" si="13"/>
        <v>0</v>
      </c>
      <c r="M10" s="13" t="e">
        <f t="shared" si="14"/>
        <v>#DIV/0!</v>
      </c>
      <c r="O10" s="48" t="s">
        <v>86</v>
      </c>
      <c r="P10" s="124"/>
      <c r="Q10" s="124"/>
      <c r="R10" s="124">
        <f>E69</f>
        <v>0</v>
      </c>
      <c r="S10" s="124"/>
      <c r="T10" s="124"/>
      <c r="U10" s="39"/>
      <c r="V10" s="48" t="s">
        <v>86</v>
      </c>
      <c r="W10" s="48"/>
      <c r="X10" s="52"/>
      <c r="Y10" s="125">
        <f>H69</f>
        <v>0</v>
      </c>
      <c r="Z10" s="124"/>
      <c r="AA10" s="124"/>
      <c r="AC10" s="48" t="s">
        <v>86</v>
      </c>
      <c r="AD10" s="48"/>
      <c r="AE10" s="48"/>
      <c r="AF10" s="52"/>
      <c r="AG10" s="52"/>
      <c r="AH10" s="125">
        <f>L69</f>
        <v>0</v>
      </c>
      <c r="AI10" s="125"/>
      <c r="AJ10" s="124"/>
      <c r="AK10" s="125"/>
      <c r="AL10" s="124"/>
      <c r="AM10" s="176"/>
      <c r="AO10" s="48">
        <v>7000</v>
      </c>
      <c r="AP10" s="122">
        <f t="shared" si="15"/>
        <v>0</v>
      </c>
      <c r="AQ10" s="122">
        <f t="shared" si="16"/>
        <v>0</v>
      </c>
      <c r="AR10" s="122">
        <f t="shared" si="17"/>
        <v>0</v>
      </c>
      <c r="AS10" s="122">
        <f t="shared" si="18"/>
        <v>0</v>
      </c>
      <c r="AT10" s="122">
        <f t="shared" si="8"/>
        <v>0</v>
      </c>
      <c r="AU10" s="122"/>
      <c r="AV10" s="48">
        <f t="shared" si="9"/>
        <v>7000</v>
      </c>
      <c r="AW10" s="122">
        <f t="shared" si="1"/>
        <v>0</v>
      </c>
      <c r="AX10" s="122">
        <f t="shared" si="2"/>
        <v>0</v>
      </c>
      <c r="AY10" s="122">
        <f t="shared" si="3"/>
        <v>0</v>
      </c>
      <c r="AZ10" s="122">
        <f t="shared" si="4"/>
        <v>0</v>
      </c>
      <c r="BA10" s="122">
        <f t="shared" si="5"/>
        <v>0</v>
      </c>
    </row>
    <row r="11" spans="1:53">
      <c r="A11" s="7"/>
      <c r="B11" s="37"/>
      <c r="C11" s="37" t="s">
        <v>1</v>
      </c>
      <c r="D11" s="108"/>
      <c r="E11" s="37">
        <f t="shared" si="6"/>
        <v>0</v>
      </c>
      <c r="F11" s="13" t="e">
        <f t="shared" si="10"/>
        <v>#DIV/0!</v>
      </c>
      <c r="G11" s="36"/>
      <c r="H11" s="37">
        <f t="shared" si="7"/>
        <v>0</v>
      </c>
      <c r="I11" s="13" t="e">
        <f t="shared" si="11"/>
        <v>#DIV/0!</v>
      </c>
      <c r="J11" s="113" t="e">
        <f t="shared" si="12"/>
        <v>#DIV/0!</v>
      </c>
      <c r="K11" s="36"/>
      <c r="L11" s="37">
        <f t="shared" si="13"/>
        <v>0</v>
      </c>
      <c r="M11" s="13" t="e">
        <f t="shared" si="14"/>
        <v>#DIV/0!</v>
      </c>
      <c r="O11" s="48" t="s">
        <v>85</v>
      </c>
      <c r="P11" s="124"/>
      <c r="Q11" s="124"/>
      <c r="R11" s="124"/>
      <c r="S11" s="124">
        <f>E70</f>
        <v>0</v>
      </c>
      <c r="T11" s="124"/>
      <c r="U11" s="39"/>
      <c r="V11" s="48" t="s">
        <v>85</v>
      </c>
      <c r="W11" s="48"/>
      <c r="X11" s="52"/>
      <c r="Y11" s="124"/>
      <c r="Z11" s="52">
        <f>H70</f>
        <v>0</v>
      </c>
      <c r="AA11" s="52"/>
      <c r="AC11" s="48" t="s">
        <v>85</v>
      </c>
      <c r="AD11" s="48"/>
      <c r="AE11" s="48"/>
      <c r="AF11" s="52"/>
      <c r="AG11" s="52"/>
      <c r="AH11" s="124"/>
      <c r="AI11" s="124"/>
      <c r="AJ11" s="52">
        <f>L70</f>
        <v>0</v>
      </c>
      <c r="AK11" s="124"/>
      <c r="AL11" s="52"/>
      <c r="AM11" s="39"/>
      <c r="AO11" s="48">
        <v>10000</v>
      </c>
      <c r="AP11" s="122">
        <f t="shared" si="15"/>
        <v>0</v>
      </c>
      <c r="AQ11" s="122">
        <f t="shared" si="16"/>
        <v>0</v>
      </c>
      <c r="AR11" s="122">
        <f t="shared" si="17"/>
        <v>0</v>
      </c>
      <c r="AS11" s="122">
        <f t="shared" si="18"/>
        <v>0</v>
      </c>
      <c r="AT11" s="122">
        <f t="shared" si="8"/>
        <v>0</v>
      </c>
      <c r="AU11" s="122"/>
      <c r="AV11" s="48">
        <f t="shared" si="9"/>
        <v>10000</v>
      </c>
      <c r="AW11" s="122">
        <f t="shared" si="1"/>
        <v>0</v>
      </c>
      <c r="AX11" s="122">
        <f t="shared" si="2"/>
        <v>0</v>
      </c>
      <c r="AY11" s="122">
        <f t="shared" si="3"/>
        <v>0</v>
      </c>
      <c r="AZ11" s="122">
        <f t="shared" si="4"/>
        <v>0</v>
      </c>
      <c r="BA11" s="122">
        <f t="shared" si="5"/>
        <v>0</v>
      </c>
    </row>
    <row r="12" spans="1:53">
      <c r="A12" s="7"/>
      <c r="B12" s="37"/>
      <c r="C12" s="37" t="s">
        <v>1</v>
      </c>
      <c r="D12" s="108"/>
      <c r="E12" s="37">
        <f t="shared" si="6"/>
        <v>0</v>
      </c>
      <c r="F12" s="13" t="e">
        <f t="shared" si="10"/>
        <v>#DIV/0!</v>
      </c>
      <c r="G12" s="36"/>
      <c r="H12" s="37">
        <f t="shared" si="7"/>
        <v>0</v>
      </c>
      <c r="I12" s="13" t="e">
        <f t="shared" si="11"/>
        <v>#DIV/0!</v>
      </c>
      <c r="J12" s="113" t="e">
        <f t="shared" si="12"/>
        <v>#DIV/0!</v>
      </c>
      <c r="K12" s="36"/>
      <c r="L12" s="37">
        <f t="shared" si="13"/>
        <v>0</v>
      </c>
      <c r="M12" s="13" t="e">
        <f t="shared" si="14"/>
        <v>#DIV/0!</v>
      </c>
      <c r="O12" s="48" t="s">
        <v>123</v>
      </c>
      <c r="P12" s="124"/>
      <c r="Q12" s="124"/>
      <c r="R12" s="124"/>
      <c r="S12" s="124"/>
      <c r="T12" s="124">
        <f>E71</f>
        <v>0</v>
      </c>
      <c r="U12" s="39"/>
      <c r="V12" s="48" t="s">
        <v>123</v>
      </c>
      <c r="W12" s="48"/>
      <c r="X12" s="52"/>
      <c r="Y12" s="124"/>
      <c r="Z12" s="52"/>
      <c r="AA12" s="52">
        <f>H71</f>
        <v>0</v>
      </c>
      <c r="AC12" s="48" t="s">
        <v>123</v>
      </c>
      <c r="AD12" s="48"/>
      <c r="AE12" s="48"/>
      <c r="AF12" s="52"/>
      <c r="AG12" s="52"/>
      <c r="AH12" s="124"/>
      <c r="AI12" s="124"/>
      <c r="AJ12" s="52"/>
      <c r="AK12" s="124"/>
      <c r="AL12" s="52">
        <f>L71</f>
        <v>0</v>
      </c>
      <c r="AM12" s="39"/>
      <c r="AO12" s="48">
        <v>20000</v>
      </c>
      <c r="AP12" s="122">
        <f t="shared" si="15"/>
        <v>0</v>
      </c>
      <c r="AQ12" s="122">
        <f t="shared" si="16"/>
        <v>0</v>
      </c>
      <c r="AR12" s="122">
        <f t="shared" si="17"/>
        <v>0</v>
      </c>
      <c r="AS12" s="122">
        <f t="shared" si="18"/>
        <v>0</v>
      </c>
      <c r="AT12" s="122">
        <f t="shared" si="8"/>
        <v>0</v>
      </c>
      <c r="AU12" s="122"/>
      <c r="AV12" s="48">
        <f t="shared" si="9"/>
        <v>20000</v>
      </c>
      <c r="AW12" s="122">
        <f t="shared" si="1"/>
        <v>0</v>
      </c>
      <c r="AX12" s="122">
        <f t="shared" si="2"/>
        <v>0</v>
      </c>
      <c r="AY12" s="122">
        <f t="shared" si="3"/>
        <v>0</v>
      </c>
      <c r="AZ12" s="122">
        <f t="shared" si="4"/>
        <v>0</v>
      </c>
      <c r="BA12" s="122">
        <f t="shared" si="5"/>
        <v>0</v>
      </c>
    </row>
    <row r="13" spans="1:53">
      <c r="A13" s="7"/>
      <c r="B13" s="37"/>
      <c r="C13" s="37" t="s">
        <v>1</v>
      </c>
      <c r="D13" s="108"/>
      <c r="E13" s="37">
        <f t="shared" si="6"/>
        <v>0</v>
      </c>
      <c r="F13" s="13" t="e">
        <f t="shared" si="10"/>
        <v>#DIV/0!</v>
      </c>
      <c r="G13" s="36"/>
      <c r="H13" s="37">
        <f t="shared" si="7"/>
        <v>0</v>
      </c>
      <c r="I13" s="13" t="e">
        <f t="shared" si="11"/>
        <v>#DIV/0!</v>
      </c>
      <c r="J13" s="113" t="e">
        <f t="shared" si="12"/>
        <v>#DIV/0!</v>
      </c>
      <c r="K13" s="36"/>
      <c r="L13" s="37">
        <f t="shared" si="13"/>
        <v>0</v>
      </c>
      <c r="M13" s="13" t="e">
        <f t="shared" si="14"/>
        <v>#DIV/0!</v>
      </c>
      <c r="O13" s="53" t="s">
        <v>26</v>
      </c>
      <c r="P13" s="123">
        <f>SUM(P5:P8)</f>
        <v>0</v>
      </c>
      <c r="Q13" s="123">
        <f>SUM(Q5:Q9)</f>
        <v>0</v>
      </c>
      <c r="R13" s="123">
        <f>SUM(R5:R7, R10)</f>
        <v>0</v>
      </c>
      <c r="S13" s="123">
        <f>SUM(S5:S7,S11)</f>
        <v>0</v>
      </c>
      <c r="T13" s="123">
        <f>SUM(T5:T7,T12)</f>
        <v>0</v>
      </c>
      <c r="U13" s="47"/>
      <c r="V13" s="53" t="s">
        <v>26</v>
      </c>
      <c r="W13" s="173">
        <f>SUM(W5:W11)</f>
        <v>0</v>
      </c>
      <c r="X13" s="173">
        <f>SUM(X5:X11)</f>
        <v>0</v>
      </c>
      <c r="Y13" s="173">
        <f>SUM(Y5:Y11)</f>
        <v>0</v>
      </c>
      <c r="Z13" s="173">
        <f>SUM(Z5:Z11)</f>
        <v>0</v>
      </c>
      <c r="AA13" s="173">
        <f>SUM(AA5:AA12)</f>
        <v>0</v>
      </c>
      <c r="AC13" s="53" t="s">
        <v>26</v>
      </c>
      <c r="AD13" s="173">
        <f>SUM(AD5:AD8)</f>
        <v>0</v>
      </c>
      <c r="AE13" s="173"/>
      <c r="AF13" s="173">
        <f>SUM(AF5:AF9)</f>
        <v>0</v>
      </c>
      <c r="AG13" s="173"/>
      <c r="AH13" s="173">
        <f>SUM(AH5:AH7, AH10)</f>
        <v>0</v>
      </c>
      <c r="AI13" s="173"/>
      <c r="AJ13" s="173">
        <f>SUM(AJ5:AJ7, AJ11)</f>
        <v>0</v>
      </c>
      <c r="AK13" s="173"/>
      <c r="AL13" s="173">
        <f>SUM(AL5:AL7, AL12)</f>
        <v>0</v>
      </c>
      <c r="AO13" s="48">
        <v>30000</v>
      </c>
      <c r="AP13" s="122">
        <f t="shared" si="15"/>
        <v>0</v>
      </c>
      <c r="AQ13" s="122">
        <f t="shared" si="16"/>
        <v>0</v>
      </c>
      <c r="AR13" s="122">
        <f t="shared" si="17"/>
        <v>0</v>
      </c>
      <c r="AS13" s="122">
        <f t="shared" si="18"/>
        <v>0</v>
      </c>
      <c r="AT13" s="122">
        <f t="shared" si="8"/>
        <v>0</v>
      </c>
      <c r="AU13" s="122"/>
      <c r="AV13" s="48">
        <f t="shared" si="9"/>
        <v>30000</v>
      </c>
      <c r="AW13" s="122">
        <f t="shared" si="1"/>
        <v>0</v>
      </c>
      <c r="AX13" s="122">
        <f t="shared" si="2"/>
        <v>0</v>
      </c>
      <c r="AY13" s="122">
        <f t="shared" si="3"/>
        <v>0</v>
      </c>
      <c r="AZ13" s="122">
        <f t="shared" si="4"/>
        <v>0</v>
      </c>
      <c r="BA13" s="122">
        <f t="shared" si="5"/>
        <v>0</v>
      </c>
    </row>
    <row r="14" spans="1:53">
      <c r="A14" s="7"/>
      <c r="B14" s="37"/>
      <c r="C14" s="37" t="s">
        <v>1</v>
      </c>
      <c r="D14" s="108"/>
      <c r="E14" s="37">
        <f t="shared" si="6"/>
        <v>0</v>
      </c>
      <c r="F14" s="13" t="e">
        <f t="shared" si="10"/>
        <v>#DIV/0!</v>
      </c>
      <c r="G14" s="36"/>
      <c r="H14" s="37">
        <f t="shared" si="7"/>
        <v>0</v>
      </c>
      <c r="I14" s="13" t="e">
        <f t="shared" si="11"/>
        <v>#DIV/0!</v>
      </c>
      <c r="J14" s="113" t="e">
        <f t="shared" si="12"/>
        <v>#DIV/0!</v>
      </c>
      <c r="K14" s="36"/>
      <c r="L14" s="37">
        <f t="shared" si="13"/>
        <v>0</v>
      </c>
      <c r="M14" s="13" t="e">
        <f t="shared" si="14"/>
        <v>#DIV/0!</v>
      </c>
      <c r="AC14" s="53" t="s">
        <v>119</v>
      </c>
      <c r="AD14" s="173"/>
      <c r="AE14" s="173"/>
      <c r="AF14" s="173"/>
      <c r="AG14" s="173"/>
      <c r="AH14" s="173"/>
      <c r="AI14" s="173"/>
      <c r="AJ14" s="173"/>
      <c r="AK14" s="173"/>
      <c r="AL14" s="173"/>
      <c r="AO14" s="48">
        <v>40000</v>
      </c>
      <c r="AP14" s="122">
        <f t="shared" si="15"/>
        <v>0</v>
      </c>
      <c r="AQ14" s="122">
        <f t="shared" si="16"/>
        <v>0</v>
      </c>
      <c r="AR14" s="122">
        <f t="shared" si="17"/>
        <v>0</v>
      </c>
      <c r="AS14" s="122">
        <f t="shared" si="18"/>
        <v>0</v>
      </c>
      <c r="AT14" s="122">
        <f t="shared" si="8"/>
        <v>0</v>
      </c>
      <c r="AU14" s="122"/>
      <c r="AV14" s="48">
        <f t="shared" si="9"/>
        <v>40000</v>
      </c>
      <c r="AW14" s="122">
        <f t="shared" si="1"/>
        <v>0</v>
      </c>
      <c r="AX14" s="122">
        <f t="shared" si="2"/>
        <v>0</v>
      </c>
      <c r="AY14" s="122">
        <f t="shared" si="3"/>
        <v>0</v>
      </c>
      <c r="AZ14" s="122">
        <f t="shared" si="4"/>
        <v>0</v>
      </c>
      <c r="BA14" s="122">
        <f t="shared" si="5"/>
        <v>0</v>
      </c>
    </row>
    <row r="15" spans="1:53">
      <c r="A15" s="7"/>
      <c r="B15" s="37"/>
      <c r="C15" s="37" t="s">
        <v>1</v>
      </c>
      <c r="D15" s="108"/>
      <c r="E15" s="37">
        <f t="shared" si="6"/>
        <v>0</v>
      </c>
      <c r="F15" s="13" t="e">
        <f t="shared" si="10"/>
        <v>#DIV/0!</v>
      </c>
      <c r="G15" s="36"/>
      <c r="H15" s="37">
        <f t="shared" si="7"/>
        <v>0</v>
      </c>
      <c r="I15" s="13" t="e">
        <f t="shared" si="11"/>
        <v>#DIV/0!</v>
      </c>
      <c r="J15" s="113" t="e">
        <f t="shared" si="12"/>
        <v>#DIV/0!</v>
      </c>
      <c r="K15" s="36"/>
      <c r="L15" s="37">
        <f t="shared" si="13"/>
        <v>0</v>
      </c>
      <c r="M15" s="13" t="e">
        <f t="shared" si="14"/>
        <v>#DIV/0!</v>
      </c>
      <c r="AC15" s="1" t="s">
        <v>110</v>
      </c>
      <c r="AO15" s="48">
        <v>50000</v>
      </c>
      <c r="AP15" s="122">
        <f t="shared" si="15"/>
        <v>0</v>
      </c>
      <c r="AQ15" s="122">
        <f t="shared" si="16"/>
        <v>0</v>
      </c>
      <c r="AR15" s="122">
        <f t="shared" si="17"/>
        <v>0</v>
      </c>
      <c r="AS15" s="122">
        <f t="shared" si="18"/>
        <v>0</v>
      </c>
      <c r="AT15" s="122">
        <f t="shared" si="8"/>
        <v>0</v>
      </c>
      <c r="AU15" s="122"/>
      <c r="AV15" s="48">
        <f t="shared" si="9"/>
        <v>50000</v>
      </c>
      <c r="AW15" s="122">
        <f t="shared" si="1"/>
        <v>0</v>
      </c>
      <c r="AX15" s="122">
        <f t="shared" si="2"/>
        <v>0</v>
      </c>
      <c r="AY15" s="122">
        <f t="shared" si="3"/>
        <v>0</v>
      </c>
      <c r="AZ15" s="122">
        <f t="shared" si="4"/>
        <v>0</v>
      </c>
      <c r="BA15" s="122">
        <f t="shared" si="5"/>
        <v>0</v>
      </c>
    </row>
    <row r="16" spans="1:53">
      <c r="A16" s="7"/>
      <c r="B16" s="37"/>
      <c r="C16" s="37" t="s">
        <v>135</v>
      </c>
      <c r="D16" s="108"/>
      <c r="E16" s="37">
        <f t="shared" si="6"/>
        <v>0</v>
      </c>
      <c r="F16" s="13" t="e">
        <f t="shared" si="10"/>
        <v>#DIV/0!</v>
      </c>
      <c r="G16" s="36"/>
      <c r="H16" s="37">
        <f t="shared" si="7"/>
        <v>0</v>
      </c>
      <c r="I16" s="13" t="e">
        <f t="shared" si="11"/>
        <v>#DIV/0!</v>
      </c>
      <c r="J16" s="113" t="e">
        <f t="shared" si="12"/>
        <v>#DIV/0!</v>
      </c>
      <c r="K16" s="36"/>
      <c r="L16" s="37">
        <f t="shared" si="13"/>
        <v>0</v>
      </c>
      <c r="M16" s="13" t="e">
        <f t="shared" si="14"/>
        <v>#DIV/0!</v>
      </c>
      <c r="T16" s="1">
        <f>0.024/0.065/55*100</f>
        <v>0.67132867132867136</v>
      </c>
      <c r="AO16" s="48">
        <v>60000</v>
      </c>
      <c r="AP16" s="122">
        <f t="shared" si="15"/>
        <v>0</v>
      </c>
      <c r="AQ16" s="122">
        <f t="shared" si="16"/>
        <v>0</v>
      </c>
      <c r="AR16" s="122">
        <f t="shared" si="17"/>
        <v>0</v>
      </c>
      <c r="AS16" s="122">
        <f t="shared" si="18"/>
        <v>0</v>
      </c>
      <c r="AT16" s="122">
        <f t="shared" si="8"/>
        <v>0</v>
      </c>
      <c r="AU16" s="122"/>
      <c r="AV16" s="48">
        <f t="shared" si="9"/>
        <v>60000</v>
      </c>
      <c r="AW16" s="122">
        <f t="shared" si="1"/>
        <v>0</v>
      </c>
      <c r="AX16" s="122">
        <f t="shared" si="2"/>
        <v>0</v>
      </c>
      <c r="AY16" s="122">
        <f t="shared" si="3"/>
        <v>0</v>
      </c>
      <c r="AZ16" s="122">
        <f t="shared" si="4"/>
        <v>0</v>
      </c>
      <c r="BA16" s="122">
        <f t="shared" si="5"/>
        <v>0</v>
      </c>
    </row>
    <row r="17" spans="1:53">
      <c r="A17" s="7"/>
      <c r="B17" s="37"/>
      <c r="C17" s="37" t="s">
        <v>1</v>
      </c>
      <c r="D17" s="108"/>
      <c r="E17" s="37">
        <f t="shared" si="6"/>
        <v>0</v>
      </c>
      <c r="F17" s="13" t="e">
        <f t="shared" si="10"/>
        <v>#DIV/0!</v>
      </c>
      <c r="G17" s="36"/>
      <c r="H17" s="37">
        <f t="shared" si="7"/>
        <v>0</v>
      </c>
      <c r="I17" s="13" t="e">
        <f t="shared" si="11"/>
        <v>#DIV/0!</v>
      </c>
      <c r="J17" s="113" t="e">
        <f t="shared" si="12"/>
        <v>#DIV/0!</v>
      </c>
      <c r="K17" s="36"/>
      <c r="L17" s="37">
        <f t="shared" si="13"/>
        <v>0</v>
      </c>
      <c r="M17" s="13" t="e">
        <f t="shared" si="14"/>
        <v>#DIV/0!</v>
      </c>
      <c r="AO17" s="48">
        <v>70000</v>
      </c>
      <c r="AP17" s="122">
        <f t="shared" si="15"/>
        <v>0</v>
      </c>
      <c r="AQ17" s="122">
        <f t="shared" si="16"/>
        <v>0</v>
      </c>
      <c r="AR17" s="122">
        <f t="shared" si="17"/>
        <v>0</v>
      </c>
      <c r="AS17" s="122">
        <f t="shared" si="18"/>
        <v>0</v>
      </c>
      <c r="AT17" s="122">
        <f t="shared" si="8"/>
        <v>0</v>
      </c>
      <c r="AU17" s="122"/>
      <c r="AV17" s="48">
        <f t="shared" si="9"/>
        <v>70000</v>
      </c>
      <c r="AW17" s="122">
        <f t="shared" si="1"/>
        <v>0</v>
      </c>
      <c r="AX17" s="122">
        <f t="shared" si="2"/>
        <v>0</v>
      </c>
      <c r="AY17" s="122">
        <f t="shared" si="3"/>
        <v>0</v>
      </c>
      <c r="AZ17" s="122">
        <f t="shared" si="4"/>
        <v>0</v>
      </c>
      <c r="BA17" s="122">
        <f t="shared" si="5"/>
        <v>0</v>
      </c>
    </row>
    <row r="18" spans="1:53">
      <c r="A18" s="7"/>
      <c r="B18" s="37"/>
      <c r="C18" s="37" t="s">
        <v>1</v>
      </c>
      <c r="D18" s="108"/>
      <c r="E18" s="37">
        <f t="shared" si="6"/>
        <v>0</v>
      </c>
      <c r="F18" s="13" t="e">
        <f t="shared" si="10"/>
        <v>#DIV/0!</v>
      </c>
      <c r="G18" s="36"/>
      <c r="H18" s="37">
        <f t="shared" si="7"/>
        <v>0</v>
      </c>
      <c r="I18" s="13" t="e">
        <f t="shared" si="11"/>
        <v>#DIV/0!</v>
      </c>
      <c r="J18" s="113" t="e">
        <f t="shared" si="12"/>
        <v>#DIV/0!</v>
      </c>
      <c r="K18" s="36"/>
      <c r="L18" s="37">
        <f t="shared" si="13"/>
        <v>0</v>
      </c>
      <c r="M18" s="13" t="e">
        <f t="shared" si="14"/>
        <v>#DIV/0!</v>
      </c>
      <c r="AO18" s="48">
        <v>80000</v>
      </c>
      <c r="AP18" s="122">
        <f t="shared" si="15"/>
        <v>0</v>
      </c>
      <c r="AQ18" s="122">
        <f t="shared" si="16"/>
        <v>0</v>
      </c>
      <c r="AR18" s="122">
        <f t="shared" si="17"/>
        <v>0</v>
      </c>
      <c r="AS18" s="122">
        <f t="shared" si="18"/>
        <v>0</v>
      </c>
      <c r="AT18" s="122">
        <f t="shared" si="8"/>
        <v>0</v>
      </c>
      <c r="AU18" s="122"/>
      <c r="AV18" s="48">
        <f t="shared" si="9"/>
        <v>80000</v>
      </c>
      <c r="AW18" s="122">
        <f t="shared" si="1"/>
        <v>0</v>
      </c>
      <c r="AX18" s="122">
        <f t="shared" si="2"/>
        <v>0</v>
      </c>
      <c r="AY18" s="122">
        <f t="shared" si="3"/>
        <v>0</v>
      </c>
      <c r="AZ18" s="122">
        <f t="shared" si="4"/>
        <v>0</v>
      </c>
      <c r="BA18" s="122">
        <f t="shared" si="5"/>
        <v>0</v>
      </c>
    </row>
    <row r="19" spans="1:53">
      <c r="A19" s="7"/>
      <c r="B19" s="37"/>
      <c r="C19" s="37" t="s">
        <v>1</v>
      </c>
      <c r="D19" s="108"/>
      <c r="E19" s="37">
        <f t="shared" si="6"/>
        <v>0</v>
      </c>
      <c r="F19" s="13" t="e">
        <f t="shared" si="10"/>
        <v>#DIV/0!</v>
      </c>
      <c r="G19" s="36"/>
      <c r="H19" s="37">
        <f t="shared" si="7"/>
        <v>0</v>
      </c>
      <c r="I19" s="13" t="e">
        <f t="shared" si="11"/>
        <v>#DIV/0!</v>
      </c>
      <c r="J19" s="113" t="e">
        <f t="shared" si="12"/>
        <v>#DIV/0!</v>
      </c>
      <c r="K19" s="36"/>
      <c r="L19" s="37">
        <f t="shared" si="13"/>
        <v>0</v>
      </c>
      <c r="M19" s="13" t="e">
        <f t="shared" si="14"/>
        <v>#DIV/0!</v>
      </c>
      <c r="AO19" s="48">
        <v>90000</v>
      </c>
      <c r="AP19" s="122">
        <f t="shared" si="15"/>
        <v>0</v>
      </c>
      <c r="AQ19" s="122">
        <f t="shared" si="16"/>
        <v>0</v>
      </c>
      <c r="AR19" s="122">
        <f t="shared" si="17"/>
        <v>0</v>
      </c>
      <c r="AS19" s="122">
        <f t="shared" si="18"/>
        <v>0</v>
      </c>
      <c r="AT19" s="122">
        <f t="shared" si="8"/>
        <v>0</v>
      </c>
      <c r="AU19" s="122"/>
      <c r="AV19" s="48">
        <f t="shared" si="9"/>
        <v>90000</v>
      </c>
      <c r="AW19" s="122">
        <f t="shared" si="1"/>
        <v>0</v>
      </c>
      <c r="AX19" s="122">
        <f t="shared" si="2"/>
        <v>0</v>
      </c>
      <c r="AY19" s="122">
        <f t="shared" si="3"/>
        <v>0</v>
      </c>
      <c r="AZ19" s="122">
        <f t="shared" si="4"/>
        <v>0</v>
      </c>
      <c r="BA19" s="122">
        <f t="shared" si="5"/>
        <v>0</v>
      </c>
    </row>
    <row r="20" spans="1:53">
      <c r="A20" s="7"/>
      <c r="B20" s="37"/>
      <c r="C20" s="37" t="s">
        <v>1</v>
      </c>
      <c r="D20" s="108"/>
      <c r="E20" s="37">
        <f t="shared" si="6"/>
        <v>0</v>
      </c>
      <c r="F20" s="13" t="e">
        <f t="shared" si="10"/>
        <v>#DIV/0!</v>
      </c>
      <c r="G20" s="36"/>
      <c r="H20" s="37">
        <f t="shared" si="7"/>
        <v>0</v>
      </c>
      <c r="I20" s="13" t="e">
        <f t="shared" si="11"/>
        <v>#DIV/0!</v>
      </c>
      <c r="J20" s="113" t="e">
        <f t="shared" si="12"/>
        <v>#DIV/0!</v>
      </c>
      <c r="K20" s="36"/>
      <c r="L20" s="37">
        <f t="shared" si="13"/>
        <v>0</v>
      </c>
      <c r="M20" s="13" t="e">
        <f t="shared" si="14"/>
        <v>#DIV/0!</v>
      </c>
      <c r="AO20" s="48">
        <v>100000</v>
      </c>
      <c r="AP20" s="122">
        <f t="shared" si="15"/>
        <v>0</v>
      </c>
      <c r="AQ20" s="122">
        <f t="shared" si="16"/>
        <v>0</v>
      </c>
      <c r="AR20" s="122">
        <f t="shared" si="17"/>
        <v>0</v>
      </c>
      <c r="AS20" s="122">
        <f t="shared" si="18"/>
        <v>0</v>
      </c>
      <c r="AT20" s="122">
        <f t="shared" si="8"/>
        <v>0</v>
      </c>
      <c r="AU20" s="122"/>
      <c r="AV20" s="48">
        <f t="shared" si="9"/>
        <v>100000</v>
      </c>
      <c r="AW20" s="122">
        <f t="shared" si="1"/>
        <v>0</v>
      </c>
      <c r="AX20" s="122">
        <f t="shared" si="2"/>
        <v>0</v>
      </c>
      <c r="AY20" s="122">
        <f t="shared" si="3"/>
        <v>0</v>
      </c>
      <c r="AZ20" s="122">
        <f t="shared" si="4"/>
        <v>0</v>
      </c>
      <c r="BA20" s="122">
        <f t="shared" si="5"/>
        <v>0</v>
      </c>
    </row>
    <row r="21" spans="1:53">
      <c r="A21" s="7"/>
      <c r="B21" s="37"/>
      <c r="C21" s="37" t="s">
        <v>1</v>
      </c>
      <c r="D21" s="108"/>
      <c r="E21" s="37">
        <f t="shared" si="6"/>
        <v>0</v>
      </c>
      <c r="F21" s="13" t="e">
        <f t="shared" si="10"/>
        <v>#DIV/0!</v>
      </c>
      <c r="G21" s="36"/>
      <c r="H21" s="37">
        <f t="shared" si="7"/>
        <v>0</v>
      </c>
      <c r="I21" s="13" t="e">
        <f t="shared" si="11"/>
        <v>#DIV/0!</v>
      </c>
      <c r="J21" s="113" t="e">
        <f t="shared" si="12"/>
        <v>#DIV/0!</v>
      </c>
      <c r="K21" s="36"/>
      <c r="L21" s="37">
        <f t="shared" si="13"/>
        <v>0</v>
      </c>
      <c r="M21" s="13" t="e">
        <f t="shared" si="14"/>
        <v>#DIV/0!</v>
      </c>
      <c r="AO21" s="48">
        <v>110000</v>
      </c>
      <c r="AP21" s="122">
        <f t="shared" si="15"/>
        <v>0</v>
      </c>
      <c r="AQ21" s="122">
        <f t="shared" si="16"/>
        <v>0</v>
      </c>
      <c r="AR21" s="122">
        <f t="shared" si="17"/>
        <v>0</v>
      </c>
      <c r="AS21" s="122">
        <f t="shared" si="18"/>
        <v>0</v>
      </c>
      <c r="AT21" s="122">
        <f t="shared" si="8"/>
        <v>0</v>
      </c>
      <c r="AU21" s="122"/>
      <c r="AV21" s="48">
        <f t="shared" si="9"/>
        <v>110000</v>
      </c>
      <c r="AW21" s="122">
        <f t="shared" si="1"/>
        <v>0</v>
      </c>
      <c r="AX21" s="122">
        <f t="shared" si="2"/>
        <v>0</v>
      </c>
      <c r="AY21" s="122">
        <f t="shared" si="3"/>
        <v>0</v>
      </c>
      <c r="AZ21" s="122">
        <f t="shared" si="4"/>
        <v>0</v>
      </c>
      <c r="BA21" s="122">
        <f t="shared" si="5"/>
        <v>0</v>
      </c>
    </row>
    <row r="22" spans="1:53">
      <c r="A22" s="7"/>
      <c r="B22" s="37"/>
      <c r="C22" s="37" t="s">
        <v>1</v>
      </c>
      <c r="D22" s="108"/>
      <c r="E22" s="37">
        <f t="shared" si="6"/>
        <v>0</v>
      </c>
      <c r="F22" s="13" t="e">
        <f t="shared" si="10"/>
        <v>#DIV/0!</v>
      </c>
      <c r="G22" s="36"/>
      <c r="H22" s="37">
        <f t="shared" si="7"/>
        <v>0</v>
      </c>
      <c r="I22" s="13" t="e">
        <f t="shared" si="11"/>
        <v>#DIV/0!</v>
      </c>
      <c r="J22" s="113" t="e">
        <f t="shared" si="12"/>
        <v>#DIV/0!</v>
      </c>
      <c r="K22" s="36"/>
      <c r="L22" s="37">
        <f t="shared" si="13"/>
        <v>0</v>
      </c>
      <c r="M22" s="13" t="e">
        <f t="shared" si="14"/>
        <v>#DIV/0!</v>
      </c>
      <c r="AO22" s="48">
        <v>120000</v>
      </c>
      <c r="AP22" s="122">
        <f t="shared" si="15"/>
        <v>0</v>
      </c>
      <c r="AQ22" s="122">
        <f t="shared" si="16"/>
        <v>0</v>
      </c>
      <c r="AR22" s="122">
        <f t="shared" si="17"/>
        <v>0</v>
      </c>
      <c r="AS22" s="122">
        <f t="shared" si="18"/>
        <v>0</v>
      </c>
      <c r="AT22" s="122">
        <f t="shared" si="8"/>
        <v>0</v>
      </c>
      <c r="AU22" s="122"/>
      <c r="AV22" s="48">
        <f t="shared" si="9"/>
        <v>120000</v>
      </c>
      <c r="AW22" s="122">
        <f t="shared" si="1"/>
        <v>0</v>
      </c>
      <c r="AX22" s="122">
        <f t="shared" si="2"/>
        <v>0</v>
      </c>
      <c r="AY22" s="122">
        <f t="shared" si="3"/>
        <v>0</v>
      </c>
      <c r="AZ22" s="122">
        <f t="shared" si="4"/>
        <v>0</v>
      </c>
      <c r="BA22" s="122">
        <f t="shared" si="5"/>
        <v>0</v>
      </c>
    </row>
    <row r="23" spans="1:53">
      <c r="A23" s="7"/>
      <c r="B23" s="37"/>
      <c r="C23" s="37" t="s">
        <v>1</v>
      </c>
      <c r="D23" s="108"/>
      <c r="E23" s="37">
        <f t="shared" si="6"/>
        <v>0</v>
      </c>
      <c r="F23" s="13" t="e">
        <f t="shared" si="10"/>
        <v>#DIV/0!</v>
      </c>
      <c r="G23" s="36"/>
      <c r="H23" s="37">
        <f t="shared" si="7"/>
        <v>0</v>
      </c>
      <c r="I23" s="13" t="e">
        <f t="shared" si="11"/>
        <v>#DIV/0!</v>
      </c>
      <c r="J23" s="113" t="e">
        <f t="shared" si="12"/>
        <v>#DIV/0!</v>
      </c>
      <c r="K23" s="36"/>
      <c r="L23" s="37">
        <f t="shared" si="13"/>
        <v>0</v>
      </c>
      <c r="M23" s="13" t="e">
        <f t="shared" si="14"/>
        <v>#DIV/0!</v>
      </c>
      <c r="AO23" s="48">
        <v>130000</v>
      </c>
      <c r="AP23" s="122">
        <f t="shared" si="15"/>
        <v>0</v>
      </c>
      <c r="AQ23" s="122">
        <f t="shared" si="16"/>
        <v>0</v>
      </c>
      <c r="AR23" s="122">
        <f t="shared" si="17"/>
        <v>0</v>
      </c>
      <c r="AS23" s="122">
        <f t="shared" si="18"/>
        <v>0</v>
      </c>
      <c r="AT23" s="122">
        <f t="shared" si="8"/>
        <v>0</v>
      </c>
      <c r="AU23" s="122"/>
      <c r="AV23" s="48">
        <f t="shared" si="9"/>
        <v>130000</v>
      </c>
      <c r="AW23" s="122">
        <f t="shared" si="1"/>
        <v>0</v>
      </c>
      <c r="AX23" s="122">
        <f t="shared" si="2"/>
        <v>0</v>
      </c>
      <c r="AY23" s="122">
        <f t="shared" si="3"/>
        <v>0</v>
      </c>
      <c r="AZ23" s="122">
        <f t="shared" si="4"/>
        <v>0</v>
      </c>
      <c r="BA23" s="122">
        <f t="shared" si="5"/>
        <v>0</v>
      </c>
    </row>
    <row r="24" spans="1:53">
      <c r="A24" s="7"/>
      <c r="B24" s="37"/>
      <c r="C24" s="37" t="s">
        <v>1</v>
      </c>
      <c r="D24" s="108"/>
      <c r="E24" s="37">
        <f t="shared" si="6"/>
        <v>0</v>
      </c>
      <c r="F24" s="13" t="e">
        <f t="shared" si="10"/>
        <v>#DIV/0!</v>
      </c>
      <c r="G24" s="36"/>
      <c r="H24" s="37">
        <f t="shared" si="7"/>
        <v>0</v>
      </c>
      <c r="I24" s="13" t="e">
        <f t="shared" si="11"/>
        <v>#DIV/0!</v>
      </c>
      <c r="J24" s="113" t="e">
        <f t="shared" si="12"/>
        <v>#DIV/0!</v>
      </c>
      <c r="K24" s="36"/>
      <c r="L24" s="37">
        <f t="shared" si="13"/>
        <v>0</v>
      </c>
      <c r="M24" s="13" t="e">
        <f t="shared" si="14"/>
        <v>#DIV/0!</v>
      </c>
      <c r="AO24" s="48">
        <v>140000</v>
      </c>
      <c r="AP24" s="122">
        <f t="shared" si="15"/>
        <v>0</v>
      </c>
      <c r="AQ24" s="122">
        <f t="shared" si="16"/>
        <v>0</v>
      </c>
      <c r="AR24" s="122">
        <f t="shared" si="17"/>
        <v>0</v>
      </c>
      <c r="AS24" s="122">
        <f t="shared" si="18"/>
        <v>0</v>
      </c>
      <c r="AT24" s="122">
        <f t="shared" si="8"/>
        <v>0</v>
      </c>
      <c r="AU24" s="122"/>
      <c r="AV24" s="48">
        <f t="shared" si="9"/>
        <v>140000</v>
      </c>
      <c r="AW24" s="122">
        <f t="shared" si="1"/>
        <v>0</v>
      </c>
      <c r="AX24" s="122">
        <f t="shared" si="2"/>
        <v>0</v>
      </c>
      <c r="AY24" s="122">
        <f t="shared" si="3"/>
        <v>0</v>
      </c>
      <c r="AZ24" s="122">
        <f t="shared" si="4"/>
        <v>0</v>
      </c>
      <c r="BA24" s="122">
        <f t="shared" si="5"/>
        <v>0</v>
      </c>
    </row>
    <row r="25" spans="1:53">
      <c r="A25" s="7"/>
      <c r="B25" s="37"/>
      <c r="C25" s="37" t="s">
        <v>1</v>
      </c>
      <c r="D25" s="108"/>
      <c r="E25" s="37">
        <f t="shared" si="6"/>
        <v>0</v>
      </c>
      <c r="F25" s="13" t="e">
        <f t="shared" si="10"/>
        <v>#DIV/0!</v>
      </c>
      <c r="G25" s="36"/>
      <c r="H25" s="37">
        <f t="shared" si="7"/>
        <v>0</v>
      </c>
      <c r="I25" s="13" t="e">
        <f t="shared" si="11"/>
        <v>#DIV/0!</v>
      </c>
      <c r="J25" s="113" t="e">
        <f t="shared" si="12"/>
        <v>#DIV/0!</v>
      </c>
      <c r="K25" s="36"/>
      <c r="L25" s="37">
        <f t="shared" si="13"/>
        <v>0</v>
      </c>
      <c r="M25" s="13" t="e">
        <f t="shared" si="14"/>
        <v>#DIV/0!</v>
      </c>
      <c r="AO25" s="48">
        <v>150000</v>
      </c>
      <c r="AP25" s="122">
        <f t="shared" si="15"/>
        <v>0</v>
      </c>
      <c r="AQ25" s="122">
        <f t="shared" si="16"/>
        <v>0</v>
      </c>
      <c r="AR25" s="122">
        <f t="shared" si="17"/>
        <v>0</v>
      </c>
      <c r="AS25" s="122">
        <f t="shared" si="18"/>
        <v>0</v>
      </c>
      <c r="AT25" s="122">
        <f t="shared" si="8"/>
        <v>0</v>
      </c>
      <c r="AU25" s="122"/>
      <c r="AV25" s="48">
        <f t="shared" si="9"/>
        <v>150000</v>
      </c>
      <c r="AW25" s="122">
        <f t="shared" si="1"/>
        <v>0</v>
      </c>
      <c r="AX25" s="122">
        <f t="shared" si="2"/>
        <v>0</v>
      </c>
      <c r="AY25" s="122">
        <f t="shared" si="3"/>
        <v>0</v>
      </c>
      <c r="AZ25" s="122">
        <f t="shared" si="4"/>
        <v>0</v>
      </c>
      <c r="BA25" s="122">
        <f t="shared" si="5"/>
        <v>0</v>
      </c>
    </row>
    <row r="26" spans="1:53">
      <c r="A26" s="7"/>
      <c r="B26" s="37"/>
      <c r="C26" s="37" t="s">
        <v>1</v>
      </c>
      <c r="D26" s="108"/>
      <c r="E26" s="37">
        <f t="shared" si="6"/>
        <v>0</v>
      </c>
      <c r="F26" s="13" t="e">
        <f t="shared" si="10"/>
        <v>#DIV/0!</v>
      </c>
      <c r="G26" s="36"/>
      <c r="H26" s="37">
        <f t="shared" si="7"/>
        <v>0</v>
      </c>
      <c r="I26" s="13" t="e">
        <f t="shared" si="11"/>
        <v>#DIV/0!</v>
      </c>
      <c r="J26" s="113" t="e">
        <f t="shared" si="12"/>
        <v>#DIV/0!</v>
      </c>
      <c r="K26" s="36"/>
      <c r="L26" s="37">
        <f t="shared" si="13"/>
        <v>0</v>
      </c>
      <c r="M26" s="13" t="e">
        <f t="shared" si="14"/>
        <v>#DIV/0!</v>
      </c>
      <c r="AO26" s="48">
        <v>160000</v>
      </c>
      <c r="AP26" s="122">
        <f t="shared" si="15"/>
        <v>0</v>
      </c>
      <c r="AQ26" s="122">
        <f t="shared" si="16"/>
        <v>0</v>
      </c>
      <c r="AR26" s="122">
        <f t="shared" si="17"/>
        <v>0</v>
      </c>
      <c r="AS26" s="122">
        <f t="shared" si="18"/>
        <v>0</v>
      </c>
      <c r="AT26" s="122">
        <f t="shared" si="8"/>
        <v>0</v>
      </c>
      <c r="AU26" s="122"/>
      <c r="AV26" s="48">
        <f t="shared" si="9"/>
        <v>160000</v>
      </c>
      <c r="AW26" s="122">
        <f t="shared" si="1"/>
        <v>0</v>
      </c>
      <c r="AX26" s="122">
        <f t="shared" si="2"/>
        <v>0</v>
      </c>
      <c r="AY26" s="122">
        <f t="shared" si="3"/>
        <v>0</v>
      </c>
      <c r="AZ26" s="122">
        <f t="shared" si="4"/>
        <v>0</v>
      </c>
      <c r="BA26" s="122">
        <f t="shared" si="5"/>
        <v>0</v>
      </c>
    </row>
    <row r="27" spans="1:53">
      <c r="A27" s="7"/>
      <c r="B27" s="37"/>
      <c r="C27" s="37" t="s">
        <v>1</v>
      </c>
      <c r="D27" s="108"/>
      <c r="E27" s="37">
        <f t="shared" si="6"/>
        <v>0</v>
      </c>
      <c r="F27" s="13" t="e">
        <f t="shared" si="10"/>
        <v>#DIV/0!</v>
      </c>
      <c r="G27" s="36"/>
      <c r="H27" s="37">
        <f t="shared" si="7"/>
        <v>0</v>
      </c>
      <c r="I27" s="13" t="e">
        <f t="shared" si="11"/>
        <v>#DIV/0!</v>
      </c>
      <c r="J27" s="113" t="e">
        <f t="shared" si="12"/>
        <v>#DIV/0!</v>
      </c>
      <c r="K27" s="36"/>
      <c r="L27" s="37">
        <f t="shared" si="13"/>
        <v>0</v>
      </c>
      <c r="M27" s="13" t="e">
        <f t="shared" si="14"/>
        <v>#DIV/0!</v>
      </c>
      <c r="AO27" s="48">
        <v>170000</v>
      </c>
      <c r="AP27" s="122">
        <f t="shared" si="15"/>
        <v>0</v>
      </c>
      <c r="AQ27" s="122">
        <f t="shared" si="16"/>
        <v>0</v>
      </c>
      <c r="AR27" s="122">
        <f t="shared" si="17"/>
        <v>0</v>
      </c>
      <c r="AS27" s="122">
        <f t="shared" si="18"/>
        <v>0</v>
      </c>
      <c r="AT27" s="122">
        <f t="shared" si="8"/>
        <v>0</v>
      </c>
      <c r="AU27" s="122"/>
      <c r="AV27" s="48">
        <f t="shared" si="9"/>
        <v>170000</v>
      </c>
      <c r="AW27" s="122">
        <f t="shared" si="1"/>
        <v>0</v>
      </c>
      <c r="AX27" s="122">
        <f t="shared" si="2"/>
        <v>0</v>
      </c>
      <c r="AY27" s="122">
        <f t="shared" si="3"/>
        <v>0</v>
      </c>
      <c r="AZ27" s="122">
        <f t="shared" si="4"/>
        <v>0</v>
      </c>
      <c r="BA27" s="122">
        <f t="shared" si="5"/>
        <v>0</v>
      </c>
    </row>
    <row r="28" spans="1:53">
      <c r="A28" s="7"/>
      <c r="B28" s="37"/>
      <c r="C28" s="37" t="s">
        <v>1</v>
      </c>
      <c r="D28" s="108"/>
      <c r="E28" s="37">
        <f t="shared" si="6"/>
        <v>0</v>
      </c>
      <c r="F28" s="13" t="e">
        <f t="shared" si="10"/>
        <v>#DIV/0!</v>
      </c>
      <c r="G28" s="110"/>
      <c r="H28" s="37">
        <f t="shared" si="7"/>
        <v>0</v>
      </c>
      <c r="I28" s="13" t="e">
        <f t="shared" si="11"/>
        <v>#DIV/0!</v>
      </c>
      <c r="J28" s="113" t="e">
        <f t="shared" si="12"/>
        <v>#DIV/0!</v>
      </c>
      <c r="K28" s="110"/>
      <c r="L28" s="37">
        <f t="shared" si="13"/>
        <v>0</v>
      </c>
      <c r="M28" s="13" t="e">
        <f t="shared" si="14"/>
        <v>#DIV/0!</v>
      </c>
      <c r="AO28" s="48">
        <v>180000</v>
      </c>
      <c r="AP28" s="122">
        <f t="shared" si="15"/>
        <v>0</v>
      </c>
      <c r="AQ28" s="122">
        <f t="shared" si="16"/>
        <v>0</v>
      </c>
      <c r="AR28" s="122">
        <f t="shared" si="17"/>
        <v>0</v>
      </c>
      <c r="AS28" s="122">
        <f t="shared" si="18"/>
        <v>0</v>
      </c>
      <c r="AT28" s="122">
        <f t="shared" si="8"/>
        <v>0</v>
      </c>
      <c r="AU28" s="122"/>
      <c r="AV28" s="48">
        <f t="shared" si="9"/>
        <v>180000</v>
      </c>
      <c r="AW28" s="122">
        <f t="shared" si="1"/>
        <v>0</v>
      </c>
      <c r="AX28" s="122">
        <f t="shared" si="2"/>
        <v>0</v>
      </c>
      <c r="AY28" s="122">
        <f t="shared" si="3"/>
        <v>0</v>
      </c>
      <c r="AZ28" s="122">
        <f t="shared" si="4"/>
        <v>0</v>
      </c>
      <c r="BA28" s="122">
        <f t="shared" si="5"/>
        <v>0</v>
      </c>
    </row>
    <row r="29" spans="1:53">
      <c r="A29" s="6" t="s">
        <v>9</v>
      </c>
      <c r="B29" s="38"/>
      <c r="C29" s="10"/>
      <c r="D29" s="5"/>
      <c r="E29" s="42"/>
      <c r="F29" s="14"/>
      <c r="G29" s="5"/>
      <c r="H29" s="42"/>
      <c r="I29" s="14"/>
      <c r="J29" s="29"/>
      <c r="K29" s="5"/>
      <c r="L29" s="158"/>
      <c r="M29" s="158"/>
      <c r="AO29" s="48">
        <v>190000</v>
      </c>
      <c r="AP29" s="122">
        <f t="shared" si="15"/>
        <v>0</v>
      </c>
      <c r="AQ29" s="122">
        <f t="shared" si="16"/>
        <v>0</v>
      </c>
      <c r="AR29" s="122">
        <f t="shared" si="17"/>
        <v>0</v>
      </c>
      <c r="AS29" s="122">
        <f t="shared" si="18"/>
        <v>0</v>
      </c>
      <c r="AT29" s="122">
        <f t="shared" si="8"/>
        <v>0</v>
      </c>
      <c r="AU29" s="122"/>
      <c r="AV29" s="48">
        <f t="shared" si="9"/>
        <v>190000</v>
      </c>
      <c r="AW29" s="122">
        <f t="shared" si="1"/>
        <v>0</v>
      </c>
      <c r="AX29" s="122">
        <f t="shared" si="2"/>
        <v>0</v>
      </c>
      <c r="AY29" s="122">
        <f t="shared" si="3"/>
        <v>0</v>
      </c>
      <c r="AZ29" s="122">
        <f t="shared" si="4"/>
        <v>0</v>
      </c>
      <c r="BA29" s="122">
        <f t="shared" si="5"/>
        <v>0</v>
      </c>
    </row>
    <row r="30" spans="1:53">
      <c r="A30" s="7"/>
      <c r="B30" s="37"/>
      <c r="C30" s="9" t="s">
        <v>14</v>
      </c>
      <c r="D30" s="36"/>
      <c r="E30" s="117">
        <f t="shared" si="6"/>
        <v>0</v>
      </c>
      <c r="F30" s="109" t="e">
        <f>E30/E$43</f>
        <v>#DIV/0!</v>
      </c>
      <c r="G30" s="111"/>
      <c r="H30" s="105">
        <f t="shared" si="7"/>
        <v>0</v>
      </c>
      <c r="I30" s="13" t="e">
        <f>H30/H$43</f>
        <v>#DIV/0!</v>
      </c>
      <c r="J30" s="112" t="e">
        <f>H30/E30*$B$2</f>
        <v>#DIV/0!</v>
      </c>
      <c r="K30" s="111"/>
      <c r="L30" s="37">
        <f>K30*$B30</f>
        <v>0</v>
      </c>
      <c r="M30" s="13" t="e">
        <f>L30/L$43</f>
        <v>#DIV/0!</v>
      </c>
      <c r="AO30" s="48">
        <v>200000</v>
      </c>
      <c r="AP30" s="122">
        <f t="shared" si="15"/>
        <v>0</v>
      </c>
      <c r="AQ30" s="122">
        <f t="shared" si="16"/>
        <v>0</v>
      </c>
      <c r="AR30" s="122">
        <f t="shared" si="17"/>
        <v>0</v>
      </c>
      <c r="AS30" s="122">
        <f t="shared" si="18"/>
        <v>0</v>
      </c>
      <c r="AT30" s="122">
        <f t="shared" si="8"/>
        <v>0</v>
      </c>
      <c r="AU30" s="122"/>
      <c r="AV30" s="48">
        <f t="shared" si="9"/>
        <v>200000</v>
      </c>
      <c r="AW30" s="122">
        <f t="shared" si="1"/>
        <v>0</v>
      </c>
      <c r="AX30" s="122">
        <f t="shared" si="2"/>
        <v>0</v>
      </c>
      <c r="AY30" s="122">
        <f t="shared" si="3"/>
        <v>0</v>
      </c>
      <c r="AZ30" s="122">
        <f t="shared" si="4"/>
        <v>0</v>
      </c>
      <c r="BA30" s="122">
        <f t="shared" si="5"/>
        <v>0</v>
      </c>
    </row>
    <row r="31" spans="1:53">
      <c r="A31" s="7"/>
      <c r="B31" s="37"/>
      <c r="C31" s="9" t="s">
        <v>14</v>
      </c>
      <c r="D31" s="36"/>
      <c r="E31" s="117">
        <f t="shared" si="6"/>
        <v>0</v>
      </c>
      <c r="F31" s="109" t="e">
        <f>E31/E$43</f>
        <v>#DIV/0!</v>
      </c>
      <c r="G31" s="111"/>
      <c r="H31" s="105">
        <f t="shared" si="7"/>
        <v>0</v>
      </c>
      <c r="I31" s="13" t="e">
        <f>H31/H$43</f>
        <v>#DIV/0!</v>
      </c>
      <c r="J31" s="112" t="e">
        <f t="shared" ref="J31:J38" si="19">H31/E31*$B$2</f>
        <v>#DIV/0!</v>
      </c>
      <c r="K31" s="111"/>
      <c r="L31" s="37">
        <f>K31*$B31</f>
        <v>0</v>
      </c>
      <c r="M31" s="13" t="e">
        <f>L31/L$43</f>
        <v>#DIV/0!</v>
      </c>
      <c r="AO31" s="48">
        <v>210000</v>
      </c>
      <c r="AP31" s="122">
        <f t="shared" si="15"/>
        <v>0</v>
      </c>
      <c r="AQ31" s="122">
        <f t="shared" si="16"/>
        <v>0</v>
      </c>
      <c r="AR31" s="122">
        <f t="shared" si="17"/>
        <v>0</v>
      </c>
      <c r="AS31" s="122">
        <f t="shared" si="18"/>
        <v>0</v>
      </c>
      <c r="AT31" s="122">
        <f t="shared" si="8"/>
        <v>0</v>
      </c>
      <c r="AU31" s="122"/>
      <c r="AV31" s="48">
        <f t="shared" si="9"/>
        <v>210000</v>
      </c>
      <c r="AW31" s="122">
        <f t="shared" si="1"/>
        <v>0</v>
      </c>
      <c r="AX31" s="122">
        <f t="shared" si="2"/>
        <v>0</v>
      </c>
      <c r="AY31" s="122">
        <f t="shared" si="3"/>
        <v>0</v>
      </c>
      <c r="AZ31" s="122">
        <f t="shared" si="4"/>
        <v>0</v>
      </c>
      <c r="BA31" s="122">
        <f t="shared" si="5"/>
        <v>0</v>
      </c>
    </row>
    <row r="32" spans="1:53">
      <c r="A32" s="7"/>
      <c r="B32" s="37"/>
      <c r="C32" s="9" t="s">
        <v>14</v>
      </c>
      <c r="D32" s="36"/>
      <c r="E32" s="117">
        <f t="shared" si="6"/>
        <v>0</v>
      </c>
      <c r="F32" s="109" t="e">
        <f>E32/E$43</f>
        <v>#DIV/0!</v>
      </c>
      <c r="G32" s="111"/>
      <c r="H32" s="105">
        <f t="shared" si="7"/>
        <v>0</v>
      </c>
      <c r="I32" s="13" t="e">
        <f>H32/H$43</f>
        <v>#DIV/0!</v>
      </c>
      <c r="J32" s="112" t="e">
        <f t="shared" si="19"/>
        <v>#DIV/0!</v>
      </c>
      <c r="K32" s="111"/>
      <c r="L32" s="37">
        <f>K32*$B32</f>
        <v>0</v>
      </c>
      <c r="M32" s="13" t="e">
        <f>L32/L$43</f>
        <v>#DIV/0!</v>
      </c>
      <c r="AO32" s="48">
        <v>220000</v>
      </c>
      <c r="AP32" s="122">
        <f t="shared" si="15"/>
        <v>0</v>
      </c>
      <c r="AQ32" s="122">
        <f t="shared" si="16"/>
        <v>0</v>
      </c>
      <c r="AR32" s="122">
        <f t="shared" si="17"/>
        <v>0</v>
      </c>
      <c r="AS32" s="122">
        <f t="shared" si="18"/>
        <v>0</v>
      </c>
      <c r="AT32" s="122">
        <f t="shared" si="8"/>
        <v>0</v>
      </c>
      <c r="AU32" s="122"/>
      <c r="AV32" s="48">
        <f t="shared" si="9"/>
        <v>220000</v>
      </c>
      <c r="AW32" s="122">
        <f t="shared" si="1"/>
        <v>0</v>
      </c>
      <c r="AX32" s="122">
        <f t="shared" si="2"/>
        <v>0</v>
      </c>
      <c r="AY32" s="122">
        <f t="shared" si="3"/>
        <v>0</v>
      </c>
      <c r="AZ32" s="122">
        <f t="shared" si="4"/>
        <v>0</v>
      </c>
      <c r="BA32" s="122">
        <f t="shared" si="5"/>
        <v>0</v>
      </c>
    </row>
    <row r="33" spans="1:53">
      <c r="A33" s="6" t="s">
        <v>4</v>
      </c>
      <c r="B33" s="38"/>
      <c r="C33" s="10"/>
      <c r="D33" s="5"/>
      <c r="E33" s="42"/>
      <c r="F33" s="14"/>
      <c r="G33" s="107"/>
      <c r="H33" s="42"/>
      <c r="I33" s="14"/>
      <c r="J33" s="29"/>
      <c r="K33" s="107"/>
      <c r="L33" s="158"/>
      <c r="M33" s="158"/>
      <c r="V33" s="39"/>
      <c r="W33" s="39"/>
      <c r="X33" s="39"/>
      <c r="AO33" s="48">
        <v>230000</v>
      </c>
      <c r="AP33" s="122">
        <f t="shared" si="15"/>
        <v>0</v>
      </c>
      <c r="AQ33" s="122">
        <f t="shared" si="16"/>
        <v>0</v>
      </c>
      <c r="AR33" s="122">
        <f t="shared" si="17"/>
        <v>0</v>
      </c>
      <c r="AS33" s="122">
        <f t="shared" si="18"/>
        <v>0</v>
      </c>
      <c r="AT33" s="122">
        <f t="shared" si="8"/>
        <v>0</v>
      </c>
      <c r="AU33" s="122"/>
      <c r="AV33" s="48">
        <f t="shared" si="9"/>
        <v>230000</v>
      </c>
      <c r="AW33" s="122">
        <f t="shared" si="1"/>
        <v>0</v>
      </c>
      <c r="AX33" s="122">
        <f t="shared" si="2"/>
        <v>0</v>
      </c>
      <c r="AY33" s="122">
        <f t="shared" si="3"/>
        <v>0</v>
      </c>
      <c r="AZ33" s="122">
        <f t="shared" si="4"/>
        <v>0</v>
      </c>
      <c r="BA33" s="122">
        <f t="shared" si="5"/>
        <v>0</v>
      </c>
    </row>
    <row r="34" spans="1:53" ht="21">
      <c r="A34" s="7"/>
      <c r="B34" s="37"/>
      <c r="C34" s="9" t="s">
        <v>1</v>
      </c>
      <c r="D34" s="36"/>
      <c r="E34" s="150">
        <f>D34*$B34</f>
        <v>0</v>
      </c>
      <c r="F34" s="13" t="e">
        <f>E34/E$43</f>
        <v>#DIV/0!</v>
      </c>
      <c r="G34" s="36"/>
      <c r="H34" s="9">
        <f t="shared" si="7"/>
        <v>0</v>
      </c>
      <c r="I34" s="13" t="e">
        <f>H34/H$43</f>
        <v>#DIV/0!</v>
      </c>
      <c r="J34" s="112" t="e">
        <f t="shared" si="19"/>
        <v>#DIV/0!</v>
      </c>
      <c r="K34" s="36"/>
      <c r="L34" s="37">
        <f>K34*$B34</f>
        <v>0</v>
      </c>
      <c r="M34" s="37" t="e">
        <f>L34/L$43</f>
        <v>#DIV/0!</v>
      </c>
      <c r="AO34" s="48">
        <v>240000</v>
      </c>
      <c r="AP34" s="122">
        <f t="shared" si="15"/>
        <v>0</v>
      </c>
      <c r="AQ34" s="122">
        <f t="shared" si="16"/>
        <v>0</v>
      </c>
      <c r="AR34" s="122">
        <f t="shared" si="17"/>
        <v>0</v>
      </c>
      <c r="AS34" s="122">
        <f t="shared" si="18"/>
        <v>0</v>
      </c>
      <c r="AT34" s="122">
        <f t="shared" si="8"/>
        <v>0</v>
      </c>
      <c r="AU34" s="122"/>
      <c r="AV34" s="48">
        <f t="shared" si="9"/>
        <v>240000</v>
      </c>
      <c r="AW34" s="122">
        <f t="shared" si="1"/>
        <v>0</v>
      </c>
      <c r="AX34" s="122">
        <f t="shared" si="2"/>
        <v>0</v>
      </c>
      <c r="AY34" s="122">
        <f t="shared" si="3"/>
        <v>0</v>
      </c>
      <c r="AZ34" s="122">
        <f t="shared" si="4"/>
        <v>0</v>
      </c>
      <c r="BA34" s="122">
        <f t="shared" si="5"/>
        <v>0</v>
      </c>
    </row>
    <row r="35" spans="1:53" ht="21">
      <c r="A35" s="127"/>
      <c r="B35" s="37"/>
      <c r="C35" s="9" t="s">
        <v>1</v>
      </c>
      <c r="D35" s="36"/>
      <c r="E35" s="118">
        <f>D35*$B35</f>
        <v>0</v>
      </c>
      <c r="F35" s="13" t="e">
        <f>E35/E$43</f>
        <v>#DIV/0!</v>
      </c>
      <c r="G35" s="111"/>
      <c r="H35" s="9">
        <f t="shared" si="7"/>
        <v>0</v>
      </c>
      <c r="I35" s="13" t="e">
        <f>H35/H$43</f>
        <v>#DIV/0!</v>
      </c>
      <c r="J35" s="149" t="e">
        <f>H35/E34*$B$2</f>
        <v>#DIV/0!</v>
      </c>
      <c r="K35" s="111"/>
      <c r="L35" s="161">
        <f>K35*$B35</f>
        <v>0</v>
      </c>
      <c r="M35" s="161" t="e">
        <f>L35/L$43</f>
        <v>#DIV/0!</v>
      </c>
      <c r="AO35" s="48">
        <v>250000</v>
      </c>
      <c r="AP35" s="122">
        <f t="shared" si="15"/>
        <v>0</v>
      </c>
      <c r="AQ35" s="122">
        <f t="shared" si="16"/>
        <v>0</v>
      </c>
      <c r="AR35" s="122">
        <f t="shared" si="17"/>
        <v>0</v>
      </c>
      <c r="AS35" s="122">
        <f t="shared" si="18"/>
        <v>0</v>
      </c>
      <c r="AT35" s="122">
        <f t="shared" si="8"/>
        <v>0</v>
      </c>
      <c r="AU35" s="122"/>
      <c r="AV35" s="48">
        <f t="shared" si="9"/>
        <v>250000</v>
      </c>
      <c r="AW35" s="122">
        <f t="shared" si="1"/>
        <v>0</v>
      </c>
      <c r="AX35" s="122">
        <f t="shared" si="2"/>
        <v>0</v>
      </c>
      <c r="AY35" s="122">
        <f t="shared" si="3"/>
        <v>0</v>
      </c>
      <c r="AZ35" s="122">
        <f t="shared" si="4"/>
        <v>0</v>
      </c>
      <c r="BA35" s="122">
        <f t="shared" si="5"/>
        <v>0</v>
      </c>
    </row>
    <row r="36" spans="1:53">
      <c r="A36" s="6" t="s">
        <v>5</v>
      </c>
      <c r="B36" s="38"/>
      <c r="C36" s="10"/>
      <c r="D36" s="5"/>
      <c r="E36" s="42"/>
      <c r="F36" s="14"/>
      <c r="G36" s="5"/>
      <c r="H36" s="42"/>
      <c r="I36" s="14"/>
      <c r="J36" s="29"/>
      <c r="K36" s="5"/>
      <c r="L36" s="158"/>
      <c r="M36" s="158"/>
      <c r="V36" s="47"/>
      <c r="W36" s="47"/>
      <c r="X36" s="47"/>
      <c r="AO36" s="48">
        <v>260000</v>
      </c>
      <c r="AP36" s="122">
        <f t="shared" si="15"/>
        <v>0</v>
      </c>
      <c r="AQ36" s="122">
        <f t="shared" si="16"/>
        <v>0</v>
      </c>
      <c r="AR36" s="122">
        <f t="shared" si="17"/>
        <v>0</v>
      </c>
      <c r="AS36" s="122">
        <f t="shared" si="18"/>
        <v>0</v>
      </c>
      <c r="AT36" s="122">
        <f t="shared" si="8"/>
        <v>0</v>
      </c>
      <c r="AU36" s="122"/>
      <c r="AV36" s="48">
        <f t="shared" si="9"/>
        <v>260000</v>
      </c>
      <c r="AW36" s="122">
        <f t="shared" si="1"/>
        <v>0</v>
      </c>
      <c r="AX36" s="122">
        <f t="shared" si="2"/>
        <v>0</v>
      </c>
      <c r="AY36" s="122">
        <f t="shared" si="3"/>
        <v>0</v>
      </c>
      <c r="AZ36" s="122">
        <f t="shared" si="4"/>
        <v>0</v>
      </c>
      <c r="BA36" s="122">
        <f t="shared" si="5"/>
        <v>0</v>
      </c>
    </row>
    <row r="37" spans="1:53">
      <c r="A37" s="21" t="s">
        <v>59</v>
      </c>
      <c r="B37" s="102"/>
      <c r="C37" s="9" t="s">
        <v>1</v>
      </c>
      <c r="D37" s="103"/>
      <c r="E37" s="119">
        <f>D37*$B37</f>
        <v>0</v>
      </c>
      <c r="F37" s="104" t="e">
        <f>E37/E$43</f>
        <v>#DIV/0!</v>
      </c>
      <c r="G37" s="106"/>
      <c r="H37" s="105">
        <f t="shared" si="7"/>
        <v>0</v>
      </c>
      <c r="I37" s="13" t="e">
        <f>H37/H$43</f>
        <v>#DIV/0!</v>
      </c>
      <c r="J37" s="112" t="e">
        <f t="shared" si="19"/>
        <v>#DIV/0!</v>
      </c>
      <c r="K37" s="106"/>
      <c r="L37" s="37">
        <f>K37*$B37</f>
        <v>0</v>
      </c>
      <c r="M37" s="13" t="e">
        <f>L37/L$43</f>
        <v>#DIV/0!</v>
      </c>
      <c r="AO37" s="48">
        <v>270000</v>
      </c>
      <c r="AP37" s="122">
        <f t="shared" si="15"/>
        <v>0</v>
      </c>
      <c r="AQ37" s="122">
        <f t="shared" si="16"/>
        <v>0</v>
      </c>
      <c r="AR37" s="122">
        <f t="shared" si="17"/>
        <v>0</v>
      </c>
      <c r="AS37" s="122">
        <f t="shared" si="18"/>
        <v>0</v>
      </c>
      <c r="AT37" s="122">
        <f t="shared" si="8"/>
        <v>0</v>
      </c>
      <c r="AU37" s="122"/>
      <c r="AV37" s="48">
        <f t="shared" si="9"/>
        <v>270000</v>
      </c>
      <c r="AW37" s="122">
        <f t="shared" si="1"/>
        <v>0</v>
      </c>
      <c r="AX37" s="122">
        <f t="shared" si="2"/>
        <v>0</v>
      </c>
      <c r="AY37" s="122">
        <f t="shared" si="3"/>
        <v>0</v>
      </c>
      <c r="AZ37" s="122">
        <f t="shared" si="4"/>
        <v>0</v>
      </c>
      <c r="BA37" s="122">
        <f t="shared" si="5"/>
        <v>0</v>
      </c>
    </row>
    <row r="38" spans="1:53">
      <c r="A38" s="21" t="s">
        <v>60</v>
      </c>
      <c r="B38" s="37"/>
      <c r="C38" s="9" t="s">
        <v>1</v>
      </c>
      <c r="D38" s="103"/>
      <c r="E38" s="119">
        <f>D38*$B38</f>
        <v>0</v>
      </c>
      <c r="F38" s="13" t="e">
        <f>E38/E$43</f>
        <v>#DIV/0!</v>
      </c>
      <c r="G38" s="106"/>
      <c r="H38" s="105">
        <f t="shared" si="7"/>
        <v>0</v>
      </c>
      <c r="I38" s="13" t="e">
        <f>H38/H$43</f>
        <v>#DIV/0!</v>
      </c>
      <c r="J38" s="112" t="e">
        <f t="shared" si="19"/>
        <v>#DIV/0!</v>
      </c>
      <c r="K38" s="106"/>
      <c r="L38" s="37">
        <f>K38*$B38</f>
        <v>0</v>
      </c>
      <c r="M38" s="13" t="e">
        <f>L38/L$43</f>
        <v>#DIV/0!</v>
      </c>
      <c r="AO38" s="48">
        <v>280000</v>
      </c>
      <c r="AP38" s="122">
        <f t="shared" si="15"/>
        <v>0</v>
      </c>
      <c r="AQ38" s="122">
        <f t="shared" si="16"/>
        <v>0</v>
      </c>
      <c r="AR38" s="122">
        <f t="shared" si="17"/>
        <v>0</v>
      </c>
      <c r="AS38" s="122">
        <f t="shared" si="18"/>
        <v>0</v>
      </c>
      <c r="AT38" s="122">
        <f t="shared" si="8"/>
        <v>0</v>
      </c>
      <c r="AU38" s="122"/>
      <c r="AV38" s="48">
        <f t="shared" si="9"/>
        <v>280000</v>
      </c>
      <c r="AW38" s="122">
        <f t="shared" si="1"/>
        <v>0</v>
      </c>
      <c r="AX38" s="122">
        <f t="shared" si="2"/>
        <v>0</v>
      </c>
      <c r="AY38" s="122">
        <f t="shared" si="3"/>
        <v>0</v>
      </c>
      <c r="AZ38" s="122">
        <f t="shared" si="4"/>
        <v>0</v>
      </c>
      <c r="BA38" s="122">
        <f t="shared" si="5"/>
        <v>0</v>
      </c>
    </row>
    <row r="39" spans="1:53">
      <c r="A39" s="21" t="s">
        <v>61</v>
      </c>
      <c r="B39" s="37"/>
      <c r="C39" s="9" t="s">
        <v>1</v>
      </c>
      <c r="D39" s="103"/>
      <c r="E39" s="119">
        <f>D39*$B39</f>
        <v>0</v>
      </c>
      <c r="F39" s="13" t="e">
        <f>E39/E$43</f>
        <v>#DIV/0!</v>
      </c>
      <c r="G39" s="106"/>
      <c r="H39" s="105">
        <f t="shared" si="7"/>
        <v>0</v>
      </c>
      <c r="I39" s="13" t="e">
        <f>H39/H$43</f>
        <v>#DIV/0!</v>
      </c>
      <c r="J39" s="28" t="e">
        <f>H39/E39*$B$2</f>
        <v>#DIV/0!</v>
      </c>
      <c r="K39" s="106"/>
      <c r="L39" s="37">
        <f>K39*$B39</f>
        <v>0</v>
      </c>
      <c r="M39" s="13" t="e">
        <f>L39/L$43</f>
        <v>#DIV/0!</v>
      </c>
      <c r="AO39" s="48">
        <v>290000</v>
      </c>
      <c r="AP39" s="122">
        <f t="shared" si="15"/>
        <v>0</v>
      </c>
      <c r="AQ39" s="122">
        <f t="shared" si="16"/>
        <v>0</v>
      </c>
      <c r="AR39" s="122">
        <f t="shared" si="17"/>
        <v>0</v>
      </c>
      <c r="AS39" s="122">
        <f t="shared" si="18"/>
        <v>0</v>
      </c>
      <c r="AT39" s="122">
        <f t="shared" si="8"/>
        <v>0</v>
      </c>
      <c r="AU39" s="122"/>
      <c r="AV39" s="48">
        <f t="shared" si="9"/>
        <v>290000</v>
      </c>
      <c r="AW39" s="122">
        <f t="shared" si="1"/>
        <v>0</v>
      </c>
      <c r="AX39" s="122">
        <f t="shared" si="2"/>
        <v>0</v>
      </c>
      <c r="AY39" s="122">
        <f t="shared" si="3"/>
        <v>0</v>
      </c>
      <c r="AZ39" s="122">
        <f t="shared" si="4"/>
        <v>0</v>
      </c>
      <c r="BA39" s="122">
        <f t="shared" si="5"/>
        <v>0</v>
      </c>
    </row>
    <row r="40" spans="1:53">
      <c r="A40" s="21" t="s">
        <v>62</v>
      </c>
      <c r="B40" s="37"/>
      <c r="C40" s="9" t="s">
        <v>1</v>
      </c>
      <c r="D40" s="103"/>
      <c r="E40" s="119">
        <f>D40*$B40</f>
        <v>0</v>
      </c>
      <c r="F40" s="13" t="e">
        <f>E40/E$43</f>
        <v>#DIV/0!</v>
      </c>
      <c r="G40" s="106"/>
      <c r="H40" s="105">
        <f>G40*$B40</f>
        <v>0</v>
      </c>
      <c r="I40" s="13" t="e">
        <f>H40/H$43</f>
        <v>#DIV/0!</v>
      </c>
      <c r="J40" s="28" t="e">
        <f>H40/E40*$B$2</f>
        <v>#DIV/0!</v>
      </c>
      <c r="K40" s="106"/>
      <c r="L40" s="37">
        <f>K40*$B40</f>
        <v>0</v>
      </c>
      <c r="M40" s="13" t="e">
        <f>L40/L$43</f>
        <v>#DIV/0!</v>
      </c>
      <c r="AO40" s="48">
        <v>300000</v>
      </c>
      <c r="AP40" s="122">
        <f t="shared" si="15"/>
        <v>0</v>
      </c>
      <c r="AQ40" s="122">
        <f t="shared" si="16"/>
        <v>0</v>
      </c>
      <c r="AR40" s="122">
        <f t="shared" si="17"/>
        <v>0</v>
      </c>
      <c r="AS40" s="122">
        <f t="shared" si="18"/>
        <v>0</v>
      </c>
      <c r="AT40" s="122">
        <f t="shared" si="8"/>
        <v>0</v>
      </c>
      <c r="AU40" s="122"/>
      <c r="AV40" s="48">
        <f t="shared" si="9"/>
        <v>300000</v>
      </c>
      <c r="AW40" s="122">
        <f t="shared" si="1"/>
        <v>0</v>
      </c>
      <c r="AX40" s="122">
        <f t="shared" si="2"/>
        <v>0</v>
      </c>
      <c r="AY40" s="122">
        <f t="shared" si="3"/>
        <v>0</v>
      </c>
      <c r="AZ40" s="122">
        <f t="shared" si="4"/>
        <v>0</v>
      </c>
      <c r="BA40" s="122">
        <f t="shared" si="5"/>
        <v>0</v>
      </c>
    </row>
    <row r="41" spans="1:53">
      <c r="A41" s="21" t="s">
        <v>58</v>
      </c>
      <c r="B41" s="37"/>
      <c r="C41" s="9" t="s">
        <v>1</v>
      </c>
      <c r="D41" s="103"/>
      <c r="E41" s="119">
        <f>D41*$B41</f>
        <v>0</v>
      </c>
      <c r="F41" s="13" t="e">
        <f>E41/E$43</f>
        <v>#DIV/0!</v>
      </c>
      <c r="G41" s="106"/>
      <c r="H41" s="105">
        <f>G41*$B41</f>
        <v>0</v>
      </c>
      <c r="I41" s="13" t="e">
        <f>H41/H$43</f>
        <v>#DIV/0!</v>
      </c>
      <c r="J41" s="28" t="e">
        <f>H41/E41*$B$2</f>
        <v>#DIV/0!</v>
      </c>
      <c r="K41" s="106"/>
      <c r="L41" s="37">
        <f>K41*$B41</f>
        <v>0</v>
      </c>
      <c r="M41" s="13" t="e">
        <f>L41/L$43</f>
        <v>#DIV/0!</v>
      </c>
      <c r="AO41" s="48">
        <v>310000</v>
      </c>
      <c r="AP41" s="122">
        <f t="shared" si="15"/>
        <v>0</v>
      </c>
      <c r="AQ41" s="122">
        <f t="shared" si="16"/>
        <v>0</v>
      </c>
      <c r="AR41" s="122">
        <f t="shared" si="17"/>
        <v>0</v>
      </c>
      <c r="AS41" s="122">
        <f t="shared" si="18"/>
        <v>0</v>
      </c>
      <c r="AT41" s="122">
        <f t="shared" si="8"/>
        <v>0</v>
      </c>
      <c r="AU41" s="122"/>
      <c r="AV41" s="48">
        <f t="shared" si="9"/>
        <v>310000</v>
      </c>
      <c r="AW41" s="122">
        <f t="shared" si="1"/>
        <v>0</v>
      </c>
      <c r="AX41" s="122">
        <f t="shared" si="2"/>
        <v>0</v>
      </c>
      <c r="AY41" s="122">
        <f t="shared" si="3"/>
        <v>0</v>
      </c>
      <c r="AZ41" s="122">
        <f t="shared" si="4"/>
        <v>0</v>
      </c>
      <c r="BA41" s="122">
        <f t="shared" si="5"/>
        <v>0</v>
      </c>
    </row>
    <row r="42" spans="1:53">
      <c r="A42" s="6" t="s">
        <v>6</v>
      </c>
      <c r="B42" s="17"/>
      <c r="C42" s="18"/>
      <c r="D42" s="19"/>
      <c r="E42" s="43"/>
      <c r="F42" s="20"/>
      <c r="G42" s="5"/>
      <c r="H42" s="5"/>
      <c r="I42" s="14"/>
      <c r="J42" s="29"/>
      <c r="K42" s="158"/>
      <c r="L42" s="158"/>
      <c r="M42" s="158"/>
      <c r="AO42" s="48">
        <v>320000</v>
      </c>
      <c r="AP42" s="122">
        <f t="shared" si="15"/>
        <v>0</v>
      </c>
      <c r="AQ42" s="122">
        <f t="shared" si="16"/>
        <v>0</v>
      </c>
      <c r="AR42" s="122">
        <f t="shared" si="17"/>
        <v>0</v>
      </c>
      <c r="AS42" s="122">
        <f t="shared" si="18"/>
        <v>0</v>
      </c>
      <c r="AT42" s="122">
        <f t="shared" si="8"/>
        <v>0</v>
      </c>
      <c r="AU42" s="122"/>
      <c r="AV42" s="48">
        <f t="shared" si="9"/>
        <v>320000</v>
      </c>
      <c r="AW42" s="122">
        <f t="shared" si="1"/>
        <v>0</v>
      </c>
      <c r="AX42" s="122">
        <f t="shared" si="2"/>
        <v>0</v>
      </c>
      <c r="AY42" s="122">
        <f t="shared" si="3"/>
        <v>0</v>
      </c>
      <c r="AZ42" s="122">
        <f t="shared" si="4"/>
        <v>0</v>
      </c>
      <c r="BA42" s="122">
        <f t="shared" si="5"/>
        <v>0</v>
      </c>
    </row>
    <row r="43" spans="1:53" ht="21">
      <c r="A43" s="7" t="s">
        <v>6</v>
      </c>
      <c r="B43" s="3"/>
      <c r="C43" s="35" t="s">
        <v>13</v>
      </c>
      <c r="D43" s="3"/>
      <c r="E43" s="44">
        <f>SUM(E6:E40)</f>
        <v>0</v>
      </c>
      <c r="F43" s="13" t="e">
        <f>E43/E$43</f>
        <v>#DIV/0!</v>
      </c>
      <c r="G43" s="36"/>
      <c r="H43" s="128">
        <f>SUM(H6:H40)</f>
        <v>0</v>
      </c>
      <c r="I43" s="13" t="e">
        <f>H43/H$43</f>
        <v>#DIV/0!</v>
      </c>
      <c r="J43" s="28" t="e">
        <f>H43/E43*$B$2</f>
        <v>#DIV/0!</v>
      </c>
      <c r="K43" s="129"/>
      <c r="L43" s="128">
        <f>SUM(L6:L40)</f>
        <v>0</v>
      </c>
      <c r="M43" s="13" t="e">
        <f>L43/L$43</f>
        <v>#DIV/0!</v>
      </c>
      <c r="AO43" s="48">
        <v>330000</v>
      </c>
      <c r="AP43" s="122">
        <f t="shared" si="15"/>
        <v>0</v>
      </c>
      <c r="AQ43" s="122">
        <f t="shared" si="16"/>
        <v>0</v>
      </c>
      <c r="AR43" s="122">
        <f t="shared" si="17"/>
        <v>0</v>
      </c>
      <c r="AS43" s="122">
        <f t="shared" si="18"/>
        <v>0</v>
      </c>
      <c r="AT43" s="122">
        <f t="shared" si="8"/>
        <v>0</v>
      </c>
      <c r="AU43" s="122"/>
      <c r="AV43" s="48">
        <f t="shared" si="9"/>
        <v>330000</v>
      </c>
      <c r="AW43" s="122">
        <f t="shared" si="1"/>
        <v>0</v>
      </c>
      <c r="AX43" s="122">
        <f t="shared" si="2"/>
        <v>0</v>
      </c>
      <c r="AY43" s="122">
        <f t="shared" si="3"/>
        <v>0</v>
      </c>
      <c r="AZ43" s="122">
        <f t="shared" si="4"/>
        <v>0</v>
      </c>
      <c r="BA43" s="122">
        <f t="shared" si="5"/>
        <v>0</v>
      </c>
    </row>
    <row r="44" spans="1:53">
      <c r="A44" s="127"/>
      <c r="B44" s="3"/>
      <c r="C44" s="35"/>
      <c r="D44" s="3"/>
      <c r="E44" s="11"/>
      <c r="F44" s="13"/>
      <c r="G44" s="157"/>
      <c r="H44" s="156"/>
      <c r="I44" s="13"/>
      <c r="J44" s="28"/>
      <c r="K44" s="157"/>
      <c r="L44" s="157">
        <f>L43*Towel_hand_drying_cycle_stage[[#This Row],[CO2equ/Unit '[kg/unit']2]]</f>
        <v>0</v>
      </c>
      <c r="M44" s="129"/>
      <c r="AO44" s="48">
        <v>340000</v>
      </c>
      <c r="AP44" s="122">
        <f t="shared" si="15"/>
        <v>0</v>
      </c>
      <c r="AQ44" s="122">
        <f t="shared" si="16"/>
        <v>0</v>
      </c>
      <c r="AR44" s="122">
        <f t="shared" si="17"/>
        <v>0</v>
      </c>
      <c r="AS44" s="122">
        <f t="shared" si="18"/>
        <v>0</v>
      </c>
      <c r="AT44" s="122">
        <f t="shared" si="8"/>
        <v>0</v>
      </c>
      <c r="AU44" s="122"/>
      <c r="AV44" s="48">
        <f t="shared" si="9"/>
        <v>340000</v>
      </c>
      <c r="AW44" s="122">
        <f t="shared" si="1"/>
        <v>0</v>
      </c>
      <c r="AX44" s="122">
        <f t="shared" si="2"/>
        <v>0</v>
      </c>
      <c r="AY44" s="122">
        <f t="shared" si="3"/>
        <v>0</v>
      </c>
      <c r="AZ44" s="122">
        <f t="shared" si="4"/>
        <v>0</v>
      </c>
      <c r="BA44" s="122">
        <f t="shared" si="5"/>
        <v>0</v>
      </c>
    </row>
    <row r="45" spans="1:53">
      <c r="A45" s="155"/>
      <c r="B45" s="156"/>
      <c r="C45" s="151"/>
      <c r="D45" s="156"/>
      <c r="E45" s="152"/>
      <c r="F45" s="153"/>
      <c r="G45" s="3"/>
      <c r="H45" s="3"/>
      <c r="I45" s="153"/>
      <c r="J45" s="154"/>
      <c r="K45" s="3" t="s">
        <v>102</v>
      </c>
      <c r="L45" s="3" t="s">
        <v>103</v>
      </c>
      <c r="M45" s="159"/>
      <c r="AO45" s="53">
        <v>350000</v>
      </c>
      <c r="AP45" s="172">
        <f t="shared" si="15"/>
        <v>0</v>
      </c>
      <c r="AQ45" s="172">
        <f t="shared" si="16"/>
        <v>0</v>
      </c>
      <c r="AR45" s="172">
        <f t="shared" si="17"/>
        <v>0</v>
      </c>
      <c r="AS45" s="172">
        <f t="shared" si="18"/>
        <v>0</v>
      </c>
      <c r="AT45" s="172">
        <f t="shared" si="8"/>
        <v>0</v>
      </c>
      <c r="AU45" s="122"/>
      <c r="AV45" s="53">
        <f t="shared" si="9"/>
        <v>350000</v>
      </c>
      <c r="AW45" s="172">
        <f t="shared" si="1"/>
        <v>0</v>
      </c>
      <c r="AX45" s="172">
        <f t="shared" si="2"/>
        <v>0</v>
      </c>
      <c r="AY45" s="172">
        <f t="shared" si="3"/>
        <v>0</v>
      </c>
      <c r="AZ45" s="172">
        <f t="shared" si="4"/>
        <v>0</v>
      </c>
      <c r="BA45" s="172">
        <f t="shared" si="5"/>
        <v>0</v>
      </c>
    </row>
    <row r="46" spans="1:53">
      <c r="C46" s="3"/>
      <c r="D46" s="3"/>
      <c r="E46" s="45"/>
      <c r="F46" s="3"/>
      <c r="G46" s="3"/>
      <c r="H46" s="3"/>
      <c r="I46" s="3"/>
    </row>
    <row r="47" spans="1:53" ht="61.8" thickBot="1">
      <c r="A47" s="30" t="s">
        <v>78</v>
      </c>
      <c r="B47" s="31" t="s">
        <v>15</v>
      </c>
      <c r="C47" s="32" t="s">
        <v>0</v>
      </c>
      <c r="D47" s="31" t="s">
        <v>3</v>
      </c>
      <c r="E47" s="40" t="s">
        <v>10</v>
      </c>
      <c r="F47" s="33" t="s">
        <v>8</v>
      </c>
      <c r="G47" s="31" t="s">
        <v>19</v>
      </c>
      <c r="H47" s="31" t="s">
        <v>20</v>
      </c>
      <c r="I47" s="33" t="s">
        <v>21</v>
      </c>
      <c r="J47" s="34" t="s">
        <v>11</v>
      </c>
      <c r="K47" s="2" t="s">
        <v>99</v>
      </c>
      <c r="L47" s="31" t="s">
        <v>100</v>
      </c>
      <c r="M47" s="160" t="s">
        <v>101</v>
      </c>
    </row>
    <row r="48" spans="1:53">
      <c r="A48" s="6" t="s">
        <v>54</v>
      </c>
      <c r="B48" s="4"/>
      <c r="C48" s="8"/>
      <c r="D48" s="4"/>
      <c r="E48" s="41"/>
      <c r="F48" s="12"/>
      <c r="G48" s="4"/>
      <c r="H48" s="4"/>
      <c r="I48" s="12"/>
      <c r="J48" s="27"/>
      <c r="K48" s="170"/>
      <c r="L48" s="163"/>
      <c r="M48" s="164"/>
    </row>
    <row r="49" spans="1:14">
      <c r="A49" s="7"/>
      <c r="B49" s="37"/>
      <c r="C49" s="105" t="s">
        <v>1</v>
      </c>
      <c r="D49" s="103"/>
      <c r="E49" s="37">
        <f t="shared" ref="E49:E62" si="20">D49*$B49</f>
        <v>0</v>
      </c>
      <c r="F49" s="162" t="e">
        <f>E49/E$80</f>
        <v>#DIV/0!</v>
      </c>
      <c r="G49" s="103"/>
      <c r="H49" s="37">
        <f t="shared" ref="H49:H62" si="21">G49*$B49</f>
        <v>0</v>
      </c>
      <c r="I49" s="13" t="e">
        <f>H49/H$43</f>
        <v>#DIV/0!</v>
      </c>
      <c r="J49" s="113" t="e">
        <f t="shared" ref="J49:J62" si="22">H49/E49*$B$2</f>
        <v>#DIV/0!</v>
      </c>
      <c r="K49" s="103"/>
      <c r="L49" s="105">
        <f t="shared" ref="L49:L79" si="23">K49*$B49</f>
        <v>0</v>
      </c>
      <c r="M49" s="162" t="e">
        <f>L49/L$80</f>
        <v>#DIV/0!</v>
      </c>
    </row>
    <row r="50" spans="1:14">
      <c r="A50" s="21"/>
      <c r="B50" s="37"/>
      <c r="C50" s="105" t="s">
        <v>1</v>
      </c>
      <c r="D50" s="103"/>
      <c r="E50" s="37">
        <f t="shared" si="20"/>
        <v>0</v>
      </c>
      <c r="F50" s="13" t="e">
        <f>E50/E$80</f>
        <v>#DIV/0!</v>
      </c>
      <c r="G50" s="103"/>
      <c r="H50" s="37">
        <f t="shared" si="21"/>
        <v>0</v>
      </c>
      <c r="I50" s="13" t="e">
        <f>H50/H$80</f>
        <v>#DIV/0!</v>
      </c>
      <c r="J50" s="113" t="e">
        <f t="shared" si="22"/>
        <v>#DIV/0!</v>
      </c>
      <c r="K50" s="103"/>
      <c r="L50" s="105">
        <f t="shared" si="23"/>
        <v>0</v>
      </c>
      <c r="M50" s="13" t="e">
        <f t="shared" ref="M50:M78" si="24">L50/L$80</f>
        <v>#DIV/0!</v>
      </c>
    </row>
    <row r="51" spans="1:14">
      <c r="A51" s="21"/>
      <c r="B51" s="37"/>
      <c r="C51" s="105" t="s">
        <v>1</v>
      </c>
      <c r="D51" s="103"/>
      <c r="E51" s="37">
        <f t="shared" si="20"/>
        <v>0</v>
      </c>
      <c r="F51" s="13" t="e">
        <f t="shared" ref="F51:F62" si="25">E51/E$80</f>
        <v>#DIV/0!</v>
      </c>
      <c r="G51" s="103"/>
      <c r="H51" s="37">
        <f t="shared" si="21"/>
        <v>0</v>
      </c>
      <c r="I51" s="13" t="e">
        <f t="shared" ref="I51:I62" si="26">H51/H$80</f>
        <v>#DIV/0!</v>
      </c>
      <c r="J51" s="113" t="e">
        <f t="shared" si="22"/>
        <v>#DIV/0!</v>
      </c>
      <c r="K51" s="103"/>
      <c r="L51" s="105">
        <f t="shared" si="23"/>
        <v>0</v>
      </c>
      <c r="M51" s="13" t="e">
        <f t="shared" si="24"/>
        <v>#DIV/0!</v>
      </c>
    </row>
    <row r="52" spans="1:14">
      <c r="A52" s="21"/>
      <c r="B52" s="37"/>
      <c r="C52" s="105" t="s">
        <v>1</v>
      </c>
      <c r="D52" s="103"/>
      <c r="E52" s="37">
        <f t="shared" si="20"/>
        <v>0</v>
      </c>
      <c r="F52" s="13" t="e">
        <f t="shared" si="25"/>
        <v>#DIV/0!</v>
      </c>
      <c r="G52" s="103"/>
      <c r="H52" s="37">
        <f t="shared" si="21"/>
        <v>0</v>
      </c>
      <c r="I52" s="13" t="e">
        <f t="shared" si="26"/>
        <v>#DIV/0!</v>
      </c>
      <c r="J52" s="113" t="e">
        <f t="shared" si="22"/>
        <v>#DIV/0!</v>
      </c>
      <c r="K52" s="103"/>
      <c r="L52" s="105">
        <f t="shared" si="23"/>
        <v>0</v>
      </c>
      <c r="M52" s="13" t="e">
        <f t="shared" si="24"/>
        <v>#DIV/0!</v>
      </c>
    </row>
    <row r="53" spans="1:14">
      <c r="A53" s="21"/>
      <c r="B53" s="37"/>
      <c r="C53" s="105" t="s">
        <v>1</v>
      </c>
      <c r="D53" s="103"/>
      <c r="E53" s="37">
        <f t="shared" si="20"/>
        <v>0</v>
      </c>
      <c r="F53" s="13" t="e">
        <f t="shared" si="25"/>
        <v>#DIV/0!</v>
      </c>
      <c r="G53" s="103"/>
      <c r="H53" s="37">
        <f t="shared" si="21"/>
        <v>0</v>
      </c>
      <c r="I53" s="13" t="e">
        <f t="shared" si="26"/>
        <v>#DIV/0!</v>
      </c>
      <c r="J53" s="113" t="e">
        <f t="shared" si="22"/>
        <v>#DIV/0!</v>
      </c>
      <c r="K53" s="103"/>
      <c r="L53" s="105">
        <f t="shared" si="23"/>
        <v>0</v>
      </c>
      <c r="M53" s="13" t="e">
        <f t="shared" si="24"/>
        <v>#DIV/0!</v>
      </c>
    </row>
    <row r="54" spans="1:14">
      <c r="A54" s="21"/>
      <c r="B54" s="37"/>
      <c r="C54" s="105" t="s">
        <v>1</v>
      </c>
      <c r="D54" s="103"/>
      <c r="E54" s="37">
        <f t="shared" si="20"/>
        <v>0</v>
      </c>
      <c r="F54" s="13" t="e">
        <f t="shared" si="25"/>
        <v>#DIV/0!</v>
      </c>
      <c r="G54" s="103"/>
      <c r="H54" s="37">
        <f t="shared" si="21"/>
        <v>0</v>
      </c>
      <c r="I54" s="13" t="e">
        <f t="shared" si="26"/>
        <v>#DIV/0!</v>
      </c>
      <c r="J54" s="113" t="e">
        <f t="shared" si="22"/>
        <v>#DIV/0!</v>
      </c>
      <c r="K54" s="103"/>
      <c r="L54" s="105">
        <f t="shared" si="23"/>
        <v>0</v>
      </c>
      <c r="M54" s="13" t="e">
        <f t="shared" si="24"/>
        <v>#DIV/0!</v>
      </c>
    </row>
    <row r="55" spans="1:14">
      <c r="A55" s="7"/>
      <c r="B55" s="37"/>
      <c r="C55" s="105" t="s">
        <v>1</v>
      </c>
      <c r="D55" s="103"/>
      <c r="E55" s="37">
        <f t="shared" si="20"/>
        <v>0</v>
      </c>
      <c r="F55" s="13" t="e">
        <f t="shared" si="25"/>
        <v>#DIV/0!</v>
      </c>
      <c r="G55" s="103"/>
      <c r="H55" s="37">
        <f t="shared" si="21"/>
        <v>0</v>
      </c>
      <c r="I55" s="13" t="e">
        <f t="shared" si="26"/>
        <v>#DIV/0!</v>
      </c>
      <c r="J55" s="113" t="e">
        <f t="shared" si="22"/>
        <v>#DIV/0!</v>
      </c>
      <c r="K55" s="103"/>
      <c r="L55" s="105">
        <f t="shared" si="23"/>
        <v>0</v>
      </c>
      <c r="M55" s="13" t="e">
        <f t="shared" si="24"/>
        <v>#DIV/0!</v>
      </c>
    </row>
    <row r="56" spans="1:14">
      <c r="A56" s="21"/>
      <c r="B56" s="37"/>
      <c r="C56" s="105" t="s">
        <v>1</v>
      </c>
      <c r="D56" s="103"/>
      <c r="E56" s="37">
        <f t="shared" si="20"/>
        <v>0</v>
      </c>
      <c r="F56" s="13" t="e">
        <f t="shared" si="25"/>
        <v>#DIV/0!</v>
      </c>
      <c r="G56" s="103"/>
      <c r="H56" s="37">
        <f t="shared" si="21"/>
        <v>0</v>
      </c>
      <c r="I56" s="13" t="e">
        <f t="shared" si="26"/>
        <v>#DIV/0!</v>
      </c>
      <c r="J56" s="113" t="e">
        <f t="shared" si="22"/>
        <v>#DIV/0!</v>
      </c>
      <c r="K56" s="103"/>
      <c r="L56" s="105">
        <f t="shared" si="23"/>
        <v>0</v>
      </c>
      <c r="M56" s="13" t="e">
        <f t="shared" si="24"/>
        <v>#DIV/0!</v>
      </c>
    </row>
    <row r="57" spans="1:14">
      <c r="A57" s="21"/>
      <c r="B57" s="37"/>
      <c r="C57" s="105" t="s">
        <v>1</v>
      </c>
      <c r="D57" s="103"/>
      <c r="E57" s="37">
        <f t="shared" si="20"/>
        <v>0</v>
      </c>
      <c r="F57" s="13" t="e">
        <f t="shared" si="25"/>
        <v>#DIV/0!</v>
      </c>
      <c r="G57" s="103"/>
      <c r="H57" s="37">
        <f t="shared" si="21"/>
        <v>0</v>
      </c>
      <c r="I57" s="13" t="e">
        <f t="shared" si="26"/>
        <v>#DIV/0!</v>
      </c>
      <c r="J57" s="113" t="e">
        <f t="shared" si="22"/>
        <v>#DIV/0!</v>
      </c>
      <c r="K57" s="103"/>
      <c r="L57" s="105">
        <f t="shared" si="23"/>
        <v>0</v>
      </c>
      <c r="M57" s="13" t="e">
        <f t="shared" si="24"/>
        <v>#DIV/0!</v>
      </c>
    </row>
    <row r="58" spans="1:14">
      <c r="A58" s="21"/>
      <c r="B58" s="37"/>
      <c r="C58" s="105" t="s">
        <v>1</v>
      </c>
      <c r="D58" s="103"/>
      <c r="E58" s="37">
        <f t="shared" si="20"/>
        <v>0</v>
      </c>
      <c r="F58" s="13" t="e">
        <f t="shared" si="25"/>
        <v>#DIV/0!</v>
      </c>
      <c r="G58" s="103"/>
      <c r="H58" s="37">
        <f t="shared" si="21"/>
        <v>0</v>
      </c>
      <c r="I58" s="13" t="e">
        <f t="shared" si="26"/>
        <v>#DIV/0!</v>
      </c>
      <c r="J58" s="113" t="e">
        <f t="shared" si="22"/>
        <v>#DIV/0!</v>
      </c>
      <c r="K58" s="103"/>
      <c r="L58" s="105">
        <f t="shared" si="23"/>
        <v>0</v>
      </c>
      <c r="M58" s="13" t="e">
        <f t="shared" si="24"/>
        <v>#DIV/0!</v>
      </c>
    </row>
    <row r="59" spans="1:14">
      <c r="A59" s="21"/>
      <c r="B59" s="37"/>
      <c r="C59" s="105" t="s">
        <v>1</v>
      </c>
      <c r="D59" s="103"/>
      <c r="E59" s="37">
        <f t="shared" si="20"/>
        <v>0</v>
      </c>
      <c r="F59" s="13" t="e">
        <f t="shared" si="25"/>
        <v>#DIV/0!</v>
      </c>
      <c r="G59" s="103"/>
      <c r="H59" s="37">
        <f t="shared" si="21"/>
        <v>0</v>
      </c>
      <c r="I59" s="13" t="e">
        <f t="shared" si="26"/>
        <v>#DIV/0!</v>
      </c>
      <c r="J59" s="113" t="e">
        <f t="shared" si="22"/>
        <v>#DIV/0!</v>
      </c>
      <c r="K59" s="103"/>
      <c r="L59" s="105">
        <f t="shared" si="23"/>
        <v>0</v>
      </c>
      <c r="M59" s="13" t="e">
        <f t="shared" si="24"/>
        <v>#DIV/0!</v>
      </c>
    </row>
    <row r="60" spans="1:14">
      <c r="A60" s="21"/>
      <c r="B60" s="37"/>
      <c r="C60" s="105" t="s">
        <v>1</v>
      </c>
      <c r="D60" s="103"/>
      <c r="E60" s="37">
        <f t="shared" si="20"/>
        <v>0</v>
      </c>
      <c r="F60" s="13" t="e">
        <f t="shared" si="25"/>
        <v>#DIV/0!</v>
      </c>
      <c r="G60" s="103"/>
      <c r="H60" s="37">
        <f t="shared" si="21"/>
        <v>0</v>
      </c>
      <c r="I60" s="13" t="e">
        <f t="shared" si="26"/>
        <v>#DIV/0!</v>
      </c>
      <c r="J60" s="113" t="e">
        <f t="shared" si="22"/>
        <v>#DIV/0!</v>
      </c>
      <c r="K60" s="103"/>
      <c r="L60" s="105">
        <f t="shared" si="23"/>
        <v>0</v>
      </c>
      <c r="M60" s="13" t="e">
        <f t="shared" si="24"/>
        <v>#DIV/0!</v>
      </c>
    </row>
    <row r="61" spans="1:14">
      <c r="A61" s="7"/>
      <c r="B61" s="37"/>
      <c r="C61" s="105" t="s">
        <v>1</v>
      </c>
      <c r="D61" s="103"/>
      <c r="E61" s="37">
        <f t="shared" si="20"/>
        <v>0</v>
      </c>
      <c r="F61" s="13" t="e">
        <f t="shared" si="25"/>
        <v>#DIV/0!</v>
      </c>
      <c r="G61" s="103"/>
      <c r="H61" s="37">
        <f t="shared" si="21"/>
        <v>0</v>
      </c>
      <c r="I61" s="13" t="e">
        <f t="shared" si="26"/>
        <v>#DIV/0!</v>
      </c>
      <c r="J61" s="113" t="e">
        <f t="shared" si="22"/>
        <v>#DIV/0!</v>
      </c>
      <c r="K61" s="103"/>
      <c r="L61" s="105">
        <f t="shared" si="23"/>
        <v>0</v>
      </c>
      <c r="M61" s="13" t="e">
        <f t="shared" si="24"/>
        <v>#DIV/0!</v>
      </c>
    </row>
    <row r="62" spans="1:14">
      <c r="A62" s="7"/>
      <c r="B62" s="37"/>
      <c r="C62" s="105" t="s">
        <v>1</v>
      </c>
      <c r="D62" s="103"/>
      <c r="E62" s="37">
        <f t="shared" si="20"/>
        <v>0</v>
      </c>
      <c r="F62" s="13" t="e">
        <f t="shared" si="25"/>
        <v>#DIV/0!</v>
      </c>
      <c r="G62" s="103"/>
      <c r="H62" s="37">
        <f t="shared" si="21"/>
        <v>0</v>
      </c>
      <c r="I62" s="13" t="e">
        <f t="shared" si="26"/>
        <v>#DIV/0!</v>
      </c>
      <c r="J62" s="113" t="e">
        <f t="shared" si="22"/>
        <v>#DIV/0!</v>
      </c>
      <c r="K62" s="103"/>
      <c r="L62" s="105">
        <f t="shared" si="23"/>
        <v>0</v>
      </c>
      <c r="M62" s="13" t="e">
        <f t="shared" si="24"/>
        <v>#DIV/0!</v>
      </c>
      <c r="N62" s="126"/>
    </row>
    <row r="63" spans="1:14">
      <c r="A63" s="6" t="s">
        <v>9</v>
      </c>
      <c r="B63" s="5"/>
      <c r="C63" s="10"/>
      <c r="D63" s="5"/>
      <c r="E63" s="42"/>
      <c r="F63" s="14"/>
      <c r="G63" s="5"/>
      <c r="H63" s="120"/>
      <c r="I63" s="14"/>
      <c r="J63" s="29"/>
      <c r="K63" s="107"/>
      <c r="L63" s="165"/>
      <c r="M63" s="166"/>
    </row>
    <row r="64" spans="1:14">
      <c r="A64" s="7"/>
      <c r="B64" s="37"/>
      <c r="C64" s="9" t="s">
        <v>14</v>
      </c>
      <c r="D64" s="36"/>
      <c r="E64" s="37">
        <f>D64*$B64</f>
        <v>0</v>
      </c>
      <c r="F64" s="13" t="e">
        <f t="shared" ref="F64:F66" si="27">E64/E$80</f>
        <v>#DIV/0!</v>
      </c>
      <c r="G64" s="111"/>
      <c r="H64" s="105">
        <f>G64*$B64</f>
        <v>0</v>
      </c>
      <c r="I64" s="13" t="e">
        <f t="shared" ref="I64:I66" si="28">H64/H$80</f>
        <v>#DIV/0!</v>
      </c>
      <c r="J64" s="112" t="e">
        <f>H64/E64*$B$2</f>
        <v>#DIV/0!</v>
      </c>
      <c r="K64" s="111"/>
      <c r="L64" s="105">
        <f t="shared" si="23"/>
        <v>0</v>
      </c>
      <c r="M64" s="13" t="e">
        <f t="shared" si="24"/>
        <v>#DIV/0!</v>
      </c>
    </row>
    <row r="65" spans="1:13">
      <c r="A65" s="7"/>
      <c r="B65" s="37"/>
      <c r="C65" s="9" t="s">
        <v>14</v>
      </c>
      <c r="D65" s="36"/>
      <c r="E65" s="37">
        <f>D65*$B65</f>
        <v>0</v>
      </c>
      <c r="F65" s="13" t="e">
        <f t="shared" si="27"/>
        <v>#DIV/0!</v>
      </c>
      <c r="G65" s="111"/>
      <c r="H65" s="105">
        <f>G65*$B65</f>
        <v>0</v>
      </c>
      <c r="I65" s="13" t="e">
        <f t="shared" si="28"/>
        <v>#DIV/0!</v>
      </c>
      <c r="J65" s="112" t="e">
        <f>H65/E65*$B$2</f>
        <v>#DIV/0!</v>
      </c>
      <c r="K65" s="111"/>
      <c r="L65" s="105">
        <f t="shared" si="23"/>
        <v>0</v>
      </c>
      <c r="M65" s="13" t="e">
        <f t="shared" si="24"/>
        <v>#DIV/0!</v>
      </c>
    </row>
    <row r="66" spans="1:13">
      <c r="A66" s="7"/>
      <c r="B66" s="37"/>
      <c r="C66" s="9" t="s">
        <v>14</v>
      </c>
      <c r="D66" s="36"/>
      <c r="E66" s="37">
        <f>D66*$B66</f>
        <v>0</v>
      </c>
      <c r="F66" s="13" t="e">
        <f t="shared" si="27"/>
        <v>#DIV/0!</v>
      </c>
      <c r="G66" s="111"/>
      <c r="H66" s="105">
        <f>G66*$B66</f>
        <v>0</v>
      </c>
      <c r="I66" s="13" t="e">
        <f t="shared" si="28"/>
        <v>#DIV/0!</v>
      </c>
      <c r="J66" s="112" t="e">
        <f>H66/E66*$B$2</f>
        <v>#DIV/0!</v>
      </c>
      <c r="K66" s="111"/>
      <c r="L66" s="105">
        <f t="shared" si="23"/>
        <v>0</v>
      </c>
      <c r="M66" s="13" t="e">
        <f t="shared" si="24"/>
        <v>#DIV/0!</v>
      </c>
    </row>
    <row r="67" spans="1:13">
      <c r="A67" s="6" t="s">
        <v>4</v>
      </c>
      <c r="B67" s="5"/>
      <c r="C67" s="10"/>
      <c r="D67" s="5"/>
      <c r="E67" s="42"/>
      <c r="F67" s="14"/>
      <c r="G67" s="5"/>
      <c r="H67" s="42"/>
      <c r="I67" s="14"/>
      <c r="J67" s="29"/>
      <c r="K67" s="107"/>
      <c r="L67" s="165"/>
      <c r="M67" s="166"/>
    </row>
    <row r="68" spans="1:13">
      <c r="A68" s="7"/>
      <c r="B68" s="3"/>
      <c r="C68" s="9" t="s">
        <v>2</v>
      </c>
      <c r="D68" s="36"/>
      <c r="E68" s="45">
        <f>D68*$B68</f>
        <v>0</v>
      </c>
      <c r="F68" s="13" t="e">
        <f>E68/E$80</f>
        <v>#DIV/0!</v>
      </c>
      <c r="G68" s="36"/>
      <c r="H68" s="11">
        <f>G68*$B68</f>
        <v>0</v>
      </c>
      <c r="I68" s="13" t="e">
        <f>H68/H$80</f>
        <v>#DIV/0!</v>
      </c>
      <c r="J68" s="28" t="e">
        <f>H68/E68*$B$2</f>
        <v>#DIV/0!</v>
      </c>
      <c r="K68" s="111"/>
      <c r="L68" s="105">
        <f t="shared" si="23"/>
        <v>0</v>
      </c>
      <c r="M68" s="13" t="e">
        <f t="shared" si="24"/>
        <v>#DIV/0!</v>
      </c>
    </row>
    <row r="69" spans="1:13">
      <c r="A69" s="21"/>
      <c r="B69" s="3"/>
      <c r="C69" s="9" t="s">
        <v>2</v>
      </c>
      <c r="D69" s="36"/>
      <c r="E69" s="45">
        <f>D69*$B69</f>
        <v>0</v>
      </c>
      <c r="F69" s="13" t="e">
        <f>electric_hand_drying_cycle_stage[[#This Row],[Energy per FU '[MJ/FU']]]/E81</f>
        <v>#DIV/0!</v>
      </c>
      <c r="G69" s="36"/>
      <c r="H69" s="11">
        <f>G69*$B69</f>
        <v>0</v>
      </c>
      <c r="I69" s="13" t="e">
        <f>electric_hand_drying_cycle_stage[[#This Row],[CO2/FU]]/H81</f>
        <v>#DIV/0!</v>
      </c>
      <c r="J69" s="28" t="e">
        <f>H69/E69*$B$2</f>
        <v>#DIV/0!</v>
      </c>
      <c r="K69" s="111"/>
      <c r="L69" s="105">
        <f t="shared" si="23"/>
        <v>0</v>
      </c>
      <c r="M69" s="13" t="e">
        <f t="shared" si="24"/>
        <v>#DIV/0!</v>
      </c>
    </row>
    <row r="70" spans="1:13">
      <c r="A70" s="21"/>
      <c r="B70" s="3"/>
      <c r="C70" s="9" t="s">
        <v>2</v>
      </c>
      <c r="D70" s="36"/>
      <c r="E70" s="45">
        <f>D70*$B70</f>
        <v>0</v>
      </c>
      <c r="F70" s="13" t="e">
        <f>electric_hand_drying_cycle_stage[[#This Row],[Energy per FU '[MJ/FU']]]/E82</f>
        <v>#DIV/0!</v>
      </c>
      <c r="G70" s="36"/>
      <c r="H70" s="11">
        <f>G70*$B70</f>
        <v>0</v>
      </c>
      <c r="I70" s="13" t="e">
        <f>electric_hand_drying_cycle_stage[[#This Row],[CO2/FU]]/H82</f>
        <v>#DIV/0!</v>
      </c>
      <c r="J70" s="28" t="e">
        <f>H70/E70*$B$2</f>
        <v>#DIV/0!</v>
      </c>
      <c r="K70" s="111"/>
      <c r="L70" s="105">
        <f t="shared" si="23"/>
        <v>0</v>
      </c>
      <c r="M70" s="13" t="e">
        <f t="shared" si="24"/>
        <v>#DIV/0!</v>
      </c>
    </row>
    <row r="71" spans="1:13">
      <c r="A71" s="183"/>
      <c r="B71" s="3"/>
      <c r="C71" s="9" t="s">
        <v>2</v>
      </c>
      <c r="D71" s="36"/>
      <c r="E71" s="45">
        <f>D71*$B71</f>
        <v>0</v>
      </c>
      <c r="F71" s="13" t="e">
        <f>electric_hand_drying_cycle_stage[[#This Row],[Energy per FU '[MJ/FU']]]/E83</f>
        <v>#DIV/0!</v>
      </c>
      <c r="G71" s="36"/>
      <c r="H71" s="11">
        <f>G71*$B71</f>
        <v>0</v>
      </c>
      <c r="I71" s="13" t="e">
        <f>electric_hand_drying_cycle_stage[[#This Row],[CO2/FU]]/H83</f>
        <v>#DIV/0!</v>
      </c>
      <c r="J71" s="28" t="e">
        <f>H71/E71*$B$2</f>
        <v>#DIV/0!</v>
      </c>
      <c r="K71" s="111"/>
      <c r="L71" s="105">
        <f t="shared" ref="L71" si="29">K71*$B71</f>
        <v>0</v>
      </c>
      <c r="M71" s="13" t="e">
        <f t="shared" ref="M71" si="30">L71/L$80</f>
        <v>#DIV/0!</v>
      </c>
    </row>
    <row r="72" spans="1:13">
      <c r="A72" s="6" t="s">
        <v>5</v>
      </c>
      <c r="B72" s="5"/>
      <c r="C72" s="10"/>
      <c r="D72" s="5"/>
      <c r="E72" s="42"/>
      <c r="F72" s="14"/>
      <c r="G72" s="5"/>
      <c r="H72" s="42"/>
      <c r="I72" s="14"/>
      <c r="J72" s="29"/>
      <c r="K72" s="107"/>
      <c r="L72" s="165">
        <f t="shared" si="23"/>
        <v>0</v>
      </c>
      <c r="M72" s="166"/>
    </row>
    <row r="73" spans="1:13">
      <c r="A73" s="21"/>
      <c r="B73" s="37"/>
      <c r="C73" s="105" t="s">
        <v>1</v>
      </c>
      <c r="D73" s="36"/>
      <c r="E73" s="37">
        <f t="shared" ref="E73:E78" si="31">D73*$B73</f>
        <v>0</v>
      </c>
      <c r="F73" s="13" t="e">
        <f t="shared" ref="F73:F78" si="32">E73/E$80</f>
        <v>#DIV/0!</v>
      </c>
      <c r="G73" s="36"/>
      <c r="H73" s="37">
        <f t="shared" ref="H73:H78" si="33">G73*$B73</f>
        <v>0</v>
      </c>
      <c r="I73" s="13" t="e">
        <f t="shared" ref="I73:I78" si="34">H73/H$80</f>
        <v>#DIV/0!</v>
      </c>
      <c r="J73" s="113" t="e">
        <f t="shared" ref="J73:J78" si="35">H73/E73*$B$2</f>
        <v>#DIV/0!</v>
      </c>
      <c r="K73" s="36"/>
      <c r="L73" s="105">
        <f t="shared" si="23"/>
        <v>0</v>
      </c>
      <c r="M73" s="13" t="e">
        <f t="shared" si="24"/>
        <v>#DIV/0!</v>
      </c>
    </row>
    <row r="74" spans="1:13">
      <c r="A74" s="21"/>
      <c r="B74" s="37"/>
      <c r="C74" s="105" t="s">
        <v>1</v>
      </c>
      <c r="D74" s="36"/>
      <c r="E74" s="37">
        <f t="shared" si="31"/>
        <v>0</v>
      </c>
      <c r="F74" s="13" t="e">
        <f t="shared" si="32"/>
        <v>#DIV/0!</v>
      </c>
      <c r="G74" s="36"/>
      <c r="H74" s="37">
        <f t="shared" si="33"/>
        <v>0</v>
      </c>
      <c r="I74" s="13" t="e">
        <f t="shared" si="34"/>
        <v>#DIV/0!</v>
      </c>
      <c r="J74" s="113" t="e">
        <f t="shared" si="35"/>
        <v>#DIV/0!</v>
      </c>
      <c r="K74" s="36"/>
      <c r="L74" s="105">
        <f t="shared" si="23"/>
        <v>0</v>
      </c>
      <c r="M74" s="13" t="e">
        <f t="shared" si="24"/>
        <v>#DIV/0!</v>
      </c>
    </row>
    <row r="75" spans="1:13">
      <c r="A75" s="21"/>
      <c r="B75" s="37"/>
      <c r="C75" s="105" t="s">
        <v>1</v>
      </c>
      <c r="D75" s="36"/>
      <c r="E75" s="37">
        <f t="shared" si="31"/>
        <v>0</v>
      </c>
      <c r="F75" s="13" t="e">
        <f t="shared" si="32"/>
        <v>#DIV/0!</v>
      </c>
      <c r="G75" s="36"/>
      <c r="H75" s="37">
        <f t="shared" si="33"/>
        <v>0</v>
      </c>
      <c r="I75" s="13" t="e">
        <f t="shared" si="34"/>
        <v>#DIV/0!</v>
      </c>
      <c r="J75" s="113" t="e">
        <f t="shared" si="35"/>
        <v>#DIV/0!</v>
      </c>
      <c r="K75" s="36"/>
      <c r="L75" s="105">
        <f t="shared" si="23"/>
        <v>0</v>
      </c>
      <c r="M75" s="13" t="e">
        <f t="shared" si="24"/>
        <v>#DIV/0!</v>
      </c>
    </row>
    <row r="76" spans="1:13">
      <c r="A76" s="21"/>
      <c r="B76" s="37"/>
      <c r="C76" s="105" t="s">
        <v>1</v>
      </c>
      <c r="D76" s="36"/>
      <c r="E76" s="37">
        <f t="shared" si="31"/>
        <v>0</v>
      </c>
      <c r="F76" s="13" t="e">
        <f t="shared" si="32"/>
        <v>#DIV/0!</v>
      </c>
      <c r="G76" s="36"/>
      <c r="H76" s="37">
        <f t="shared" si="33"/>
        <v>0</v>
      </c>
      <c r="I76" s="13" t="e">
        <f t="shared" si="34"/>
        <v>#DIV/0!</v>
      </c>
      <c r="J76" s="113" t="e">
        <f t="shared" si="35"/>
        <v>#DIV/0!</v>
      </c>
      <c r="K76" s="36"/>
      <c r="L76" s="105">
        <f t="shared" si="23"/>
        <v>0</v>
      </c>
      <c r="M76" s="13" t="e">
        <f t="shared" si="24"/>
        <v>#DIV/0!</v>
      </c>
    </row>
    <row r="77" spans="1:13">
      <c r="A77" s="21"/>
      <c r="B77" s="37"/>
      <c r="C77" s="105" t="s">
        <v>1</v>
      </c>
      <c r="D77" s="36"/>
      <c r="E77" s="37">
        <f t="shared" si="31"/>
        <v>0</v>
      </c>
      <c r="F77" s="13" t="e">
        <f t="shared" si="32"/>
        <v>#DIV/0!</v>
      </c>
      <c r="G77" s="36"/>
      <c r="H77" s="37">
        <f t="shared" si="33"/>
        <v>0</v>
      </c>
      <c r="I77" s="13" t="e">
        <f t="shared" si="34"/>
        <v>#DIV/0!</v>
      </c>
      <c r="J77" s="113" t="e">
        <f t="shared" si="35"/>
        <v>#DIV/0!</v>
      </c>
      <c r="K77" s="36"/>
      <c r="L77" s="105">
        <f t="shared" si="23"/>
        <v>0</v>
      </c>
      <c r="M77" s="13" t="e">
        <f t="shared" si="24"/>
        <v>#DIV/0!</v>
      </c>
    </row>
    <row r="78" spans="1:13">
      <c r="A78" s="21"/>
      <c r="B78" s="37"/>
      <c r="C78" s="116" t="s">
        <v>1</v>
      </c>
      <c r="D78" s="36"/>
      <c r="E78" s="37">
        <f t="shared" si="31"/>
        <v>0</v>
      </c>
      <c r="F78" s="13" t="e">
        <f t="shared" si="32"/>
        <v>#DIV/0!</v>
      </c>
      <c r="G78" s="36"/>
      <c r="H78" s="37">
        <f t="shared" si="33"/>
        <v>0</v>
      </c>
      <c r="I78" s="13" t="e">
        <f t="shared" si="34"/>
        <v>#DIV/0!</v>
      </c>
      <c r="J78" s="113" t="e">
        <f t="shared" si="35"/>
        <v>#DIV/0!</v>
      </c>
      <c r="K78" s="36"/>
      <c r="L78" s="105">
        <f t="shared" si="23"/>
        <v>0</v>
      </c>
      <c r="M78" s="13" t="e">
        <f t="shared" si="24"/>
        <v>#DIV/0!</v>
      </c>
    </row>
    <row r="79" spans="1:13" ht="21" thickBot="1">
      <c r="A79" s="6" t="s">
        <v>6</v>
      </c>
      <c r="B79" s="17"/>
      <c r="C79" s="18"/>
      <c r="D79" s="19"/>
      <c r="E79" s="43"/>
      <c r="F79" s="20"/>
      <c r="G79" s="5"/>
      <c r="H79" s="5"/>
      <c r="I79" s="14"/>
      <c r="J79" s="29"/>
      <c r="K79" s="169"/>
      <c r="L79" s="167">
        <f t="shared" si="23"/>
        <v>0</v>
      </c>
      <c r="M79" s="168" t="e">
        <f t="shared" ref="M79:M80" si="36">L79/L$43</f>
        <v>#DIV/0!</v>
      </c>
    </row>
    <row r="80" spans="1:13" ht="21.6" thickBot="1">
      <c r="A80" s="143" t="s">
        <v>93</v>
      </c>
      <c r="B80" s="144"/>
      <c r="C80" s="145" t="s">
        <v>13</v>
      </c>
      <c r="D80" s="144"/>
      <c r="E80" s="146">
        <f>SUM(E$49:E$66)+SUM(E$73:E$78)+E68</f>
        <v>0</v>
      </c>
      <c r="F80" s="147" t="e">
        <f>E80/E$80</f>
        <v>#DIV/0!</v>
      </c>
      <c r="G80" s="148"/>
      <c r="H80" s="146">
        <f>SUM(H$49:H$66)+SUM(H$73:H$78)+H68</f>
        <v>0</v>
      </c>
      <c r="I80" s="147" t="e">
        <f>H80/H$80</f>
        <v>#DIV/0!</v>
      </c>
      <c r="J80" s="184" t="e">
        <f>H80/E80*$B$2</f>
        <v>#DIV/0!</v>
      </c>
      <c r="K80" s="148"/>
      <c r="L80" s="146">
        <f>SUM(L$49:L$66)+SUM(L$73:L$78)+L68</f>
        <v>0</v>
      </c>
      <c r="M80" s="147" t="e">
        <f t="shared" si="36"/>
        <v>#DIV/0!</v>
      </c>
    </row>
    <row r="81" spans="1:24" ht="21.6" thickBot="1">
      <c r="A81" s="130" t="s">
        <v>95</v>
      </c>
      <c r="B81" s="131"/>
      <c r="C81" s="132" t="s">
        <v>13</v>
      </c>
      <c r="D81" s="131"/>
      <c r="E81" s="139">
        <f>SUM(E$49:E$66)+SUM(E$73:E$78)+E69</f>
        <v>0</v>
      </c>
      <c r="F81" s="133" t="e">
        <f>E81/E$80</f>
        <v>#DIV/0!</v>
      </c>
      <c r="G81" s="134"/>
      <c r="H81" s="139">
        <f>SUM(H$49:H$66)+SUM(H$73:H$78)+H69</f>
        <v>0</v>
      </c>
      <c r="I81" s="133" t="e">
        <f>H81/H$80</f>
        <v>#DIV/0!</v>
      </c>
      <c r="J81" s="135" t="e">
        <f>H81/E81*$B$2</f>
        <v>#DIV/0!</v>
      </c>
      <c r="K81" s="134"/>
      <c r="L81" s="139">
        <f>SUM(L$49:L$66)+SUM(L$73:L$78)+L69</f>
        <v>0</v>
      </c>
      <c r="M81" s="133" t="e">
        <f>L81/L$80</f>
        <v>#DIV/0!</v>
      </c>
    </row>
    <row r="82" spans="1:24" ht="21.6" thickBot="1">
      <c r="A82" s="136" t="s">
        <v>96</v>
      </c>
      <c r="B82" s="137"/>
      <c r="C82" s="138" t="s">
        <v>13</v>
      </c>
      <c r="D82" s="137"/>
      <c r="E82" s="139">
        <f>SUM(E$49:E$66)+SUM(E$73:E$78)+E70</f>
        <v>0</v>
      </c>
      <c r="F82" s="140" t="e">
        <f>E82/E$80</f>
        <v>#DIV/0!</v>
      </c>
      <c r="G82" s="141"/>
      <c r="H82" s="139">
        <f>SUM(H$49:H$66)+SUM(H$73:H$78)+H70</f>
        <v>0</v>
      </c>
      <c r="I82" s="140" t="e">
        <f>H82/H$80</f>
        <v>#DIV/0!</v>
      </c>
      <c r="J82" s="142" t="e">
        <f>H82/E82*$B$2</f>
        <v>#DIV/0!</v>
      </c>
      <c r="K82" s="141"/>
      <c r="L82" s="139">
        <f>SUM(L$49:L$66)+SUM(L$73:L$78)+L70</f>
        <v>0</v>
      </c>
      <c r="M82" s="140" t="e">
        <f>L82/L$80</f>
        <v>#DIV/0!</v>
      </c>
    </row>
    <row r="83" spans="1:24" ht="21.6" thickBot="1">
      <c r="A83" s="136" t="s">
        <v>121</v>
      </c>
      <c r="B83" s="137"/>
      <c r="C83" s="138" t="s">
        <v>13</v>
      </c>
      <c r="D83" s="137"/>
      <c r="E83" s="139">
        <f>SUM(E$49:E$66)+SUM(E$73:E$78)+E71</f>
        <v>0</v>
      </c>
      <c r="F83" s="140" t="e">
        <f>E83/E$80</f>
        <v>#DIV/0!</v>
      </c>
      <c r="G83" s="141"/>
      <c r="H83" s="139">
        <f>SUM(H$49:H$66)+SUM(H$73:H$78)+H71</f>
        <v>0</v>
      </c>
      <c r="I83" s="140" t="e">
        <f>H83/H$80</f>
        <v>#DIV/0!</v>
      </c>
      <c r="J83" s="142" t="e">
        <f>H83/E83*$B$2</f>
        <v>#DIV/0!</v>
      </c>
      <c r="K83" s="141"/>
      <c r="L83" s="139">
        <f>SUM(L$49:L$66)+SUM(L$73:L$78)+L71</f>
        <v>0</v>
      </c>
      <c r="M83" s="140" t="e">
        <f>L83/L$80</f>
        <v>#DIV/0!</v>
      </c>
    </row>
    <row r="84" spans="1:24" ht="21">
      <c r="A84" s="25" t="s">
        <v>16</v>
      </c>
      <c r="B84" s="204"/>
      <c r="C84" s="205"/>
      <c r="D84" s="205"/>
      <c r="E84" s="205"/>
      <c r="F84" s="205"/>
      <c r="I84" s="126"/>
    </row>
    <row r="85" spans="1:24" ht="52.2" customHeight="1">
      <c r="A85" s="26" t="s">
        <v>89</v>
      </c>
      <c r="B85" s="206"/>
      <c r="C85" s="207"/>
      <c r="D85" s="207"/>
      <c r="E85" s="207"/>
      <c r="F85" s="207"/>
      <c r="G85" s="208"/>
    </row>
    <row r="86" spans="1:24" ht="43.2" customHeight="1">
      <c r="A86" s="26" t="s">
        <v>90</v>
      </c>
      <c r="B86" s="206"/>
      <c r="C86" s="207"/>
      <c r="D86" s="207"/>
      <c r="E86" s="207"/>
      <c r="F86" s="207"/>
      <c r="G86" s="208"/>
    </row>
    <row r="87" spans="1:24" ht="151.94999999999999" customHeight="1">
      <c r="A87" s="26" t="s">
        <v>17</v>
      </c>
      <c r="B87" s="206"/>
      <c r="C87" s="207"/>
      <c r="D87" s="207"/>
      <c r="E87" s="207"/>
      <c r="F87" s="207"/>
      <c r="G87" s="208"/>
    </row>
    <row r="88" spans="1:24" ht="107.4" customHeight="1">
      <c r="A88" s="26" t="s">
        <v>18</v>
      </c>
      <c r="B88" s="206"/>
      <c r="C88" s="207"/>
      <c r="D88" s="207"/>
      <c r="E88" s="207"/>
      <c r="F88" s="207"/>
      <c r="G88" s="208"/>
    </row>
    <row r="89" spans="1:24" ht="61.2">
      <c r="A89" s="26" t="s">
        <v>91</v>
      </c>
      <c r="B89" s="206"/>
      <c r="C89" s="207"/>
      <c r="D89" s="207"/>
      <c r="E89" s="207"/>
      <c r="F89" s="207"/>
      <c r="G89" s="208"/>
    </row>
    <row r="90" spans="1:24">
      <c r="A90" s="24"/>
      <c r="B90" s="202"/>
      <c r="C90" s="203"/>
      <c r="D90" s="203"/>
      <c r="E90" s="203"/>
      <c r="F90" s="203"/>
    </row>
    <row r="91" spans="1:24">
      <c r="A91" s="24"/>
      <c r="B91" s="24"/>
      <c r="C91" s="55"/>
      <c r="D91" s="55"/>
      <c r="E91" s="55"/>
      <c r="F91" s="55"/>
    </row>
    <row r="92" spans="1:24">
      <c r="A92" s="24"/>
      <c r="B92" s="24"/>
      <c r="C92" s="55"/>
      <c r="D92" s="55"/>
      <c r="E92" s="55"/>
      <c r="F92" s="55"/>
    </row>
    <row r="95" spans="1:24">
      <c r="Q95" s="4"/>
      <c r="R95" s="4"/>
      <c r="S95" s="4"/>
      <c r="T95" s="4"/>
      <c r="U95" s="4"/>
      <c r="V95" s="4"/>
      <c r="W95" s="4"/>
      <c r="X95" s="4"/>
    </row>
    <row r="96" spans="1:24">
      <c r="Q96" s="46">
        <f>Processes!H80</f>
        <v>0</v>
      </c>
      <c r="R96" s="46"/>
      <c r="S96" s="46"/>
      <c r="T96" s="46"/>
      <c r="U96" s="46"/>
      <c r="V96" s="46"/>
      <c r="W96" s="46"/>
      <c r="X96" s="46"/>
    </row>
    <row r="97" spans="17:24">
      <c r="Q97" s="36">
        <f>Processes!H71</f>
        <v>0</v>
      </c>
      <c r="R97" s="36"/>
      <c r="S97" s="36"/>
      <c r="T97" s="36"/>
      <c r="U97" s="36"/>
      <c r="V97" s="36"/>
      <c r="W97" s="36"/>
      <c r="X97" s="36"/>
    </row>
    <row r="98" spans="17:24">
      <c r="Q98" s="5"/>
      <c r="R98" s="5"/>
      <c r="S98" s="5"/>
      <c r="T98" s="5"/>
      <c r="U98" s="5"/>
      <c r="V98" s="5"/>
      <c r="W98" s="5"/>
      <c r="X98" s="5"/>
    </row>
    <row r="99" spans="17:24">
      <c r="Q99" s="3">
        <v>27.1</v>
      </c>
      <c r="R99" s="3"/>
      <c r="S99" s="3"/>
      <c r="T99" s="3"/>
      <c r="U99" s="3"/>
      <c r="V99" s="3"/>
      <c r="W99" s="3"/>
      <c r="X99" s="3"/>
    </row>
    <row r="100" spans="17:24">
      <c r="Q100" s="5"/>
      <c r="R100" s="5"/>
      <c r="S100" s="5"/>
      <c r="T100" s="5"/>
      <c r="U100" s="5"/>
      <c r="V100" s="5"/>
      <c r="W100" s="5"/>
      <c r="X100" s="5"/>
    </row>
    <row r="101" spans="17:24">
      <c r="Q101" s="46">
        <f>Processes!H79</f>
        <v>0</v>
      </c>
      <c r="R101" s="46"/>
      <c r="S101" s="46"/>
      <c r="T101" s="46"/>
      <c r="U101" s="46"/>
      <c r="V101" s="46"/>
      <c r="W101" s="46"/>
      <c r="X101" s="46"/>
    </row>
    <row r="102" spans="17:24">
      <c r="Q102" s="16">
        <f>Processes!G78</f>
        <v>0</v>
      </c>
      <c r="R102" s="16"/>
      <c r="S102" s="16"/>
      <c r="T102" s="16"/>
      <c r="U102" s="16"/>
      <c r="V102" s="16"/>
      <c r="W102" s="16"/>
      <c r="X102" s="16"/>
    </row>
    <row r="103" spans="17:24">
      <c r="Q103" s="5"/>
      <c r="R103" s="5"/>
      <c r="S103" s="5"/>
      <c r="T103" s="5"/>
      <c r="U103" s="5"/>
      <c r="V103" s="5"/>
      <c r="W103" s="5"/>
      <c r="X103" s="5"/>
    </row>
    <row r="104" spans="17:24">
      <c r="Q104" s="3"/>
      <c r="R104" s="3"/>
      <c r="S104" s="3"/>
      <c r="T104" s="3"/>
      <c r="U104" s="3"/>
      <c r="V104" s="3"/>
      <c r="W104" s="3"/>
      <c r="X104" s="3"/>
    </row>
    <row r="105" spans="17:24">
      <c r="Q105" s="5"/>
      <c r="R105" s="5"/>
      <c r="S105" s="5"/>
      <c r="T105" s="5"/>
      <c r="U105" s="5"/>
      <c r="V105" s="5"/>
      <c r="W105" s="5"/>
      <c r="X105" s="5"/>
    </row>
    <row r="106" spans="17:24">
      <c r="Q106" s="36">
        <f>Processes!H75</f>
        <v>0</v>
      </c>
      <c r="R106" s="36"/>
      <c r="S106" s="36"/>
      <c r="T106" s="36"/>
      <c r="U106" s="36"/>
      <c r="V106" s="36"/>
      <c r="W106" s="36"/>
      <c r="X106" s="36"/>
    </row>
    <row r="107" spans="17:24">
      <c r="Q107" s="36">
        <f>Processes!H76</f>
        <v>0</v>
      </c>
      <c r="R107" s="36"/>
      <c r="S107" s="36"/>
      <c r="T107" s="36"/>
      <c r="U107" s="36"/>
      <c r="V107" s="36"/>
      <c r="W107" s="36"/>
      <c r="X107" s="36"/>
    </row>
    <row r="108" spans="17:24">
      <c r="Q108" s="36">
        <f>Processes!H70</f>
        <v>0</v>
      </c>
      <c r="R108" s="36"/>
      <c r="S108" s="36"/>
      <c r="T108" s="36"/>
      <c r="U108" s="36"/>
      <c r="V108" s="36"/>
      <c r="W108" s="36"/>
      <c r="X108" s="36"/>
    </row>
    <row r="109" spans="17:24">
      <c r="Q109" s="19"/>
      <c r="R109" s="5"/>
      <c r="S109" s="5"/>
      <c r="T109" s="5"/>
      <c r="U109" s="5"/>
      <c r="V109" s="5"/>
      <c r="W109" s="5"/>
      <c r="X109" s="5"/>
    </row>
    <row r="110" spans="17:24">
      <c r="Q110" s="3"/>
      <c r="R110" s="3"/>
      <c r="S110" s="3"/>
      <c r="T110" s="3"/>
      <c r="U110" s="3"/>
      <c r="V110" s="3"/>
      <c r="W110" s="3"/>
      <c r="X110" s="3"/>
    </row>
    <row r="111" spans="17:24">
      <c r="Q111" s="3"/>
      <c r="R111" s="3"/>
      <c r="S111" s="3"/>
      <c r="T111" s="3"/>
      <c r="U111" s="3"/>
      <c r="V111" s="3"/>
      <c r="W111" s="3"/>
      <c r="X111" s="3"/>
    </row>
    <row r="112" spans="17:24">
      <c r="Q112" s="3"/>
      <c r="R112" s="3"/>
      <c r="S112" s="3"/>
      <c r="T112" s="3"/>
      <c r="U112" s="3"/>
      <c r="V112" s="3"/>
      <c r="W112" s="3"/>
      <c r="X112" s="3"/>
    </row>
    <row r="113" spans="17:24" ht="41.4" thickBot="1">
      <c r="Q113" s="31" t="s">
        <v>3</v>
      </c>
      <c r="R113" s="2"/>
      <c r="S113" s="2"/>
      <c r="T113" s="2"/>
      <c r="U113" s="2"/>
      <c r="V113" s="2"/>
      <c r="W113" s="2"/>
      <c r="X113" s="2"/>
    </row>
    <row r="114" spans="17:24">
      <c r="Q114" s="4"/>
      <c r="R114" s="4"/>
      <c r="S114" s="4"/>
      <c r="T114" s="4"/>
      <c r="U114" s="4"/>
      <c r="V114" s="4"/>
      <c r="W114" s="4"/>
      <c r="X114" s="4"/>
    </row>
    <row r="115" spans="17:24">
      <c r="Q115" s="36">
        <f>Processes!H72</f>
        <v>0</v>
      </c>
      <c r="R115" s="36"/>
      <c r="S115" s="36"/>
      <c r="T115" s="36"/>
      <c r="U115" s="36"/>
      <c r="V115" s="36"/>
      <c r="W115" s="36"/>
      <c r="X115" s="36"/>
    </row>
    <row r="116" spans="17:24">
      <c r="Q116" s="36">
        <f>Processes!H73</f>
        <v>0</v>
      </c>
      <c r="R116" s="36"/>
      <c r="S116" s="36"/>
      <c r="T116" s="36"/>
      <c r="U116" s="36"/>
      <c r="V116" s="36"/>
      <c r="W116" s="36"/>
      <c r="X116" s="36"/>
    </row>
    <row r="117" spans="17:24">
      <c r="Q117" s="5"/>
      <c r="R117" s="5"/>
      <c r="S117" s="5"/>
      <c r="T117" s="5"/>
      <c r="U117" s="5"/>
      <c r="V117" s="5"/>
      <c r="W117" s="5"/>
      <c r="X117" s="5"/>
    </row>
    <row r="118" spans="17:24">
      <c r="Q118" s="3">
        <v>27.1</v>
      </c>
      <c r="R118" s="3"/>
      <c r="S118" s="3"/>
      <c r="T118" s="3"/>
      <c r="U118" s="3"/>
      <c r="V118" s="3"/>
      <c r="W118" s="3"/>
      <c r="X118" s="3"/>
    </row>
    <row r="119" spans="17:24">
      <c r="Q119" s="5"/>
      <c r="R119" s="5"/>
      <c r="S119" s="5"/>
      <c r="T119" s="5"/>
      <c r="U119" s="5"/>
      <c r="V119" s="5"/>
      <c r="W119" s="5"/>
      <c r="X119" s="5"/>
    </row>
    <row r="120" spans="17:24">
      <c r="Q120" s="46">
        <f>Processes!H78</f>
        <v>0</v>
      </c>
      <c r="R120" s="46"/>
      <c r="S120" s="46"/>
      <c r="T120" s="46"/>
      <c r="U120" s="46"/>
      <c r="V120" s="46"/>
      <c r="W120" s="46"/>
      <c r="X120" s="46"/>
    </row>
    <row r="121" spans="17:24">
      <c r="Q121" s="5"/>
      <c r="R121" s="5"/>
      <c r="S121" s="5"/>
      <c r="T121" s="5"/>
      <c r="U121" s="5"/>
      <c r="V121" s="5"/>
      <c r="W121" s="5"/>
      <c r="X121" s="5"/>
    </row>
    <row r="122" spans="17:24">
      <c r="Q122" s="36">
        <f>Processes!H70</f>
        <v>0</v>
      </c>
      <c r="R122" s="36"/>
      <c r="S122" s="36"/>
      <c r="T122" s="36"/>
      <c r="U122" s="36"/>
      <c r="V122" s="36"/>
      <c r="W122" s="36"/>
      <c r="X122" s="36"/>
    </row>
    <row r="123" spans="17:24">
      <c r="Q123" s="5"/>
      <c r="R123" s="5"/>
      <c r="S123" s="5"/>
      <c r="T123" s="5"/>
      <c r="U123" s="5"/>
      <c r="V123" s="5"/>
      <c r="W123" s="5"/>
      <c r="X123" s="5"/>
    </row>
    <row r="124" spans="17:24">
      <c r="Q124" s="36">
        <f>Processes!H74</f>
        <v>0</v>
      </c>
      <c r="R124" s="36"/>
      <c r="S124" s="36"/>
      <c r="T124" s="36"/>
      <c r="U124" s="36"/>
      <c r="V124" s="36"/>
      <c r="W124" s="36"/>
      <c r="X124" s="36"/>
    </row>
    <row r="125" spans="17:24">
      <c r="Q125" s="19"/>
      <c r="R125" s="5"/>
      <c r="S125" s="5"/>
      <c r="T125" s="5"/>
      <c r="U125" s="5"/>
      <c r="V125" s="5"/>
      <c r="W125" s="5"/>
      <c r="X125" s="5"/>
    </row>
    <row r="126" spans="17:24">
      <c r="Q126" s="3"/>
      <c r="R126" s="3"/>
      <c r="S126" s="3"/>
      <c r="T126" s="3"/>
      <c r="U126" s="3"/>
      <c r="V126" s="3"/>
      <c r="W126" s="3"/>
      <c r="X126" s="3"/>
    </row>
    <row r="138" spans="5:13">
      <c r="E138" s="1"/>
      <c r="J138" s="28"/>
      <c r="K138" s="129"/>
      <c r="L138" s="129"/>
      <c r="M138" s="129"/>
    </row>
    <row r="139" spans="5:13">
      <c r="E139" s="1"/>
      <c r="J139" s="28"/>
      <c r="K139" s="129"/>
      <c r="L139" s="129"/>
      <c r="M139" s="129"/>
    </row>
  </sheetData>
  <mergeCells count="7">
    <mergeCell ref="B90:F90"/>
    <mergeCell ref="B84:F84"/>
    <mergeCell ref="B85:G85"/>
    <mergeCell ref="B86:G86"/>
    <mergeCell ref="B87:G87"/>
    <mergeCell ref="B88:G88"/>
    <mergeCell ref="B89:G89"/>
  </mergeCells>
  <pageMargins left="0.7" right="0.7" top="0.75" bottom="0.75" header="0.3" footer="0.3"/>
  <pageSetup orientation="portrait" horizontalDpi="1200" verticalDpi="1200"/>
  <drawing r:id="rId1"/>
  <legacyDrawing r:id="rId2"/>
  <tableParts count="2">
    <tablePart r:id="rId3"/>
    <tablePart r:id="rId4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M44"/>
  <sheetViews>
    <sheetView topLeftCell="A13" zoomScale="85" zoomScaleNormal="85" workbookViewId="0">
      <selection sqref="A1:XFD5"/>
    </sheetView>
  </sheetViews>
  <sheetFormatPr defaultRowHeight="14.4"/>
  <cols>
    <col min="2" max="2" width="46.6640625" customWidth="1"/>
    <col min="4" max="4" width="47" customWidth="1"/>
    <col min="5" max="5" width="14.6640625" customWidth="1"/>
    <col min="6" max="6" width="13.44140625" customWidth="1"/>
    <col min="8" max="8" width="14.109375" customWidth="1"/>
    <col min="9" max="9" width="13.6640625" customWidth="1"/>
    <col min="12" max="12" width="14.109375" customWidth="1"/>
    <col min="13" max="13" width="20.5546875" customWidth="1"/>
  </cols>
  <sheetData>
    <row r="1" spans="1:13">
      <c r="A1" s="68"/>
      <c r="B1" s="56"/>
      <c r="C1" s="56"/>
      <c r="D1" s="56"/>
      <c r="E1" s="56"/>
      <c r="F1" s="56"/>
      <c r="G1" s="61"/>
      <c r="H1" s="58"/>
      <c r="I1" s="60"/>
      <c r="J1" s="60"/>
      <c r="K1" s="56"/>
      <c r="L1" s="58"/>
      <c r="M1" s="91"/>
    </row>
    <row r="2" spans="1:13">
      <c r="A2" s="68"/>
      <c r="B2" s="56"/>
      <c r="C2" s="56"/>
      <c r="D2" s="56"/>
      <c r="E2" s="56"/>
      <c r="F2" s="56"/>
      <c r="G2" s="61"/>
      <c r="H2" s="58"/>
      <c r="I2" s="60"/>
      <c r="J2" s="60"/>
      <c r="K2" s="56"/>
      <c r="L2" s="58"/>
      <c r="M2" s="91"/>
    </row>
    <row r="3" spans="1:13">
      <c r="A3" s="68"/>
      <c r="B3" s="56"/>
      <c r="C3" s="56"/>
      <c r="D3" s="56"/>
      <c r="E3" s="56"/>
      <c r="F3" s="56"/>
      <c r="G3" s="61"/>
      <c r="H3" s="58"/>
      <c r="I3" s="60"/>
      <c r="J3" s="60"/>
      <c r="K3" s="56"/>
      <c r="L3" s="58"/>
      <c r="M3" s="91"/>
    </row>
    <row r="4" spans="1:13">
      <c r="A4" s="68"/>
      <c r="B4" s="56"/>
      <c r="C4" s="56"/>
      <c r="D4" s="56"/>
      <c r="E4" s="56"/>
      <c r="F4" s="56"/>
      <c r="G4" s="61"/>
      <c r="H4" s="58"/>
      <c r="I4" s="60"/>
      <c r="J4" s="60"/>
      <c r="K4" s="56"/>
      <c r="L4" s="58"/>
      <c r="M4" s="91"/>
    </row>
    <row r="5" spans="1:13">
      <c r="A5" s="68"/>
      <c r="B5" s="56"/>
      <c r="C5" s="56"/>
      <c r="D5" s="56"/>
      <c r="E5" s="56"/>
      <c r="F5" s="56"/>
      <c r="G5" s="61"/>
      <c r="H5" s="58"/>
      <c r="I5" s="60"/>
      <c r="J5" s="60"/>
      <c r="K5" s="56"/>
      <c r="L5" s="58"/>
      <c r="M5" s="91"/>
    </row>
    <row r="6" spans="1:13">
      <c r="A6" s="68"/>
      <c r="B6" s="56"/>
      <c r="C6" s="56"/>
      <c r="D6" s="56"/>
      <c r="E6" s="56"/>
      <c r="F6" s="56"/>
      <c r="G6" s="61"/>
      <c r="H6" s="58"/>
      <c r="I6" s="60"/>
      <c r="J6" s="60"/>
      <c r="K6" s="56"/>
      <c r="L6" s="58"/>
      <c r="M6" s="91"/>
    </row>
    <row r="7" spans="1:13">
      <c r="A7" s="68"/>
      <c r="B7" s="56"/>
      <c r="C7" s="56"/>
      <c r="D7" s="56"/>
      <c r="E7" s="56"/>
      <c r="F7" s="56"/>
      <c r="G7" s="61"/>
      <c r="H7" s="58"/>
      <c r="I7" s="60"/>
      <c r="J7" s="60"/>
      <c r="K7" s="56"/>
      <c r="L7" s="58"/>
      <c r="M7" s="91"/>
    </row>
    <row r="8" spans="1:13">
      <c r="A8" s="68"/>
      <c r="B8" s="56"/>
      <c r="C8" s="56"/>
      <c r="D8" s="56"/>
      <c r="E8" s="56"/>
      <c r="F8" s="56"/>
      <c r="G8" s="61"/>
      <c r="H8" s="58"/>
      <c r="I8" s="60"/>
      <c r="J8" s="60"/>
      <c r="K8" s="56"/>
      <c r="L8" s="58"/>
      <c r="M8" s="91"/>
    </row>
    <row r="9" spans="1:13">
      <c r="A9" s="68"/>
      <c r="B9" s="56"/>
      <c r="C9" s="56"/>
      <c r="D9" s="56"/>
      <c r="E9" s="56"/>
      <c r="F9" s="56"/>
      <c r="G9" s="61"/>
      <c r="H9" s="58"/>
      <c r="I9" s="60"/>
      <c r="J9" s="60"/>
      <c r="K9" s="56"/>
      <c r="L9" s="58"/>
      <c r="M9" s="91"/>
    </row>
    <row r="10" spans="1:13">
      <c r="A10" s="68"/>
      <c r="B10" s="56"/>
      <c r="C10" s="56"/>
      <c r="D10" s="56"/>
      <c r="E10" s="56"/>
      <c r="F10" s="56"/>
      <c r="G10" s="61"/>
      <c r="H10" s="58"/>
      <c r="I10" s="60"/>
      <c r="J10" s="60"/>
      <c r="K10" s="56"/>
      <c r="L10" s="58"/>
      <c r="M10" s="91"/>
    </row>
    <row r="11" spans="1:13">
      <c r="A11" s="68"/>
      <c r="B11" s="56"/>
      <c r="C11" s="56"/>
      <c r="D11" s="56"/>
      <c r="E11" s="56"/>
      <c r="F11" s="56"/>
      <c r="G11" s="61"/>
      <c r="H11" s="58"/>
      <c r="I11" s="60"/>
      <c r="J11" s="60"/>
      <c r="K11" s="56"/>
      <c r="L11" s="58"/>
      <c r="M11" s="91"/>
    </row>
    <row r="12" spans="1:13">
      <c r="A12" s="68"/>
      <c r="B12" s="56"/>
      <c r="C12" s="56"/>
      <c r="D12" s="56"/>
      <c r="E12" s="56"/>
      <c r="F12" s="56"/>
      <c r="G12" s="61"/>
      <c r="H12" s="58"/>
      <c r="I12" s="60"/>
      <c r="J12" s="60"/>
      <c r="K12" s="56"/>
      <c r="L12" s="58"/>
      <c r="M12" s="91"/>
    </row>
    <row r="13" spans="1:13">
      <c r="A13" s="68"/>
      <c r="B13" s="56"/>
      <c r="C13" s="56"/>
      <c r="D13" s="56"/>
      <c r="E13" s="56"/>
      <c r="F13" s="56"/>
      <c r="G13" s="61"/>
      <c r="H13" s="58"/>
      <c r="I13" s="60"/>
      <c r="J13" s="60"/>
      <c r="K13" s="56"/>
      <c r="L13" s="58"/>
      <c r="M13" s="91"/>
    </row>
    <row r="14" spans="1:13">
      <c r="A14" s="68"/>
      <c r="B14" s="56"/>
      <c r="C14" s="56"/>
      <c r="D14" s="56"/>
      <c r="E14" s="56"/>
      <c r="F14" s="56"/>
      <c r="G14" s="61"/>
      <c r="H14" s="58"/>
      <c r="I14" s="60"/>
      <c r="J14" s="60"/>
      <c r="K14" s="56"/>
      <c r="L14" s="58"/>
      <c r="M14" s="91"/>
    </row>
    <row r="15" spans="1:13">
      <c r="A15" s="68"/>
      <c r="B15" s="56"/>
      <c r="C15" s="56"/>
      <c r="D15" s="56"/>
      <c r="E15" s="56"/>
      <c r="F15" s="56"/>
      <c r="G15" s="61"/>
      <c r="H15" s="58"/>
      <c r="I15" s="60"/>
      <c r="J15" s="60"/>
      <c r="K15" s="56"/>
      <c r="L15" s="58"/>
      <c r="M15" s="91"/>
    </row>
    <row r="16" spans="1:13">
      <c r="A16" s="68"/>
      <c r="B16" s="56"/>
      <c r="C16" s="56"/>
      <c r="D16" s="56"/>
      <c r="E16" s="56"/>
      <c r="F16" s="56"/>
      <c r="G16" s="61"/>
      <c r="H16" s="58"/>
      <c r="I16" s="60"/>
      <c r="J16" s="60"/>
      <c r="K16" s="56"/>
      <c r="L16" s="58"/>
      <c r="M16" s="91"/>
    </row>
    <row r="17" spans="1:13">
      <c r="A17" s="68"/>
      <c r="B17" s="56"/>
      <c r="C17" s="56"/>
      <c r="D17" s="56"/>
      <c r="E17" s="56"/>
      <c r="F17" s="56"/>
      <c r="G17" s="61"/>
      <c r="H17" s="58"/>
      <c r="I17" s="60"/>
      <c r="J17" s="60"/>
      <c r="K17" s="56"/>
      <c r="L17" s="58"/>
      <c r="M17" s="91"/>
    </row>
    <row r="18" spans="1:13">
      <c r="A18" s="68"/>
      <c r="B18" s="56"/>
      <c r="C18" s="56"/>
      <c r="D18" s="56"/>
      <c r="E18" s="56"/>
      <c r="F18" s="56"/>
      <c r="G18" s="61"/>
      <c r="H18" s="58"/>
      <c r="I18" s="60"/>
      <c r="J18" s="60"/>
      <c r="K18" s="56"/>
      <c r="L18" s="58"/>
      <c r="M18" s="91"/>
    </row>
    <row r="19" spans="1:13">
      <c r="A19" s="68"/>
      <c r="B19" s="56"/>
      <c r="C19" s="56"/>
      <c r="D19" s="56"/>
      <c r="E19" s="56"/>
      <c r="F19" s="56"/>
      <c r="G19" s="61"/>
      <c r="H19" s="58"/>
      <c r="I19" s="60"/>
      <c r="J19" s="60"/>
      <c r="K19" s="56"/>
      <c r="L19" s="58"/>
      <c r="M19" s="91"/>
    </row>
    <row r="20" spans="1:13">
      <c r="A20" s="68"/>
      <c r="B20" s="56"/>
      <c r="C20" s="56"/>
      <c r="D20" s="56"/>
      <c r="E20" s="56"/>
      <c r="F20" s="56"/>
      <c r="G20" s="61"/>
      <c r="H20" s="58"/>
      <c r="I20" s="60"/>
      <c r="J20" s="60"/>
      <c r="K20" s="56"/>
      <c r="L20" s="58"/>
      <c r="M20" s="91"/>
    </row>
    <row r="21" spans="1:13">
      <c r="A21" s="83"/>
      <c r="B21" s="77"/>
      <c r="C21" s="77"/>
      <c r="D21" s="77"/>
      <c r="E21" s="77"/>
      <c r="F21" s="77"/>
      <c r="G21" s="78"/>
      <c r="H21" s="87"/>
      <c r="I21" s="88"/>
      <c r="J21" s="88"/>
      <c r="K21" s="77"/>
      <c r="L21" s="87"/>
      <c r="M21" s="92"/>
    </row>
    <row r="22" spans="1:13">
      <c r="A22" s="77"/>
      <c r="B22" s="77"/>
      <c r="C22" s="77"/>
      <c r="D22" s="77"/>
      <c r="E22" s="77"/>
      <c r="F22" s="77"/>
      <c r="G22" s="78"/>
      <c r="H22" s="114"/>
      <c r="I22" s="88"/>
      <c r="J22" s="115"/>
      <c r="K22" s="77"/>
      <c r="L22" s="114"/>
      <c r="M22" s="114"/>
    </row>
    <row r="23" spans="1:13">
      <c r="A23" s="83"/>
      <c r="B23" s="77"/>
      <c r="C23" s="77"/>
      <c r="D23" s="77"/>
      <c r="E23" s="77"/>
      <c r="F23" s="77"/>
      <c r="G23" s="78"/>
      <c r="H23" s="87"/>
      <c r="I23" s="88"/>
      <c r="J23" s="88"/>
      <c r="K23" s="77"/>
      <c r="L23" s="87"/>
      <c r="M23" s="92"/>
    </row>
    <row r="24" spans="1:13">
      <c r="A24" s="83"/>
      <c r="B24" s="77"/>
      <c r="C24" s="77"/>
      <c r="D24" s="77"/>
      <c r="E24" s="77"/>
      <c r="F24" s="77"/>
      <c r="G24" s="78"/>
      <c r="H24" s="87"/>
      <c r="I24" s="88"/>
      <c r="J24" s="88"/>
      <c r="K24" s="77"/>
      <c r="L24" s="87"/>
      <c r="M24" s="92"/>
    </row>
    <row r="25" spans="1:13">
      <c r="A25" s="83"/>
      <c r="B25" s="77"/>
      <c r="C25" s="77"/>
      <c r="D25" s="77"/>
      <c r="E25" s="77"/>
      <c r="F25" s="77"/>
      <c r="G25" s="78"/>
      <c r="H25" s="87"/>
      <c r="I25" s="88"/>
      <c r="J25" s="88"/>
      <c r="K25" s="77"/>
      <c r="L25" s="87"/>
      <c r="M25" s="92"/>
    </row>
    <row r="26" spans="1:13" ht="15" thickBot="1">
      <c r="A26" s="98"/>
      <c r="B26" s="79"/>
      <c r="C26" s="79"/>
      <c r="D26" s="79"/>
      <c r="E26" s="79"/>
      <c r="F26" s="79"/>
      <c r="G26" s="80"/>
      <c r="H26" s="99"/>
      <c r="I26" s="100"/>
      <c r="J26" s="100"/>
      <c r="K26" s="79"/>
      <c r="L26" s="99"/>
      <c r="M26" s="101"/>
    </row>
    <row r="27" spans="1:13">
      <c r="A27" s="62"/>
      <c r="B27" s="63"/>
      <c r="C27" s="63"/>
      <c r="D27" s="63"/>
      <c r="E27" s="63"/>
      <c r="F27" s="63"/>
      <c r="G27" s="64"/>
      <c r="H27" s="65"/>
      <c r="I27" s="66"/>
      <c r="J27" s="66"/>
      <c r="K27" s="63"/>
      <c r="L27" s="65"/>
      <c r="M27" s="67"/>
    </row>
    <row r="28" spans="1:13">
      <c r="A28" s="70"/>
      <c r="B28" s="56"/>
      <c r="C28" s="56"/>
      <c r="D28" s="56"/>
      <c r="E28" s="56"/>
      <c r="F28" s="56"/>
      <c r="G28" s="61"/>
      <c r="H28" s="57"/>
      <c r="I28" s="59"/>
      <c r="J28" s="59"/>
      <c r="K28" s="56"/>
      <c r="L28" s="57"/>
      <c r="M28" s="69"/>
    </row>
    <row r="29" spans="1:13" ht="15" thickBot="1">
      <c r="A29" s="76"/>
      <c r="B29" s="71"/>
      <c r="C29" s="71"/>
      <c r="D29" s="71"/>
      <c r="E29" s="71"/>
      <c r="F29" s="71"/>
      <c r="G29" s="72"/>
      <c r="H29" s="73"/>
      <c r="I29" s="74"/>
      <c r="J29" s="74"/>
      <c r="K29" s="71"/>
      <c r="L29" s="73"/>
      <c r="M29" s="75"/>
    </row>
    <row r="30" spans="1:13">
      <c r="A30" s="62"/>
      <c r="B30" s="63"/>
      <c r="C30" s="63"/>
      <c r="D30" s="63"/>
      <c r="E30" s="63"/>
      <c r="F30" s="63"/>
      <c r="G30" s="64"/>
      <c r="H30" s="65"/>
      <c r="I30" s="66"/>
      <c r="J30" s="66"/>
      <c r="K30" s="63"/>
      <c r="L30" s="65"/>
      <c r="M30" s="67"/>
    </row>
    <row r="31" spans="1:13">
      <c r="A31" s="68"/>
      <c r="B31" s="56"/>
      <c r="C31" s="56"/>
      <c r="D31" s="56"/>
      <c r="E31" s="56"/>
      <c r="F31" s="56"/>
      <c r="G31" s="61"/>
      <c r="H31" s="58"/>
      <c r="I31" s="60"/>
      <c r="J31" s="60"/>
      <c r="K31" s="56"/>
      <c r="L31" s="58"/>
      <c r="M31" s="91"/>
    </row>
    <row r="32" spans="1:13">
      <c r="A32" s="68"/>
      <c r="B32" s="56"/>
      <c r="C32" s="56"/>
      <c r="D32" s="56"/>
      <c r="E32" s="56"/>
      <c r="F32" s="56"/>
      <c r="G32" s="61"/>
      <c r="H32" s="58"/>
      <c r="I32" s="60"/>
      <c r="J32" s="60"/>
      <c r="K32" s="56"/>
      <c r="L32" s="58"/>
      <c r="M32" s="91"/>
    </row>
    <row r="33" spans="1:13">
      <c r="A33" s="68"/>
      <c r="B33" s="56"/>
      <c r="C33" s="56"/>
      <c r="D33" s="56"/>
      <c r="E33" s="56"/>
      <c r="F33" s="56"/>
      <c r="G33" s="61"/>
      <c r="H33" s="58"/>
      <c r="I33" s="60"/>
      <c r="J33" s="60"/>
      <c r="K33" s="56"/>
      <c r="L33" s="58"/>
      <c r="M33" s="91"/>
    </row>
    <row r="34" spans="1:13">
      <c r="A34" s="68"/>
      <c r="B34" s="56"/>
      <c r="C34" s="56"/>
      <c r="D34" s="56"/>
      <c r="E34" s="56"/>
      <c r="F34" s="56"/>
      <c r="G34" s="61"/>
      <c r="H34" s="58"/>
      <c r="I34" s="60"/>
      <c r="J34" s="60"/>
      <c r="K34" s="56"/>
      <c r="L34" s="58"/>
      <c r="M34" s="91"/>
    </row>
    <row r="35" spans="1:13">
      <c r="A35" s="83"/>
      <c r="B35" s="77"/>
      <c r="C35" s="77"/>
      <c r="D35" s="77"/>
      <c r="E35" s="77"/>
      <c r="F35" s="77"/>
      <c r="G35" s="78"/>
      <c r="H35" s="87"/>
      <c r="I35" s="88"/>
      <c r="J35" s="88"/>
      <c r="K35" s="77"/>
      <c r="L35" s="87"/>
      <c r="M35" s="92"/>
    </row>
    <row r="36" spans="1:13">
      <c r="A36" s="83"/>
      <c r="B36" s="77"/>
      <c r="C36" s="77"/>
      <c r="D36" s="77"/>
      <c r="E36" s="77"/>
      <c r="F36" s="77"/>
      <c r="G36" s="78"/>
      <c r="H36" s="87"/>
      <c r="I36" s="88"/>
      <c r="J36" s="88"/>
      <c r="K36" s="77"/>
      <c r="L36" s="87"/>
      <c r="M36" s="92"/>
    </row>
    <row r="37" spans="1:13">
      <c r="A37" s="83"/>
      <c r="B37" s="77"/>
      <c r="C37" s="77"/>
      <c r="D37" s="77"/>
      <c r="E37" s="77"/>
      <c r="F37" s="77"/>
      <c r="G37" s="78"/>
      <c r="H37" s="87"/>
      <c r="I37" s="88"/>
      <c r="J37" s="88"/>
      <c r="K37" s="77"/>
      <c r="L37" s="87"/>
      <c r="M37" s="92"/>
    </row>
    <row r="38" spans="1:13">
      <c r="A38" s="83"/>
      <c r="B38" s="77"/>
      <c r="C38" s="77"/>
      <c r="D38" s="77"/>
      <c r="E38" s="77"/>
      <c r="F38" s="77"/>
      <c r="G38" s="78"/>
      <c r="H38" s="87"/>
      <c r="I38" s="88"/>
      <c r="J38" s="88"/>
      <c r="K38" s="77"/>
      <c r="L38" s="87"/>
      <c r="M38" s="92"/>
    </row>
    <row r="39" spans="1:13" ht="15" thickBot="1">
      <c r="A39" s="98"/>
      <c r="B39" s="79"/>
      <c r="C39" s="79"/>
      <c r="D39" s="79"/>
      <c r="E39" s="79"/>
      <c r="F39" s="79"/>
      <c r="G39" s="80"/>
      <c r="H39" s="99"/>
      <c r="I39" s="100"/>
      <c r="J39" s="100"/>
      <c r="K39" s="79"/>
      <c r="L39" s="99"/>
      <c r="M39" s="101"/>
    </row>
    <row r="40" spans="1:13">
      <c r="A40" s="62"/>
      <c r="B40" s="63"/>
      <c r="C40" s="63"/>
      <c r="D40" s="63"/>
      <c r="E40" s="63"/>
      <c r="F40" s="63"/>
      <c r="G40" s="64"/>
      <c r="H40" s="65"/>
      <c r="I40" s="66"/>
      <c r="J40" s="66"/>
      <c r="K40" s="63"/>
      <c r="L40" s="65"/>
      <c r="M40" s="67"/>
    </row>
    <row r="41" spans="1:13">
      <c r="A41" s="68"/>
      <c r="B41" s="56"/>
      <c r="C41" s="56"/>
      <c r="D41" s="56"/>
      <c r="E41" s="56"/>
      <c r="F41" s="56"/>
      <c r="G41" s="61"/>
      <c r="H41" s="58"/>
      <c r="I41" s="60"/>
      <c r="J41" s="60"/>
      <c r="K41" s="56"/>
      <c r="L41" s="58"/>
      <c r="M41" s="91"/>
    </row>
    <row r="42" spans="1:13">
      <c r="A42" s="84"/>
      <c r="B42" s="81"/>
      <c r="C42" s="81"/>
      <c r="D42" s="81"/>
      <c r="E42" s="81"/>
      <c r="F42" s="81"/>
      <c r="G42" s="82"/>
      <c r="H42" s="89"/>
      <c r="I42" s="90"/>
      <c r="J42" s="90"/>
      <c r="K42" s="81"/>
      <c r="L42" s="89"/>
      <c r="M42" s="93"/>
    </row>
    <row r="43" spans="1:13" ht="15" thickBot="1">
      <c r="A43" s="94"/>
      <c r="B43" s="85"/>
      <c r="C43" s="85"/>
      <c r="D43" s="85"/>
      <c r="E43" s="85"/>
      <c r="F43" s="85"/>
      <c r="G43" s="86"/>
      <c r="H43" s="95"/>
      <c r="I43" s="96"/>
      <c r="J43" s="96"/>
      <c r="K43" s="85"/>
      <c r="L43" s="95"/>
      <c r="M43" s="97"/>
    </row>
    <row r="44" spans="1:13" ht="15" thickBot="1">
      <c r="A44" s="177"/>
      <c r="B44" s="178"/>
      <c r="C44" s="178"/>
      <c r="D44" s="178"/>
      <c r="E44" s="178"/>
      <c r="F44" s="178"/>
      <c r="G44" s="179"/>
      <c r="H44" s="180"/>
      <c r="I44" s="181"/>
      <c r="J44" s="181"/>
      <c r="K44" s="178"/>
      <c r="L44" s="180"/>
      <c r="M44" s="182"/>
    </row>
  </sheetData>
  <conditionalFormatting sqref="E7 E11:E12 E1">
    <cfRule type="containsText" dxfId="40" priority="51" operator="containsText" text="unit">
      <formula>NOT(ISERROR(SEARCH("unit",E1)))</formula>
    </cfRule>
  </conditionalFormatting>
  <conditionalFormatting sqref="E2">
    <cfRule type="containsText" dxfId="39" priority="36" operator="containsText" text="unit">
      <formula>NOT(ISERROR(SEARCH("unit",E2)))</formula>
    </cfRule>
  </conditionalFormatting>
  <conditionalFormatting sqref="E13">
    <cfRule type="containsText" dxfId="38" priority="28" operator="containsText" text="unit">
      <formula>NOT(ISERROR(SEARCH("unit",E13)))</formula>
    </cfRule>
  </conditionalFormatting>
  <conditionalFormatting sqref="E3">
    <cfRule type="containsText" dxfId="37" priority="35" operator="containsText" text="unit">
      <formula>NOT(ISERROR(SEARCH("unit",E3)))</formula>
    </cfRule>
  </conditionalFormatting>
  <conditionalFormatting sqref="E4">
    <cfRule type="containsText" dxfId="36" priority="34" operator="containsText" text="unit">
      <formula>NOT(ISERROR(SEARCH("unit",E4)))</formula>
    </cfRule>
  </conditionalFormatting>
  <conditionalFormatting sqref="E5">
    <cfRule type="containsText" dxfId="35" priority="33" operator="containsText" text="unit">
      <formula>NOT(ISERROR(SEARCH("unit",E5)))</formula>
    </cfRule>
  </conditionalFormatting>
  <conditionalFormatting sqref="E6">
    <cfRule type="containsText" dxfId="34" priority="32" operator="containsText" text="unit">
      <formula>NOT(ISERROR(SEARCH("unit",E6)))</formula>
    </cfRule>
  </conditionalFormatting>
  <conditionalFormatting sqref="E8">
    <cfRule type="containsText" dxfId="33" priority="31" operator="containsText" text="unit">
      <formula>NOT(ISERROR(SEARCH("unit",E8)))</formula>
    </cfRule>
  </conditionalFormatting>
  <conditionalFormatting sqref="E9">
    <cfRule type="containsText" dxfId="32" priority="30" operator="containsText" text="unit">
      <formula>NOT(ISERROR(SEARCH("unit",E9)))</formula>
    </cfRule>
  </conditionalFormatting>
  <conditionalFormatting sqref="E10">
    <cfRule type="containsText" dxfId="31" priority="29" operator="containsText" text="unit">
      <formula>NOT(ISERROR(SEARCH("unit",E10)))</formula>
    </cfRule>
  </conditionalFormatting>
  <conditionalFormatting sqref="E14 E30:E33 E37">
    <cfRule type="containsText" dxfId="30" priority="27" operator="containsText" text="unit">
      <formula>NOT(ISERROR(SEARCH("unit",E14)))</formula>
    </cfRule>
  </conditionalFormatting>
  <conditionalFormatting sqref="E15">
    <cfRule type="containsText" dxfId="29" priority="26" operator="containsText" text="unit">
      <formula>NOT(ISERROR(SEARCH("unit",E15)))</formula>
    </cfRule>
  </conditionalFormatting>
  <conditionalFormatting sqref="E16">
    <cfRule type="containsText" dxfId="28" priority="25" operator="containsText" text="unit">
      <formula>NOT(ISERROR(SEARCH("unit",E16)))</formula>
    </cfRule>
  </conditionalFormatting>
  <conditionalFormatting sqref="E17">
    <cfRule type="containsText" dxfId="27" priority="24" operator="containsText" text="unit">
      <formula>NOT(ISERROR(SEARCH("unit",E17)))</formula>
    </cfRule>
  </conditionalFormatting>
  <conditionalFormatting sqref="E18">
    <cfRule type="containsText" dxfId="26" priority="23" operator="containsText" text="unit">
      <formula>NOT(ISERROR(SEARCH("unit",E18)))</formula>
    </cfRule>
  </conditionalFormatting>
  <conditionalFormatting sqref="E19">
    <cfRule type="containsText" dxfId="25" priority="22" operator="containsText" text="unit">
      <formula>NOT(ISERROR(SEARCH("unit",E19)))</formula>
    </cfRule>
  </conditionalFormatting>
  <conditionalFormatting sqref="E27">
    <cfRule type="containsText" dxfId="24" priority="21" operator="containsText" text="unit">
      <formula>NOT(ISERROR(SEARCH("unit",E27)))</formula>
    </cfRule>
  </conditionalFormatting>
  <conditionalFormatting sqref="E28">
    <cfRule type="containsText" dxfId="23" priority="20" operator="containsText" text="unit">
      <formula>NOT(ISERROR(SEARCH("unit",E28)))</formula>
    </cfRule>
  </conditionalFormatting>
  <conditionalFormatting sqref="E29">
    <cfRule type="containsText" dxfId="22" priority="19" operator="containsText" text="unit">
      <formula>NOT(ISERROR(SEARCH("unit",E29)))</formula>
    </cfRule>
  </conditionalFormatting>
  <conditionalFormatting sqref="E20">
    <cfRule type="containsText" dxfId="21" priority="18" operator="containsText" text="unit">
      <formula>NOT(ISERROR(SEARCH("unit",E20)))</formula>
    </cfRule>
  </conditionalFormatting>
  <conditionalFormatting sqref="E41">
    <cfRule type="containsText" dxfId="20" priority="17" operator="containsText" text="unit">
      <formula>NOT(ISERROR(SEARCH("unit",E41)))</formula>
    </cfRule>
  </conditionalFormatting>
  <conditionalFormatting sqref="E40">
    <cfRule type="containsText" dxfId="19" priority="16" operator="containsText" text="unit">
      <formula>NOT(ISERROR(SEARCH("unit",E40)))</formula>
    </cfRule>
  </conditionalFormatting>
  <conditionalFormatting sqref="E34">
    <cfRule type="containsText" dxfId="18" priority="15" operator="containsText" text="unit">
      <formula>NOT(ISERROR(SEARCH("unit",E34)))</formula>
    </cfRule>
  </conditionalFormatting>
  <conditionalFormatting sqref="E24">
    <cfRule type="containsText" dxfId="17" priority="11" operator="containsText" text="unit">
      <formula>NOT(ISERROR(SEARCH("unit",E24)))</formula>
    </cfRule>
  </conditionalFormatting>
  <conditionalFormatting sqref="E38">
    <cfRule type="containsText" dxfId="16" priority="6" operator="containsText" text="unit">
      <formula>NOT(ISERROR(SEARCH("unit",E38)))</formula>
    </cfRule>
  </conditionalFormatting>
  <conditionalFormatting sqref="E21">
    <cfRule type="containsText" dxfId="15" priority="14" operator="containsText" text="unit">
      <formula>NOT(ISERROR(SEARCH("unit",E21)))</formula>
    </cfRule>
  </conditionalFormatting>
  <conditionalFormatting sqref="E23">
    <cfRule type="containsText" dxfId="14" priority="12" operator="containsText" text="unit">
      <formula>NOT(ISERROR(SEARCH("unit",E23)))</formula>
    </cfRule>
  </conditionalFormatting>
  <conditionalFormatting sqref="E25">
    <cfRule type="containsText" dxfId="13" priority="10" operator="containsText" text="unit">
      <formula>NOT(ISERROR(SEARCH("unit",E25)))</formula>
    </cfRule>
  </conditionalFormatting>
  <conditionalFormatting sqref="E26">
    <cfRule type="containsText" dxfId="12" priority="9" operator="containsText" text="unit">
      <formula>NOT(ISERROR(SEARCH("unit",E26)))</formula>
    </cfRule>
  </conditionalFormatting>
  <conditionalFormatting sqref="E35">
    <cfRule type="containsText" dxfId="11" priority="8" operator="containsText" text="unit">
      <formula>NOT(ISERROR(SEARCH("unit",E35)))</formula>
    </cfRule>
  </conditionalFormatting>
  <conditionalFormatting sqref="E36">
    <cfRule type="containsText" dxfId="10" priority="7" operator="containsText" text="unit">
      <formula>NOT(ISERROR(SEARCH("unit",E36)))</formula>
    </cfRule>
  </conditionalFormatting>
  <conditionalFormatting sqref="E39">
    <cfRule type="containsText" dxfId="9" priority="5" operator="containsText" text="unit">
      <formula>NOT(ISERROR(SEARCH("unit",E39)))</formula>
    </cfRule>
  </conditionalFormatting>
  <conditionalFormatting sqref="E43">
    <cfRule type="containsText" dxfId="8" priority="3" operator="containsText" text="unit">
      <formula>NOT(ISERROR(SEARCH("unit",E43)))</formula>
    </cfRule>
  </conditionalFormatting>
  <conditionalFormatting sqref="E42">
    <cfRule type="containsText" dxfId="7" priority="4" operator="containsText" text="unit">
      <formula>NOT(ISERROR(SEARCH("unit",E42)))</formula>
    </cfRule>
  </conditionalFormatting>
  <conditionalFormatting sqref="E22">
    <cfRule type="containsText" dxfId="6" priority="2" operator="containsText" text="unit">
      <formula>NOT(ISERROR(SEARCH("unit",E22)))</formula>
    </cfRule>
  </conditionalFormatting>
  <conditionalFormatting sqref="E44">
    <cfRule type="containsText" dxfId="5" priority="1" operator="containsText" text="unit">
      <formula>NOT(ISERROR(SEARCH("unit",E44)))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mc:Ignorable="x14ac">
  <dimension ref="A1:E79"/>
  <sheetViews>
    <sheetView tabSelected="1" zoomScale="70" zoomScaleNormal="70" workbookViewId="0">
      <selection activeCell="D28" sqref="D28"/>
    </sheetView>
  </sheetViews>
  <sheetFormatPr defaultColWidth="30.6640625" defaultRowHeight="20.399999999999999"/>
  <cols>
    <col min="1" max="1" width="60.5546875" style="1" customWidth="1"/>
    <col min="2" max="2" width="24.33203125" style="1" customWidth="1"/>
    <col min="3" max="3" width="22.6640625" style="1" customWidth="1"/>
    <col min="4" max="16384" width="30.6640625" style="1"/>
  </cols>
  <sheetData>
    <row r="1" spans="1:3">
      <c r="A1" s="22" t="s">
        <v>7</v>
      </c>
      <c r="B1" s="23">
        <v>1000</v>
      </c>
    </row>
    <row r="2" spans="1:3">
      <c r="A2" s="22" t="s">
        <v>12</v>
      </c>
      <c r="B2" s="23">
        <v>1000</v>
      </c>
    </row>
    <row r="4" spans="1:3" s="2" customFormat="1" ht="63" customHeight="1">
      <c r="A4" s="186" t="s">
        <v>134</v>
      </c>
      <c r="B4" s="2" t="s">
        <v>22</v>
      </c>
      <c r="C4" s="187" t="s">
        <v>23</v>
      </c>
    </row>
    <row r="5" spans="1:3" ht="21">
      <c r="A5" s="188" t="s">
        <v>136</v>
      </c>
      <c r="B5" s="189"/>
      <c r="C5" s="190"/>
    </row>
    <row r="6" spans="1:3">
      <c r="A6" s="191" t="s">
        <v>29</v>
      </c>
      <c r="B6" s="37">
        <v>4.3680000000000003</v>
      </c>
      <c r="C6" s="105" t="s">
        <v>1</v>
      </c>
    </row>
    <row r="7" spans="1:3">
      <c r="A7" s="191" t="s">
        <v>30</v>
      </c>
      <c r="B7" s="37">
        <v>54.389999999999993</v>
      </c>
      <c r="C7" s="105" t="s">
        <v>1</v>
      </c>
    </row>
    <row r="8" spans="1:3">
      <c r="A8" s="191" t="s">
        <v>31</v>
      </c>
      <c r="B8" s="37">
        <v>2.5200000000000005</v>
      </c>
      <c r="C8" s="105" t="s">
        <v>1</v>
      </c>
    </row>
    <row r="9" spans="1:3">
      <c r="A9" s="191" t="s">
        <v>32</v>
      </c>
      <c r="B9" s="37">
        <v>21.21</v>
      </c>
      <c r="C9" s="105" t="s">
        <v>1</v>
      </c>
    </row>
    <row r="10" spans="1:3">
      <c r="A10" s="191" t="s">
        <v>33</v>
      </c>
      <c r="B10" s="37">
        <v>6.11625</v>
      </c>
      <c r="C10" s="105" t="s">
        <v>1</v>
      </c>
    </row>
    <row r="11" spans="1:3">
      <c r="A11" s="191" t="s">
        <v>34</v>
      </c>
      <c r="B11" s="37">
        <v>19.425000000000001</v>
      </c>
      <c r="C11" s="105" t="s">
        <v>1</v>
      </c>
    </row>
    <row r="12" spans="1:3">
      <c r="A12" s="191" t="s">
        <v>35</v>
      </c>
      <c r="B12" s="37">
        <v>5.0400000000000009</v>
      </c>
      <c r="C12" s="105" t="s">
        <v>1</v>
      </c>
    </row>
    <row r="13" spans="1:3">
      <c r="A13" s="191" t="s">
        <v>36</v>
      </c>
      <c r="B13" s="37">
        <v>31.605</v>
      </c>
      <c r="C13" s="105" t="s">
        <v>1</v>
      </c>
    </row>
    <row r="14" spans="1:3">
      <c r="A14" s="191" t="s">
        <v>37</v>
      </c>
      <c r="B14" s="37">
        <v>2331</v>
      </c>
      <c r="C14" s="105" t="s">
        <v>38</v>
      </c>
    </row>
    <row r="15" spans="1:3">
      <c r="A15" s="191" t="s">
        <v>39</v>
      </c>
      <c r="B15" s="37">
        <v>13.65</v>
      </c>
      <c r="C15" s="105" t="s">
        <v>1</v>
      </c>
    </row>
    <row r="16" spans="1:3">
      <c r="A16" s="191" t="s">
        <v>52</v>
      </c>
      <c r="B16" s="37">
        <v>66.150000000000006</v>
      </c>
      <c r="C16" s="105" t="s">
        <v>38</v>
      </c>
    </row>
    <row r="17" spans="1:5">
      <c r="A17" s="191" t="s">
        <v>40</v>
      </c>
      <c r="B17" s="37">
        <v>1.47</v>
      </c>
      <c r="C17" s="105" t="s">
        <v>1</v>
      </c>
    </row>
    <row r="18" spans="1:5">
      <c r="A18" s="191" t="s">
        <v>41</v>
      </c>
      <c r="B18" s="37">
        <v>107.1</v>
      </c>
      <c r="C18" s="105" t="s">
        <v>1</v>
      </c>
    </row>
    <row r="19" spans="1:5">
      <c r="A19" s="191" t="s">
        <v>24</v>
      </c>
      <c r="B19" s="37">
        <v>51.45000000000001</v>
      </c>
      <c r="C19" s="105" t="s">
        <v>1</v>
      </c>
    </row>
    <row r="20" spans="1:5">
      <c r="A20" s="191" t="s">
        <v>42</v>
      </c>
      <c r="B20" s="37">
        <v>16.8</v>
      </c>
      <c r="C20" s="105" t="s">
        <v>1</v>
      </c>
    </row>
    <row r="21" spans="1:5">
      <c r="A21" s="191" t="s">
        <v>43</v>
      </c>
      <c r="B21" s="37">
        <v>213.15</v>
      </c>
      <c r="C21" s="105" t="s">
        <v>1</v>
      </c>
    </row>
    <row r="22" spans="1:5">
      <c r="A22" s="191" t="s">
        <v>44</v>
      </c>
      <c r="B22" s="37">
        <v>568.04999999999995</v>
      </c>
      <c r="C22" s="105" t="s">
        <v>1</v>
      </c>
    </row>
    <row r="23" spans="1:5">
      <c r="A23" s="191" t="s">
        <v>45</v>
      </c>
      <c r="B23" s="37">
        <v>1039.5</v>
      </c>
      <c r="C23" s="105" t="s">
        <v>1</v>
      </c>
      <c r="E23" s="37"/>
    </row>
    <row r="24" spans="1:5">
      <c r="A24" s="191" t="s">
        <v>46</v>
      </c>
      <c r="B24" s="37">
        <v>0.84</v>
      </c>
      <c r="C24" s="105" t="s">
        <v>1</v>
      </c>
    </row>
    <row r="25" spans="1:5">
      <c r="A25" s="191" t="s">
        <v>47</v>
      </c>
      <c r="B25" s="37">
        <v>46.305000000000007</v>
      </c>
      <c r="C25" s="105" t="s">
        <v>1</v>
      </c>
    </row>
    <row r="26" spans="1:5">
      <c r="A26" s="191" t="s">
        <v>48</v>
      </c>
      <c r="B26" s="37">
        <v>3381</v>
      </c>
      <c r="C26" s="105" t="s">
        <v>1</v>
      </c>
    </row>
    <row r="27" spans="1:5">
      <c r="A27" s="191" t="s">
        <v>51</v>
      </c>
      <c r="B27" s="37">
        <v>6.1844999999999999</v>
      </c>
      <c r="C27" s="105" t="s">
        <v>1</v>
      </c>
    </row>
    <row r="28" spans="1:5">
      <c r="A28" s="192" t="s">
        <v>53</v>
      </c>
      <c r="B28" s="193">
        <v>624.16666666666663</v>
      </c>
      <c r="C28" s="116" t="s">
        <v>2</v>
      </c>
    </row>
    <row r="29" spans="1:5" ht="43.5" customHeight="1">
      <c r="A29" s="194" t="s">
        <v>137</v>
      </c>
      <c r="B29" s="195" t="s">
        <v>128</v>
      </c>
      <c r="C29" s="18"/>
    </row>
    <row r="30" spans="1:5">
      <c r="A30" s="191" t="s">
        <v>49</v>
      </c>
      <c r="B30" s="37">
        <v>3.7100000000000002E-3</v>
      </c>
      <c r="C30" s="9" t="s">
        <v>14</v>
      </c>
    </row>
    <row r="31" spans="1:5">
      <c r="A31" s="191" t="s">
        <v>57</v>
      </c>
      <c r="B31" s="37">
        <v>3.9382000000000002E-4</v>
      </c>
      <c r="C31" s="9" t="s">
        <v>14</v>
      </c>
    </row>
    <row r="32" spans="1:5">
      <c r="A32" s="192" t="s">
        <v>50</v>
      </c>
      <c r="B32" s="193">
        <v>6.933333333333333E-2</v>
      </c>
      <c r="C32" s="196" t="s">
        <v>14</v>
      </c>
    </row>
    <row r="33" spans="1:3" ht="41.4">
      <c r="A33" s="194" t="s">
        <v>138</v>
      </c>
      <c r="B33" s="195" t="s">
        <v>128</v>
      </c>
      <c r="C33" s="18"/>
    </row>
    <row r="34" spans="1:3">
      <c r="A34" s="191" t="s">
        <v>92</v>
      </c>
      <c r="B34" s="37">
        <v>6.19047619047619E-2</v>
      </c>
      <c r="C34" s="9" t="s">
        <v>1</v>
      </c>
    </row>
    <row r="35" spans="1:3">
      <c r="A35" s="192" t="s">
        <v>97</v>
      </c>
      <c r="B35" s="193">
        <v>6.19047619047619E-2</v>
      </c>
      <c r="C35" s="196" t="s">
        <v>1</v>
      </c>
    </row>
    <row r="36" spans="1:3" ht="38.4">
      <c r="A36" s="194" t="s">
        <v>132</v>
      </c>
      <c r="B36" s="195"/>
      <c r="C36" s="18"/>
    </row>
    <row r="37" spans="1:3">
      <c r="A37" s="191" t="s">
        <v>59</v>
      </c>
      <c r="B37" s="3"/>
      <c r="C37" s="9" t="s">
        <v>1</v>
      </c>
    </row>
    <row r="38" spans="1:3">
      <c r="A38" s="191" t="s">
        <v>60</v>
      </c>
      <c r="B38" s="37"/>
      <c r="C38" s="9" t="s">
        <v>1</v>
      </c>
    </row>
    <row r="39" spans="1:3">
      <c r="A39" s="191" t="s">
        <v>61</v>
      </c>
      <c r="B39" s="37"/>
      <c r="C39" s="9" t="s">
        <v>1</v>
      </c>
    </row>
    <row r="40" spans="1:3">
      <c r="A40" s="191" t="s">
        <v>62</v>
      </c>
      <c r="B40" s="102"/>
      <c r="C40" s="9" t="s">
        <v>1</v>
      </c>
    </row>
    <row r="41" spans="1:3">
      <c r="A41" s="192" t="s">
        <v>58</v>
      </c>
      <c r="B41" s="193"/>
      <c r="C41" s="196" t="s">
        <v>1</v>
      </c>
    </row>
    <row r="42" spans="1:3">
      <c r="C42" s="3"/>
    </row>
    <row r="43" spans="1:3" ht="41.4" thickBot="1">
      <c r="A43" s="197" t="s">
        <v>133</v>
      </c>
      <c r="B43" s="198" t="s">
        <v>22</v>
      </c>
      <c r="C43" s="199" t="s">
        <v>23</v>
      </c>
    </row>
    <row r="44" spans="1:3">
      <c r="A44" s="12" t="s">
        <v>54</v>
      </c>
      <c r="B44" s="4"/>
      <c r="C44" s="8"/>
    </row>
    <row r="45" spans="1:3">
      <c r="A45" s="191" t="s">
        <v>29</v>
      </c>
      <c r="B45" s="37"/>
      <c r="C45" s="105" t="s">
        <v>1</v>
      </c>
    </row>
    <row r="46" spans="1:3">
      <c r="A46" s="191" t="s">
        <v>63</v>
      </c>
      <c r="B46" s="37"/>
      <c r="C46" s="105" t="s">
        <v>1</v>
      </c>
    </row>
    <row r="47" spans="1:3">
      <c r="A47" s="191" t="s">
        <v>64</v>
      </c>
      <c r="B47" s="37"/>
      <c r="C47" s="105" t="s">
        <v>1</v>
      </c>
    </row>
    <row r="48" spans="1:3">
      <c r="A48" s="191" t="s">
        <v>65</v>
      </c>
      <c r="B48" s="37"/>
      <c r="C48" s="105" t="s">
        <v>1</v>
      </c>
    </row>
    <row r="49" spans="1:3">
      <c r="A49" s="191" t="s">
        <v>35</v>
      </c>
      <c r="B49" s="37"/>
      <c r="C49" s="105" t="s">
        <v>1</v>
      </c>
    </row>
    <row r="50" spans="1:3">
      <c r="A50" s="191" t="s">
        <v>66</v>
      </c>
      <c r="B50" s="37"/>
      <c r="C50" s="105" t="s">
        <v>1</v>
      </c>
    </row>
    <row r="51" spans="1:3">
      <c r="A51" s="191" t="s">
        <v>36</v>
      </c>
      <c r="B51" s="37"/>
      <c r="C51" s="105" t="s">
        <v>1</v>
      </c>
    </row>
    <row r="52" spans="1:3">
      <c r="A52" s="191" t="s">
        <v>55</v>
      </c>
      <c r="B52" s="37"/>
      <c r="C52" s="105" t="s">
        <v>1</v>
      </c>
    </row>
    <row r="53" spans="1:3">
      <c r="A53" s="191" t="s">
        <v>67</v>
      </c>
      <c r="B53" s="37"/>
      <c r="C53" s="105" t="s">
        <v>1</v>
      </c>
    </row>
    <row r="54" spans="1:3">
      <c r="A54" s="191" t="s">
        <v>68</v>
      </c>
      <c r="B54" s="37"/>
      <c r="C54" s="105" t="s">
        <v>1</v>
      </c>
    </row>
    <row r="55" spans="1:3">
      <c r="A55" s="191" t="s">
        <v>69</v>
      </c>
      <c r="B55" s="37"/>
      <c r="C55" s="105" t="s">
        <v>1</v>
      </c>
    </row>
    <row r="56" spans="1:3">
      <c r="A56" s="191" t="s">
        <v>70</v>
      </c>
      <c r="B56" s="37"/>
      <c r="C56" s="105" t="s">
        <v>1</v>
      </c>
    </row>
    <row r="57" spans="1:3">
      <c r="A57" s="191" t="s">
        <v>45</v>
      </c>
      <c r="B57" s="37"/>
      <c r="C57" s="105" t="s">
        <v>1</v>
      </c>
    </row>
    <row r="58" spans="1:3">
      <c r="A58" s="192" t="s">
        <v>47</v>
      </c>
      <c r="B58" s="193"/>
      <c r="C58" s="116" t="s">
        <v>1</v>
      </c>
    </row>
    <row r="59" spans="1:3" ht="40.799999999999997">
      <c r="A59" s="194" t="s">
        <v>127</v>
      </c>
      <c r="B59" s="195"/>
      <c r="C59" s="18"/>
    </row>
    <row r="60" spans="1:3">
      <c r="A60" s="191" t="s">
        <v>49</v>
      </c>
      <c r="B60" s="37"/>
      <c r="C60" s="9" t="s">
        <v>14</v>
      </c>
    </row>
    <row r="61" spans="1:3">
      <c r="A61" s="191" t="s">
        <v>57</v>
      </c>
      <c r="B61" s="37"/>
      <c r="C61" s="9" t="s">
        <v>14</v>
      </c>
    </row>
    <row r="62" spans="1:3">
      <c r="A62" s="192" t="s">
        <v>50</v>
      </c>
      <c r="B62" s="193"/>
      <c r="C62" s="196" t="s">
        <v>14</v>
      </c>
    </row>
    <row r="63" spans="1:3" ht="40.799999999999997">
      <c r="A63" s="194" t="s">
        <v>129</v>
      </c>
      <c r="B63" s="195"/>
      <c r="C63" s="18"/>
    </row>
    <row r="64" spans="1:3">
      <c r="A64" s="191" t="s">
        <v>98</v>
      </c>
      <c r="B64" s="3"/>
      <c r="C64" s="9" t="s">
        <v>2</v>
      </c>
    </row>
    <row r="65" spans="1:3">
      <c r="A65" s="12" t="s">
        <v>131</v>
      </c>
      <c r="B65" s="3"/>
      <c r="C65" s="9"/>
    </row>
    <row r="66" spans="1:3">
      <c r="A66" s="191" t="s">
        <v>75</v>
      </c>
      <c r="B66" s="3"/>
      <c r="C66" s="9" t="s">
        <v>2</v>
      </c>
    </row>
    <row r="67" spans="1:3">
      <c r="A67" s="191" t="s">
        <v>76</v>
      </c>
      <c r="B67" s="3"/>
      <c r="C67" s="9" t="s">
        <v>2</v>
      </c>
    </row>
    <row r="68" spans="1:3">
      <c r="A68" s="200" t="s">
        <v>120</v>
      </c>
      <c r="B68" s="201"/>
      <c r="C68" s="196" t="s">
        <v>2</v>
      </c>
    </row>
    <row r="69" spans="1:3">
      <c r="A69" s="6" t="s">
        <v>5</v>
      </c>
      <c r="B69" s="185"/>
      <c r="C69" s="10"/>
    </row>
    <row r="70" spans="1:3">
      <c r="A70" s="21" t="s">
        <v>71</v>
      </c>
      <c r="B70" s="37"/>
      <c r="C70" s="105" t="s">
        <v>1</v>
      </c>
    </row>
    <row r="71" spans="1:3">
      <c r="A71" s="185" t="s">
        <v>130</v>
      </c>
      <c r="C71" s="105"/>
    </row>
    <row r="72" spans="1:3">
      <c r="A72" s="21" t="s">
        <v>72</v>
      </c>
      <c r="B72" s="37"/>
      <c r="C72" s="105" t="s">
        <v>1</v>
      </c>
    </row>
    <row r="73" spans="1:3">
      <c r="A73" s="21" t="s">
        <v>73</v>
      </c>
      <c r="B73" s="37"/>
      <c r="C73" s="105" t="s">
        <v>1</v>
      </c>
    </row>
    <row r="74" spans="1:3">
      <c r="A74" s="21" t="s">
        <v>74</v>
      </c>
      <c r="B74" s="37"/>
      <c r="C74" s="105" t="s">
        <v>1</v>
      </c>
    </row>
    <row r="75" spans="1:3">
      <c r="A75" s="21" t="s">
        <v>56</v>
      </c>
      <c r="B75" s="37"/>
      <c r="C75" s="105" t="s">
        <v>1</v>
      </c>
    </row>
    <row r="76" spans="1:3">
      <c r="A76" s="21" t="s">
        <v>58</v>
      </c>
      <c r="B76" s="37"/>
      <c r="C76" s="116" t="s">
        <v>1</v>
      </c>
    </row>
    <row r="77" spans="1:3">
      <c r="A77" s="24"/>
      <c r="B77" s="202"/>
      <c r="C77" s="203"/>
    </row>
    <row r="78" spans="1:3">
      <c r="A78" s="24"/>
      <c r="B78" s="24"/>
      <c r="C78" s="55"/>
    </row>
    <row r="79" spans="1:3">
      <c r="A79" s="24"/>
      <c r="B79" s="24"/>
      <c r="C79" s="55"/>
    </row>
  </sheetData>
  <mergeCells count="1">
    <mergeCell ref="B77:C77"/>
  </mergeCells>
  <pageMargins left="0.7" right="0.7" top="0.75" bottom="0.75" header="0.3" footer="0.3"/>
  <pageSetup orientation="portrait" horizontalDpi="1200" verticalDpi="1200"/>
  <legacyDrawing r:id="rId1"/>
  <tableParts count="2">
    <tablePart r:id="rId2"/>
    <tablePart r:id="rId3"/>
  </tablePart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kument" ma:contentTypeID="0x0101001E87AD8AD2D7E04FA9AB4C9431D6D3A2" ma:contentTypeVersion="10" ma:contentTypeDescription="Opret et nyt dokument." ma:contentTypeScope="" ma:versionID="0d6085ccc12a7587e94968d797bf732a">
  <xsd:schema xmlns:xsd="http://www.w3.org/2001/XMLSchema" xmlns:xs="http://www.w3.org/2001/XMLSchema" xmlns:p="http://schemas.microsoft.com/office/2006/metadata/properties" xmlns:ns3="fb3f01c3-7657-47ac-91fe-aaf76832b51e" targetNamespace="http://schemas.microsoft.com/office/2006/metadata/properties" ma:root="true" ma:fieldsID="3b11d78b17dae0e4bb7b5e466fcad467" ns3:_="">
    <xsd:import namespace="fb3f01c3-7657-47ac-91fe-aaf76832b51e"/>
    <xsd:element name="properties">
      <xsd:complexType>
        <xsd:sequence>
          <xsd:element name="documentManagement">
            <xsd:complexType>
              <xsd:all>
                <xsd:element ref="ns3:MediaServiceMetadata" minOccurs="0"/>
                <xsd:element ref="ns3:MediaServiceFastMetadata" minOccurs="0"/>
                <xsd:element ref="ns3:MediaServiceDateTaken" minOccurs="0"/>
                <xsd:element ref="ns3:MediaLengthInSeconds" minOccurs="0"/>
                <xsd:element ref="ns3:MediaServiceAutoTags" minOccurs="0"/>
                <xsd:element ref="ns3:MediaServiceOCR" minOccurs="0"/>
                <xsd:element ref="ns3:MediaServiceGenerationTime" minOccurs="0"/>
                <xsd:element ref="ns3:MediaServiceEventHashCode" minOccurs="0"/>
                <xsd:element ref="ns3:MediaServiceLocation" minOccurs="0"/>
                <xsd:element ref="ns3:_activity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b3f01c3-7657-47ac-91fe-aaf76832b51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DateTaken" ma:index="10" nillable="true" ma:displayName="MediaServiceDateTaken" ma:hidden="true" ma:internalName="MediaServiceDateTaken" ma:readOnly="true">
      <xsd:simpleType>
        <xsd:restriction base="dms:Text"/>
      </xsd:simpleType>
    </xsd:element>
    <xsd:element name="MediaLengthInSeconds" ma:index="11" nillable="true" ma:displayName="MediaLengthInSeconds" ma:hidden="true" ma:internalName="MediaLengthInSeconds" ma:readOnly="true">
      <xsd:simpleType>
        <xsd:restriction base="dms:Unknown"/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OCR" ma:index="13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4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5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6" nillable="true" ma:displayName="Location" ma:internalName="MediaServiceLocation" ma:readOnly="true">
      <xsd:simpleType>
        <xsd:restriction base="dms:Text"/>
      </xsd:simpleType>
    </xsd:element>
    <xsd:element name="_activity" ma:index="17" nillable="true" ma:displayName="_activity" ma:hidden="true" ma:internalName="_activity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Indholdstype"/>
        <xsd:element ref="dc:title" minOccurs="0" maxOccurs="1" ma:index="4" ma:displayName="Titel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_activity xmlns="fb3f01c3-7657-47ac-91fe-aaf76832b51e" xsi:nil="true"/>
  </documentManagement>
</p:properties>
</file>

<file path=customXml/itemProps1.xml><?xml version="1.0" encoding="utf-8"?>
<ds:datastoreItem xmlns:ds="http://schemas.openxmlformats.org/officeDocument/2006/customXml" ds:itemID="{8750315B-0A6B-4949-948D-199B208F13DA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E8238613-470F-49BB-B2E2-DA600A6A49C2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b3f01c3-7657-47ac-91fe-aaf76832b51e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37C00AE5-FB42-481F-9239-6A21331ABDBA}">
  <ds:schemaRefs>
    <ds:schemaRef ds:uri="fb3f01c3-7657-47ac-91fe-aaf76832b51e"/>
    <ds:schemaRef ds:uri="http://purl.org/dc/terms/"/>
    <ds:schemaRef ds:uri="http://schemas.openxmlformats.org/package/2006/metadata/core-properties"/>
    <ds:schemaRef ds:uri="http://schemas.microsoft.com/office/2006/documentManagement/types"/>
    <ds:schemaRef ds:uri="http://schemas.microsoft.com/office/infopath/2007/PartnerControls"/>
    <ds:schemaRef ds:uri="http://purl.org/dc/elements/1.1/"/>
    <ds:schemaRef ds:uri="http://schemas.microsoft.com/office/2006/metadata/properties"/>
    <ds:schemaRef ds:uri="http://www.w3.org/XML/1998/namespace"/>
    <ds:schemaRef ds:uri="http://purl.org/dc/dcmitype/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Gasoline and electric vehicles</vt:lpstr>
      <vt:lpstr>Processes</vt:lpstr>
      <vt:lpstr>Input for Students</vt:lpstr>
    </vt:vector>
  </TitlesOfParts>
  <Company>University of Michigan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Olivier Jolliet</dc:creator>
  <cp:lastModifiedBy>Olivier Jolliet</cp:lastModifiedBy>
  <dcterms:created xsi:type="dcterms:W3CDTF">2018-03-14T16:19:16Z</dcterms:created>
  <dcterms:modified xsi:type="dcterms:W3CDTF">2023-03-16T20:57:05Z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0x0101001E87AD8AD2D7E04FA9AB4C9431D6D3A2</vt:lpwstr>
  </property>
</Properties>
</file>