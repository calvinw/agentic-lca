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ruthle/Downloads/"/>
    </mc:Choice>
  </mc:AlternateContent>
  <xr:revisionPtr revIDLastSave="0" documentId="13_ncr:1_{5AA20224-03BD-1846-9200-04BC419C599F}" xr6:coauthVersionLast="47" xr6:coauthVersionMax="47" xr10:uidLastSave="{00000000-0000-0000-0000-000000000000}"/>
  <bookViews>
    <workbookView xWindow="28800" yWindow="500" windowWidth="32000" windowHeight="17500" xr2:uid="{00000000-000D-0000-FFFF-FFFF00000000}"/>
  </bookViews>
  <sheets>
    <sheet name="Hand dry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6" i="1" l="1"/>
  <c r="J34" i="1"/>
  <c r="J32" i="1"/>
  <c r="J30" i="1"/>
  <c r="J28" i="1"/>
  <c r="J25" i="1"/>
  <c r="E36" i="1" l="1"/>
  <c r="J36" i="1" s="1"/>
  <c r="J12" i="1"/>
  <c r="J6" i="1"/>
  <c r="J11" i="1" l="1"/>
  <c r="E18" i="1" l="1"/>
  <c r="J7" i="1"/>
  <c r="J9" i="1"/>
  <c r="J14" i="1"/>
  <c r="H18" i="1"/>
  <c r="J16" i="1" l="1"/>
  <c r="J18" i="1"/>
  <c r="H20" i="1"/>
  <c r="E20" i="1"/>
  <c r="F20" i="1" l="1"/>
  <c r="F32" i="1"/>
  <c r="F28" i="1"/>
  <c r="F30" i="1"/>
  <c r="F25" i="1"/>
  <c r="F34" i="1"/>
  <c r="F36" i="1"/>
  <c r="I20" i="1"/>
  <c r="I32" i="1"/>
  <c r="I28" i="1"/>
  <c r="I30" i="1"/>
  <c r="I25" i="1"/>
  <c r="I34" i="1"/>
  <c r="I36" i="1"/>
  <c r="F12" i="1"/>
  <c r="F17" i="1"/>
  <c r="J20" i="1"/>
  <c r="I12" i="1"/>
  <c r="I9" i="1"/>
  <c r="I18" i="1"/>
  <c r="I16" i="1"/>
  <c r="I14" i="1"/>
  <c r="I7" i="1"/>
  <c r="I6" i="1"/>
  <c r="I11" i="1"/>
  <c r="F14" i="1"/>
  <c r="F7" i="1"/>
  <c r="F6" i="1"/>
  <c r="F11" i="1"/>
  <c r="F9" i="1"/>
  <c r="F16" i="1"/>
  <c r="F18" i="1"/>
</calcChain>
</file>

<file path=xl/sharedStrings.xml><?xml version="1.0" encoding="utf-8"?>
<sst xmlns="http://schemas.openxmlformats.org/spreadsheetml/2006/main" count="73" uniqueCount="42">
  <si>
    <t>Unit</t>
  </si>
  <si>
    <t>kg</t>
  </si>
  <si>
    <t>kWh</t>
  </si>
  <si>
    <t>Materials</t>
  </si>
  <si>
    <t>Processing</t>
  </si>
  <si>
    <t>Energy/Unit  [MJ/Unit]</t>
  </si>
  <si>
    <t>Use phase</t>
  </si>
  <si>
    <t>Disposal</t>
  </si>
  <si>
    <t>Total</t>
  </si>
  <si>
    <t>kg/t conversion factor</t>
  </si>
  <si>
    <t>fraction</t>
  </si>
  <si>
    <t>Transportation</t>
  </si>
  <si>
    <t>Energy per FU [MJ/FU]</t>
  </si>
  <si>
    <t>Check g CO2/MJ</t>
  </si>
  <si>
    <t>g/kg</t>
  </si>
  <si>
    <t>PP plastic (dispenser)</t>
  </si>
  <si>
    <t>Paper (towel)</t>
  </si>
  <si>
    <t>-</t>
  </si>
  <si>
    <t>Towel incineration</t>
  </si>
  <si>
    <t>PP Plastic dispenser manufacturing</t>
  </si>
  <si>
    <t>t-km</t>
  </si>
  <si>
    <t>Towel energy recovery (extra credit)</t>
  </si>
  <si>
    <t>Quantity per FU</t>
  </si>
  <si>
    <t>Towel - 100 km truck 3.5t</t>
  </si>
  <si>
    <t>Dispenser - 2000 km truck 32t</t>
  </si>
  <si>
    <t>Electric air drying                                           FU= 1 pair of dried hands                            Life Cycle stage</t>
  </si>
  <si>
    <t>Electricity</t>
  </si>
  <si>
    <t>Cast Iron air dryer</t>
  </si>
  <si>
    <t>Steel air dryer</t>
  </si>
  <si>
    <t>Air Dryer manufacturing</t>
  </si>
  <si>
    <t>Air dryer - 2000 km truck 32t</t>
  </si>
  <si>
    <t>Drying device at landfill</t>
  </si>
  <si>
    <t xml:space="preserve">Result discussion </t>
  </si>
  <si>
    <t>3b.Air dryer- dominant contributions</t>
  </si>
  <si>
    <t>3c. Comparison between scenarios</t>
  </si>
  <si>
    <t xml:space="preserve">4. Interpretation of ratios gCO2/MJ </t>
  </si>
  <si>
    <t xml:space="preserve">3a.Towel - dominant contributions </t>
  </si>
  <si>
    <t>5. Importance of heat recovery and electricity substitution related to towel incineration</t>
  </si>
  <si>
    <t>Towel hand drying                        FU= 1 pair of dried hands                            Life Cycle stage</t>
  </si>
  <si>
    <t>CO2/Unit [kg/unit]</t>
  </si>
  <si>
    <t>CO2/FU</t>
  </si>
  <si>
    <t>fraction2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</si>
</sst>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6"/>
      <color theme="1"/>
      <name val="Arial"/>
      <family val="2"/>
    </font>
    <font>
      <sz val="16"/>
      <color rgb="FFFF0000"/>
      <name val="Arial"/>
      <family val="2"/>
    </font>
    <font>
      <b/>
      <sz val="1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/>
    </xf>
    <xf numFmtId="0" fontId="2" fillId="2" borderId="0" xfId="0" applyFont="1" applyFill="1" applyBorder="1"/>
    <xf numFmtId="0" fontId="1" fillId="0" borderId="0" xfId="0" applyFont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2" fillId="2" borderId="2" xfId="0" applyFont="1" applyFill="1" applyBorder="1"/>
    <xf numFmtId="0" fontId="1" fillId="0" borderId="2" xfId="0" applyFont="1" applyBorder="1"/>
    <xf numFmtId="0" fontId="2" fillId="2" borderId="4" xfId="0" applyFont="1" applyFill="1" applyBorder="1"/>
    <xf numFmtId="0" fontId="1" fillId="0" borderId="4" xfId="0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2" fillId="2" borderId="8" xfId="0" applyFont="1" applyFill="1" applyBorder="1"/>
    <xf numFmtId="165" fontId="1" fillId="0" borderId="8" xfId="0" applyNumberFormat="1" applyFont="1" applyFill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1" fontId="1" fillId="0" borderId="0" xfId="0" applyNumberFormat="1" applyFont="1"/>
    <xf numFmtId="0" fontId="3" fillId="0" borderId="0" xfId="0" applyFont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3" borderId="2" xfId="0" applyFont="1" applyFill="1" applyBorder="1"/>
    <xf numFmtId="0" fontId="1" fillId="3" borderId="4" xfId="0" applyFont="1" applyFill="1" applyBorder="1" applyAlignment="1">
      <alignment horizontal="center"/>
    </xf>
    <xf numFmtId="165" fontId="1" fillId="3" borderId="8" xfId="0" applyNumberFormat="1" applyFont="1" applyFill="1" applyBorder="1" applyAlignment="1">
      <alignment horizontal="center"/>
    </xf>
    <xf numFmtId="0" fontId="1" fillId="3" borderId="0" xfId="0" applyFont="1" applyFill="1"/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0" borderId="14" xfId="0" applyFont="1" applyBorder="1"/>
    <xf numFmtId="0" fontId="1" fillId="0" borderId="15" xfId="0" applyFont="1" applyBorder="1"/>
    <xf numFmtId="0" fontId="1" fillId="0" borderId="15" xfId="0" applyFont="1" applyBorder="1" applyAlignment="1">
      <alignment horizontal="center"/>
    </xf>
    <xf numFmtId="0" fontId="1" fillId="0" borderId="0" xfId="0" applyFont="1" applyAlignment="1">
      <alignment wrapText="1"/>
    </xf>
    <xf numFmtId="0" fontId="3" fillId="0" borderId="0" xfId="0" applyFont="1"/>
    <xf numFmtId="0" fontId="1" fillId="0" borderId="15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" fontId="2" fillId="2" borderId="16" xfId="0" applyNumberFormat="1" applyFont="1" applyFill="1" applyBorder="1"/>
    <xf numFmtId="1" fontId="1" fillId="3" borderId="16" xfId="0" applyNumberFormat="1" applyFont="1" applyFill="1" applyBorder="1" applyAlignment="1">
      <alignment horizontal="center"/>
    </xf>
    <xf numFmtId="1" fontId="1" fillId="0" borderId="16" xfId="0" applyNumberFormat="1" applyFont="1" applyBorder="1" applyAlignment="1">
      <alignment horizontal="center"/>
    </xf>
    <xf numFmtId="1" fontId="1" fillId="2" borderId="16" xfId="0" applyNumberFormat="1" applyFont="1" applyFill="1" applyBorder="1" applyAlignment="1">
      <alignment horizontal="center"/>
    </xf>
    <xf numFmtId="0" fontId="1" fillId="0" borderId="3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1" fontId="1" fillId="0" borderId="17" xfId="0" applyNumberFormat="1" applyFont="1" applyBorder="1" applyAlignment="1">
      <alignment vertical="top" wrapText="1"/>
    </xf>
    <xf numFmtId="0" fontId="1" fillId="0" borderId="4" xfId="0" quotePrefix="1" applyFont="1" applyBorder="1" applyAlignment="1">
      <alignment horizontal="center"/>
    </xf>
    <xf numFmtId="2" fontId="3" fillId="0" borderId="4" xfId="0" applyNumberFormat="1" applyFont="1" applyBorder="1" applyAlignment="1">
      <alignment horizontal="center"/>
    </xf>
    <xf numFmtId="2" fontId="1" fillId="0" borderId="8" xfId="0" applyNumberFormat="1" applyFont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2" fontId="3" fillId="0" borderId="0" xfId="0" applyNumberFormat="1" applyFont="1" applyBorder="1" applyAlignment="1">
      <alignment horizontal="center"/>
    </xf>
    <xf numFmtId="0" fontId="1" fillId="0" borderId="18" xfId="0" applyFont="1" applyBorder="1" applyAlignment="1">
      <alignment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  <xf numFmtId="0" fontId="1" fillId="0" borderId="7" xfId="0" applyFont="1" applyBorder="1" applyAlignment="1"/>
    <xf numFmtId="0" fontId="0" fillId="0" borderId="7" xfId="0" applyBorder="1" applyAlignment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border diagonalUp="0" diagonalDown="0">
        <left/>
        <right style="medium">
          <color auto="1"/>
        </right>
        <top/>
        <bottom/>
        <vertical/>
        <horizontal/>
      </border>
    </dxf>
    <dxf>
      <border outline="0">
        <bottom style="medium">
          <color auto="1"/>
        </bottom>
      </border>
    </dxf>
    <dxf>
      <border outline="0"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numFmt numFmtId="165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medium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numFmt numFmtId="165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medium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border diagonalUp="0" diagonalDown="0">
        <left style="medium">
          <color auto="1"/>
        </left>
        <right style="medium">
          <color auto="1"/>
        </right>
        <top/>
        <bottom style="thin">
          <color auto="1"/>
        </bottom>
        <vertical/>
        <horizontal/>
      </border>
    </dxf>
    <dxf>
      <border outline="0">
        <bottom style="medium">
          <color auto="1"/>
        </bottom>
      </border>
    </dxf>
    <dxf>
      <border outline="0">
        <right style="medium">
          <color auto="1"/>
        </right>
        <top style="medium">
          <color auto="1"/>
        </top>
        <bottom style="medium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622B1F-B893-D64B-AFF9-BFB037ABA94B}" name="Towel_hand_drying_cycle_stage" displayName="Towel_hand_drying_cycle_stage" ref="A4:J20" totalsRowShown="0" headerRowBorderDxfId="16" tableBorderDxfId="17">
  <autoFilter ref="A4:J20" xr:uid="{17622B1F-B893-D64B-AFF9-BFB037ABA94B}"/>
  <tableColumns count="10">
    <tableColumn id="1" xr3:uid="{70A284C2-3069-7148-8782-2958C8093B14}" name="Towel hand drying                        FU= 1 pair of dried hands                            Life Cycle stage" dataDxfId="15"/>
    <tableColumn id="2" xr3:uid="{01F3DCB3-DBD1-0C49-8F67-7F3FC6AFD7C3}" name="Quantity per FU" dataDxfId="14"/>
    <tableColumn id="3" xr3:uid="{6043809E-D973-D545-89A2-817D12DB2390}" name="Unit" dataDxfId="13"/>
    <tableColumn id="4" xr3:uid="{EA57D642-3E48-5E44-AEAA-2D93CB00FCE1}" name="Energy/Unit  [MJ/Unit]" dataDxfId="12"/>
    <tableColumn id="5" xr3:uid="{DC52BFDB-7FD8-FE45-996E-D52CBD67571D}" name="Energy per FU [MJ/FU]" dataDxfId="11"/>
    <tableColumn id="6" xr3:uid="{65F86120-D855-3C4C-A660-21099CB5C36F}" name="fraction" dataDxfId="10">
      <calculatedColumnFormula>E5/E$20</calculatedColumnFormula>
    </tableColumn>
    <tableColumn id="7" xr3:uid="{9C044CBF-90C6-A641-8A0A-7D47543131E5}" name="CO2/Unit [kg/unit]" dataDxfId="9"/>
    <tableColumn id="8" xr3:uid="{1D2CF11B-A5B8-ED4B-B41D-230D0966AD3C}" name="CO2/FU" dataDxfId="8"/>
    <tableColumn id="9" xr3:uid="{216599B2-AB67-DD4F-89CE-74251AE28A09}" name="fraction2" dataDxfId="7"/>
    <tableColumn id="10" xr3:uid="{64DF9849-EA6B-154C-B068-ED8DE8689C2F}" name="Check g CO2/MJ" dataDxfId="6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This table provides learners with an opportunity to fill in the template for Energy and Carbon Dioxide balance for hands drying with towels. _x000a_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0DDE04-0C48-4F41-AF65-114384B91471}" name="electric_hand_drying_cycle_stage" displayName="electric_hand_drying_cycle_stage" ref="A23:J36" totalsRowShown="0" headerRowBorderDxfId="4" tableBorderDxfId="5">
  <autoFilter ref="A23:J36" xr:uid="{890DDE04-0C48-4F41-AF65-114384B91471}"/>
  <tableColumns count="10">
    <tableColumn id="1" xr3:uid="{B7CC28F6-9415-A242-A373-D700668C164E}" name="Electric air drying                                           FU= 1 pair of dried hands                            Life Cycle stage" dataDxfId="3"/>
    <tableColumn id="2" xr3:uid="{22B32818-45C4-8C4E-92DB-F8A614CEE59F}" name="Quantity per FU"/>
    <tableColumn id="3" xr3:uid="{2FAF81C9-F481-3A42-80CD-7C4804984282}" name="Unit" dataDxfId="2"/>
    <tableColumn id="4" xr3:uid="{6E334B55-7C53-EC42-A1B6-16C2B6FA2E9C}" name="Energy/Unit  [MJ/Unit]" dataDxfId="1"/>
    <tableColumn id="5" xr3:uid="{44F779C3-74F6-964D-88D6-F48D89C9424F}" name="Energy per FU [MJ/FU]"/>
    <tableColumn id="6" xr3:uid="{808A05D3-65AA-1044-9CF9-40AA69C74705}" name="fraction"/>
    <tableColumn id="7" xr3:uid="{F24B4826-A077-BC4F-A000-57D5058A8312}" name="CO2/Unit [kg/unit]"/>
    <tableColumn id="8" xr3:uid="{4060BFAD-D975-E441-A7B4-BAF2677C0E7A}" name="CO2/FU"/>
    <tableColumn id="9" xr3:uid="{47F77447-E878-0445-BF5E-E45282F1BC34}" name="fraction2"/>
    <tableColumn id="10" xr3:uid="{C3AB2B7E-611F-D142-B2BC-CAAB996A6C8A}" name="Check g CO2/MJ" dataDxfId="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This table provides learners with an opportunity to fill in the template for Energy and Carbon Dioxide balance for electric air appliances. 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tabSelected="1" topLeftCell="A10" zoomScale="80" zoomScaleNormal="80" workbookViewId="0">
      <selection activeCell="B43" sqref="B43:F43"/>
    </sheetView>
  </sheetViews>
  <sheetFormatPr baseColWidth="10" defaultColWidth="30.6640625" defaultRowHeight="20" x14ac:dyDescent="0.2"/>
  <cols>
    <col min="1" max="1" width="51.1640625" style="1" customWidth="1"/>
    <col min="2" max="2" width="13" style="1" customWidth="1"/>
    <col min="3" max="3" width="13.33203125" style="1" customWidth="1"/>
    <col min="4" max="5" width="16.1640625" style="1" customWidth="1"/>
    <col min="6" max="6" width="23.6640625" style="1" customWidth="1"/>
    <col min="7" max="7" width="15.83203125" style="1" customWidth="1"/>
    <col min="8" max="8" width="14.6640625" style="1" customWidth="1"/>
    <col min="9" max="9" width="23.6640625" style="1" customWidth="1"/>
    <col min="10" max="10" width="30.6640625" style="19"/>
    <col min="11" max="16384" width="30.6640625" style="1"/>
  </cols>
  <sheetData>
    <row r="1" spans="1:10" x14ac:dyDescent="0.2">
      <c r="A1" s="32" t="s">
        <v>9</v>
      </c>
      <c r="B1" s="33">
        <v>1000</v>
      </c>
    </row>
    <row r="2" spans="1:10" x14ac:dyDescent="0.2">
      <c r="A2" s="32" t="s">
        <v>14</v>
      </c>
      <c r="B2" s="33">
        <v>1000</v>
      </c>
    </row>
    <row r="4" spans="1:10" s="2" customFormat="1" ht="63" customHeight="1" thickBot="1" x14ac:dyDescent="0.25">
      <c r="A4" s="43" t="s">
        <v>38</v>
      </c>
      <c r="B4" s="44" t="s">
        <v>22</v>
      </c>
      <c r="C4" s="45" t="s">
        <v>0</v>
      </c>
      <c r="D4" s="44" t="s">
        <v>5</v>
      </c>
      <c r="E4" s="45" t="s">
        <v>12</v>
      </c>
      <c r="F4" s="46" t="s">
        <v>10</v>
      </c>
      <c r="G4" s="44" t="s">
        <v>39</v>
      </c>
      <c r="H4" s="44" t="s">
        <v>40</v>
      </c>
      <c r="I4" s="46" t="s">
        <v>41</v>
      </c>
      <c r="J4" s="47" t="s">
        <v>13</v>
      </c>
    </row>
    <row r="5" spans="1:10" x14ac:dyDescent="0.2">
      <c r="A5" s="7" t="s">
        <v>3</v>
      </c>
      <c r="B5" s="4"/>
      <c r="C5" s="9"/>
      <c r="D5" s="4"/>
      <c r="E5" s="9"/>
      <c r="F5" s="15"/>
      <c r="G5" s="4"/>
      <c r="H5" s="4"/>
      <c r="I5" s="15"/>
      <c r="J5" s="39"/>
    </row>
    <row r="6" spans="1:10" s="26" customFormat="1" x14ac:dyDescent="0.2">
      <c r="A6" s="23" t="s">
        <v>16</v>
      </c>
      <c r="B6" s="22"/>
      <c r="C6" s="24" t="s">
        <v>1</v>
      </c>
      <c r="D6" s="22"/>
      <c r="E6" s="24"/>
      <c r="F6" s="25" t="e">
        <f>E6/E$20</f>
        <v>#DIV/0!</v>
      </c>
      <c r="G6" s="22"/>
      <c r="H6" s="22"/>
      <c r="I6" s="25" t="e">
        <f>H6/H$20</f>
        <v>#DIV/0!</v>
      </c>
      <c r="J6" s="40" t="e">
        <f>H6/E6*$B$2</f>
        <v>#DIV/0!</v>
      </c>
    </row>
    <row r="7" spans="1:10" x14ac:dyDescent="0.2">
      <c r="A7" s="8" t="s">
        <v>15</v>
      </c>
      <c r="B7" s="5"/>
      <c r="C7" s="10" t="s">
        <v>1</v>
      </c>
      <c r="D7" s="5"/>
      <c r="E7" s="10"/>
      <c r="F7" s="17" t="e">
        <f>E7/E$20</f>
        <v>#DIV/0!</v>
      </c>
      <c r="G7" s="5"/>
      <c r="H7" s="5"/>
      <c r="I7" s="17" t="e">
        <f>H7/H$20</f>
        <v>#DIV/0!</v>
      </c>
      <c r="J7" s="41" t="e">
        <f>H7/E7*$B$2</f>
        <v>#DIV/0!</v>
      </c>
    </row>
    <row r="8" spans="1:10" x14ac:dyDescent="0.2">
      <c r="A8" s="7" t="s">
        <v>4</v>
      </c>
      <c r="B8" s="6"/>
      <c r="C8" s="11"/>
      <c r="D8" s="6"/>
      <c r="E8" s="11"/>
      <c r="F8" s="18"/>
      <c r="G8" s="6"/>
      <c r="H8" s="6"/>
      <c r="I8" s="18"/>
      <c r="J8" s="42"/>
    </row>
    <row r="9" spans="1:10" x14ac:dyDescent="0.2">
      <c r="A9" s="8" t="s">
        <v>19</v>
      </c>
      <c r="B9" s="5"/>
      <c r="C9" s="10" t="s">
        <v>1</v>
      </c>
      <c r="D9" s="5">
        <v>27.1</v>
      </c>
      <c r="E9" s="10"/>
      <c r="F9" s="17" t="e">
        <f>E9/E$20</f>
        <v>#DIV/0!</v>
      </c>
      <c r="G9" s="5">
        <v>1.24</v>
      </c>
      <c r="H9" s="5"/>
      <c r="I9" s="17" t="e">
        <f>H9/H$20</f>
        <v>#DIV/0!</v>
      </c>
      <c r="J9" s="41" t="e">
        <f>H9/E9*$B$2</f>
        <v>#DIV/0!</v>
      </c>
    </row>
    <row r="10" spans="1:10" x14ac:dyDescent="0.2">
      <c r="A10" s="7" t="s">
        <v>11</v>
      </c>
      <c r="B10" s="6"/>
      <c r="C10" s="11"/>
      <c r="D10" s="6"/>
      <c r="E10" s="11"/>
      <c r="F10" s="18"/>
      <c r="G10" s="6"/>
      <c r="H10" s="6"/>
      <c r="I10" s="18"/>
      <c r="J10" s="42"/>
    </row>
    <row r="11" spans="1:10" x14ac:dyDescent="0.2">
      <c r="A11" s="8" t="s">
        <v>23</v>
      </c>
      <c r="B11" s="22"/>
      <c r="C11" s="10" t="s">
        <v>20</v>
      </c>
      <c r="D11" s="22"/>
      <c r="E11" s="14"/>
      <c r="F11" s="17" t="e">
        <f>E11/E$20</f>
        <v>#DIV/0!</v>
      </c>
      <c r="G11" s="22"/>
      <c r="H11" s="5"/>
      <c r="I11" s="17" t="e">
        <f>H11/H$20</f>
        <v>#DIV/0!</v>
      </c>
      <c r="J11" s="41" t="e">
        <f>H11/E11*$B$2</f>
        <v>#DIV/0!</v>
      </c>
    </row>
    <row r="12" spans="1:10" x14ac:dyDescent="0.2">
      <c r="A12" s="8" t="s">
        <v>24</v>
      </c>
      <c r="B12" s="22"/>
      <c r="C12" s="10" t="s">
        <v>20</v>
      </c>
      <c r="D12" s="22"/>
      <c r="E12" s="14"/>
      <c r="F12" s="17" t="e">
        <f>E12/E$20</f>
        <v>#DIV/0!</v>
      </c>
      <c r="G12" s="22"/>
      <c r="H12" s="5"/>
      <c r="I12" s="17" t="e">
        <f>H12/H$20</f>
        <v>#DIV/0!</v>
      </c>
      <c r="J12" s="41" t="e">
        <f>H12/E12*$B$2</f>
        <v>#DIV/0!</v>
      </c>
    </row>
    <row r="13" spans="1:10" x14ac:dyDescent="0.2">
      <c r="A13" s="7" t="s">
        <v>6</v>
      </c>
      <c r="B13" s="6"/>
      <c r="C13" s="11"/>
      <c r="D13" s="6"/>
      <c r="E13" s="11"/>
      <c r="F13" s="18"/>
      <c r="G13" s="6"/>
      <c r="H13" s="6"/>
      <c r="I13" s="18"/>
      <c r="J13" s="42"/>
    </row>
    <row r="14" spans="1:10" x14ac:dyDescent="0.2">
      <c r="A14" s="8" t="s">
        <v>17</v>
      </c>
      <c r="B14" s="22"/>
      <c r="C14" s="10"/>
      <c r="D14" s="5"/>
      <c r="E14" s="21"/>
      <c r="F14" s="16" t="e">
        <f>E14/E$20</f>
        <v>#DIV/0!</v>
      </c>
      <c r="G14" s="5"/>
      <c r="H14" s="20"/>
      <c r="I14" s="17" t="e">
        <f>H14/H$20</f>
        <v>#DIV/0!</v>
      </c>
      <c r="J14" s="41" t="e">
        <f>H14/E14*$B$2</f>
        <v>#DIV/0!</v>
      </c>
    </row>
    <row r="15" spans="1:10" x14ac:dyDescent="0.2">
      <c r="A15" s="7" t="s">
        <v>7</v>
      </c>
      <c r="B15" s="6"/>
      <c r="C15" s="11"/>
      <c r="D15" s="6"/>
      <c r="E15" s="11"/>
      <c r="F15" s="18"/>
      <c r="G15" s="6"/>
      <c r="H15" s="6"/>
      <c r="I15" s="18"/>
      <c r="J15" s="42"/>
    </row>
    <row r="16" spans="1:10" x14ac:dyDescent="0.2">
      <c r="A16" s="31" t="s">
        <v>15</v>
      </c>
      <c r="B16" s="5"/>
      <c r="C16" s="10" t="s">
        <v>1</v>
      </c>
      <c r="D16" s="5"/>
      <c r="E16" s="10"/>
      <c r="F16" s="17" t="e">
        <f>E16/E$20</f>
        <v>#DIV/0!</v>
      </c>
      <c r="G16" s="5"/>
      <c r="H16" s="5"/>
      <c r="I16" s="17" t="e">
        <f>H16/H$20</f>
        <v>#DIV/0!</v>
      </c>
      <c r="J16" s="41" t="e">
        <f>H16/E16*$B$2</f>
        <v>#DIV/0!</v>
      </c>
    </row>
    <row r="17" spans="1:10" x14ac:dyDescent="0.2">
      <c r="A17" s="8" t="s">
        <v>18</v>
      </c>
      <c r="B17" s="5"/>
      <c r="C17" s="10" t="s">
        <v>1</v>
      </c>
      <c r="D17" s="5"/>
      <c r="E17" s="10"/>
      <c r="F17" s="17" t="e">
        <f>E17/E$20</f>
        <v>#DIV/0!</v>
      </c>
      <c r="G17" s="5"/>
      <c r="H17" s="5"/>
      <c r="I17" s="17"/>
      <c r="J17" s="41"/>
    </row>
    <row r="18" spans="1:10" x14ac:dyDescent="0.2">
      <c r="A18" s="12" t="s">
        <v>21</v>
      </c>
      <c r="B18" s="5"/>
      <c r="C18" s="10" t="s">
        <v>2</v>
      </c>
      <c r="D18" s="5">
        <v>-12.1</v>
      </c>
      <c r="E18" s="10">
        <f t="shared" ref="E18:H18" si="0">D18*$B18</f>
        <v>0</v>
      </c>
      <c r="F18" s="17" t="e">
        <f>E18/E$20</f>
        <v>#DIV/0!</v>
      </c>
      <c r="G18" s="13">
        <v>-0.71</v>
      </c>
      <c r="H18" s="13">
        <f t="shared" si="0"/>
        <v>0</v>
      </c>
      <c r="I18" s="17" t="e">
        <f>H18/H$20</f>
        <v>#DIV/0!</v>
      </c>
      <c r="J18" s="41" t="e">
        <f>H18/E18*$B$2</f>
        <v>#DIV/0!</v>
      </c>
    </row>
    <row r="19" spans="1:10" x14ac:dyDescent="0.2">
      <c r="A19" s="7" t="s">
        <v>8</v>
      </c>
      <c r="B19" s="27"/>
      <c r="C19" s="28"/>
      <c r="D19" s="29"/>
      <c r="E19" s="28"/>
      <c r="F19" s="30"/>
      <c r="G19" s="6"/>
      <c r="H19" s="6"/>
      <c r="I19" s="18"/>
      <c r="J19" s="42"/>
    </row>
    <row r="20" spans="1:10" x14ac:dyDescent="0.2">
      <c r="A20" s="8" t="s">
        <v>8</v>
      </c>
      <c r="B20" s="5"/>
      <c r="C20" s="48" t="s">
        <v>17</v>
      </c>
      <c r="D20" s="5"/>
      <c r="E20" s="49">
        <f>SUM(E6:E18)</f>
        <v>0</v>
      </c>
      <c r="F20" s="50" t="e">
        <f>E20/E$20</f>
        <v>#DIV/0!</v>
      </c>
      <c r="G20" s="51"/>
      <c r="H20" s="52">
        <f>SUM(H6:H18)</f>
        <v>0</v>
      </c>
      <c r="I20" s="50" t="e">
        <f>H20/H$20</f>
        <v>#DIV/0!</v>
      </c>
      <c r="J20" s="41" t="e">
        <f>H20/E20*$B$2</f>
        <v>#DIV/0!</v>
      </c>
    </row>
    <row r="21" spans="1:10" x14ac:dyDescent="0.2">
      <c r="C21" s="3"/>
      <c r="D21" s="3"/>
      <c r="E21" s="3"/>
      <c r="F21" s="3"/>
      <c r="G21" s="3"/>
      <c r="H21" s="3"/>
      <c r="I21" s="3"/>
    </row>
    <row r="22" spans="1:10" x14ac:dyDescent="0.2">
      <c r="C22" s="3"/>
      <c r="D22" s="3"/>
      <c r="E22" s="3"/>
      <c r="F22" s="3"/>
      <c r="G22" s="3"/>
      <c r="H22" s="3"/>
      <c r="I22" s="3"/>
    </row>
    <row r="23" spans="1:10" ht="43" thickBot="1" x14ac:dyDescent="0.25">
      <c r="A23" s="43" t="s">
        <v>25</v>
      </c>
      <c r="B23" s="44" t="s">
        <v>22</v>
      </c>
      <c r="C23" s="45" t="s">
        <v>0</v>
      </c>
      <c r="D23" s="44" t="s">
        <v>5</v>
      </c>
      <c r="E23" s="45" t="s">
        <v>12</v>
      </c>
      <c r="F23" s="46" t="s">
        <v>10</v>
      </c>
      <c r="G23" s="44" t="s">
        <v>39</v>
      </c>
      <c r="H23" s="44" t="s">
        <v>40</v>
      </c>
      <c r="I23" s="46" t="s">
        <v>41</v>
      </c>
      <c r="J23" s="47" t="s">
        <v>13</v>
      </c>
    </row>
    <row r="24" spans="1:10" x14ac:dyDescent="0.2">
      <c r="A24" s="7" t="s">
        <v>3</v>
      </c>
      <c r="B24" s="4"/>
      <c r="C24" s="9"/>
      <c r="D24" s="4"/>
      <c r="E24" s="9"/>
      <c r="F24" s="15"/>
      <c r="G24" s="4"/>
      <c r="H24" s="4"/>
      <c r="I24" s="15"/>
      <c r="J24" s="39"/>
    </row>
    <row r="25" spans="1:10" x14ac:dyDescent="0.2">
      <c r="A25" s="8" t="s">
        <v>27</v>
      </c>
      <c r="B25" s="5"/>
      <c r="C25" s="10" t="s">
        <v>1</v>
      </c>
      <c r="D25" s="5"/>
      <c r="E25" s="10"/>
      <c r="F25" s="17" t="e">
        <f>E25/E$20</f>
        <v>#DIV/0!</v>
      </c>
      <c r="G25" s="5"/>
      <c r="H25" s="5"/>
      <c r="I25" s="17" t="e">
        <f>H25/H$20</f>
        <v>#DIV/0!</v>
      </c>
      <c r="J25" s="41" t="e">
        <f>H25/E25*$B$2</f>
        <v>#DIV/0!</v>
      </c>
    </row>
    <row r="26" spans="1:10" x14ac:dyDescent="0.2">
      <c r="A26" s="8" t="s">
        <v>28</v>
      </c>
      <c r="B26" s="5"/>
      <c r="C26" s="10" t="s">
        <v>1</v>
      </c>
      <c r="D26" s="5"/>
      <c r="E26" s="10"/>
      <c r="F26" s="17"/>
      <c r="G26" s="5"/>
      <c r="H26" s="5"/>
      <c r="I26" s="17"/>
      <c r="J26" s="41"/>
    </row>
    <row r="27" spans="1:10" x14ac:dyDescent="0.2">
      <c r="A27" s="7" t="s">
        <v>4</v>
      </c>
      <c r="B27" s="6"/>
      <c r="C27" s="11"/>
      <c r="D27" s="6"/>
      <c r="E27" s="11"/>
      <c r="F27" s="18"/>
      <c r="G27" s="6"/>
      <c r="H27" s="6"/>
      <c r="I27" s="18"/>
      <c r="J27" s="42"/>
    </row>
    <row r="28" spans="1:10" x14ac:dyDescent="0.2">
      <c r="A28" s="8" t="s">
        <v>29</v>
      </c>
      <c r="B28" s="5"/>
      <c r="C28" s="10" t="s">
        <v>1</v>
      </c>
      <c r="D28" s="5">
        <v>27.1</v>
      </c>
      <c r="E28" s="10"/>
      <c r="F28" s="17" t="e">
        <f>E28/E$20</f>
        <v>#DIV/0!</v>
      </c>
      <c r="G28" s="5">
        <v>1.24</v>
      </c>
      <c r="H28" s="5"/>
      <c r="I28" s="17" t="e">
        <f>H28/H$20</f>
        <v>#DIV/0!</v>
      </c>
      <c r="J28" s="41" t="e">
        <f>H28/E28*$B$2</f>
        <v>#DIV/0!</v>
      </c>
    </row>
    <row r="29" spans="1:10" x14ac:dyDescent="0.2">
      <c r="A29" s="7" t="s">
        <v>11</v>
      </c>
      <c r="B29" s="6"/>
      <c r="C29" s="11"/>
      <c r="D29" s="6"/>
      <c r="E29" s="11"/>
      <c r="F29" s="18"/>
      <c r="G29" s="6"/>
      <c r="H29" s="6"/>
      <c r="I29" s="18"/>
      <c r="J29" s="42"/>
    </row>
    <row r="30" spans="1:10" x14ac:dyDescent="0.2">
      <c r="A30" s="8" t="s">
        <v>30</v>
      </c>
      <c r="B30" s="22"/>
      <c r="C30" s="10" t="s">
        <v>20</v>
      </c>
      <c r="D30" s="22"/>
      <c r="E30" s="14"/>
      <c r="F30" s="17" t="e">
        <f>E30/E$20</f>
        <v>#DIV/0!</v>
      </c>
      <c r="G30" s="22"/>
      <c r="H30" s="5"/>
      <c r="I30" s="17" t="e">
        <f>H30/H$20</f>
        <v>#DIV/0!</v>
      </c>
      <c r="J30" s="41" t="e">
        <f>H30/E30*$B$2</f>
        <v>#DIV/0!</v>
      </c>
    </row>
    <row r="31" spans="1:10" x14ac:dyDescent="0.2">
      <c r="A31" s="7" t="s">
        <v>6</v>
      </c>
      <c r="B31" s="6"/>
      <c r="C31" s="11"/>
      <c r="D31" s="6"/>
      <c r="E31" s="11"/>
      <c r="F31" s="18"/>
      <c r="G31" s="6"/>
      <c r="H31" s="6"/>
      <c r="I31" s="18"/>
      <c r="J31" s="42"/>
    </row>
    <row r="32" spans="1:10" x14ac:dyDescent="0.2">
      <c r="A32" s="8" t="s">
        <v>26</v>
      </c>
      <c r="B32" s="22"/>
      <c r="C32" s="10" t="s">
        <v>2</v>
      </c>
      <c r="D32" s="5"/>
      <c r="E32" s="21"/>
      <c r="F32" s="16" t="e">
        <f>E32/E$20</f>
        <v>#DIV/0!</v>
      </c>
      <c r="G32" s="5"/>
      <c r="H32" s="20"/>
      <c r="I32" s="17" t="e">
        <f>H32/H$20</f>
        <v>#DIV/0!</v>
      </c>
      <c r="J32" s="41" t="e">
        <f>H32/E32*$B$2</f>
        <v>#DIV/0!</v>
      </c>
    </row>
    <row r="33" spans="1:10" x14ac:dyDescent="0.2">
      <c r="A33" s="7" t="s">
        <v>7</v>
      </c>
      <c r="B33" s="6"/>
      <c r="C33" s="11"/>
      <c r="D33" s="6"/>
      <c r="E33" s="11"/>
      <c r="F33" s="18"/>
      <c r="G33" s="6"/>
      <c r="H33" s="6"/>
      <c r="I33" s="18"/>
      <c r="J33" s="42"/>
    </row>
    <row r="34" spans="1:10" x14ac:dyDescent="0.2">
      <c r="A34" s="31" t="s">
        <v>31</v>
      </c>
      <c r="B34" s="5"/>
      <c r="C34" s="10" t="s">
        <v>1</v>
      </c>
      <c r="D34" s="5"/>
      <c r="E34" s="10"/>
      <c r="F34" s="17" t="e">
        <f>E34/E$20</f>
        <v>#DIV/0!</v>
      </c>
      <c r="G34" s="5"/>
      <c r="H34" s="5"/>
      <c r="I34" s="17" t="e">
        <f>H34/H$20</f>
        <v>#DIV/0!</v>
      </c>
      <c r="J34" s="41" t="e">
        <f>H34/E34*$B$2</f>
        <v>#DIV/0!</v>
      </c>
    </row>
    <row r="35" spans="1:10" x14ac:dyDescent="0.2">
      <c r="A35" s="7" t="s">
        <v>8</v>
      </c>
      <c r="B35" s="27"/>
      <c r="C35" s="28"/>
      <c r="D35" s="29"/>
      <c r="E35" s="28"/>
      <c r="F35" s="30"/>
      <c r="G35" s="6"/>
      <c r="H35" s="6"/>
      <c r="I35" s="18"/>
      <c r="J35" s="42"/>
    </row>
    <row r="36" spans="1:10" x14ac:dyDescent="0.2">
      <c r="A36" s="8" t="s">
        <v>8</v>
      </c>
      <c r="B36" s="5"/>
      <c r="C36" s="48" t="s">
        <v>17</v>
      </c>
      <c r="D36" s="5"/>
      <c r="E36" s="49">
        <f>SUM(E25:E34)</f>
        <v>0</v>
      </c>
      <c r="F36" s="50" t="e">
        <f>E36/E$20</f>
        <v>#DIV/0!</v>
      </c>
      <c r="G36" s="51"/>
      <c r="H36" s="52">
        <f>SUM(H25:H34)</f>
        <v>0</v>
      </c>
      <c r="I36" s="50" t="e">
        <f>H36/H$20</f>
        <v>#DIV/0!</v>
      </c>
      <c r="J36" s="41" t="e">
        <f>H36/E36*$B$2</f>
        <v>#DIV/0!</v>
      </c>
    </row>
    <row r="38" spans="1:10" x14ac:dyDescent="0.2">
      <c r="A38" s="35" t="s">
        <v>32</v>
      </c>
      <c r="B38" s="56"/>
      <c r="C38" s="57"/>
      <c r="D38" s="57"/>
      <c r="E38" s="57"/>
      <c r="F38" s="57"/>
    </row>
    <row r="39" spans="1:10" ht="21" x14ac:dyDescent="0.2">
      <c r="A39" s="36" t="s">
        <v>36</v>
      </c>
      <c r="B39" s="53"/>
      <c r="C39" s="54"/>
      <c r="D39" s="54"/>
      <c r="E39" s="54"/>
      <c r="F39" s="55"/>
    </row>
    <row r="40" spans="1:10" ht="21" x14ac:dyDescent="0.2">
      <c r="A40" s="36" t="s">
        <v>33</v>
      </c>
      <c r="B40" s="53"/>
      <c r="C40" s="54"/>
      <c r="D40" s="54"/>
      <c r="E40" s="54"/>
      <c r="F40" s="55"/>
    </row>
    <row r="41" spans="1:10" ht="21" x14ac:dyDescent="0.2">
      <c r="A41" s="36" t="s">
        <v>34</v>
      </c>
      <c r="B41" s="53"/>
      <c r="C41" s="54"/>
      <c r="D41" s="54"/>
      <c r="E41" s="54"/>
      <c r="F41" s="55"/>
    </row>
    <row r="42" spans="1:10" ht="21" x14ac:dyDescent="0.2">
      <c r="A42" s="36" t="s">
        <v>35</v>
      </c>
      <c r="B42" s="53"/>
      <c r="C42" s="54"/>
      <c r="D42" s="54"/>
      <c r="E42" s="54"/>
      <c r="F42" s="55"/>
    </row>
    <row r="43" spans="1:10" ht="63" x14ac:dyDescent="0.2">
      <c r="A43" s="36" t="s">
        <v>37</v>
      </c>
      <c r="B43" s="53"/>
      <c r="C43" s="54"/>
      <c r="D43" s="54"/>
      <c r="E43" s="54"/>
      <c r="F43" s="55"/>
    </row>
    <row r="44" spans="1:10" x14ac:dyDescent="0.2">
      <c r="A44" s="34"/>
      <c r="B44" s="37"/>
      <c r="C44" s="38"/>
      <c r="D44" s="38"/>
      <c r="E44" s="38"/>
      <c r="F44" s="38"/>
    </row>
  </sheetData>
  <mergeCells count="7">
    <mergeCell ref="B43:F43"/>
    <mergeCell ref="B44:F44"/>
    <mergeCell ref="B38:F38"/>
    <mergeCell ref="B39:F39"/>
    <mergeCell ref="B40:F40"/>
    <mergeCell ref="B41:F41"/>
    <mergeCell ref="B42:F42"/>
  </mergeCells>
  <pageMargins left="0.7" right="0.7" top="0.75" bottom="0.75" header="0.3" footer="0.3"/>
  <pageSetup orientation="portrait" horizontalDpi="1200" verticalDpi="120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Hand drying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Jolliet</dc:creator>
  <cp:lastModifiedBy>Microsoft Office User</cp:lastModifiedBy>
  <dcterms:created xsi:type="dcterms:W3CDTF">2018-03-14T16:19:16Z</dcterms:created>
  <dcterms:modified xsi:type="dcterms:W3CDTF">2022-03-10T16:17:20Z</dcterms:modified>
</cp:coreProperties>
</file>